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tecocloud-my.sharepoint.com/personal/stijn_huysman_mateco_eu/Documents/GITHUB REPOS/HAANTJES/"/>
    </mc:Choice>
  </mc:AlternateContent>
  <xr:revisionPtr revIDLastSave="55" documentId="11_23F921ED43CBC971D564406571AA2D4B6E388EB3" xr6:coauthVersionLast="47" xr6:coauthVersionMax="47" xr10:uidLastSave="{C410E942-B4A2-4C34-AC10-49B6FD310C9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</calcChain>
</file>

<file path=xl/sharedStrings.xml><?xml version="1.0" encoding="utf-8"?>
<sst xmlns="http://schemas.openxmlformats.org/spreadsheetml/2006/main" count="264" uniqueCount="201">
  <si>
    <t>guid</t>
  </si>
  <si>
    <t>wedID</t>
  </si>
  <si>
    <t>tTGUID</t>
  </si>
  <si>
    <t>tTNaam</t>
  </si>
  <si>
    <t>tTKleur</t>
  </si>
  <si>
    <t>tUGUID</t>
  </si>
  <si>
    <t>tUNaam</t>
  </si>
  <si>
    <t>tUKleur</t>
  </si>
  <si>
    <t>datumString</t>
  </si>
  <si>
    <t>jsDTCode</t>
  </si>
  <si>
    <t>accGUID</t>
  </si>
  <si>
    <t>accNaam</t>
  </si>
  <si>
    <t>pouleGUID</t>
  </si>
  <si>
    <t>pouleNaam</t>
  </si>
  <si>
    <t>uitslag</t>
  </si>
  <si>
    <t>beginTijd</t>
  </si>
  <si>
    <t>wedOff</t>
  </si>
  <si>
    <t>DT2</t>
  </si>
  <si>
    <t>BVBL25269170ING1241AEFE</t>
  </si>
  <si>
    <t>BVBL25261218OR00164023</t>
  </si>
  <si>
    <t>BVBL25269170ING1241ASFE</t>
  </si>
  <si>
    <t>BVBL25269170ING1421BCA</t>
  </si>
  <si>
    <t>BVBL25269170INJ1831DFE</t>
  </si>
  <si>
    <t>BVBL25269170ING1241ABFE</t>
  </si>
  <si>
    <t>BVBL25269170INJ1821BCA</t>
  </si>
  <si>
    <t>BVBL25261037OR00040524</t>
  </si>
  <si>
    <t>BVBL25269130OVHSE31BCA</t>
  </si>
  <si>
    <t>BVBL25269130OVHSE11ABD</t>
  </si>
  <si>
    <t>BVBL25269170INM1631CBD</t>
  </si>
  <si>
    <t>BVBL25269170INM1921BBD</t>
  </si>
  <si>
    <t>BVBL25269170INJ1641FFE</t>
  </si>
  <si>
    <t>BVBL25269170INJ1621BCA</t>
  </si>
  <si>
    <t>BVBL25269170INM1421BFE</t>
  </si>
  <si>
    <t>BVBL25269170ING1441ACBD</t>
  </si>
  <si>
    <t>ING1241AEFE01</t>
  </si>
  <si>
    <t>OR0016402301</t>
  </si>
  <si>
    <t>ING1241ASFE01</t>
  </si>
  <si>
    <t>ING1421BCA01</t>
  </si>
  <si>
    <t>INJ1831DFE01</t>
  </si>
  <si>
    <t>ING1241ABFE01</t>
  </si>
  <si>
    <t>INJ1821BCA01</t>
  </si>
  <si>
    <t>OR0004052401</t>
  </si>
  <si>
    <t>OVHSE31BCA01</t>
  </si>
  <si>
    <t>OVHSE11ABD01</t>
  </si>
  <si>
    <t>INM1631CBD01</t>
  </si>
  <si>
    <t>INM1921BBD01</t>
  </si>
  <si>
    <t>INJ1641FFE01</t>
  </si>
  <si>
    <t>INJ1621BCA01</t>
  </si>
  <si>
    <t>INM1421BFE01</t>
  </si>
  <si>
    <t>ING1441ACBD01</t>
  </si>
  <si>
    <t>BVBL1037G12  3</t>
  </si>
  <si>
    <t>BVBL1218G10  2</t>
  </si>
  <si>
    <t>BVBL1037G12  2</t>
  </si>
  <si>
    <t>BVBL1037G14  1</t>
  </si>
  <si>
    <t>BVBL1037J18  2</t>
  </si>
  <si>
    <t>BVBL1037G12  1</t>
  </si>
  <si>
    <t>BVBL1037J18  1</t>
  </si>
  <si>
    <t>BVBL1037DSE  1</t>
  </si>
  <si>
    <t>BVBL1037HSE  2</t>
  </si>
  <si>
    <t>BVBL1234HSE  1</t>
  </si>
  <si>
    <t>BVBL1037M16  1</t>
  </si>
  <si>
    <t>BVBL1034M19  2</t>
  </si>
  <si>
    <t>BVBL1289J16  1</t>
  </si>
  <si>
    <t>BVBL1037J16  1</t>
  </si>
  <si>
    <t>BVBL1127M14  2</t>
  </si>
  <si>
    <t>BVBL1061G14  2</t>
  </si>
  <si>
    <t>Bobcat Wielsbeke G10 B</t>
  </si>
  <si>
    <t>Royal Tigers Evergem HSE A</t>
  </si>
  <si>
    <t>G&amp;V Breakpoint Basket Waregem M19 B</t>
  </si>
  <si>
    <t>BBC Wildcats Gavere J16 A</t>
  </si>
  <si>
    <t>House Of Talents Kortrijk Spurs M14 B</t>
  </si>
  <si>
    <t>BBC Helios SanoRice Zottegem G14 B</t>
  </si>
  <si>
    <t>#ffff00</t>
  </si>
  <si>
    <t>#0000ff</t>
  </si>
  <si>
    <t>#ff0000</t>
  </si>
  <si>
    <t>#ffa500</t>
  </si>
  <si>
    <t>#000000</t>
  </si>
  <si>
    <t>BVBL1203G12  1</t>
  </si>
  <si>
    <t>BVBL1037G10  3</t>
  </si>
  <si>
    <t>BVBL1218G12  2</t>
  </si>
  <si>
    <t>BVBL1127G14  1</t>
  </si>
  <si>
    <t>BVBL1414J18  2</t>
  </si>
  <si>
    <t>BVBL1034G12  2</t>
  </si>
  <si>
    <t>BVBL1075J18  1</t>
  </si>
  <si>
    <t>BVBL1426DSE  2</t>
  </si>
  <si>
    <t>BVBL1404HSE  2</t>
  </si>
  <si>
    <t>BVBL1037HSE  1</t>
  </si>
  <si>
    <t>BVBL1123M16  1</t>
  </si>
  <si>
    <t>BVBL1037M19  1</t>
  </si>
  <si>
    <t>BVBL1037J16  2</t>
  </si>
  <si>
    <t>BVBL1042J16  1</t>
  </si>
  <si>
    <t>BVBL1037M14  1</t>
  </si>
  <si>
    <t>BVBL1037G14  2</t>
  </si>
  <si>
    <t>BBC Haantjes Certifisc Oudenaarde G10 C</t>
  </si>
  <si>
    <t>House Of Talents Kortrijk Spurs G14 A</t>
  </si>
  <si>
    <t>Amon Jeugd Gentson J18 B</t>
  </si>
  <si>
    <t>BBC Haantjes Certifisc Oudenaarde HSE A</t>
  </si>
  <si>
    <t>BC Black Boys Erpe-Mere M16 A</t>
  </si>
  <si>
    <t>BBC Haantjes Certifisc Oudenaarde M19 A</t>
  </si>
  <si>
    <t>BBC Haantjes Certifisc Oudenaarde J16 B</t>
  </si>
  <si>
    <t>BBC Haantjes Certifisc Oudenaarde M14 A</t>
  </si>
  <si>
    <t>BBC Haantjes Certifisc Oudenaarde G14 B</t>
  </si>
  <si>
    <t>13-09-2025</t>
  </si>
  <si>
    <t>14-09-2025</t>
  </si>
  <si>
    <t>BVBL100343</t>
  </si>
  <si>
    <t>BVBL660071</t>
  </si>
  <si>
    <t>BVBL500005</t>
  </si>
  <si>
    <t>BVBL100240</t>
  </si>
  <si>
    <t>BVBL660103</t>
  </si>
  <si>
    <t>BVBL500014</t>
  </si>
  <si>
    <t>BVBL500365</t>
  </si>
  <si>
    <t>Rode Los</t>
  </si>
  <si>
    <t>Centrum Hernieuwenburg - NIEUW</t>
  </si>
  <si>
    <t>Gemeentelijke Sporthal Evergem</t>
  </si>
  <si>
    <t>De Treffer (Stedelijke Sporthal)</t>
  </si>
  <si>
    <t>Scaldis Gavere</t>
  </si>
  <si>
    <t>Athena Campus 3 Hofsteden</t>
  </si>
  <si>
    <t>Sporthal Bevegemse Vijvers</t>
  </si>
  <si>
    <t>BVBL25269170ING1241AE</t>
  </si>
  <si>
    <t>BVBL25261218OR001640</t>
  </si>
  <si>
    <t>BVBL25269170ING1241AS</t>
  </si>
  <si>
    <t>BVBL25269170ING1421B</t>
  </si>
  <si>
    <t>BVBL25269170INJ1831D</t>
  </si>
  <si>
    <t>BVBL25269170ING1241AB</t>
  </si>
  <si>
    <t>BVBL25269170INJ1821B</t>
  </si>
  <si>
    <t>BVBL25261037OR000405</t>
  </si>
  <si>
    <t>BVBL25269130OVHSE31B</t>
  </si>
  <si>
    <t>BVBL25269130OVHSE11A</t>
  </si>
  <si>
    <t>BVBL25269170INM1631C</t>
  </si>
  <si>
    <t>BVBL25269170INM1921B</t>
  </si>
  <si>
    <t>BVBL25269170INJ1641F</t>
  </si>
  <si>
    <t>BVBL25269170INJ1621B</t>
  </si>
  <si>
    <t>BVBL25269170INM1421B</t>
  </si>
  <si>
    <t>BVBL25269170ING1441AC</t>
  </si>
  <si>
    <t>U12 Niveau 4 A6</t>
  </si>
  <si>
    <t>Basket Wielsbeke OEFEN</t>
  </si>
  <si>
    <t>U12 Niveau 4 B3</t>
  </si>
  <si>
    <t>U14 Niveau 2 B</t>
  </si>
  <si>
    <t>U18 Niveau 3 D</t>
  </si>
  <si>
    <t>U12 Niveau 4 A3</t>
  </si>
  <si>
    <t>U18 Niveau 2 B</t>
  </si>
  <si>
    <t>BBC Haantjes Oudenaarde OEFEN</t>
  </si>
  <si>
    <t>3e Prov. Heren Oost-Vlaanderen B</t>
  </si>
  <si>
    <t>1e Prov. Heren Oost-Vlaanderen</t>
  </si>
  <si>
    <t>U16 Meisjes Niveau 3 C</t>
  </si>
  <si>
    <t>U19 Meisjes Niveau 2 B</t>
  </si>
  <si>
    <t>U16 Niveau 4 F</t>
  </si>
  <si>
    <t>U16 Niveau 2 B</t>
  </si>
  <si>
    <t>U14 Meisjes Niveau 2 B</t>
  </si>
  <si>
    <t>U14 Niveau 4 A4</t>
  </si>
  <si>
    <t>09.00</t>
  </si>
  <si>
    <t>10.00</t>
  </si>
  <si>
    <t>11.00</t>
  </si>
  <si>
    <t>13.15</t>
  </si>
  <si>
    <t>15.30</t>
  </si>
  <si>
    <t>18.00</t>
  </si>
  <si>
    <t>20.15</t>
  </si>
  <si>
    <t>20.30</t>
  </si>
  <si>
    <t>12.30</t>
  </si>
  <si>
    <t>13.00</t>
  </si>
  <si>
    <t>14.45</t>
  </si>
  <si>
    <t>16.00</t>
  </si>
  <si>
    <t>17.00</t>
  </si>
  <si>
    <t>['Tom Goeteyn', 'Elien Poffyn']</t>
  </si>
  <si>
    <t>['Ben Van Wetter', 'Roland Picavet']</t>
  </si>
  <si>
    <t>['Carlos Verdure', 'Gerd Demeulemeester']</t>
  </si>
  <si>
    <t>['Carlos Verdure', 'Sandra Cornelis']</t>
  </si>
  <si>
    <t>['Geert Citters', 'Yana Geenens']</t>
  </si>
  <si>
    <t>['Roland Picavet', 'Seppe Roels']</t>
  </si>
  <si>
    <t>['Christophe Debommarez', 'Ferre Rigolle']</t>
  </si>
  <si>
    <t>['Jean-Pierre Coppieters', 'Pierre Albrecht']</t>
  </si>
  <si>
    <t>['Yoery Deduytschaever', 'Jasper Schacht']</t>
  </si>
  <si>
    <t>Haantjes G12 C</t>
  </si>
  <si>
    <t>Haantjes G12 B</t>
  </si>
  <si>
    <t>Haantjes G14 A</t>
  </si>
  <si>
    <t>Haantjes J18 B</t>
  </si>
  <si>
    <t>Haantjes G12 A</t>
  </si>
  <si>
    <t>Haantjes J18 A</t>
  </si>
  <si>
    <t>Haantjes DSE A</t>
  </si>
  <si>
    <t>Haantjes HSE B</t>
  </si>
  <si>
    <t>Haantjes M16 A</t>
  </si>
  <si>
    <t>Haantjes J16 A</t>
  </si>
  <si>
    <t>Lede G12 A</t>
  </si>
  <si>
    <t>Ieper DSE B</t>
  </si>
  <si>
    <t>Destelbergen HSE B</t>
  </si>
  <si>
    <t>Deerlijk-Zwevegem J16 A</t>
  </si>
  <si>
    <t>Waregem G12 B</t>
  </si>
  <si>
    <t>Wielsbeke G12 B</t>
  </si>
  <si>
    <t>Oostkamp J18 A</t>
  </si>
  <si>
    <t>Ref1</t>
  </si>
  <si>
    <t>Ref2</t>
  </si>
  <si>
    <t>A1</t>
  </si>
  <si>
    <t>B1</t>
  </si>
  <si>
    <t>A2</t>
  </si>
  <si>
    <t>B2</t>
  </si>
  <si>
    <t>C1</t>
  </si>
  <si>
    <t>C2</t>
  </si>
  <si>
    <t>D1</t>
  </si>
  <si>
    <t>D2</t>
  </si>
  <si>
    <t>match</t>
  </si>
  <si>
    <t>MATCH2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</si>
</sst>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B64C2-DA85-43EC-94EB-92E0D474BBF7}" name="Table1" displayName="Table1" ref="A1:V17" totalsRowShown="0" headerRowDxfId="3" headerRowBorderDxfId="4" tableBorderDxfId="5">
  <autoFilter ref="A1:V17" xr:uid="{9F5B64C2-DA85-43EC-94EB-92E0D474BBF7}">
    <filterColumn colId="4">
      <customFilters>
        <customFilter val="BBC Haantjes*"/>
      </customFilters>
    </filterColumn>
    <filterColumn colId="21">
      <filters blank="1"/>
    </filterColumn>
  </autoFilter>
  <tableColumns count="22">
    <tableColumn id="1" xr3:uid="{EEE17276-ED42-4BE0-9EE5-6CFD6661C98E}" name="guid"/>
    <tableColumn id="2" xr3:uid="{980F7164-C159-4D9C-9747-AF0A4818DA85}" name="wedID"/>
    <tableColumn id="3" xr3:uid="{4D685325-EF74-45B9-BDA1-B87AB9A4A866}" name="tTGUID"/>
    <tableColumn id="18" xr3:uid="{7B67D11C-52DA-43A0-B13E-AF8F88746DB2}" name="DT2" dataDxfId="2"/>
    <tableColumn id="4" xr3:uid="{E9258F59-DAE0-4E97-B1B3-84C212789E8E}" name="tTNaam"/>
    <tableColumn id="5" xr3:uid="{6FB38CC8-9B88-444F-85DA-97681BA713E3}" name="tTKleur"/>
    <tableColumn id="6" xr3:uid="{851CF9F2-CA15-40AF-8B1B-3FECB6F9E7BF}" name="tUGUID"/>
    <tableColumn id="7" xr3:uid="{FD9851C4-A2A9-459B-A9E1-9B72E7481450}" name="tUNaam"/>
    <tableColumn id="16" xr3:uid="{021B1B6E-A7C0-4557-839F-8878A84F9CD3}" name="beginTijd"/>
    <tableColumn id="21" xr3:uid="{E81AA317-2EBC-4DBD-8926-951F4E744913}" name="match" dataDxfId="1">
      <calculatedColumnFormula>_xlfn.CONCAT(Table1[[#This Row],[tTNaam]],"-",Table1[[#This Row],[tUNaam]])</calculatedColumnFormula>
    </tableColumn>
    <tableColumn id="22" xr3:uid="{E2D13272-4C71-4E72-96A4-EE17DA238ADE}" name="MATCH2" dataDxfId="0">
      <calculatedColumnFormula>_xlfn.CONCAT(Table1[[#This Row],[beginTijd]], "__", Table1[[#This Row],[match]])</calculatedColumnFormula>
    </tableColumn>
    <tableColumn id="20" xr3:uid="{2BC888FB-EB94-4AD3-A842-6F593893D9FD}" name="Ref1"/>
    <tableColumn id="19" xr3:uid="{0C75A209-D20A-443A-ACEF-2CD7177B472A}" name="Ref2"/>
    <tableColumn id="8" xr3:uid="{680EC6A9-3EBC-4375-AA3F-8AB14E60D78C}" name="tUKleur"/>
    <tableColumn id="9" xr3:uid="{556F86BC-C2F6-4395-9F1F-F1AE24E64C25}" name="datumString"/>
    <tableColumn id="10" xr3:uid="{AEBA1EF8-578F-4AA8-AE59-580EB7D63B57}" name="jsDTCode"/>
    <tableColumn id="11" xr3:uid="{6D2639CB-EA06-429C-96E5-1529D4DD0139}" name="accGUID"/>
    <tableColumn id="12" xr3:uid="{05D51275-C83F-4138-B30B-3149368C8560}" name="accNaam"/>
    <tableColumn id="13" xr3:uid="{4EE4CDBE-FC77-4374-B55E-FBF6F8EFFC75}" name="pouleGUID"/>
    <tableColumn id="14" xr3:uid="{6D18447B-BCC5-4981-90D5-484B7E871427}" name="pouleNaam"/>
    <tableColumn id="15" xr3:uid="{C88F6BC2-4DDE-4D8B-A5FF-CB1E1A419B96}" name="uitslag"/>
    <tableColumn id="17" xr3:uid="{E2232DB5-5104-413A-855A-7254F22AFA13}" name="wedOff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>
      <selection activeCell="K2" sqref="K2"/>
    </sheetView>
  </sheetViews>
  <sheetFormatPr defaultRowHeight="15" x14ac:dyDescent="0.25"/>
  <cols>
    <col min="1" max="1" width="11.5703125" customWidth="1"/>
    <col min="2" max="2" width="16.140625" customWidth="1"/>
    <col min="3" max="3" width="12.85546875" customWidth="1"/>
    <col min="4" max="4" width="19.5703125" customWidth="1"/>
    <col min="5" max="5" width="18.85546875" customWidth="1"/>
    <col min="6" max="6" width="9.28515625" hidden="1" customWidth="1"/>
    <col min="7" max="7" width="24.42578125" hidden="1" customWidth="1"/>
    <col min="8" max="8" width="32.85546875" customWidth="1"/>
    <col min="9" max="9" width="11.140625" customWidth="1"/>
    <col min="10" max="11" width="32.85546875" customWidth="1"/>
    <col min="12" max="12" width="16" customWidth="1"/>
    <col min="13" max="13" width="16.5703125" customWidth="1"/>
    <col min="14" max="14" width="9.5703125" customWidth="1"/>
    <col min="15" max="15" width="13.85546875" customWidth="1"/>
    <col min="16" max="16" width="11.140625" customWidth="1"/>
    <col min="17" max="17" width="10.42578125" customWidth="1"/>
    <col min="18" max="18" width="11.140625" customWidth="1"/>
    <col min="19" max="19" width="12.42578125" customWidth="1"/>
    <col min="20" max="20" width="13.140625" customWidth="1"/>
    <col min="23" max="23" width="9.4257812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17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15</v>
      </c>
      <c r="J1" s="2" t="s">
        <v>199</v>
      </c>
      <c r="K1" s="2" t="s">
        <v>200</v>
      </c>
      <c r="L1" s="2" t="s">
        <v>189</v>
      </c>
      <c r="M1" s="2" t="s">
        <v>190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16</v>
      </c>
    </row>
    <row r="2" spans="1:22" x14ac:dyDescent="0.25">
      <c r="A2" t="s">
        <v>18</v>
      </c>
      <c r="B2" t="s">
        <v>34</v>
      </c>
      <c r="C2" t="s">
        <v>50</v>
      </c>
      <c r="D2" s="1">
        <v>45913.375</v>
      </c>
      <c r="E2" t="s">
        <v>172</v>
      </c>
      <c r="F2" t="s">
        <v>72</v>
      </c>
      <c r="G2" t="s">
        <v>77</v>
      </c>
      <c r="H2" t="s">
        <v>182</v>
      </c>
      <c r="I2" t="s">
        <v>150</v>
      </c>
      <c r="J2" t="str">
        <f>_xlfn.CONCAT(Table1[[#This Row],[tTNaam]],"-",Table1[[#This Row],[tUNaam]])</f>
        <v>Haantjes G12 C-Lede G12 A</v>
      </c>
      <c r="K2" t="str">
        <f>_xlfn.CONCAT(Table1[[#This Row],[beginTijd]], "__", Table1[[#This Row],[match]])</f>
        <v>09.00__Haantjes G12 C-Lede G12 A</v>
      </c>
      <c r="L2" t="s">
        <v>191</v>
      </c>
      <c r="M2" t="s">
        <v>193</v>
      </c>
      <c r="N2" t="s">
        <v>73</v>
      </c>
      <c r="O2" t="s">
        <v>102</v>
      </c>
      <c r="P2">
        <v>1757754000000</v>
      </c>
      <c r="Q2" t="s">
        <v>104</v>
      </c>
      <c r="R2" t="s">
        <v>111</v>
      </c>
      <c r="S2" t="s">
        <v>118</v>
      </c>
      <c r="T2" t="s">
        <v>134</v>
      </c>
    </row>
    <row r="3" spans="1:22" hidden="1" x14ac:dyDescent="0.25">
      <c r="A3" t="s">
        <v>19</v>
      </c>
      <c r="B3" t="s">
        <v>35</v>
      </c>
      <c r="C3" t="s">
        <v>51</v>
      </c>
      <c r="D3" s="1">
        <v>45913.416666666657</v>
      </c>
      <c r="E3" t="s">
        <v>66</v>
      </c>
      <c r="F3" t="s">
        <v>73</v>
      </c>
      <c r="G3" t="s">
        <v>78</v>
      </c>
      <c r="H3" t="s">
        <v>93</v>
      </c>
      <c r="I3" t="s">
        <v>151</v>
      </c>
      <c r="J3" t="str">
        <f>_xlfn.CONCAT(Table1[[#This Row],[tTNaam]],"-",Table1[[#This Row],[tUNaam]])</f>
        <v>Bobcat Wielsbeke G10 B-BBC Haantjes Certifisc Oudenaarde G10 C</v>
      </c>
      <c r="K3" t="str">
        <f>_xlfn.CONCAT(Table1[[#This Row],[beginTijd]], "__", Table1[[#This Row],[match]])</f>
        <v>10.00__Bobcat Wielsbeke G10 B-BBC Haantjes Certifisc Oudenaarde G10 C</v>
      </c>
      <c r="N3" t="s">
        <v>72</v>
      </c>
      <c r="O3" t="s">
        <v>102</v>
      </c>
      <c r="P3">
        <v>1757757600000</v>
      </c>
      <c r="Q3" t="s">
        <v>105</v>
      </c>
      <c r="R3" t="s">
        <v>112</v>
      </c>
      <c r="S3" t="s">
        <v>119</v>
      </c>
      <c r="T3" t="s">
        <v>135</v>
      </c>
    </row>
    <row r="4" spans="1:22" x14ac:dyDescent="0.25">
      <c r="A4" t="s">
        <v>20</v>
      </c>
      <c r="B4" t="s">
        <v>36</v>
      </c>
      <c r="C4" t="s">
        <v>52</v>
      </c>
      <c r="D4" s="1">
        <v>45913.458333333343</v>
      </c>
      <c r="E4" t="s">
        <v>173</v>
      </c>
      <c r="F4" t="s">
        <v>72</v>
      </c>
      <c r="G4" t="s">
        <v>79</v>
      </c>
      <c r="H4" t="s">
        <v>187</v>
      </c>
      <c r="I4" t="s">
        <v>152</v>
      </c>
      <c r="J4" t="str">
        <f>_xlfn.CONCAT(Table1[[#This Row],[tTNaam]],"-",Table1[[#This Row],[tUNaam]])</f>
        <v>Haantjes G12 B-Wielsbeke G12 B</v>
      </c>
      <c r="K4" t="str">
        <f>_xlfn.CONCAT(Table1[[#This Row],[beginTijd]], "__", Table1[[#This Row],[match]])</f>
        <v>11.00__Haantjes G12 B-Wielsbeke G12 B</v>
      </c>
      <c r="L4" t="s">
        <v>192</v>
      </c>
      <c r="M4" t="s">
        <v>194</v>
      </c>
      <c r="N4" t="s">
        <v>73</v>
      </c>
      <c r="O4" t="s">
        <v>102</v>
      </c>
      <c r="P4">
        <v>1757761200000</v>
      </c>
      <c r="Q4" t="s">
        <v>104</v>
      </c>
      <c r="R4" t="s">
        <v>111</v>
      </c>
      <c r="S4" t="s">
        <v>120</v>
      </c>
      <c r="T4" t="s">
        <v>136</v>
      </c>
    </row>
    <row r="5" spans="1:22" hidden="1" x14ac:dyDescent="0.25">
      <c r="A5" t="s">
        <v>21</v>
      </c>
      <c r="B5" t="s">
        <v>37</v>
      </c>
      <c r="C5" t="s">
        <v>53</v>
      </c>
      <c r="D5" s="1">
        <v>45913.552083333343</v>
      </c>
      <c r="E5" t="s">
        <v>174</v>
      </c>
      <c r="F5" t="s">
        <v>72</v>
      </c>
      <c r="G5" t="s">
        <v>80</v>
      </c>
      <c r="H5" t="s">
        <v>94</v>
      </c>
      <c r="I5" t="s">
        <v>153</v>
      </c>
      <c r="J5" t="str">
        <f>_xlfn.CONCAT(Table1[[#This Row],[tTNaam]],"-",Table1[[#This Row],[tUNaam]])</f>
        <v>Haantjes G14 A-House Of Talents Kortrijk Spurs G14 A</v>
      </c>
      <c r="K5" t="str">
        <f>_xlfn.CONCAT(Table1[[#This Row],[beginTijd]], "__", Table1[[#This Row],[match]])</f>
        <v>13.15__Haantjes G14 A-House Of Talents Kortrijk Spurs G14 A</v>
      </c>
      <c r="N5" t="s">
        <v>76</v>
      </c>
      <c r="O5" t="s">
        <v>102</v>
      </c>
      <c r="P5">
        <v>1757769300000</v>
      </c>
      <c r="Q5" t="s">
        <v>104</v>
      </c>
      <c r="R5" t="s">
        <v>111</v>
      </c>
      <c r="S5" t="s">
        <v>121</v>
      </c>
      <c r="T5" t="s">
        <v>137</v>
      </c>
      <c r="V5" t="s">
        <v>163</v>
      </c>
    </row>
    <row r="6" spans="1:22" hidden="1" x14ac:dyDescent="0.25">
      <c r="A6" t="s">
        <v>22</v>
      </c>
      <c r="B6" t="s">
        <v>38</v>
      </c>
      <c r="C6" t="s">
        <v>54</v>
      </c>
      <c r="D6" s="1">
        <v>45913.552083333343</v>
      </c>
      <c r="E6" t="s">
        <v>175</v>
      </c>
      <c r="F6" t="s">
        <v>72</v>
      </c>
      <c r="G6" t="s">
        <v>81</v>
      </c>
      <c r="H6" t="s">
        <v>95</v>
      </c>
      <c r="I6" t="s">
        <v>153</v>
      </c>
      <c r="J6" t="str">
        <f>_xlfn.CONCAT(Table1[[#This Row],[tTNaam]],"-",Table1[[#This Row],[tUNaam]])</f>
        <v>Haantjes J18 B-Amon Jeugd Gentson J18 B</v>
      </c>
      <c r="K6" t="str">
        <f>_xlfn.CONCAT(Table1[[#This Row],[beginTijd]], "__", Table1[[#This Row],[match]])</f>
        <v>13.15__Haantjes J18 B-Amon Jeugd Gentson J18 B</v>
      </c>
      <c r="N6" t="s">
        <v>74</v>
      </c>
      <c r="O6" t="s">
        <v>102</v>
      </c>
      <c r="P6">
        <v>1757769300000</v>
      </c>
      <c r="Q6" t="s">
        <v>104</v>
      </c>
      <c r="R6" t="s">
        <v>111</v>
      </c>
      <c r="S6" t="s">
        <v>122</v>
      </c>
      <c r="T6" t="s">
        <v>138</v>
      </c>
      <c r="V6" t="s">
        <v>164</v>
      </c>
    </row>
    <row r="7" spans="1:22" x14ac:dyDescent="0.25">
      <c r="A7" t="s">
        <v>23</v>
      </c>
      <c r="B7" t="s">
        <v>39</v>
      </c>
      <c r="C7" t="s">
        <v>55</v>
      </c>
      <c r="D7" s="1">
        <v>45913.645833333343</v>
      </c>
      <c r="E7" t="s">
        <v>176</v>
      </c>
      <c r="F7" t="s">
        <v>72</v>
      </c>
      <c r="G7" t="s">
        <v>82</v>
      </c>
      <c r="H7" t="s">
        <v>186</v>
      </c>
      <c r="I7" t="s">
        <v>154</v>
      </c>
      <c r="J7" t="str">
        <f>_xlfn.CONCAT(Table1[[#This Row],[tTNaam]],"-",Table1[[#This Row],[tUNaam]])</f>
        <v>Haantjes G12 A-Waregem G12 B</v>
      </c>
      <c r="K7" t="str">
        <f>_xlfn.CONCAT(Table1[[#This Row],[beginTijd]], "__", Table1[[#This Row],[match]])</f>
        <v>15.30__Haantjes G12 A-Waregem G12 B</v>
      </c>
      <c r="L7" t="s">
        <v>195</v>
      </c>
      <c r="M7" t="s">
        <v>196</v>
      </c>
      <c r="N7" t="s">
        <v>74</v>
      </c>
      <c r="O7" t="s">
        <v>102</v>
      </c>
      <c r="P7">
        <v>1757777400000</v>
      </c>
      <c r="Q7" t="s">
        <v>104</v>
      </c>
      <c r="R7" t="s">
        <v>111</v>
      </c>
      <c r="S7" t="s">
        <v>123</v>
      </c>
      <c r="T7" t="s">
        <v>139</v>
      </c>
    </row>
    <row r="8" spans="1:22" x14ac:dyDescent="0.25">
      <c r="A8" t="s">
        <v>24</v>
      </c>
      <c r="B8" t="s">
        <v>40</v>
      </c>
      <c r="C8" t="s">
        <v>56</v>
      </c>
      <c r="D8" s="1">
        <v>45913.645833333343</v>
      </c>
      <c r="E8" t="s">
        <v>177</v>
      </c>
      <c r="F8" t="s">
        <v>72</v>
      </c>
      <c r="G8" t="s">
        <v>83</v>
      </c>
      <c r="H8" t="s">
        <v>188</v>
      </c>
      <c r="I8" t="s">
        <v>154</v>
      </c>
      <c r="J8" t="str">
        <f>_xlfn.CONCAT(Table1[[#This Row],[tTNaam]],"-",Table1[[#This Row],[tUNaam]])</f>
        <v>Haantjes J18 A-Oostkamp J18 A</v>
      </c>
      <c r="K8" t="str">
        <f>_xlfn.CONCAT(Table1[[#This Row],[beginTijd]], "__", Table1[[#This Row],[match]])</f>
        <v>15.30__Haantjes J18 A-Oostkamp J18 A</v>
      </c>
      <c r="L8" t="s">
        <v>197</v>
      </c>
      <c r="M8" t="s">
        <v>198</v>
      </c>
      <c r="N8" t="s">
        <v>74</v>
      </c>
      <c r="O8" t="s">
        <v>102</v>
      </c>
      <c r="P8">
        <v>1757777400000</v>
      </c>
      <c r="Q8" t="s">
        <v>104</v>
      </c>
      <c r="R8" t="s">
        <v>111</v>
      </c>
      <c r="S8" t="s">
        <v>124</v>
      </c>
      <c r="T8" t="s">
        <v>140</v>
      </c>
    </row>
    <row r="9" spans="1:22" hidden="1" x14ac:dyDescent="0.25">
      <c r="A9" t="s">
        <v>25</v>
      </c>
      <c r="B9" t="s">
        <v>41</v>
      </c>
      <c r="C9" t="s">
        <v>57</v>
      </c>
      <c r="D9" s="1">
        <v>45913.75</v>
      </c>
      <c r="E9" t="s">
        <v>178</v>
      </c>
      <c r="F9" t="s">
        <v>72</v>
      </c>
      <c r="G9" t="s">
        <v>84</v>
      </c>
      <c r="H9" t="s">
        <v>183</v>
      </c>
      <c r="I9" t="s">
        <v>155</v>
      </c>
      <c r="J9" t="str">
        <f>_xlfn.CONCAT(Table1[[#This Row],[tTNaam]],"-",Table1[[#This Row],[tUNaam]])</f>
        <v>Haantjes DSE A-Ieper DSE B</v>
      </c>
      <c r="K9" t="str">
        <f>_xlfn.CONCAT(Table1[[#This Row],[beginTijd]], "__", Table1[[#This Row],[match]])</f>
        <v>18.00__Haantjes DSE A-Ieper DSE B</v>
      </c>
      <c r="N9" t="s">
        <v>73</v>
      </c>
      <c r="O9" t="s">
        <v>102</v>
      </c>
      <c r="P9">
        <v>1757786400000</v>
      </c>
      <c r="Q9" t="s">
        <v>104</v>
      </c>
      <c r="R9" t="s">
        <v>111</v>
      </c>
      <c r="S9" t="s">
        <v>125</v>
      </c>
      <c r="T9" t="s">
        <v>141</v>
      </c>
      <c r="V9" t="s">
        <v>165</v>
      </c>
    </row>
    <row r="10" spans="1:22" hidden="1" x14ac:dyDescent="0.25">
      <c r="A10" t="s">
        <v>26</v>
      </c>
      <c r="B10" t="s">
        <v>42</v>
      </c>
      <c r="C10" t="s">
        <v>58</v>
      </c>
      <c r="D10" s="1">
        <v>45913.84375</v>
      </c>
      <c r="E10" t="s">
        <v>179</v>
      </c>
      <c r="F10" t="s">
        <v>72</v>
      </c>
      <c r="G10" t="s">
        <v>85</v>
      </c>
      <c r="H10" t="s">
        <v>184</v>
      </c>
      <c r="I10" t="s">
        <v>156</v>
      </c>
      <c r="J10" t="str">
        <f>_xlfn.CONCAT(Table1[[#This Row],[tTNaam]],"-",Table1[[#This Row],[tUNaam]])</f>
        <v>Haantjes HSE B-Destelbergen HSE B</v>
      </c>
      <c r="K10" t="str">
        <f>_xlfn.CONCAT(Table1[[#This Row],[beginTijd]], "__", Table1[[#This Row],[match]])</f>
        <v>20.15__Haantjes HSE B-Destelbergen HSE B</v>
      </c>
      <c r="N10" t="s">
        <v>73</v>
      </c>
      <c r="O10" t="s">
        <v>102</v>
      </c>
      <c r="P10">
        <v>1757794500000</v>
      </c>
      <c r="Q10" t="s">
        <v>104</v>
      </c>
      <c r="R10" t="s">
        <v>111</v>
      </c>
      <c r="S10" t="s">
        <v>126</v>
      </c>
      <c r="T10" t="s">
        <v>142</v>
      </c>
      <c r="V10" t="s">
        <v>166</v>
      </c>
    </row>
    <row r="11" spans="1:22" hidden="1" x14ac:dyDescent="0.25">
      <c r="A11" t="s">
        <v>27</v>
      </c>
      <c r="B11" t="s">
        <v>43</v>
      </c>
      <c r="C11" t="s">
        <v>59</v>
      </c>
      <c r="D11" s="1">
        <v>45913.854166666657</v>
      </c>
      <c r="E11" t="s">
        <v>67</v>
      </c>
      <c r="F11" t="s">
        <v>74</v>
      </c>
      <c r="G11" t="s">
        <v>86</v>
      </c>
      <c r="H11" t="s">
        <v>96</v>
      </c>
      <c r="I11" t="s">
        <v>157</v>
      </c>
      <c r="J11" t="str">
        <f>_xlfn.CONCAT(Table1[[#This Row],[tTNaam]],"-",Table1[[#This Row],[tUNaam]])</f>
        <v>Royal Tigers Evergem HSE A-BBC Haantjes Certifisc Oudenaarde HSE A</v>
      </c>
      <c r="K11" t="str">
        <f>_xlfn.CONCAT(Table1[[#This Row],[beginTijd]], "__", Table1[[#This Row],[match]])</f>
        <v>20.30__Royal Tigers Evergem HSE A-BBC Haantjes Certifisc Oudenaarde HSE A</v>
      </c>
      <c r="N11" t="s">
        <v>72</v>
      </c>
      <c r="O11" t="s">
        <v>102</v>
      </c>
      <c r="P11">
        <v>1757795400000</v>
      </c>
      <c r="Q11" t="s">
        <v>106</v>
      </c>
      <c r="R11" t="s">
        <v>113</v>
      </c>
      <c r="S11" t="s">
        <v>127</v>
      </c>
      <c r="T11" t="s">
        <v>143</v>
      </c>
      <c r="V11" t="s">
        <v>167</v>
      </c>
    </row>
    <row r="12" spans="1:22" hidden="1" x14ac:dyDescent="0.25">
      <c r="A12" t="s">
        <v>28</v>
      </c>
      <c r="B12" t="s">
        <v>44</v>
      </c>
      <c r="C12" t="s">
        <v>60</v>
      </c>
      <c r="D12" s="1">
        <v>45914.520833333343</v>
      </c>
      <c r="E12" t="s">
        <v>180</v>
      </c>
      <c r="F12" t="s">
        <v>72</v>
      </c>
      <c r="G12" t="s">
        <v>87</v>
      </c>
      <c r="H12" t="s">
        <v>97</v>
      </c>
      <c r="I12" t="s">
        <v>158</v>
      </c>
      <c r="J12" t="str">
        <f>_xlfn.CONCAT(Table1[[#This Row],[tTNaam]],"-",Table1[[#This Row],[tUNaam]])</f>
        <v>Haantjes M16 A-BC Black Boys Erpe-Mere M16 A</v>
      </c>
      <c r="K12" t="str">
        <f>_xlfn.CONCAT(Table1[[#This Row],[beginTijd]], "__", Table1[[#This Row],[match]])</f>
        <v>12.30__Haantjes M16 A-BC Black Boys Erpe-Mere M16 A</v>
      </c>
      <c r="N12" t="s">
        <v>76</v>
      </c>
      <c r="O12" t="s">
        <v>103</v>
      </c>
      <c r="P12">
        <v>1757853000000</v>
      </c>
      <c r="Q12" t="s">
        <v>104</v>
      </c>
      <c r="R12" t="s">
        <v>111</v>
      </c>
      <c r="S12" t="s">
        <v>128</v>
      </c>
      <c r="T12" t="s">
        <v>144</v>
      </c>
      <c r="V12" t="s">
        <v>168</v>
      </c>
    </row>
    <row r="13" spans="1:22" hidden="1" x14ac:dyDescent="0.25">
      <c r="A13" t="s">
        <v>29</v>
      </c>
      <c r="B13" t="s">
        <v>45</v>
      </c>
      <c r="C13" t="s">
        <v>61</v>
      </c>
      <c r="D13" s="1">
        <v>45914.541666666657</v>
      </c>
      <c r="E13" t="s">
        <v>68</v>
      </c>
      <c r="F13" t="s">
        <v>74</v>
      </c>
      <c r="G13" t="s">
        <v>88</v>
      </c>
      <c r="H13" t="s">
        <v>98</v>
      </c>
      <c r="I13" t="s">
        <v>159</v>
      </c>
      <c r="J13" t="str">
        <f>_xlfn.CONCAT(Table1[[#This Row],[tTNaam]],"-",Table1[[#This Row],[tUNaam]])</f>
        <v>G&amp;V Breakpoint Basket Waregem M19 B-BBC Haantjes Certifisc Oudenaarde M19 A</v>
      </c>
      <c r="K13" t="str">
        <f>_xlfn.CONCAT(Table1[[#This Row],[beginTijd]], "__", Table1[[#This Row],[match]])</f>
        <v>13.00__G&amp;V Breakpoint Basket Waregem M19 B-BBC Haantjes Certifisc Oudenaarde M19 A</v>
      </c>
      <c r="N13" t="s">
        <v>72</v>
      </c>
      <c r="O13" t="s">
        <v>103</v>
      </c>
      <c r="P13">
        <v>1757854800000</v>
      </c>
      <c r="Q13" t="s">
        <v>107</v>
      </c>
      <c r="R13" t="s">
        <v>114</v>
      </c>
      <c r="S13" t="s">
        <v>129</v>
      </c>
      <c r="T13" t="s">
        <v>145</v>
      </c>
      <c r="V13" t="s">
        <v>169</v>
      </c>
    </row>
    <row r="14" spans="1:22" hidden="1" x14ac:dyDescent="0.25">
      <c r="A14" t="s">
        <v>30</v>
      </c>
      <c r="B14" t="s">
        <v>46</v>
      </c>
      <c r="C14" t="s">
        <v>62</v>
      </c>
      <c r="D14" s="1">
        <v>45914.541666666657</v>
      </c>
      <c r="E14" t="s">
        <v>69</v>
      </c>
      <c r="F14" t="s">
        <v>75</v>
      </c>
      <c r="G14" t="s">
        <v>89</v>
      </c>
      <c r="H14" t="s">
        <v>99</v>
      </c>
      <c r="I14" t="s">
        <v>159</v>
      </c>
      <c r="J14" t="str">
        <f>_xlfn.CONCAT(Table1[[#This Row],[tTNaam]],"-",Table1[[#This Row],[tUNaam]])</f>
        <v>BBC Wildcats Gavere J16 A-BBC Haantjes Certifisc Oudenaarde J16 B</v>
      </c>
      <c r="K14" t="str">
        <f>_xlfn.CONCAT(Table1[[#This Row],[beginTijd]], "__", Table1[[#This Row],[match]])</f>
        <v>13.00__BBC Wildcats Gavere J16 A-BBC Haantjes Certifisc Oudenaarde J16 B</v>
      </c>
      <c r="N14" t="s">
        <v>72</v>
      </c>
      <c r="O14" t="s">
        <v>103</v>
      </c>
      <c r="P14">
        <v>1757854800000</v>
      </c>
      <c r="Q14" t="s">
        <v>108</v>
      </c>
      <c r="R14" t="s">
        <v>115</v>
      </c>
      <c r="S14" t="s">
        <v>130</v>
      </c>
      <c r="T14" t="s">
        <v>146</v>
      </c>
      <c r="V14" t="s">
        <v>170</v>
      </c>
    </row>
    <row r="15" spans="1:22" hidden="1" x14ac:dyDescent="0.25">
      <c r="A15" t="s">
        <v>31</v>
      </c>
      <c r="B15" t="s">
        <v>47</v>
      </c>
      <c r="C15" t="s">
        <v>63</v>
      </c>
      <c r="D15" s="1">
        <v>45914.614583333343</v>
      </c>
      <c r="E15" t="s">
        <v>181</v>
      </c>
      <c r="F15" t="s">
        <v>72</v>
      </c>
      <c r="G15" t="s">
        <v>90</v>
      </c>
      <c r="H15" t="s">
        <v>185</v>
      </c>
      <c r="I15" t="s">
        <v>160</v>
      </c>
      <c r="J15" t="str">
        <f>_xlfn.CONCAT(Table1[[#This Row],[tTNaam]],"-",Table1[[#This Row],[tUNaam]])</f>
        <v>Haantjes J16 A-Deerlijk-Zwevegem J16 A</v>
      </c>
      <c r="K15" t="str">
        <f>_xlfn.CONCAT(Table1[[#This Row],[beginTijd]], "__", Table1[[#This Row],[match]])</f>
        <v>14.45__Haantjes J16 A-Deerlijk-Zwevegem J16 A</v>
      </c>
      <c r="N15" t="s">
        <v>76</v>
      </c>
      <c r="O15" t="s">
        <v>103</v>
      </c>
      <c r="P15">
        <v>1757861100000</v>
      </c>
      <c r="Q15" t="s">
        <v>104</v>
      </c>
      <c r="R15" t="s">
        <v>111</v>
      </c>
      <c r="S15" t="s">
        <v>131</v>
      </c>
      <c r="T15" t="s">
        <v>147</v>
      </c>
      <c r="V15" t="s">
        <v>168</v>
      </c>
    </row>
    <row r="16" spans="1:22" hidden="1" x14ac:dyDescent="0.25">
      <c r="A16" t="s">
        <v>32</v>
      </c>
      <c r="B16" t="s">
        <v>48</v>
      </c>
      <c r="C16" t="s">
        <v>64</v>
      </c>
      <c r="D16" s="1">
        <v>45914.666666666657</v>
      </c>
      <c r="E16" t="s">
        <v>70</v>
      </c>
      <c r="F16" t="s">
        <v>76</v>
      </c>
      <c r="G16" t="s">
        <v>91</v>
      </c>
      <c r="H16" t="s">
        <v>100</v>
      </c>
      <c r="I16" t="s">
        <v>161</v>
      </c>
      <c r="J16" t="str">
        <f>_xlfn.CONCAT(Table1[[#This Row],[tTNaam]],"-",Table1[[#This Row],[tUNaam]])</f>
        <v>House Of Talents Kortrijk Spurs M14 B-BBC Haantjes Certifisc Oudenaarde M14 A</v>
      </c>
      <c r="K16" t="str">
        <f>_xlfn.CONCAT(Table1[[#This Row],[beginTijd]], "__", Table1[[#This Row],[match]])</f>
        <v>16.00__House Of Talents Kortrijk Spurs M14 B-BBC Haantjes Certifisc Oudenaarde M14 A</v>
      </c>
      <c r="N16" t="s">
        <v>72</v>
      </c>
      <c r="O16" t="s">
        <v>103</v>
      </c>
      <c r="P16">
        <v>1757865600000</v>
      </c>
      <c r="Q16" t="s">
        <v>109</v>
      </c>
      <c r="R16" t="s">
        <v>116</v>
      </c>
      <c r="S16" t="s">
        <v>132</v>
      </c>
      <c r="T16" t="s">
        <v>148</v>
      </c>
      <c r="V16" t="s">
        <v>171</v>
      </c>
    </row>
    <row r="17" spans="1:20" hidden="1" x14ac:dyDescent="0.25">
      <c r="A17" t="s">
        <v>33</v>
      </c>
      <c r="B17" t="s">
        <v>49</v>
      </c>
      <c r="C17" t="s">
        <v>65</v>
      </c>
      <c r="D17" s="1">
        <v>45914.708333333343</v>
      </c>
      <c r="E17" t="s">
        <v>71</v>
      </c>
      <c r="F17" t="s">
        <v>72</v>
      </c>
      <c r="G17" t="s">
        <v>92</v>
      </c>
      <c r="H17" t="s">
        <v>101</v>
      </c>
      <c r="I17" t="s">
        <v>162</v>
      </c>
      <c r="J17" t="str">
        <f>_xlfn.CONCAT(Table1[[#This Row],[tTNaam]],"-",Table1[[#This Row],[tUNaam]])</f>
        <v>BBC Helios SanoRice Zottegem G14 B-BBC Haantjes Certifisc Oudenaarde G14 B</v>
      </c>
      <c r="K17" t="str">
        <f>_xlfn.CONCAT(Table1[[#This Row],[beginTijd]], "__", Table1[[#This Row],[match]])</f>
        <v>17.00__BBC Helios SanoRice Zottegem G14 B-BBC Haantjes Certifisc Oudenaarde G14 B</v>
      </c>
      <c r="N17" t="s">
        <v>72</v>
      </c>
      <c r="O17" t="s">
        <v>103</v>
      </c>
      <c r="P17">
        <v>1757869200000</v>
      </c>
      <c r="Q17" t="s">
        <v>110</v>
      </c>
      <c r="R17" t="s">
        <v>117</v>
      </c>
      <c r="S17" t="s">
        <v>133</v>
      </c>
      <c r="T17" t="s">
        <v>149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Stijn Huysman</cp:lastModifiedBy>
  <dcterms:created xsi:type="dcterms:W3CDTF">2025-09-09T16:57:49Z</dcterms:created>
  <dcterms:modified xsi:type="dcterms:W3CDTF">2025-09-09T17:12:46Z</dcterms:modified>
</cp:coreProperties>
</file>