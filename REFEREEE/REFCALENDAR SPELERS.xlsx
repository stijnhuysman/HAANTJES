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atecocloud-my.sharepoint.com/personal/stijn_huysman_mateco_eu/Documents/matecoBB/HAANTJES/REFEREEE/"/>
    </mc:Choice>
  </mc:AlternateContent>
  <xr:revisionPtr revIDLastSave="135" documentId="8_{9DEDC3FF-B470-4F26-8069-1C33D053651A}" xr6:coauthVersionLast="47" xr6:coauthVersionMax="47" xr10:uidLastSave="{5875E0E9-90E4-4102-93F6-DE5C5DD3C3CD}"/>
  <bookViews>
    <workbookView xWindow="-96" yWindow="0" windowWidth="11712" windowHeight="12336" firstSheet="4" activeTab="7" xr2:uid="{00000000-000D-0000-FFFF-FFFF00000000}"/>
  </bookViews>
  <sheets>
    <sheet name="Worksheet" sheetId="1" r:id="rId1"/>
    <sheet name="Speler-Coach" sheetId="3" r:id="rId2"/>
    <sheet name="Sorted by Team" sheetId="4" r:id="rId3"/>
    <sheet name="Naam-Foto-Ploeg" sheetId="5" r:id="rId4"/>
    <sheet name="Jeugdrefs" sheetId="6" r:id="rId5"/>
    <sheet name="Coach Contact" sheetId="7" r:id="rId6"/>
    <sheet name="Sheet2" sheetId="8" r:id="rId7"/>
    <sheet name="WhatsApp Coaches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9" l="1"/>
  <c r="A2" i="9" a="1"/>
  <c r="AN744" i="1" a="1"/>
  <c r="AN744" i="1" s="1"/>
  <c r="AN743" i="1"/>
  <c r="AN743" i="1" a="1"/>
  <c r="AN742" i="1"/>
  <c r="AN742" i="1" a="1"/>
  <c r="AN741" i="1" a="1"/>
  <c r="AN741" i="1" s="1"/>
  <c r="L741" i="3" s="1"/>
  <c r="AN740" i="1" a="1"/>
  <c r="AN740" i="1" s="1"/>
  <c r="L740" i="3" s="1"/>
  <c r="AN739" i="1" a="1"/>
  <c r="AN739" i="1" s="1"/>
  <c r="L739" i="3" s="1"/>
  <c r="AN738" i="1" a="1"/>
  <c r="AN738" i="1" s="1"/>
  <c r="L738" i="3" s="1"/>
  <c r="AN737" i="1"/>
  <c r="AN737" i="1" a="1"/>
  <c r="AN736" i="1" a="1"/>
  <c r="AN736" i="1" s="1"/>
  <c r="L736" i="3" s="1"/>
  <c r="AN735" i="1"/>
  <c r="AN735" i="1" a="1"/>
  <c r="AN734" i="1" a="1"/>
  <c r="AN734" i="1" s="1"/>
  <c r="AN733" i="1" a="1"/>
  <c r="AN733" i="1" s="1"/>
  <c r="AN732" i="1" a="1"/>
  <c r="AN732" i="1" s="1"/>
  <c r="L732" i="3" s="1"/>
  <c r="AN731" i="1"/>
  <c r="AN731" i="1" a="1"/>
  <c r="AN730" i="1" a="1"/>
  <c r="AN730" i="1" s="1"/>
  <c r="L730" i="3" s="1"/>
  <c r="AN729" i="1" a="1"/>
  <c r="AN729" i="1" s="1"/>
  <c r="AN728" i="1"/>
  <c r="AN728" i="1" a="1"/>
  <c r="AN727" i="1" a="1"/>
  <c r="AN727" i="1" s="1"/>
  <c r="AN726" i="1" a="1"/>
  <c r="AN726" i="1" s="1"/>
  <c r="AN725" i="1"/>
  <c r="AN725" i="1" a="1"/>
  <c r="AN724" i="1" a="1"/>
  <c r="AN724" i="1" s="1"/>
  <c r="L724" i="3" s="1"/>
  <c r="AN723" i="1" a="1"/>
  <c r="AN723" i="1" s="1"/>
  <c r="L723" i="3" s="1"/>
  <c r="AN722" i="1"/>
  <c r="L722" i="3" s="1"/>
  <c r="AN722" i="1" a="1"/>
  <c r="AN721" i="1" a="1"/>
  <c r="AN721" i="1" s="1"/>
  <c r="L721" i="3" s="1"/>
  <c r="AN720" i="1" a="1"/>
  <c r="AN720" i="1" s="1"/>
  <c r="AN719" i="1"/>
  <c r="AN719" i="1" a="1"/>
  <c r="AN718" i="1"/>
  <c r="L718" i="3" s="1"/>
  <c r="AN718" i="1" a="1"/>
  <c r="AN717" i="1"/>
  <c r="AN717" i="1" a="1"/>
  <c r="AN716" i="1"/>
  <c r="AN716" i="1" a="1"/>
  <c r="AN715" i="1" a="1"/>
  <c r="AN715" i="1" s="1"/>
  <c r="AN714" i="1" a="1"/>
  <c r="AN714" i="1" s="1"/>
  <c r="L714" i="3" s="1"/>
  <c r="AN713" i="1" a="1"/>
  <c r="AN713" i="1" s="1"/>
  <c r="AN712" i="1"/>
  <c r="AN712" i="1" a="1"/>
  <c r="AN711" i="1" a="1"/>
  <c r="AN711" i="1" s="1"/>
  <c r="AN710" i="1" a="1"/>
  <c r="AN710" i="1" s="1"/>
  <c r="L710" i="3" s="1"/>
  <c r="AN709" i="1" a="1"/>
  <c r="AN709" i="1" s="1"/>
  <c r="L709" i="3" s="1"/>
  <c r="AN708" i="1" a="1"/>
  <c r="AN708" i="1" s="1"/>
  <c r="AN707" i="1"/>
  <c r="AN707" i="1" a="1"/>
  <c r="AN706" i="1" a="1"/>
  <c r="AN706" i="1" s="1"/>
  <c r="AN705" i="1"/>
  <c r="AN705" i="1" a="1"/>
  <c r="AN704" i="1"/>
  <c r="AN704" i="1" a="1"/>
  <c r="AN703" i="1"/>
  <c r="AN703" i="1" a="1"/>
  <c r="AN702" i="1" a="1"/>
  <c r="AN702" i="1" s="1"/>
  <c r="L702" i="3" s="1"/>
  <c r="AN701" i="1"/>
  <c r="AN701" i="1" a="1"/>
  <c r="AN700" i="1"/>
  <c r="AN700" i="1" a="1"/>
  <c r="AN699" i="1" a="1"/>
  <c r="AN699" i="1" s="1"/>
  <c r="AN698" i="1" a="1"/>
  <c r="AN698" i="1" s="1"/>
  <c r="AN697" i="1"/>
  <c r="AN697" i="1" a="1"/>
  <c r="AN696" i="1" a="1"/>
  <c r="AN696" i="1" s="1"/>
  <c r="L696" i="3" s="1"/>
  <c r="AN695" i="1" a="1"/>
  <c r="AN695" i="1" s="1"/>
  <c r="L695" i="3" s="1"/>
  <c r="AN694" i="1" a="1"/>
  <c r="AN694" i="1" s="1"/>
  <c r="L694" i="3" s="1"/>
  <c r="AN693" i="1" a="1"/>
  <c r="AN693" i="1" s="1"/>
  <c r="L693" i="3" s="1"/>
  <c r="AN692" i="1" a="1"/>
  <c r="AN692" i="1" s="1"/>
  <c r="AN691" i="1" a="1"/>
  <c r="AN691" i="1" s="1"/>
  <c r="AN690" i="1"/>
  <c r="AN690" i="1" a="1"/>
  <c r="AN689" i="1"/>
  <c r="AN689" i="1" a="1"/>
  <c r="AN688" i="1" a="1"/>
  <c r="AN688" i="1" s="1"/>
  <c r="L688" i="3" s="1"/>
  <c r="AN687" i="1" a="1"/>
  <c r="AN687" i="1" s="1"/>
  <c r="L687" i="3" s="1"/>
  <c r="AN686" i="1"/>
  <c r="AN686" i="1" a="1"/>
  <c r="AN685" i="1" a="1"/>
  <c r="AN685" i="1" s="1"/>
  <c r="AN684" i="1"/>
  <c r="L684" i="3" s="1"/>
  <c r="AN684" i="1" a="1"/>
  <c r="AN683" i="1"/>
  <c r="AN683" i="1" a="1"/>
  <c r="AN682" i="1" a="1"/>
  <c r="AN682" i="1" s="1"/>
  <c r="L682" i="3" s="1"/>
  <c r="AN681" i="1" a="1"/>
  <c r="AN681" i="1" s="1"/>
  <c r="AN680" i="1" a="1"/>
  <c r="AN680" i="1" s="1"/>
  <c r="L680" i="3" s="1"/>
  <c r="AN679" i="1"/>
  <c r="L679" i="3" s="1"/>
  <c r="AN679" i="1" a="1"/>
  <c r="AN678" i="1" a="1"/>
  <c r="AN678" i="1" s="1"/>
  <c r="AN677" i="1"/>
  <c r="L677" i="3" s="1"/>
  <c r="AN677" i="1" a="1"/>
  <c r="AN676" i="1" a="1"/>
  <c r="AN676" i="1" s="1"/>
  <c r="L676" i="3" s="1"/>
  <c r="AN675" i="1"/>
  <c r="AN675" i="1" a="1"/>
  <c r="AN674" i="1"/>
  <c r="AN674" i="1" a="1"/>
  <c r="AN673" i="1" a="1"/>
  <c r="AN673" i="1" s="1"/>
  <c r="AN672" i="1" a="1"/>
  <c r="AN672" i="1" s="1"/>
  <c r="L672" i="3" s="1"/>
  <c r="AN671" i="1" a="1"/>
  <c r="AN671" i="1" s="1"/>
  <c r="AN670" i="1" a="1"/>
  <c r="AN670" i="1" s="1"/>
  <c r="AN669" i="1"/>
  <c r="L669" i="3" s="1"/>
  <c r="AN669" i="1" a="1"/>
  <c r="AN668" i="1" a="1"/>
  <c r="AN668" i="1" s="1"/>
  <c r="L668" i="3" s="1"/>
  <c r="AN667" i="1" a="1"/>
  <c r="AN667" i="1" s="1"/>
  <c r="AN666" i="1" a="1"/>
  <c r="AN666" i="1" s="1"/>
  <c r="AN665" i="1" a="1"/>
  <c r="AN665" i="1" s="1"/>
  <c r="L665" i="3" s="1"/>
  <c r="AN664" i="1" a="1"/>
  <c r="AN664" i="1" s="1"/>
  <c r="AN663" i="1"/>
  <c r="AN663" i="1" a="1"/>
  <c r="AN662" i="1" a="1"/>
  <c r="AN662" i="1" s="1"/>
  <c r="L662" i="3" s="1"/>
  <c r="AN661" i="1" a="1"/>
  <c r="AN661" i="1" s="1"/>
  <c r="L661" i="3" s="1"/>
  <c r="AN660" i="1"/>
  <c r="AN660" i="1" a="1"/>
  <c r="AN659" i="1"/>
  <c r="AN659" i="1" a="1"/>
  <c r="AN658" i="1" a="1"/>
  <c r="AN658" i="1" s="1"/>
  <c r="AN657" i="1" a="1"/>
  <c r="AN657" i="1" s="1"/>
  <c r="AN656" i="1" a="1"/>
  <c r="AN656" i="1" s="1"/>
  <c r="AN655" i="1" a="1"/>
  <c r="AN655" i="1" s="1"/>
  <c r="AN654" i="1"/>
  <c r="L654" i="3" s="1"/>
  <c r="AN654" i="1" a="1"/>
  <c r="AN653" i="1"/>
  <c r="AN653" i="1" a="1"/>
  <c r="AN652" i="1" a="1"/>
  <c r="AN652" i="1" s="1"/>
  <c r="AN651" i="1" a="1"/>
  <c r="AN651" i="1" s="1"/>
  <c r="AN650" i="1" a="1"/>
  <c r="AN650" i="1" s="1"/>
  <c r="L650" i="3" s="1"/>
  <c r="AN649" i="1" a="1"/>
  <c r="AN649" i="1" s="1"/>
  <c r="L649" i="3" s="1"/>
  <c r="AN648" i="1"/>
  <c r="L648" i="3" s="1"/>
  <c r="AN648" i="1" a="1"/>
  <c r="AN647" i="1" a="1"/>
  <c r="AN647" i="1" s="1"/>
  <c r="L647" i="3" s="1"/>
  <c r="AN646" i="1" a="1"/>
  <c r="AN646" i="1" s="1"/>
  <c r="AN645" i="1"/>
  <c r="AN645" i="1" a="1"/>
  <c r="AN644" i="1"/>
  <c r="AN644" i="1" a="1"/>
  <c r="AN643" i="1" a="1"/>
  <c r="AN643" i="1" s="1"/>
  <c r="AN642" i="1" a="1"/>
  <c r="AN642" i="1" s="1"/>
  <c r="L642" i="3" s="1"/>
  <c r="AN641" i="1" a="1"/>
  <c r="AN641" i="1" s="1"/>
  <c r="AN640" i="1" a="1"/>
  <c r="AN640" i="1" s="1"/>
  <c r="L640" i="3" s="1"/>
  <c r="AN639" i="1"/>
  <c r="AN639" i="1" a="1"/>
  <c r="AN638" i="1" a="1"/>
  <c r="AN638" i="1" s="1"/>
  <c r="AN637" i="1" a="1"/>
  <c r="AN637" i="1" s="1"/>
  <c r="AN636" i="1" a="1"/>
  <c r="AN636" i="1" s="1"/>
  <c r="AN635" i="1" a="1"/>
  <c r="AN635" i="1" s="1"/>
  <c r="L635" i="3" s="1"/>
  <c r="AN634" i="1"/>
  <c r="L634" i="3" s="1"/>
  <c r="AN634" i="1" a="1"/>
  <c r="AN633" i="1"/>
  <c r="L633" i="3" s="1"/>
  <c r="AN633" i="1" a="1"/>
  <c r="AN632" i="1" a="1"/>
  <c r="AN632" i="1" s="1"/>
  <c r="L632" i="3" s="1"/>
  <c r="AN631" i="1" a="1"/>
  <c r="AN631" i="1" s="1"/>
  <c r="L631" i="3" s="1"/>
  <c r="AN630" i="1"/>
  <c r="AN630" i="1" a="1"/>
  <c r="AN629" i="1" a="1"/>
  <c r="AN629" i="1" s="1"/>
  <c r="AN628" i="1" a="1"/>
  <c r="AN628" i="1" s="1"/>
  <c r="AN627" i="1" a="1"/>
  <c r="AN627" i="1" s="1"/>
  <c r="L627" i="3" s="1"/>
  <c r="AN626" i="1" a="1"/>
  <c r="AN626" i="1" s="1"/>
  <c r="L626" i="3" s="1"/>
  <c r="AN625" i="1" a="1"/>
  <c r="AN625" i="1" s="1"/>
  <c r="AN624" i="1"/>
  <c r="AN624" i="1" a="1"/>
  <c r="AN623" i="1"/>
  <c r="AN623" i="1" a="1"/>
  <c r="AN622" i="1" a="1"/>
  <c r="AN622" i="1" s="1"/>
  <c r="AN621" i="1"/>
  <c r="AN621" i="1" a="1"/>
  <c r="AN620" i="1"/>
  <c r="AN620" i="1" a="1"/>
  <c r="AN619" i="1" a="1"/>
  <c r="AN619" i="1" s="1"/>
  <c r="L619" i="3" s="1"/>
  <c r="AN618" i="1"/>
  <c r="L618" i="3" s="1"/>
  <c r="AN618" i="1" a="1"/>
  <c r="AN617" i="1" a="1"/>
  <c r="AN617" i="1" s="1"/>
  <c r="L617" i="3" s="1"/>
  <c r="AN616" i="1" a="1"/>
  <c r="AN616" i="1" s="1"/>
  <c r="L616" i="3" s="1"/>
  <c r="AN615" i="1" a="1"/>
  <c r="AN615" i="1" s="1"/>
  <c r="AN614" i="1" a="1"/>
  <c r="AN614" i="1" s="1"/>
  <c r="AN613" i="1" a="1"/>
  <c r="AN613" i="1" s="1"/>
  <c r="AN612" i="1" a="1"/>
  <c r="AN612" i="1" s="1"/>
  <c r="L612" i="3" s="1"/>
  <c r="AN611" i="1"/>
  <c r="AN611" i="1" a="1"/>
  <c r="AN610" i="1" a="1"/>
  <c r="AN610" i="1" s="1"/>
  <c r="AN609" i="1"/>
  <c r="AN609" i="1" a="1"/>
  <c r="AN608" i="1" a="1"/>
  <c r="AN608" i="1" s="1"/>
  <c r="AN607" i="1"/>
  <c r="AN607" i="1" a="1"/>
  <c r="AN606" i="1"/>
  <c r="AN606" i="1" a="1"/>
  <c r="AN605" i="1" a="1"/>
  <c r="AN605" i="1" s="1"/>
  <c r="L605" i="3" s="1"/>
  <c r="AN604" i="1" a="1"/>
  <c r="AN604" i="1" s="1"/>
  <c r="L604" i="3" s="1"/>
  <c r="AN603" i="1"/>
  <c r="AN603" i="1" a="1"/>
  <c r="AN602" i="1" a="1"/>
  <c r="AN602" i="1" s="1"/>
  <c r="L602" i="3" s="1"/>
  <c r="AN601" i="1" a="1"/>
  <c r="AN601" i="1" s="1"/>
  <c r="AN600" i="1"/>
  <c r="AN600" i="1" a="1"/>
  <c r="AN599" i="1"/>
  <c r="AN599" i="1" a="1"/>
  <c r="AN598" i="1" a="1"/>
  <c r="AN598" i="1" s="1"/>
  <c r="L598" i="3" s="1"/>
  <c r="AN597" i="1" a="1"/>
  <c r="AN597" i="1" s="1"/>
  <c r="L597" i="3" s="1"/>
  <c r="AN596" i="1" a="1"/>
  <c r="AN596" i="1" s="1"/>
  <c r="L596" i="3" s="1"/>
  <c r="AN595" i="1" a="1"/>
  <c r="AN595" i="1" s="1"/>
  <c r="AN594" i="1" a="1"/>
  <c r="AN594" i="1" s="1"/>
  <c r="AN593" i="1" a="1"/>
  <c r="AN593" i="1" s="1"/>
  <c r="AN592" i="1"/>
  <c r="AN592" i="1" a="1"/>
  <c r="AN591" i="1"/>
  <c r="AN591" i="1" a="1"/>
  <c r="AN590" i="1" a="1"/>
  <c r="AN590" i="1" s="1"/>
  <c r="L590" i="3" s="1"/>
  <c r="AN589" i="1" a="1"/>
  <c r="AN589" i="1" s="1"/>
  <c r="L589" i="3" s="1"/>
  <c r="AN588" i="1"/>
  <c r="L588" i="3" s="1"/>
  <c r="AN588" i="1" a="1"/>
  <c r="AN587" i="1" a="1"/>
  <c r="AN587" i="1" s="1"/>
  <c r="AN586" i="1"/>
  <c r="AN586" i="1" a="1"/>
  <c r="AN585" i="1"/>
  <c r="AN585" i="1" a="1"/>
  <c r="AN584" i="1"/>
  <c r="AN584" i="1" a="1"/>
  <c r="AN583" i="1" a="1"/>
  <c r="AN583" i="1" s="1"/>
  <c r="AN582" i="1" a="1"/>
  <c r="AN582" i="1" s="1"/>
  <c r="L582" i="3" s="1"/>
  <c r="AN581" i="1" a="1"/>
  <c r="AN581" i="1" s="1"/>
  <c r="AN580" i="1" a="1"/>
  <c r="AN580" i="1" s="1"/>
  <c r="AN579" i="1" a="1"/>
  <c r="AN579" i="1" s="1"/>
  <c r="L579" i="3" s="1"/>
  <c r="AN578" i="1" a="1"/>
  <c r="AN578" i="1" s="1"/>
  <c r="AN577" i="1"/>
  <c r="AN577" i="1" a="1"/>
  <c r="AN576" i="1"/>
  <c r="AN576" i="1" a="1"/>
  <c r="AN575" i="1"/>
  <c r="L575" i="3" s="1"/>
  <c r="AN575" i="1" a="1"/>
  <c r="AN574" i="1" a="1"/>
  <c r="AN574" i="1" s="1"/>
  <c r="L574" i="3" s="1"/>
  <c r="AN573" i="1" a="1"/>
  <c r="AN573" i="1" s="1"/>
  <c r="AN572" i="1" a="1"/>
  <c r="AN572" i="1" s="1"/>
  <c r="L572" i="3" s="1"/>
  <c r="AN571" i="1"/>
  <c r="AN571" i="1" a="1"/>
  <c r="AN570" i="1" a="1"/>
  <c r="AN570" i="1" s="1"/>
  <c r="L570" i="3" s="1"/>
  <c r="AN569" i="1"/>
  <c r="AN569" i="1" a="1"/>
  <c r="AN568" i="1" a="1"/>
  <c r="AN568" i="1" s="1"/>
  <c r="AN567" i="1" a="1"/>
  <c r="AN567" i="1" s="1"/>
  <c r="L567" i="3" s="1"/>
  <c r="AN566" i="1" a="1"/>
  <c r="AN566" i="1" s="1"/>
  <c r="AN565" i="1"/>
  <c r="AN565" i="1" a="1"/>
  <c r="AN564" i="1" a="1"/>
  <c r="AN564" i="1" s="1"/>
  <c r="L564" i="3" s="1"/>
  <c r="AN563" i="1" a="1"/>
  <c r="AN563" i="1" s="1"/>
  <c r="AN562" i="1"/>
  <c r="AN562" i="1" a="1"/>
  <c r="AN561" i="1"/>
  <c r="AN561" i="1" a="1"/>
  <c r="AN560" i="1" a="1"/>
  <c r="AN560" i="1" s="1"/>
  <c r="L560" i="3" s="1"/>
  <c r="AN559" i="1" a="1"/>
  <c r="AN559" i="1" s="1"/>
  <c r="L559" i="3" s="1"/>
  <c r="AN558" i="1"/>
  <c r="L558" i="3" s="1"/>
  <c r="AN558" i="1" a="1"/>
  <c r="AN557" i="1" a="1"/>
  <c r="AN557" i="1" s="1"/>
  <c r="L557" i="3" s="1"/>
  <c r="AN556" i="1"/>
  <c r="L556" i="3" s="1"/>
  <c r="AN556" i="1" a="1"/>
  <c r="AN555" i="1"/>
  <c r="AN555" i="1" a="1"/>
  <c r="AN554" i="1"/>
  <c r="AN554" i="1" a="1"/>
  <c r="AN553" i="1" a="1"/>
  <c r="AN553" i="1" s="1"/>
  <c r="AN552" i="1" a="1"/>
  <c r="AN552" i="1" s="1"/>
  <c r="AN551" i="1" a="1"/>
  <c r="AN551" i="1" s="1"/>
  <c r="AN550" i="1"/>
  <c r="AN550" i="1" a="1"/>
  <c r="AN549" i="1" a="1"/>
  <c r="AN549" i="1" s="1"/>
  <c r="L549" i="3" s="1"/>
  <c r="AN548" i="1" a="1"/>
  <c r="AN548" i="1" s="1"/>
  <c r="AN547" i="1"/>
  <c r="AN547" i="1" a="1"/>
  <c r="AN546" i="1"/>
  <c r="AN546" i="1" a="1"/>
  <c r="AN545" i="1" a="1"/>
  <c r="AN545" i="1" s="1"/>
  <c r="AN544" i="1"/>
  <c r="AN544" i="1" a="1"/>
  <c r="AN543" i="1" a="1"/>
  <c r="AN543" i="1" s="1"/>
  <c r="L543" i="3" s="1"/>
  <c r="AN542" i="1" a="1"/>
  <c r="AN542" i="1" s="1"/>
  <c r="L542" i="3" s="1"/>
  <c r="AN541" i="1"/>
  <c r="L541" i="3" s="1"/>
  <c r="AN541" i="1" a="1"/>
  <c r="AN540" i="1" a="1"/>
  <c r="AN540" i="1" s="1"/>
  <c r="AN539" i="1"/>
  <c r="AN539" i="1" a="1"/>
  <c r="AN538" i="1" a="1"/>
  <c r="AN538" i="1" s="1"/>
  <c r="AN537" i="1" a="1"/>
  <c r="AN537" i="1" s="1"/>
  <c r="L537" i="3" s="1"/>
  <c r="AN536" i="1"/>
  <c r="AN536" i="1" a="1"/>
  <c r="AN535" i="1"/>
  <c r="AN535" i="1" a="1"/>
  <c r="AN534" i="1" a="1"/>
  <c r="AN534" i="1" s="1"/>
  <c r="L534" i="3" s="1"/>
  <c r="AN533" i="1" a="1"/>
  <c r="AN533" i="1" s="1"/>
  <c r="AN532" i="1"/>
  <c r="AN532" i="1" a="1"/>
  <c r="AN531" i="1" a="1"/>
  <c r="AN531" i="1" s="1"/>
  <c r="AN530" i="1" a="1"/>
  <c r="AN530" i="1" s="1"/>
  <c r="L530" i="3" s="1"/>
  <c r="AN529" i="1"/>
  <c r="L529" i="3" s="1"/>
  <c r="AN529" i="1" a="1"/>
  <c r="AN528" i="1"/>
  <c r="L528" i="3" s="1"/>
  <c r="AN528" i="1" a="1"/>
  <c r="AN527" i="1" a="1"/>
  <c r="AN527" i="1" s="1"/>
  <c r="AN526" i="1"/>
  <c r="AN526" i="1" a="1"/>
  <c r="AN525" i="1" a="1"/>
  <c r="AN525" i="1" s="1"/>
  <c r="L525" i="3" s="1"/>
  <c r="AN524" i="1" a="1"/>
  <c r="AN524" i="1" s="1"/>
  <c r="AN523" i="1"/>
  <c r="AN523" i="1" a="1"/>
  <c r="AN522" i="1" a="1"/>
  <c r="AN522" i="1" s="1"/>
  <c r="L522" i="3" s="1"/>
  <c r="AN521" i="1"/>
  <c r="L521" i="3" s="1"/>
  <c r="AN521" i="1" a="1"/>
  <c r="AN520" i="1"/>
  <c r="AN520" i="1" a="1"/>
  <c r="AN519" i="1" a="1"/>
  <c r="AN519" i="1" s="1"/>
  <c r="L519" i="3" s="1"/>
  <c r="AN518" i="1" a="1"/>
  <c r="AN518" i="1" s="1"/>
  <c r="AN517" i="1" a="1"/>
  <c r="AN517" i="1" s="1"/>
  <c r="AN516" i="1" a="1"/>
  <c r="AN516" i="1" s="1"/>
  <c r="L516" i="3" s="1"/>
  <c r="AN515" i="1" a="1"/>
  <c r="AN515" i="1" s="1"/>
  <c r="AN514" i="1" a="1"/>
  <c r="AN514" i="1" s="1"/>
  <c r="L514" i="3" s="1"/>
  <c r="AN513" i="1" a="1"/>
  <c r="AN513" i="1" s="1"/>
  <c r="L513" i="3" s="1"/>
  <c r="AN512" i="1" a="1"/>
  <c r="AN512" i="1" s="1"/>
  <c r="L512" i="3" s="1"/>
  <c r="AN511" i="1"/>
  <c r="AN511" i="1" a="1"/>
  <c r="AN510" i="1" a="1"/>
  <c r="AN510" i="1" s="1"/>
  <c r="AN509" i="1"/>
  <c r="AN509" i="1" a="1"/>
  <c r="AN508" i="1"/>
  <c r="AN508" i="1" a="1"/>
  <c r="AN507" i="1"/>
  <c r="L507" i="3" s="1"/>
  <c r="AN507" i="1" a="1"/>
  <c r="AN506" i="1" a="1"/>
  <c r="AN506" i="1" s="1"/>
  <c r="AN505" i="1"/>
  <c r="AN505" i="1" a="1"/>
  <c r="AN504" i="1"/>
  <c r="L504" i="3" s="1"/>
  <c r="AN504" i="1" a="1"/>
  <c r="AN503" i="1" a="1"/>
  <c r="AN503" i="1" s="1"/>
  <c r="AN502" i="1"/>
  <c r="AN502" i="1" a="1"/>
  <c r="AN501" i="1"/>
  <c r="AN501" i="1" a="1"/>
  <c r="AN500" i="1" a="1"/>
  <c r="AN500" i="1" s="1"/>
  <c r="L500" i="3" s="1"/>
  <c r="AN499" i="1"/>
  <c r="L499" i="3" s="1"/>
  <c r="AN499" i="1" a="1"/>
  <c r="AN498" i="1" a="1"/>
  <c r="AN498" i="1" s="1"/>
  <c r="L498" i="3" s="1"/>
  <c r="AN497" i="1" a="1"/>
  <c r="AN497" i="1" s="1"/>
  <c r="L497" i="3" s="1"/>
  <c r="AN496" i="1" a="1"/>
  <c r="AN496" i="1" s="1"/>
  <c r="L496" i="3" s="1"/>
  <c r="AN495" i="1" a="1"/>
  <c r="AN495" i="1" s="1"/>
  <c r="AN494" i="1"/>
  <c r="AN494" i="1" a="1"/>
  <c r="AN493" i="1"/>
  <c r="AN493" i="1" a="1"/>
  <c r="AN492" i="1" a="1"/>
  <c r="AN492" i="1" s="1"/>
  <c r="L492" i="3" s="1"/>
  <c r="AN491" i="1"/>
  <c r="AN491" i="1" a="1"/>
  <c r="AN490" i="1" a="1"/>
  <c r="AN490" i="1" s="1"/>
  <c r="L490" i="3" s="1"/>
  <c r="AN489" i="1" a="1"/>
  <c r="AN489" i="1" s="1"/>
  <c r="AN488" i="1" a="1"/>
  <c r="AN488" i="1" s="1"/>
  <c r="L488" i="3" s="1"/>
  <c r="AN487" i="1" a="1"/>
  <c r="AN487" i="1" s="1"/>
  <c r="L487" i="3" s="1"/>
  <c r="AN486" i="1" a="1"/>
  <c r="AN486" i="1" s="1"/>
  <c r="L486" i="3" s="1"/>
  <c r="AN485" i="1" a="1"/>
  <c r="AN485" i="1" s="1"/>
  <c r="AN484" i="1" a="1"/>
  <c r="AN484" i="1" s="1"/>
  <c r="L484" i="3" s="1"/>
  <c r="AN483" i="1" a="1"/>
  <c r="AN483" i="1" s="1"/>
  <c r="L483" i="3" s="1"/>
  <c r="AN482" i="1" a="1"/>
  <c r="AN482" i="1" s="1"/>
  <c r="AN481" i="1" a="1"/>
  <c r="AN481" i="1" s="1"/>
  <c r="L481" i="3" s="1"/>
  <c r="AN480" i="1" a="1"/>
  <c r="AN480" i="1" s="1"/>
  <c r="AN479" i="1"/>
  <c r="AN479" i="1" a="1"/>
  <c r="AN478" i="1"/>
  <c r="AN478" i="1" a="1"/>
  <c r="AN477" i="1" a="1"/>
  <c r="AN477" i="1" s="1"/>
  <c r="L477" i="3" s="1"/>
  <c r="AN476" i="1" a="1"/>
  <c r="AN476" i="1" s="1"/>
  <c r="L476" i="3" s="1"/>
  <c r="AN475" i="1" a="1"/>
  <c r="AN475" i="1" s="1"/>
  <c r="L475" i="3" s="1"/>
  <c r="AN474" i="1" a="1"/>
  <c r="AN474" i="1" s="1"/>
  <c r="L474" i="3" s="1"/>
  <c r="AN473" i="1"/>
  <c r="AN473" i="1" a="1"/>
  <c r="AN472" i="1" a="1"/>
  <c r="AN472" i="1" s="1"/>
  <c r="L472" i="3" s="1"/>
  <c r="AN471" i="1"/>
  <c r="AN471" i="1" a="1"/>
  <c r="AN470" i="1" a="1"/>
  <c r="AN470" i="1" s="1"/>
  <c r="AN469" i="1" a="1"/>
  <c r="AN469" i="1" s="1"/>
  <c r="L469" i="3" s="1"/>
  <c r="AN468" i="1" a="1"/>
  <c r="AN468" i="1" s="1"/>
  <c r="L468" i="3" s="1"/>
  <c r="AN467" i="1" a="1"/>
  <c r="AN467" i="1" s="1"/>
  <c r="L467" i="3" s="1"/>
  <c r="AN466" i="1" a="1"/>
  <c r="AN466" i="1" s="1"/>
  <c r="L466" i="3" s="1"/>
  <c r="AN465" i="1"/>
  <c r="AN465" i="1" a="1"/>
  <c r="AN464" i="1"/>
  <c r="L464" i="3" s="1"/>
  <c r="AN464" i="1" a="1"/>
  <c r="AN463" i="1"/>
  <c r="AN463" i="1" a="1"/>
  <c r="AN462" i="1"/>
  <c r="AN462" i="1" a="1"/>
  <c r="AN461" i="1" a="1"/>
  <c r="AN461" i="1" s="1"/>
  <c r="AN460" i="1" a="1"/>
  <c r="AN460" i="1" s="1"/>
  <c r="L460" i="3" s="1"/>
  <c r="AN459" i="1"/>
  <c r="L459" i="3" s="1"/>
  <c r="AN459" i="1" a="1"/>
  <c r="AN458" i="1" a="1"/>
  <c r="AN458" i="1" s="1"/>
  <c r="L458" i="3" s="1"/>
  <c r="AN457" i="1" a="1"/>
  <c r="AN457" i="1" s="1"/>
  <c r="AN456" i="1"/>
  <c r="AN456" i="1" a="1"/>
  <c r="AN455" i="1" a="1"/>
  <c r="AN455" i="1" s="1"/>
  <c r="AN454" i="1" a="1"/>
  <c r="AN454" i="1" s="1"/>
  <c r="AN453" i="1" a="1"/>
  <c r="AN453" i="1" s="1"/>
  <c r="L453" i="3" s="1"/>
  <c r="AN452" i="1" a="1"/>
  <c r="AN452" i="1" s="1"/>
  <c r="L452" i="3" s="1"/>
  <c r="AN451" i="1"/>
  <c r="L451" i="3" s="1"/>
  <c r="AN451" i="1" a="1"/>
  <c r="AN450" i="1" a="1"/>
  <c r="AN450" i="1" s="1"/>
  <c r="L450" i="3" s="1"/>
  <c r="AN449" i="1" a="1"/>
  <c r="AN449" i="1" s="1"/>
  <c r="AN448" i="1"/>
  <c r="AN448" i="1" a="1"/>
  <c r="AN447" i="1" a="1"/>
  <c r="AN447" i="1" s="1"/>
  <c r="AN446" i="1"/>
  <c r="AN446" i="1" a="1"/>
  <c r="AN445" i="1" a="1"/>
  <c r="AN445" i="1" s="1"/>
  <c r="AN444" i="1" a="1"/>
  <c r="AN444" i="1" s="1"/>
  <c r="L444" i="3" s="1"/>
  <c r="AN443" i="1" a="1"/>
  <c r="AN443" i="1" s="1"/>
  <c r="L443" i="3" s="1"/>
  <c r="AN442" i="1"/>
  <c r="L442" i="3" s="1"/>
  <c r="AN442" i="1" a="1"/>
  <c r="AN441" i="1" a="1"/>
  <c r="AN441" i="1" s="1"/>
  <c r="L441" i="3" s="1"/>
  <c r="AN440" i="1" a="1"/>
  <c r="AN440" i="1" s="1"/>
  <c r="AN439" i="1" a="1"/>
  <c r="AN439" i="1" s="1"/>
  <c r="L439" i="3" s="1"/>
  <c r="AN438" i="1" a="1"/>
  <c r="AN438" i="1" s="1"/>
  <c r="L438" i="3" s="1"/>
  <c r="AN437" i="1" a="1"/>
  <c r="AN437" i="1" s="1"/>
  <c r="L437" i="3" s="1"/>
  <c r="AN436" i="1"/>
  <c r="L436" i="3" s="1"/>
  <c r="AN436" i="1" a="1"/>
  <c r="AN435" i="1" a="1"/>
  <c r="AN435" i="1" s="1"/>
  <c r="L435" i="3" s="1"/>
  <c r="AN434" i="1" a="1"/>
  <c r="AN434" i="1" s="1"/>
  <c r="AN433" i="1" a="1"/>
  <c r="AN433" i="1" s="1"/>
  <c r="AN432" i="1" a="1"/>
  <c r="AN432" i="1" s="1"/>
  <c r="AN431" i="1" a="1"/>
  <c r="AN431" i="1" s="1"/>
  <c r="L431" i="3" s="1"/>
  <c r="AN430" i="1" a="1"/>
  <c r="AN430" i="1" s="1"/>
  <c r="L430" i="3" s="1"/>
  <c r="AN429" i="1" a="1"/>
  <c r="AN429" i="1" s="1"/>
  <c r="L429" i="3" s="1"/>
  <c r="AN428" i="1"/>
  <c r="L428" i="3" s="1"/>
  <c r="AN428" i="1" a="1"/>
  <c r="AN427" i="1" a="1"/>
  <c r="AN427" i="1" s="1"/>
  <c r="L427" i="3" s="1"/>
  <c r="AN426" i="1" a="1"/>
  <c r="AN426" i="1" s="1"/>
  <c r="AN425" i="1"/>
  <c r="L425" i="3" s="1"/>
  <c r="AN425" i="1" a="1"/>
  <c r="AN424" i="1" a="1"/>
  <c r="AN424" i="1" s="1"/>
  <c r="L424" i="3" s="1"/>
  <c r="AN423" i="1"/>
  <c r="AN423" i="1" a="1"/>
  <c r="AN422" i="1" a="1"/>
  <c r="AN422" i="1" s="1"/>
  <c r="L422" i="3" s="1"/>
  <c r="AN421" i="1" a="1"/>
  <c r="AN421" i="1" s="1"/>
  <c r="L421" i="3" s="1"/>
  <c r="AN420" i="1" a="1"/>
  <c r="AN420" i="1" s="1"/>
  <c r="L420" i="3" s="1"/>
  <c r="AN419" i="1" a="1"/>
  <c r="AN419" i="1" s="1"/>
  <c r="AN418" i="1" a="1"/>
  <c r="AN418" i="1" s="1"/>
  <c r="AN417" i="1" a="1"/>
  <c r="AN417" i="1" s="1"/>
  <c r="L417" i="3" s="1"/>
  <c r="AN416" i="1" a="1"/>
  <c r="AN416" i="1" s="1"/>
  <c r="L416" i="3" s="1"/>
  <c r="AN415" i="1"/>
  <c r="AN415" i="1" a="1"/>
  <c r="AN414" i="1" a="1"/>
  <c r="AN414" i="1" s="1"/>
  <c r="AN413" i="1" a="1"/>
  <c r="AN413" i="1" s="1"/>
  <c r="L413" i="3" s="1"/>
  <c r="AN412" i="1" a="1"/>
  <c r="AN412" i="1" s="1"/>
  <c r="AN411" i="1" a="1"/>
  <c r="AN411" i="1" s="1"/>
  <c r="L411" i="3" s="1"/>
  <c r="AN410" i="1"/>
  <c r="AN410" i="1" a="1"/>
  <c r="AN409" i="1"/>
  <c r="L409" i="3" s="1"/>
  <c r="AN409" i="1" a="1"/>
  <c r="AN408" i="1" a="1"/>
  <c r="AN408" i="1" s="1"/>
  <c r="L408" i="3" s="1"/>
  <c r="AN407" i="1" a="1"/>
  <c r="AN407" i="1" s="1"/>
  <c r="L407" i="3" s="1"/>
  <c r="AN406" i="1" a="1"/>
  <c r="AN406" i="1" s="1"/>
  <c r="L406" i="3" s="1"/>
  <c r="AN405" i="1" a="1"/>
  <c r="AN405" i="1" s="1"/>
  <c r="AN404" i="1" a="1"/>
  <c r="AN404" i="1" s="1"/>
  <c r="AN403" i="1"/>
  <c r="AN403" i="1" a="1"/>
  <c r="AN402" i="1" a="1"/>
  <c r="AN402" i="1" s="1"/>
  <c r="L402" i="3" s="1"/>
  <c r="AN401" i="1"/>
  <c r="L401" i="3" s="1"/>
  <c r="AN401" i="1" a="1"/>
  <c r="AN400" i="1" a="1"/>
  <c r="AN400" i="1" s="1"/>
  <c r="L400" i="3" s="1"/>
  <c r="AN399" i="1" a="1"/>
  <c r="AN399" i="1" s="1"/>
  <c r="L399" i="3" s="1"/>
  <c r="AN398" i="1" a="1"/>
  <c r="AN398" i="1" s="1"/>
  <c r="L398" i="3" s="1"/>
  <c r="AN397" i="1" a="1"/>
  <c r="AN397" i="1" s="1"/>
  <c r="L397" i="3" s="1"/>
  <c r="AN396" i="1" a="1"/>
  <c r="AN396" i="1" s="1"/>
  <c r="AN395" i="1"/>
  <c r="L395" i="3" s="1"/>
  <c r="AN395" i="1" a="1"/>
  <c r="AN394" i="1" a="1"/>
  <c r="AN394" i="1" s="1"/>
  <c r="L394" i="3" s="1"/>
  <c r="AN393" i="1" a="1"/>
  <c r="AN393" i="1" s="1"/>
  <c r="L393" i="3" s="1"/>
  <c r="AN392" i="1"/>
  <c r="AN392" i="1" a="1"/>
  <c r="AN391" i="1" a="1"/>
  <c r="AN391" i="1" s="1"/>
  <c r="AN390" i="1" a="1"/>
  <c r="AN390" i="1" s="1"/>
  <c r="L390" i="3" s="1"/>
  <c r="AN389" i="1"/>
  <c r="L389" i="3" s="1"/>
  <c r="AN389" i="1" a="1"/>
  <c r="AN388" i="1" a="1"/>
  <c r="AN388" i="1" s="1"/>
  <c r="L388" i="3" s="1"/>
  <c r="AN387" i="1" a="1"/>
  <c r="AN387" i="1" s="1"/>
  <c r="AN386" i="1"/>
  <c r="L386" i="3" s="1"/>
  <c r="AN386" i="1" a="1"/>
  <c r="AN385" i="1" a="1"/>
  <c r="AN385" i="1" s="1"/>
  <c r="AN384" i="1" a="1"/>
  <c r="AN384" i="1" s="1"/>
  <c r="AN383" i="1" a="1"/>
  <c r="AN383" i="1" s="1"/>
  <c r="L383" i="3" s="1"/>
  <c r="AN382" i="1" a="1"/>
  <c r="AN382" i="1" s="1"/>
  <c r="AN381" i="1"/>
  <c r="L381" i="3" s="1"/>
  <c r="AN381" i="1" a="1"/>
  <c r="AN380" i="1"/>
  <c r="L380" i="3" s="1"/>
  <c r="AN380" i="1" a="1"/>
  <c r="AN379" i="1" a="1"/>
  <c r="AN379" i="1" s="1"/>
  <c r="L379" i="3" s="1"/>
  <c r="AN378" i="1"/>
  <c r="L378" i="3" s="1"/>
  <c r="AN378" i="1" a="1"/>
  <c r="AN377" i="1" a="1"/>
  <c r="AN377" i="1" s="1"/>
  <c r="AN376" i="1"/>
  <c r="AN376" i="1" a="1"/>
  <c r="AN375" i="1" a="1"/>
  <c r="AN375" i="1" s="1"/>
  <c r="AN374" i="1" a="1"/>
  <c r="AN374" i="1" s="1"/>
  <c r="L374" i="3" s="1"/>
  <c r="AN373" i="1" a="1"/>
  <c r="AN373" i="1" s="1"/>
  <c r="AN372" i="1" a="1"/>
  <c r="AN372" i="1" s="1"/>
  <c r="AN371" i="1" a="1"/>
  <c r="AN371" i="1" s="1"/>
  <c r="L371" i="3" s="1"/>
  <c r="AN370" i="1" a="1"/>
  <c r="AN370" i="1" s="1"/>
  <c r="L370" i="3" s="1"/>
  <c r="AN369" i="1" a="1"/>
  <c r="AN369" i="1" s="1"/>
  <c r="L369" i="3" s="1"/>
  <c r="AN368" i="1"/>
  <c r="AN368" i="1" a="1"/>
  <c r="AN367" i="1" a="1"/>
  <c r="AN367" i="1" s="1"/>
  <c r="AN366" i="1" a="1"/>
  <c r="AN366" i="1" s="1"/>
  <c r="L366" i="3" s="1"/>
  <c r="AN365" i="1"/>
  <c r="AN365" i="1" a="1"/>
  <c r="AN364" i="1"/>
  <c r="L364" i="3" s="1"/>
  <c r="AN364" i="1" a="1"/>
  <c r="AN363" i="1" a="1"/>
  <c r="AN363" i="1" s="1"/>
  <c r="L363" i="3" s="1"/>
  <c r="AN362" i="1"/>
  <c r="L362" i="3" s="1"/>
  <c r="AN362" i="1" a="1"/>
  <c r="AN361" i="1"/>
  <c r="AN361" i="1" a="1"/>
  <c r="AN360" i="1" a="1"/>
  <c r="AN360" i="1" s="1"/>
  <c r="L360" i="3" s="1"/>
  <c r="AN359" i="1" a="1"/>
  <c r="AN359" i="1" s="1"/>
  <c r="AN358" i="1"/>
  <c r="L358" i="3" s="1"/>
  <c r="AN358" i="1" a="1"/>
  <c r="AN357" i="1" a="1"/>
  <c r="AN357" i="1" s="1"/>
  <c r="L357" i="3" s="1"/>
  <c r="AN356" i="1" a="1"/>
  <c r="AN356" i="1" s="1"/>
  <c r="L356" i="3" s="1"/>
  <c r="AN355" i="1" a="1"/>
  <c r="AN355" i="1" s="1"/>
  <c r="AN354" i="1"/>
  <c r="AN354" i="1" a="1"/>
  <c r="AN353" i="1" a="1"/>
  <c r="AN353" i="1" s="1"/>
  <c r="L353" i="3" s="1"/>
  <c r="AN352" i="1" a="1"/>
  <c r="AN352" i="1" s="1"/>
  <c r="AN351" i="1" a="1"/>
  <c r="AN351" i="1" s="1"/>
  <c r="L351" i="3" s="1"/>
  <c r="AN350" i="1"/>
  <c r="L350" i="3" s="1"/>
  <c r="AN350" i="1" a="1"/>
  <c r="AN349" i="1" a="1"/>
  <c r="AN349" i="1" s="1"/>
  <c r="L349" i="3" s="1"/>
  <c r="AN348" i="1"/>
  <c r="L348" i="3" s="1"/>
  <c r="AN348" i="1" a="1"/>
  <c r="AN347" i="1" a="1"/>
  <c r="AN347" i="1" s="1"/>
  <c r="L347" i="3" s="1"/>
  <c r="AN346" i="1" a="1"/>
  <c r="AN346" i="1" s="1"/>
  <c r="L346" i="3" s="1"/>
  <c r="AN345" i="1"/>
  <c r="AN345" i="1" a="1"/>
  <c r="AN344" i="1" a="1"/>
  <c r="AN344" i="1" s="1"/>
  <c r="L344" i="3" s="1"/>
  <c r="AN343" i="1" a="1"/>
  <c r="AN343" i="1" s="1"/>
  <c r="L343" i="3" s="1"/>
  <c r="AN342" i="1" a="1"/>
  <c r="AN342" i="1" s="1"/>
  <c r="AN341" i="1" a="1"/>
  <c r="AN341" i="1" s="1"/>
  <c r="L341" i="3" s="1"/>
  <c r="AN340" i="1" a="1"/>
  <c r="AN340" i="1" s="1"/>
  <c r="AN339" i="1"/>
  <c r="AN339" i="1" a="1"/>
  <c r="AN338" i="1" a="1"/>
  <c r="AN338" i="1" s="1"/>
  <c r="L338" i="3" s="1"/>
  <c r="AN337" i="1" a="1"/>
  <c r="AN337" i="1" s="1"/>
  <c r="AN336" i="1" a="1"/>
  <c r="AN336" i="1" s="1"/>
  <c r="AN335" i="1" a="1"/>
  <c r="AN335" i="1" s="1"/>
  <c r="L335" i="3" s="1"/>
  <c r="AN334" i="1" a="1"/>
  <c r="AN334" i="1" s="1"/>
  <c r="AN333" i="1" a="1"/>
  <c r="AN333" i="1" s="1"/>
  <c r="L333" i="3" s="1"/>
  <c r="AN332" i="1" a="1"/>
  <c r="AN332" i="1" s="1"/>
  <c r="L332" i="3" s="1"/>
  <c r="AN331" i="1"/>
  <c r="L331" i="3" s="1"/>
  <c r="AN331" i="1" a="1"/>
  <c r="AN330" i="1" a="1"/>
  <c r="AN330" i="1" s="1"/>
  <c r="L330" i="3" s="1"/>
  <c r="AN329" i="1" a="1"/>
  <c r="AN329" i="1" s="1"/>
  <c r="AN328" i="1" a="1"/>
  <c r="AN328" i="1" s="1"/>
  <c r="AN327" i="1"/>
  <c r="L327" i="3" s="1"/>
  <c r="AN327" i="1" a="1"/>
  <c r="AN326" i="1" a="1"/>
  <c r="AN326" i="1" s="1"/>
  <c r="AN325" i="1"/>
  <c r="AN325" i="1" a="1"/>
  <c r="AN324" i="1" a="1"/>
  <c r="AN324" i="1" s="1"/>
  <c r="L324" i="3" s="1"/>
  <c r="AN323" i="1" a="1"/>
  <c r="AN323" i="1" s="1"/>
  <c r="L323" i="3" s="1"/>
  <c r="AN322" i="1"/>
  <c r="AN322" i="1" a="1"/>
  <c r="AN321" i="1" a="1"/>
  <c r="AN321" i="1" s="1"/>
  <c r="AN320" i="1" a="1"/>
  <c r="AN320" i="1" s="1"/>
  <c r="L320" i="3" s="1"/>
  <c r="AN319" i="1" a="1"/>
  <c r="AN319" i="1" s="1"/>
  <c r="L319" i="3" s="1"/>
  <c r="AN318" i="1" a="1"/>
  <c r="AN318" i="1" s="1"/>
  <c r="L318" i="3" s="1"/>
  <c r="AN317" i="1"/>
  <c r="L317" i="3" s="1"/>
  <c r="AN317" i="1" a="1"/>
  <c r="AN316" i="1"/>
  <c r="L316" i="3" s="1"/>
  <c r="AN316" i="1" a="1"/>
  <c r="AN315" i="1" a="1"/>
  <c r="AN315" i="1" s="1"/>
  <c r="AN314" i="1" a="1"/>
  <c r="AN314" i="1" s="1"/>
  <c r="AN313" i="1" a="1"/>
  <c r="AN313" i="1" s="1"/>
  <c r="L313" i="3" s="1"/>
  <c r="AN312" i="1"/>
  <c r="AN312" i="1" a="1"/>
  <c r="AN311" i="1"/>
  <c r="AN311" i="1" a="1"/>
  <c r="AN310" i="1"/>
  <c r="L310" i="3" s="1"/>
  <c r="AN310" i="1" a="1"/>
  <c r="AN309" i="1" a="1"/>
  <c r="AN309" i="1" s="1"/>
  <c r="AN308" i="1"/>
  <c r="L308" i="3" s="1"/>
  <c r="AN308" i="1" a="1"/>
  <c r="AN307" i="1" a="1"/>
  <c r="AN307" i="1" s="1"/>
  <c r="AN306" i="1"/>
  <c r="AN306" i="1" a="1"/>
  <c r="AN305" i="1" a="1"/>
  <c r="AN305" i="1" s="1"/>
  <c r="L305" i="3" s="1"/>
  <c r="AN304" i="1" a="1"/>
  <c r="AN304" i="1" s="1"/>
  <c r="L304" i="3" s="1"/>
  <c r="AN303" i="1"/>
  <c r="L303" i="3" s="1"/>
  <c r="AN303" i="1" a="1"/>
  <c r="AN302" i="1" a="1"/>
  <c r="AN302" i="1" s="1"/>
  <c r="L302" i="3" s="1"/>
  <c r="AN301" i="1" a="1"/>
  <c r="AN301" i="1" s="1"/>
  <c r="L301" i="3" s="1"/>
  <c r="AN300" i="1" a="1"/>
  <c r="AN300" i="1" s="1"/>
  <c r="L300" i="3" s="1"/>
  <c r="AN299" i="1" a="1"/>
  <c r="AN299" i="1" s="1"/>
  <c r="L299" i="3" s="1"/>
  <c r="AN298" i="1"/>
  <c r="AN298" i="1" a="1"/>
  <c r="AN297" i="1"/>
  <c r="AN297" i="1" a="1"/>
  <c r="AN296" i="1" a="1"/>
  <c r="AN296" i="1" s="1"/>
  <c r="L296" i="3" s="1"/>
  <c r="AN295" i="1" a="1"/>
  <c r="AN295" i="1" s="1"/>
  <c r="AN294" i="1"/>
  <c r="AN294" i="1" a="1"/>
  <c r="AN293" i="1" a="1"/>
  <c r="AN293" i="1" s="1"/>
  <c r="L293" i="3" s="1"/>
  <c r="AN292" i="1"/>
  <c r="L292" i="3" s="1"/>
  <c r="AN292" i="1" a="1"/>
  <c r="AN291" i="1"/>
  <c r="AN291" i="1" a="1"/>
  <c r="AN290" i="1" a="1"/>
  <c r="AN290" i="1" s="1"/>
  <c r="L290" i="3" s="1"/>
  <c r="AN289" i="1" a="1"/>
  <c r="AN289" i="1" s="1"/>
  <c r="L289" i="3" s="1"/>
  <c r="AN288" i="1" a="1"/>
  <c r="AN288" i="1" s="1"/>
  <c r="L288" i="3" s="1"/>
  <c r="AN287" i="1" a="1"/>
  <c r="AN287" i="1" s="1"/>
  <c r="AN286" i="1" a="1"/>
  <c r="AN286" i="1" s="1"/>
  <c r="AN285" i="1" a="1"/>
  <c r="AN285" i="1" s="1"/>
  <c r="L285" i="3" s="1"/>
  <c r="AN284" i="1"/>
  <c r="L284" i="3" s="1"/>
  <c r="AN284" i="1" a="1"/>
  <c r="AN283" i="1" a="1"/>
  <c r="AN283" i="1" s="1"/>
  <c r="L283" i="3" s="1"/>
  <c r="AN282" i="1"/>
  <c r="AN282" i="1" a="1"/>
  <c r="AN281" i="1" a="1"/>
  <c r="AN281" i="1" s="1"/>
  <c r="AN280" i="1"/>
  <c r="AN280" i="1" a="1"/>
  <c r="AN279" i="1" a="1"/>
  <c r="AN279" i="1" s="1"/>
  <c r="L279" i="3" s="1"/>
  <c r="AN278" i="1"/>
  <c r="L278" i="3" s="1"/>
  <c r="AN278" i="1" a="1"/>
  <c r="AN277" i="1" a="1"/>
  <c r="AN277" i="1" s="1"/>
  <c r="L277" i="3" s="1"/>
  <c r="AN276" i="1" a="1"/>
  <c r="AN276" i="1" s="1"/>
  <c r="L276" i="3" s="1"/>
  <c r="AN275" i="1"/>
  <c r="AN275" i="1" a="1"/>
  <c r="AN274" i="1" a="1"/>
  <c r="AN274" i="1" s="1"/>
  <c r="AN273" i="1" a="1"/>
  <c r="AN273" i="1" s="1"/>
  <c r="L273" i="3" s="1"/>
  <c r="AN272" i="1" a="1"/>
  <c r="AN272" i="1" s="1"/>
  <c r="L272" i="3" s="1"/>
  <c r="AN271" i="1" a="1"/>
  <c r="AN271" i="1" s="1"/>
  <c r="L271" i="3" s="1"/>
  <c r="AN270" i="1"/>
  <c r="AN270" i="1" a="1"/>
  <c r="AN269" i="1" a="1"/>
  <c r="AN269" i="1" s="1"/>
  <c r="L269" i="3" s="1"/>
  <c r="AN268" i="1" a="1"/>
  <c r="AN268" i="1" s="1"/>
  <c r="L268" i="3" s="1"/>
  <c r="AN267" i="1"/>
  <c r="AN267" i="1" a="1"/>
  <c r="AN266" i="1" a="1"/>
  <c r="AN266" i="1" s="1"/>
  <c r="AN265" i="1" a="1"/>
  <c r="AN265" i="1" s="1"/>
  <c r="L265" i="3" s="1"/>
  <c r="AN264" i="1"/>
  <c r="L264" i="3" s="1"/>
  <c r="AN264" i="1" a="1"/>
  <c r="AN263" i="1" a="1"/>
  <c r="AN263" i="1" s="1"/>
  <c r="L263" i="3" s="1"/>
  <c r="AN262" i="1" a="1"/>
  <c r="AN262" i="1" s="1"/>
  <c r="L262" i="3" s="1"/>
  <c r="AN261" i="1"/>
  <c r="L261" i="3" s="1"/>
  <c r="AN261" i="1" a="1"/>
  <c r="AN260" i="1"/>
  <c r="AN260" i="1" a="1"/>
  <c r="AN259" i="1" a="1"/>
  <c r="AN259" i="1" s="1"/>
  <c r="AN258" i="1" a="1"/>
  <c r="AN258" i="1" s="1"/>
  <c r="AN257" i="1" a="1"/>
  <c r="AN257" i="1" s="1"/>
  <c r="L257" i="3" s="1"/>
  <c r="AN256" i="1"/>
  <c r="AN256" i="1" a="1"/>
  <c r="AN255" i="1" a="1"/>
  <c r="AN255" i="1" s="1"/>
  <c r="L255" i="3" s="1"/>
  <c r="AN254" i="1" a="1"/>
  <c r="AN254" i="1" s="1"/>
  <c r="L254" i="3" s="1"/>
  <c r="AN253" i="1"/>
  <c r="L253" i="3" s="1"/>
  <c r="AN253" i="1" a="1"/>
  <c r="AN252" i="1"/>
  <c r="AN252" i="1" a="1"/>
  <c r="AN251" i="1" a="1"/>
  <c r="AN251" i="1" s="1"/>
  <c r="AN250" i="1" a="1"/>
  <c r="AN250" i="1" s="1"/>
  <c r="L250" i="3" s="1"/>
  <c r="AN249" i="1"/>
  <c r="L249" i="3" s="1"/>
  <c r="AN249" i="1" a="1"/>
  <c r="AN248" i="1" a="1"/>
  <c r="AN248" i="1" s="1"/>
  <c r="L248" i="3" s="1"/>
  <c r="AN247" i="1"/>
  <c r="L247" i="3" s="1"/>
  <c r="AN247" i="1" a="1"/>
  <c r="AN246" i="1" a="1"/>
  <c r="AN246" i="1" s="1"/>
  <c r="L246" i="3" s="1"/>
  <c r="AN245" i="1" a="1"/>
  <c r="AN245" i="1" s="1"/>
  <c r="L245" i="3" s="1"/>
  <c r="AN244" i="1" a="1"/>
  <c r="AN244" i="1" s="1"/>
  <c r="AN243" i="1" a="1"/>
  <c r="AN243" i="1" s="1"/>
  <c r="L243" i="3" s="1"/>
  <c r="AN242" i="1" a="1"/>
  <c r="AN242" i="1" s="1"/>
  <c r="AN241" i="1"/>
  <c r="AN241" i="1" a="1"/>
  <c r="AN240" i="1" a="1"/>
  <c r="AN240" i="1" s="1"/>
  <c r="L240" i="3" s="1"/>
  <c r="AN239" i="1" a="1"/>
  <c r="AN239" i="1" s="1"/>
  <c r="AN238" i="1"/>
  <c r="AN238" i="1" a="1"/>
  <c r="AN237" i="1" a="1"/>
  <c r="AN237" i="1" s="1"/>
  <c r="AN236" i="1" a="1"/>
  <c r="AN236" i="1" s="1"/>
  <c r="AN235" i="1" a="1"/>
  <c r="AN235" i="1" s="1"/>
  <c r="L235" i="3" s="1"/>
  <c r="AN234" i="1" a="1"/>
  <c r="AN234" i="1" s="1"/>
  <c r="L234" i="3" s="1"/>
  <c r="AN233" i="1"/>
  <c r="L233" i="3" s="1"/>
  <c r="AN233" i="1" a="1"/>
  <c r="AN232" i="1" a="1"/>
  <c r="AN232" i="1" s="1"/>
  <c r="L232" i="3" s="1"/>
  <c r="AN231" i="1" a="1"/>
  <c r="AN231" i="1" s="1"/>
  <c r="AN230" i="1" a="1"/>
  <c r="AN230" i="1" s="1"/>
  <c r="AN229" i="1"/>
  <c r="AN229" i="1" a="1"/>
  <c r="AN228" i="1"/>
  <c r="AN228" i="1" a="1"/>
  <c r="AN227" i="1" a="1"/>
  <c r="AN227" i="1" s="1"/>
  <c r="L227" i="3" s="1"/>
  <c r="AN226" i="1" a="1"/>
  <c r="AN226" i="1" s="1"/>
  <c r="L226" i="3" s="1"/>
  <c r="AN225" i="1" a="1"/>
  <c r="AN225" i="1" s="1"/>
  <c r="L225" i="3" s="1"/>
  <c r="AN224" i="1"/>
  <c r="L224" i="3" s="1"/>
  <c r="AN224" i="1" a="1"/>
  <c r="AN223" i="1" a="1"/>
  <c r="AN223" i="1" s="1"/>
  <c r="L223" i="3" s="1"/>
  <c r="AN222" i="1"/>
  <c r="L222" i="3" s="1"/>
  <c r="AN222" i="1" a="1"/>
  <c r="AN221" i="1" a="1"/>
  <c r="AN221" i="1" s="1"/>
  <c r="AN220" i="1"/>
  <c r="L220" i="3" s="1"/>
  <c r="AN220" i="1" a="1"/>
  <c r="AN219" i="1" a="1"/>
  <c r="AN219" i="1" s="1"/>
  <c r="L219" i="3" s="1"/>
  <c r="AN218" i="1" a="1"/>
  <c r="AN218" i="1" s="1"/>
  <c r="L218" i="3" s="1"/>
  <c r="AN217" i="1" a="1"/>
  <c r="AN217" i="1" s="1"/>
  <c r="AN216" i="1" a="1"/>
  <c r="AN216" i="1" s="1"/>
  <c r="L216" i="3" s="1"/>
  <c r="AN215" i="1" a="1"/>
  <c r="AN215" i="1" s="1"/>
  <c r="L215" i="3" s="1"/>
  <c r="AN214" i="1"/>
  <c r="L214" i="3" s="1"/>
  <c r="AN214" i="1" a="1"/>
  <c r="AN213" i="1"/>
  <c r="AN213" i="1" a="1"/>
  <c r="AN212" i="1" a="1"/>
  <c r="AN212" i="1" s="1"/>
  <c r="L212" i="3" s="1"/>
  <c r="AN211" i="1" a="1"/>
  <c r="AN211" i="1" s="1"/>
  <c r="AN210" i="1"/>
  <c r="AN210" i="1" a="1"/>
  <c r="AN209" i="1" a="1"/>
  <c r="AN209" i="1" s="1"/>
  <c r="L209" i="3" s="1"/>
  <c r="AN208" i="1"/>
  <c r="L208" i="3" s="1"/>
  <c r="AN208" i="1" a="1"/>
  <c r="AN207" i="1" a="1"/>
  <c r="AN207" i="1" s="1"/>
  <c r="L207" i="3" s="1"/>
  <c r="AN206" i="1" a="1"/>
  <c r="AN206" i="1" s="1"/>
  <c r="AN205" i="1"/>
  <c r="AN205" i="1" a="1"/>
  <c r="AN204" i="1" a="1"/>
  <c r="AN204" i="1" s="1"/>
  <c r="L204" i="3" s="1"/>
  <c r="AN203" i="1" a="1"/>
  <c r="AN203" i="1" s="1"/>
  <c r="L203" i="3" s="1"/>
  <c r="AN202" i="1" a="1"/>
  <c r="AN202" i="1" s="1"/>
  <c r="L202" i="3" s="1"/>
  <c r="AN201" i="1" a="1"/>
  <c r="AN201" i="1" s="1"/>
  <c r="L201" i="3" s="1"/>
  <c r="AN200" i="1"/>
  <c r="AN200" i="1" a="1"/>
  <c r="AN199" i="1"/>
  <c r="AN199" i="1" a="1"/>
  <c r="AN198" i="1" a="1"/>
  <c r="AN198" i="1" s="1"/>
  <c r="L198" i="3" s="1"/>
  <c r="AN197" i="1"/>
  <c r="AN197" i="1" a="1"/>
  <c r="AN196" i="1" a="1"/>
  <c r="AN196" i="1" s="1"/>
  <c r="AN195" i="1" a="1"/>
  <c r="AN195" i="1" s="1"/>
  <c r="L195" i="3" s="1"/>
  <c r="AN194" i="1"/>
  <c r="L194" i="3" s="1"/>
  <c r="AN194" i="1" a="1"/>
  <c r="AN193" i="1" a="1"/>
  <c r="AN193" i="1" s="1"/>
  <c r="L193" i="3" s="1"/>
  <c r="AN192" i="1" a="1"/>
  <c r="AN192" i="1" s="1"/>
  <c r="L192" i="3" s="1"/>
  <c r="AN191" i="1" a="1"/>
  <c r="AN191" i="1" s="1"/>
  <c r="L191" i="3" s="1"/>
  <c r="AN190" i="1" a="1"/>
  <c r="AN190" i="1" s="1"/>
  <c r="AN189" i="1"/>
  <c r="AN189" i="1" a="1"/>
  <c r="AN188" i="1" a="1"/>
  <c r="AN188" i="1" s="1"/>
  <c r="AN187" i="1" a="1"/>
  <c r="AN187" i="1" s="1"/>
  <c r="L187" i="3" s="1"/>
  <c r="AN186" i="1"/>
  <c r="L186" i="3" s="1"/>
  <c r="AN186" i="1" a="1"/>
  <c r="AN185" i="1"/>
  <c r="L185" i="3" s="1"/>
  <c r="AN185" i="1" a="1"/>
  <c r="AN184" i="1"/>
  <c r="AN184" i="1" a="1"/>
  <c r="AN183" i="1"/>
  <c r="L183" i="3" s="1"/>
  <c r="AN183" i="1" a="1"/>
  <c r="AN182" i="1"/>
  <c r="AN182" i="1" a="1"/>
  <c r="AN181" i="1" a="1"/>
  <c r="AN181" i="1" s="1"/>
  <c r="AN180" i="1" a="1"/>
  <c r="AN180" i="1" s="1"/>
  <c r="L180" i="3" s="1"/>
  <c r="AN179" i="1" a="1"/>
  <c r="AN179" i="1" s="1"/>
  <c r="L179" i="3" s="1"/>
  <c r="AN178" i="1" a="1"/>
  <c r="AN178" i="1" s="1"/>
  <c r="L178" i="3" s="1"/>
  <c r="AN177" i="1"/>
  <c r="L177" i="3" s="1"/>
  <c r="AN177" i="1" a="1"/>
  <c r="AN176" i="1" a="1"/>
  <c r="AN176" i="1" s="1"/>
  <c r="AN175" i="1"/>
  <c r="AN175" i="1" a="1"/>
  <c r="AN174" i="1" a="1"/>
  <c r="AN174" i="1" s="1"/>
  <c r="AN173" i="1"/>
  <c r="AN173" i="1" a="1"/>
  <c r="AN172" i="1" a="1"/>
  <c r="AN172" i="1" s="1"/>
  <c r="AN171" i="1" a="1"/>
  <c r="AN171" i="1" s="1"/>
  <c r="L171" i="3" s="1"/>
  <c r="AN170" i="1" a="1"/>
  <c r="AN170" i="1" s="1"/>
  <c r="L170" i="3" s="1"/>
  <c r="AN169" i="1"/>
  <c r="L169" i="3" s="1"/>
  <c r="AN169" i="1" a="1"/>
  <c r="AN168" i="1" a="1"/>
  <c r="AN168" i="1" s="1"/>
  <c r="L168" i="3" s="1"/>
  <c r="AN167" i="1" a="1"/>
  <c r="AN167" i="1" s="1"/>
  <c r="AN166" i="1"/>
  <c r="AN166" i="1" a="1"/>
  <c r="AN165" i="1" a="1"/>
  <c r="AN165" i="1" s="1"/>
  <c r="L165" i="3" s="1"/>
  <c r="AN164" i="1" a="1"/>
  <c r="AN164" i="1" s="1"/>
  <c r="L164" i="3" s="1"/>
  <c r="AN163" i="1"/>
  <c r="L163" i="3" s="1"/>
  <c r="AN163" i="1" a="1"/>
  <c r="AN162" i="1" a="1"/>
  <c r="AN162" i="1" s="1"/>
  <c r="L162" i="3" s="1"/>
  <c r="AN161" i="1" a="1"/>
  <c r="AN161" i="1" s="1"/>
  <c r="AN160" i="1" a="1"/>
  <c r="AN160" i="1" s="1"/>
  <c r="L160" i="3" s="1"/>
  <c r="AN159" i="1"/>
  <c r="L159" i="3" s="1"/>
  <c r="AN159" i="1" a="1"/>
  <c r="AN158" i="1"/>
  <c r="AN158" i="1" a="1"/>
  <c r="AN157" i="1" a="1"/>
  <c r="AN157" i="1" s="1"/>
  <c r="AN156" i="1" a="1"/>
  <c r="AN156" i="1" s="1"/>
  <c r="L156" i="3" s="1"/>
  <c r="AN155" i="1"/>
  <c r="AN155" i="1" a="1"/>
  <c r="AN154" i="1"/>
  <c r="AN154" i="1" a="1"/>
  <c r="AN153" i="1" a="1"/>
  <c r="AN153" i="1" s="1"/>
  <c r="AN152" i="1" a="1"/>
  <c r="AN152" i="1" s="1"/>
  <c r="L152" i="3" s="1"/>
  <c r="AN151" i="1" a="1"/>
  <c r="AN151" i="1" s="1"/>
  <c r="L151" i="3" s="1"/>
  <c r="AN150" i="1"/>
  <c r="L150" i="3" s="1"/>
  <c r="AN150" i="1" a="1"/>
  <c r="AN149" i="1" a="1"/>
  <c r="AN149" i="1" s="1"/>
  <c r="L149" i="3" s="1"/>
  <c r="AN148" i="1"/>
  <c r="AN148" i="1" a="1"/>
  <c r="AN147" i="1" a="1"/>
  <c r="AN147" i="1" s="1"/>
  <c r="L147" i="3" s="1"/>
  <c r="AN146" i="1" a="1"/>
  <c r="AN146" i="1" s="1"/>
  <c r="L146" i="3" s="1"/>
  <c r="AN145" i="1" a="1"/>
  <c r="AN145" i="1" s="1"/>
  <c r="L145" i="3" s="1"/>
  <c r="AN144" i="1"/>
  <c r="L144" i="3" s="1"/>
  <c r="AN144" i="1" a="1"/>
  <c r="AN143" i="1"/>
  <c r="AN143" i="1" a="1"/>
  <c r="AN142" i="1" a="1"/>
  <c r="AN142" i="1" s="1"/>
  <c r="L142" i="3" s="1"/>
  <c r="AN141" i="1" a="1"/>
  <c r="AN141" i="1" s="1"/>
  <c r="L141" i="3" s="1"/>
  <c r="AN140" i="1"/>
  <c r="L140" i="3" s="1"/>
  <c r="AN140" i="1" a="1"/>
  <c r="AN139" i="1" a="1"/>
  <c r="AN139" i="1" s="1"/>
  <c r="L139" i="3" s="1"/>
  <c r="AN138" i="1"/>
  <c r="L138" i="3" s="1"/>
  <c r="AN138" i="1" a="1"/>
  <c r="AN137" i="1" a="1"/>
  <c r="AN137" i="1" s="1"/>
  <c r="L137" i="3" s="1"/>
  <c r="AN136" i="1"/>
  <c r="L136" i="3" s="1"/>
  <c r="AN136" i="1" a="1"/>
  <c r="AN135" i="1"/>
  <c r="AN135" i="1" a="1"/>
  <c r="AN134" i="1" a="1"/>
  <c r="AN134" i="1" s="1"/>
  <c r="L134" i="3" s="1"/>
  <c r="AN133" i="1" a="1"/>
  <c r="AN133" i="1" s="1"/>
  <c r="L133" i="3" s="1"/>
  <c r="AN132" i="1" a="1"/>
  <c r="AN132" i="1" s="1"/>
  <c r="AN131" i="1"/>
  <c r="L131" i="3" s="1"/>
  <c r="AN131" i="1" a="1"/>
  <c r="AN130" i="1" a="1"/>
  <c r="AN130" i="1" s="1"/>
  <c r="AN129" i="1"/>
  <c r="AN129" i="1" a="1"/>
  <c r="AN128" i="1" a="1"/>
  <c r="AN128" i="1" s="1"/>
  <c r="L128" i="3" s="1"/>
  <c r="AN127" i="1" a="1"/>
  <c r="AN127" i="1" s="1"/>
  <c r="AN126" i="1" a="1"/>
  <c r="AN126" i="1" s="1"/>
  <c r="L126" i="3" s="1"/>
  <c r="AN125" i="1" a="1"/>
  <c r="AN125" i="1" s="1"/>
  <c r="L125" i="3" s="1"/>
  <c r="AN124" i="1" a="1"/>
  <c r="AN124" i="1" s="1"/>
  <c r="L124" i="3" s="1"/>
  <c r="AN123" i="1"/>
  <c r="L123" i="3" s="1"/>
  <c r="AN123" i="1" a="1"/>
  <c r="AN122" i="1" a="1"/>
  <c r="AN122" i="1" s="1"/>
  <c r="L122" i="3" s="1"/>
  <c r="AN121" i="1"/>
  <c r="AN121" i="1" a="1"/>
  <c r="AN120" i="1"/>
  <c r="AN120" i="1" a="1"/>
  <c r="AN119" i="1" a="1"/>
  <c r="AN119" i="1" s="1"/>
  <c r="L119" i="3" s="1"/>
  <c r="AN118" i="1" a="1"/>
  <c r="AN118" i="1" s="1"/>
  <c r="AN117" i="1"/>
  <c r="L117" i="3" s="1"/>
  <c r="AN117" i="1" a="1"/>
  <c r="AN116" i="1" a="1"/>
  <c r="AN116" i="1" s="1"/>
  <c r="L116" i="3" s="1"/>
  <c r="AN115" i="1" a="1"/>
  <c r="AN115" i="1" s="1"/>
  <c r="AN114" i="1"/>
  <c r="L114" i="3" s="1"/>
  <c r="AN114" i="1" a="1"/>
  <c r="AN113" i="1"/>
  <c r="AN113" i="1" a="1"/>
  <c r="AN112" i="1" a="1"/>
  <c r="AN112" i="1" s="1"/>
  <c r="L112" i="3" s="1"/>
  <c r="AN111" i="1" a="1"/>
  <c r="AN111" i="1" s="1"/>
  <c r="L111" i="3" s="1"/>
  <c r="AN110" i="1" a="1"/>
  <c r="AN110" i="1" s="1"/>
  <c r="L110" i="3" s="1"/>
  <c r="AN109" i="1" a="1"/>
  <c r="AN109" i="1" s="1"/>
  <c r="L109" i="3" s="1"/>
  <c r="AN108" i="1"/>
  <c r="L108" i="3" s="1"/>
  <c r="AN108" i="1" a="1"/>
  <c r="AN107" i="1" a="1"/>
  <c r="AN107" i="1" s="1"/>
  <c r="L107" i="3" s="1"/>
  <c r="AN106" i="1"/>
  <c r="AN106" i="1" a="1"/>
  <c r="AN105" i="1"/>
  <c r="AN105" i="1" a="1"/>
  <c r="AN104" i="1" a="1"/>
  <c r="AN104" i="1" s="1"/>
  <c r="AN103" i="1" a="1"/>
  <c r="AN103" i="1" s="1"/>
  <c r="L103" i="3" s="1"/>
  <c r="AN102" i="1"/>
  <c r="AN102" i="1" a="1"/>
  <c r="AN101" i="1"/>
  <c r="AN101" i="1" a="1"/>
  <c r="AN100" i="1" a="1"/>
  <c r="AN100" i="1" s="1"/>
  <c r="L100" i="3" s="1"/>
  <c r="AN99" i="1"/>
  <c r="AN99" i="1" a="1"/>
  <c r="AN98" i="1" a="1"/>
  <c r="AN98" i="1" s="1"/>
  <c r="L98" i="3" s="1"/>
  <c r="AN97" i="1" a="1"/>
  <c r="AN97" i="1" s="1"/>
  <c r="AN96" i="1" a="1"/>
  <c r="AN96" i="1" s="1"/>
  <c r="L96" i="3" s="1"/>
  <c r="AN95" i="1"/>
  <c r="L95" i="3" s="1"/>
  <c r="AN95" i="1" a="1"/>
  <c r="AN94" i="1" a="1"/>
  <c r="AN94" i="1" s="1"/>
  <c r="L94" i="3" s="1"/>
  <c r="AN93" i="1"/>
  <c r="L93" i="3" s="1"/>
  <c r="AN93" i="1" a="1"/>
  <c r="AN92" i="1"/>
  <c r="L92" i="3" s="1"/>
  <c r="AN92" i="1" a="1"/>
  <c r="AN91" i="1" a="1"/>
  <c r="AN91" i="1" s="1"/>
  <c r="L91" i="3" s="1"/>
  <c r="AN90" i="1" a="1"/>
  <c r="AN90" i="1" s="1"/>
  <c r="AN89" i="1" a="1"/>
  <c r="AN89" i="1" s="1"/>
  <c r="L89" i="3" s="1"/>
  <c r="AN88" i="1" a="1"/>
  <c r="AN88" i="1" s="1"/>
  <c r="L88" i="3" s="1"/>
  <c r="AN87" i="1"/>
  <c r="L87" i="3" s="1"/>
  <c r="AN87" i="1" a="1"/>
  <c r="AN86" i="1"/>
  <c r="L86" i="3" s="1"/>
  <c r="AN86" i="1" a="1"/>
  <c r="AN85" i="1" a="1"/>
  <c r="AN85" i="1" s="1"/>
  <c r="L85" i="3" s="1"/>
  <c r="AN84" i="1"/>
  <c r="L84" i="3" s="1"/>
  <c r="AN84" i="1" a="1"/>
  <c r="AN83" i="1" a="1"/>
  <c r="AN83" i="1" s="1"/>
  <c r="AN82" i="1"/>
  <c r="AN82" i="1" a="1"/>
  <c r="AN81" i="1" a="1"/>
  <c r="AN81" i="1" s="1"/>
  <c r="L81" i="3" s="1"/>
  <c r="AN80" i="1" a="1"/>
  <c r="AN80" i="1" s="1"/>
  <c r="L80" i="3" s="1"/>
  <c r="AN79" i="1" a="1"/>
  <c r="AN79" i="1" s="1"/>
  <c r="L79" i="3" s="1"/>
  <c r="AN78" i="1"/>
  <c r="AN78" i="1" a="1"/>
  <c r="AN77" i="1"/>
  <c r="L77" i="3" s="1"/>
  <c r="AN77" i="1" a="1"/>
  <c r="AN76" i="1" a="1"/>
  <c r="AN76" i="1" s="1"/>
  <c r="AN75" i="1" a="1"/>
  <c r="AN75" i="1" s="1"/>
  <c r="L75" i="3" s="1"/>
  <c r="AN74" i="1" a="1"/>
  <c r="AN74" i="1" s="1"/>
  <c r="L74" i="3" s="1"/>
  <c r="AN73" i="1"/>
  <c r="L73" i="3" s="1"/>
  <c r="AN73" i="1" a="1"/>
  <c r="AN72" i="1"/>
  <c r="L72" i="3" s="1"/>
  <c r="AN72" i="1" a="1"/>
  <c r="AN71" i="1" a="1"/>
  <c r="AN71" i="1" s="1"/>
  <c r="L71" i="3" s="1"/>
  <c r="AN70" i="1" a="1"/>
  <c r="AN70" i="1" s="1"/>
  <c r="AN69" i="1" a="1"/>
  <c r="AN69" i="1" s="1"/>
  <c r="L69" i="3" s="1"/>
  <c r="AN68" i="1" a="1"/>
  <c r="AN68" i="1" s="1"/>
  <c r="L68" i="3" s="1"/>
  <c r="AN67" i="1"/>
  <c r="AN67" i="1" a="1"/>
  <c r="AN66" i="1" a="1"/>
  <c r="AN66" i="1" s="1"/>
  <c r="L66" i="3" s="1"/>
  <c r="AN65" i="1" a="1"/>
  <c r="AN65" i="1" s="1"/>
  <c r="L65" i="3" s="1"/>
  <c r="AN64" i="1" a="1"/>
  <c r="AN64" i="1" s="1"/>
  <c r="L64" i="3" s="1"/>
  <c r="AN63" i="1"/>
  <c r="L63" i="3" s="1"/>
  <c r="AN63" i="1" a="1"/>
  <c r="AN62" i="1" a="1"/>
  <c r="AN62" i="1" s="1"/>
  <c r="AN61" i="1"/>
  <c r="L61" i="3" s="1"/>
  <c r="AN61" i="1" a="1"/>
  <c r="AN60" i="1" a="1"/>
  <c r="AN60" i="1" s="1"/>
  <c r="L60" i="3" s="1"/>
  <c r="AN59" i="1" a="1"/>
  <c r="AN59" i="1" s="1"/>
  <c r="L59" i="3" s="1"/>
  <c r="AN58" i="1" a="1"/>
  <c r="AN58" i="1" s="1"/>
  <c r="L58" i="3" s="1"/>
  <c r="AN57" i="1"/>
  <c r="AN57" i="1" a="1"/>
  <c r="AN56" i="1" a="1"/>
  <c r="AN56" i="1" s="1"/>
  <c r="L56" i="3" s="1"/>
  <c r="AN55" i="1" a="1"/>
  <c r="AN55" i="1" s="1"/>
  <c r="AN54" i="1"/>
  <c r="L54" i="3" s="1"/>
  <c r="AN54" i="1" a="1"/>
  <c r="AN53" i="1" a="1"/>
  <c r="AN53" i="1" s="1"/>
  <c r="L53" i="3" s="1"/>
  <c r="AN52" i="1"/>
  <c r="L52" i="3" s="1"/>
  <c r="AN52" i="1" a="1"/>
  <c r="AN51" i="1" a="1"/>
  <c r="AN51" i="1" s="1"/>
  <c r="L51" i="3" s="1"/>
  <c r="AN50" i="1" a="1"/>
  <c r="AN50" i="1" s="1"/>
  <c r="L50" i="3" s="1"/>
  <c r="AN49" i="1" a="1"/>
  <c r="AN49" i="1" s="1"/>
  <c r="L49" i="3" s="1"/>
  <c r="AN48" i="1" a="1"/>
  <c r="AN48" i="1" s="1"/>
  <c r="AN47" i="1" a="1"/>
  <c r="AN47" i="1" s="1"/>
  <c r="L47" i="3" s="1"/>
  <c r="AN46" i="1"/>
  <c r="AN46" i="1" a="1"/>
  <c r="AN45" i="1" a="1"/>
  <c r="AN45" i="1" s="1"/>
  <c r="L45" i="3" s="1"/>
  <c r="AN44" i="1" a="1"/>
  <c r="AN44" i="1" s="1"/>
  <c r="L44" i="3" s="1"/>
  <c r="AN43" i="1" a="1"/>
  <c r="AN43" i="1" s="1"/>
  <c r="L43" i="3" s="1"/>
  <c r="AN42" i="1"/>
  <c r="AN42" i="1" a="1"/>
  <c r="AN41" i="1" a="1"/>
  <c r="AN41" i="1" s="1"/>
  <c r="L41" i="3" s="1"/>
  <c r="AN40" i="1"/>
  <c r="L40" i="3" s="1"/>
  <c r="AN40" i="1" a="1"/>
  <c r="AN39" i="1"/>
  <c r="L39" i="3" s="1"/>
  <c r="AN39" i="1" a="1"/>
  <c r="AN38" i="1" a="1"/>
  <c r="AN38" i="1" s="1"/>
  <c r="L38" i="3" s="1"/>
  <c r="AN37" i="1"/>
  <c r="AN37" i="1" a="1"/>
  <c r="AN36" i="1" a="1"/>
  <c r="AN36" i="1" s="1"/>
  <c r="L36" i="3" s="1"/>
  <c r="AN35" i="1"/>
  <c r="L35" i="3" s="1"/>
  <c r="AN35" i="1" a="1"/>
  <c r="AN34" i="1" a="1"/>
  <c r="AN34" i="1" s="1"/>
  <c r="AN33" i="1" a="1"/>
  <c r="AN33" i="1" s="1"/>
  <c r="L33" i="3" s="1"/>
  <c r="AN32" i="1" a="1"/>
  <c r="AN32" i="1" s="1"/>
  <c r="AN31" i="1"/>
  <c r="AN31" i="1" a="1"/>
  <c r="AN30" i="1" a="1"/>
  <c r="AN30" i="1" s="1"/>
  <c r="L30" i="3" s="1"/>
  <c r="AN29" i="1" a="1"/>
  <c r="AN29" i="1" s="1"/>
  <c r="AN28" i="1" a="1"/>
  <c r="AN28" i="1" s="1"/>
  <c r="L28" i="3" s="1"/>
  <c r="AN27" i="1" a="1"/>
  <c r="AN27" i="1" s="1"/>
  <c r="L27" i="3" s="1"/>
  <c r="AN26" i="1" a="1"/>
  <c r="AN26" i="1" s="1"/>
  <c r="L26" i="3" s="1"/>
  <c r="AN25" i="1"/>
  <c r="L25" i="3" s="1"/>
  <c r="AN25" i="1" a="1"/>
  <c r="AN24" i="1" a="1"/>
  <c r="AN24" i="1" s="1"/>
  <c r="L24" i="3" s="1"/>
  <c r="AN23" i="1" a="1"/>
  <c r="AN23" i="1" s="1"/>
  <c r="L23" i="3" s="1"/>
  <c r="AN22" i="1"/>
  <c r="AN22" i="1" a="1"/>
  <c r="AN21" i="1" a="1"/>
  <c r="AN21" i="1" s="1"/>
  <c r="L21" i="3" s="1"/>
  <c r="AN20" i="1" a="1"/>
  <c r="AN20" i="1" s="1"/>
  <c r="L20" i="3" s="1"/>
  <c r="AN19" i="1"/>
  <c r="L19" i="3" s="1"/>
  <c r="AN19" i="1" a="1"/>
  <c r="AN18" i="1" a="1"/>
  <c r="AN18" i="1" s="1"/>
  <c r="L18" i="3" s="1"/>
  <c r="AN17" i="1" a="1"/>
  <c r="AN17" i="1" s="1"/>
  <c r="AN16" i="1"/>
  <c r="L16" i="3" s="1"/>
  <c r="AN16" i="1" a="1"/>
  <c r="AN15" i="1" a="1"/>
  <c r="AN15" i="1" s="1"/>
  <c r="AN14" i="1" a="1"/>
  <c r="AN14" i="1" s="1"/>
  <c r="L14" i="3" s="1"/>
  <c r="AN13" i="1" a="1"/>
  <c r="AN13" i="1" s="1"/>
  <c r="L13" i="3" s="1"/>
  <c r="AN12" i="1" a="1"/>
  <c r="AN12" i="1" s="1"/>
  <c r="L12" i="3" s="1"/>
  <c r="AN11" i="1" a="1"/>
  <c r="AN11" i="1" s="1"/>
  <c r="L11" i="3" s="1"/>
  <c r="AN10" i="1"/>
  <c r="L10" i="3" s="1"/>
  <c r="AN10" i="1" a="1"/>
  <c r="AN9" i="1" a="1"/>
  <c r="AN9" i="1" s="1"/>
  <c r="L9" i="3" s="1"/>
  <c r="AN8" i="1" a="1"/>
  <c r="AN8" i="1" s="1"/>
  <c r="L8" i="3" s="1"/>
  <c r="AN7" i="1"/>
  <c r="AN7" i="1" a="1"/>
  <c r="AN6" i="1" a="1"/>
  <c r="AN6" i="1" s="1"/>
  <c r="AN5" i="1" a="1"/>
  <c r="AN5" i="1" s="1"/>
  <c r="L5" i="3" s="1"/>
  <c r="AN4" i="1"/>
  <c r="AN4" i="1" a="1"/>
  <c r="AN3" i="1" a="1"/>
  <c r="AN3" i="1" s="1"/>
  <c r="L3" i="3" s="1"/>
  <c r="AN2" i="1" a="1"/>
  <c r="AN2" i="1" s="1"/>
  <c r="L743" i="3"/>
  <c r="L742" i="3"/>
  <c r="L737" i="3"/>
  <c r="L735" i="3"/>
  <c r="L734" i="3"/>
  <c r="L733" i="3"/>
  <c r="L731" i="3"/>
  <c r="L729" i="3"/>
  <c r="L728" i="3"/>
  <c r="L727" i="3"/>
  <c r="L726" i="3"/>
  <c r="L725" i="3"/>
  <c r="L720" i="3"/>
  <c r="L719" i="3"/>
  <c r="L717" i="3"/>
  <c r="L716" i="3"/>
  <c r="L715" i="3"/>
  <c r="L713" i="3"/>
  <c r="L712" i="3"/>
  <c r="L711" i="3"/>
  <c r="L708" i="3"/>
  <c r="L707" i="3"/>
  <c r="L706" i="3"/>
  <c r="L705" i="3"/>
  <c r="L704" i="3"/>
  <c r="L703" i="3"/>
  <c r="L701" i="3"/>
  <c r="L700" i="3"/>
  <c r="L699" i="3"/>
  <c r="L698" i="3"/>
  <c r="L697" i="3"/>
  <c r="L692" i="3"/>
  <c r="L691" i="3"/>
  <c r="L690" i="3"/>
  <c r="L689" i="3"/>
  <c r="L686" i="3"/>
  <c r="L685" i="3"/>
  <c r="L683" i="3"/>
  <c r="L681" i="3"/>
  <c r="L678" i="3"/>
  <c r="L675" i="3"/>
  <c r="L674" i="3"/>
  <c r="L673" i="3"/>
  <c r="L671" i="3"/>
  <c r="L670" i="3"/>
  <c r="L667" i="3"/>
  <c r="L666" i="3"/>
  <c r="L664" i="3"/>
  <c r="L663" i="3"/>
  <c r="L660" i="3"/>
  <c r="L659" i="3"/>
  <c r="L658" i="3"/>
  <c r="L657" i="3"/>
  <c r="L656" i="3"/>
  <c r="L655" i="3"/>
  <c r="L653" i="3"/>
  <c r="L652" i="3"/>
  <c r="L651" i="3"/>
  <c r="L646" i="3"/>
  <c r="L645" i="3"/>
  <c r="L644" i="3"/>
  <c r="L643" i="3"/>
  <c r="L641" i="3"/>
  <c r="L639" i="3"/>
  <c r="L638" i="3"/>
  <c r="L637" i="3"/>
  <c r="L636" i="3"/>
  <c r="L630" i="3"/>
  <c r="L629" i="3"/>
  <c r="L628" i="3"/>
  <c r="L625" i="3"/>
  <c r="L624" i="3"/>
  <c r="L623" i="3"/>
  <c r="L622" i="3"/>
  <c r="L621" i="3"/>
  <c r="L620" i="3"/>
  <c r="L615" i="3"/>
  <c r="L614" i="3"/>
  <c r="L613" i="3"/>
  <c r="L611" i="3"/>
  <c r="L610" i="3"/>
  <c r="L609" i="3"/>
  <c r="L608" i="3"/>
  <c r="L607" i="3"/>
  <c r="L606" i="3"/>
  <c r="L603" i="3"/>
  <c r="L601" i="3"/>
  <c r="L600" i="3"/>
  <c r="L599" i="3"/>
  <c r="L595" i="3"/>
  <c r="L594" i="3"/>
  <c r="L593" i="3"/>
  <c r="L592" i="3"/>
  <c r="L591" i="3"/>
  <c r="L587" i="3"/>
  <c r="L586" i="3"/>
  <c r="L585" i="3"/>
  <c r="L584" i="3"/>
  <c r="L583" i="3"/>
  <c r="L581" i="3"/>
  <c r="L580" i="3"/>
  <c r="L578" i="3"/>
  <c r="L577" i="3"/>
  <c r="L576" i="3"/>
  <c r="L573" i="3"/>
  <c r="L571" i="3"/>
  <c r="L569" i="3"/>
  <c r="L568" i="3"/>
  <c r="L566" i="3"/>
  <c r="L565" i="3"/>
  <c r="L563" i="3"/>
  <c r="L562" i="3"/>
  <c r="L561" i="3"/>
  <c r="L555" i="3"/>
  <c r="L554" i="3"/>
  <c r="L553" i="3"/>
  <c r="L552" i="3"/>
  <c r="L551" i="3"/>
  <c r="L550" i="3"/>
  <c r="L548" i="3"/>
  <c r="L547" i="3"/>
  <c r="L546" i="3"/>
  <c r="L545" i="3"/>
  <c r="L544" i="3"/>
  <c r="L540" i="3"/>
  <c r="L539" i="3"/>
  <c r="L538" i="3"/>
  <c r="L536" i="3"/>
  <c r="L535" i="3"/>
  <c r="L533" i="3"/>
  <c r="L532" i="3"/>
  <c r="L531" i="3"/>
  <c r="L527" i="3"/>
  <c r="L526" i="3"/>
  <c r="L524" i="3"/>
  <c r="L523" i="3"/>
  <c r="L520" i="3"/>
  <c r="L518" i="3"/>
  <c r="L517" i="3"/>
  <c r="L515" i="3"/>
  <c r="L511" i="3"/>
  <c r="L510" i="3"/>
  <c r="L509" i="3"/>
  <c r="L508" i="3"/>
  <c r="L506" i="3"/>
  <c r="L505" i="3"/>
  <c r="L503" i="3"/>
  <c r="L502" i="3"/>
  <c r="L501" i="3"/>
  <c r="L495" i="3"/>
  <c r="L494" i="3"/>
  <c r="L493" i="3"/>
  <c r="L491" i="3"/>
  <c r="L489" i="3"/>
  <c r="L485" i="3"/>
  <c r="L482" i="3"/>
  <c r="L480" i="3"/>
  <c r="L479" i="3"/>
  <c r="L478" i="3"/>
  <c r="L473" i="3"/>
  <c r="L471" i="3"/>
  <c r="L470" i="3"/>
  <c r="L465" i="3"/>
  <c r="L463" i="3"/>
  <c r="L462" i="3"/>
  <c r="L461" i="3"/>
  <c r="L457" i="3"/>
  <c r="L456" i="3"/>
  <c r="L455" i="3"/>
  <c r="L454" i="3"/>
  <c r="L449" i="3"/>
  <c r="L448" i="3"/>
  <c r="L447" i="3"/>
  <c r="L446" i="3"/>
  <c r="L445" i="3"/>
  <c r="L440" i="3"/>
  <c r="L434" i="3"/>
  <c r="L433" i="3"/>
  <c r="L432" i="3"/>
  <c r="L426" i="3"/>
  <c r="L423" i="3"/>
  <c r="L419" i="3"/>
  <c r="L418" i="3"/>
  <c r="L415" i="3"/>
  <c r="L414" i="3"/>
  <c r="L412" i="3"/>
  <c r="L410" i="3"/>
  <c r="L405" i="3"/>
  <c r="L404" i="3"/>
  <c r="L403" i="3"/>
  <c r="L396" i="3"/>
  <c r="L392" i="3"/>
  <c r="L391" i="3"/>
  <c r="L387" i="3"/>
  <c r="L385" i="3"/>
  <c r="L384" i="3"/>
  <c r="L382" i="3"/>
  <c r="L377" i="3"/>
  <c r="L376" i="3"/>
  <c r="L375" i="3"/>
  <c r="L373" i="3"/>
  <c r="L372" i="3"/>
  <c r="L368" i="3"/>
  <c r="L367" i="3"/>
  <c r="L365" i="3"/>
  <c r="L361" i="3"/>
  <c r="L359" i="3"/>
  <c r="L355" i="3"/>
  <c r="L354" i="3"/>
  <c r="L352" i="3"/>
  <c r="L345" i="3"/>
  <c r="L342" i="3"/>
  <c r="L340" i="3"/>
  <c r="L339" i="3"/>
  <c r="L337" i="3"/>
  <c r="L336" i="3"/>
  <c r="L334" i="3"/>
  <c r="L329" i="3"/>
  <c r="L328" i="3"/>
  <c r="L326" i="3"/>
  <c r="L325" i="3"/>
  <c r="L322" i="3"/>
  <c r="L321" i="3"/>
  <c r="L315" i="3"/>
  <c r="L314" i="3"/>
  <c r="L312" i="3"/>
  <c r="L311" i="3"/>
  <c r="L309" i="3"/>
  <c r="L307" i="3"/>
  <c r="L306" i="3"/>
  <c r="L298" i="3"/>
  <c r="L297" i="3"/>
  <c r="L295" i="3"/>
  <c r="L294" i="3"/>
  <c r="L291" i="3"/>
  <c r="L287" i="3"/>
  <c r="L286" i="3"/>
  <c r="L282" i="3"/>
  <c r="L281" i="3"/>
  <c r="L280" i="3"/>
  <c r="L275" i="3"/>
  <c r="L274" i="3"/>
  <c r="L270" i="3"/>
  <c r="L267" i="3"/>
  <c r="L266" i="3"/>
  <c r="L260" i="3"/>
  <c r="L259" i="3"/>
  <c r="L258" i="3"/>
  <c r="L256" i="3"/>
  <c r="L252" i="3"/>
  <c r="L251" i="3"/>
  <c r="L244" i="3"/>
  <c r="L242" i="3"/>
  <c r="L241" i="3"/>
  <c r="L239" i="3"/>
  <c r="L238" i="3"/>
  <c r="L237" i="3"/>
  <c r="L236" i="3"/>
  <c r="L231" i="3"/>
  <c r="L230" i="3"/>
  <c r="L229" i="3"/>
  <c r="L228" i="3"/>
  <c r="L221" i="3"/>
  <c r="L217" i="3"/>
  <c r="L213" i="3"/>
  <c r="L211" i="3"/>
  <c r="L210" i="3"/>
  <c r="L206" i="3"/>
  <c r="L205" i="3"/>
  <c r="L200" i="3"/>
  <c r="L199" i="3"/>
  <c r="L197" i="3"/>
  <c r="L196" i="3"/>
  <c r="L190" i="3"/>
  <c r="L189" i="3"/>
  <c r="L188" i="3"/>
  <c r="L184" i="3"/>
  <c r="L182" i="3"/>
  <c r="L181" i="3"/>
  <c r="L176" i="3"/>
  <c r="L175" i="3"/>
  <c r="L174" i="3"/>
  <c r="L173" i="3"/>
  <c r="L172" i="3"/>
  <c r="L167" i="3"/>
  <c r="L166" i="3"/>
  <c r="L161" i="3"/>
  <c r="L158" i="3"/>
  <c r="L157" i="3"/>
  <c r="L155" i="3"/>
  <c r="L154" i="3"/>
  <c r="L153" i="3"/>
  <c r="L148" i="3"/>
  <c r="L143" i="3"/>
  <c r="L135" i="3"/>
  <c r="L132" i="3"/>
  <c r="L130" i="3"/>
  <c r="L129" i="3"/>
  <c r="L127" i="3"/>
  <c r="L121" i="3"/>
  <c r="L120" i="3"/>
  <c r="L118" i="3"/>
  <c r="L115" i="3"/>
  <c r="L113" i="3"/>
  <c r="L106" i="3"/>
  <c r="L105" i="3"/>
  <c r="L104" i="3"/>
  <c r="L102" i="3"/>
  <c r="L101" i="3"/>
  <c r="L99" i="3"/>
  <c r="L97" i="3"/>
  <c r="L90" i="3"/>
  <c r="L83" i="3"/>
  <c r="L82" i="3"/>
  <c r="L78" i="3"/>
  <c r="L76" i="3"/>
  <c r="L70" i="3"/>
  <c r="L67" i="3"/>
  <c r="L62" i="3"/>
  <c r="L57" i="3"/>
  <c r="L55" i="3"/>
  <c r="L48" i="3"/>
  <c r="L46" i="3"/>
  <c r="L42" i="3"/>
  <c r="L37" i="3"/>
  <c r="L34" i="3"/>
  <c r="L32" i="3"/>
  <c r="L31" i="3"/>
  <c r="L29" i="3"/>
  <c r="L22" i="3"/>
  <c r="L17" i="3"/>
  <c r="L15" i="3"/>
  <c r="L7" i="3"/>
  <c r="L6" i="3"/>
  <c r="L4" i="3"/>
  <c r="AO7" i="1" a="1"/>
  <c r="AO7" i="1" s="1"/>
  <c r="AO4" i="1"/>
  <c r="AO2" i="1" a="1"/>
  <c r="AO2" i="1" s="1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AM744" i="1" a="1"/>
  <c r="AM744" i="1" s="1"/>
  <c r="AM743" i="1"/>
  <c r="AM743" i="1" a="1"/>
  <c r="AM742" i="1"/>
  <c r="AM742" i="1" a="1"/>
  <c r="AM741" i="1" a="1"/>
  <c r="AM741" i="1" s="1"/>
  <c r="AM740" i="1" a="1"/>
  <c r="AM740" i="1" s="1"/>
  <c r="AM739" i="1" a="1"/>
  <c r="AM739" i="1" s="1"/>
  <c r="AM738" i="1" a="1"/>
  <c r="AM738" i="1" s="1"/>
  <c r="AM737" i="1" a="1"/>
  <c r="AM737" i="1" s="1"/>
  <c r="AM736" i="1" a="1"/>
  <c r="AM736" i="1" s="1"/>
  <c r="AM735" i="1"/>
  <c r="AM735" i="1" a="1"/>
  <c r="AM734" i="1" a="1"/>
  <c r="AM734" i="1" s="1"/>
  <c r="AM733" i="1" a="1"/>
  <c r="AM733" i="1" s="1"/>
  <c r="AM732" i="1" a="1"/>
  <c r="AM732" i="1" s="1"/>
  <c r="AM731" i="1"/>
  <c r="AM731" i="1" a="1"/>
  <c r="AM730" i="1" a="1"/>
  <c r="AM730" i="1" s="1"/>
  <c r="AM729" i="1"/>
  <c r="AM729" i="1" a="1"/>
  <c r="AM728" i="1"/>
  <c r="AM728" i="1" a="1"/>
  <c r="AM727" i="1" a="1"/>
  <c r="AM727" i="1" s="1"/>
  <c r="AM726" i="1" a="1"/>
  <c r="AM726" i="1" s="1"/>
  <c r="AM725" i="1" a="1"/>
  <c r="AM725" i="1" s="1"/>
  <c r="AM724" i="1" a="1"/>
  <c r="AM724" i="1" s="1"/>
  <c r="AM723" i="1" a="1"/>
  <c r="AM723" i="1" s="1"/>
  <c r="AM722" i="1" a="1"/>
  <c r="AM722" i="1" s="1"/>
  <c r="AM721" i="1"/>
  <c r="AM721" i="1" a="1"/>
  <c r="AM720" i="1" a="1"/>
  <c r="AM720" i="1" s="1"/>
  <c r="AM719" i="1" a="1"/>
  <c r="AM719" i="1" s="1"/>
  <c r="AM718" i="1" a="1"/>
  <c r="AM718" i="1" s="1"/>
  <c r="AM717" i="1" a="1"/>
  <c r="AM717" i="1" s="1"/>
  <c r="AM716" i="1" a="1"/>
  <c r="AM716" i="1" s="1"/>
  <c r="AM715" i="1" a="1"/>
  <c r="AM715" i="1" s="1"/>
  <c r="AM714" i="1"/>
  <c r="AM714" i="1" a="1"/>
  <c r="AM713" i="1"/>
  <c r="AM713" i="1" a="1"/>
  <c r="AM712" i="1" a="1"/>
  <c r="AM712" i="1" s="1"/>
  <c r="AM711" i="1" a="1"/>
  <c r="AM711" i="1" s="1"/>
  <c r="AM710" i="1" a="1"/>
  <c r="AM710" i="1" s="1"/>
  <c r="AM709" i="1" a="1"/>
  <c r="AM709" i="1" s="1"/>
  <c r="AM708" i="1"/>
  <c r="AM708" i="1" a="1"/>
  <c r="AM707" i="1"/>
  <c r="AM707" i="1" a="1"/>
  <c r="AM706" i="1" a="1"/>
  <c r="AM706" i="1" s="1"/>
  <c r="AM705" i="1" a="1"/>
  <c r="AM705" i="1" s="1"/>
  <c r="AM704" i="1" a="1"/>
  <c r="AM704" i="1" s="1"/>
  <c r="AM703" i="1" a="1"/>
  <c r="AM703" i="1" s="1"/>
  <c r="AM702" i="1" a="1"/>
  <c r="AM702" i="1" s="1"/>
  <c r="AM701" i="1" a="1"/>
  <c r="AM701" i="1" s="1"/>
  <c r="AM700" i="1"/>
  <c r="AM700" i="1" a="1"/>
  <c r="AM699" i="1"/>
  <c r="AM699" i="1" a="1"/>
  <c r="AM698" i="1"/>
  <c r="AM698" i="1" a="1"/>
  <c r="AM697" i="1" a="1"/>
  <c r="AM697" i="1" s="1"/>
  <c r="AM696" i="1" a="1"/>
  <c r="AM696" i="1" s="1"/>
  <c r="AM695" i="1" a="1"/>
  <c r="AM695" i="1" s="1"/>
  <c r="AM694" i="1"/>
  <c r="AM694" i="1" a="1"/>
  <c r="AM693" i="1"/>
  <c r="AM693" i="1" a="1"/>
  <c r="AM692" i="1" a="1"/>
  <c r="AM692" i="1" s="1"/>
  <c r="AM691" i="1" a="1"/>
  <c r="AM691" i="1" s="1"/>
  <c r="AM690" i="1" a="1"/>
  <c r="AM690" i="1" s="1"/>
  <c r="AM689" i="1" a="1"/>
  <c r="AM689" i="1" s="1"/>
  <c r="AM688" i="1" a="1"/>
  <c r="AM688" i="1" s="1"/>
  <c r="AM687" i="1" a="1"/>
  <c r="AM687" i="1" s="1"/>
  <c r="AM686" i="1"/>
  <c r="AM686" i="1" a="1"/>
  <c r="AM685" i="1" a="1"/>
  <c r="AM685" i="1" s="1"/>
  <c r="AM684" i="1"/>
  <c r="AM684" i="1" a="1"/>
  <c r="AM683" i="1"/>
  <c r="AM683" i="1" a="1"/>
  <c r="AM682" i="1" a="1"/>
  <c r="AM682" i="1" s="1"/>
  <c r="AM681" i="1" a="1"/>
  <c r="AM681" i="1" s="1"/>
  <c r="AM680" i="1" a="1"/>
  <c r="AM680" i="1" s="1"/>
  <c r="AM679" i="1"/>
  <c r="AM679" i="1" a="1"/>
  <c r="AM678" i="1"/>
  <c r="AM678" i="1" a="1"/>
  <c r="AM677" i="1" a="1"/>
  <c r="AM677" i="1" s="1"/>
  <c r="AM676" i="1" a="1"/>
  <c r="AM676" i="1" s="1"/>
  <c r="AM675" i="1" a="1"/>
  <c r="AM675" i="1" s="1"/>
  <c r="AM674" i="1" a="1"/>
  <c r="AM674" i="1" s="1"/>
  <c r="AM673" i="1" a="1"/>
  <c r="AM673" i="1" s="1"/>
  <c r="AM672" i="1"/>
  <c r="AM672" i="1" a="1"/>
  <c r="AM671" i="1" a="1"/>
  <c r="AM671" i="1" s="1"/>
  <c r="AM670" i="1" a="1"/>
  <c r="AM670" i="1" s="1"/>
  <c r="AM669" i="1"/>
  <c r="AM669" i="1" a="1"/>
  <c r="AM668" i="1"/>
  <c r="AM668" i="1" a="1"/>
  <c r="AM667" i="1" a="1"/>
  <c r="AM667" i="1" s="1"/>
  <c r="AM666" i="1" a="1"/>
  <c r="AM666" i="1" s="1"/>
  <c r="AM665" i="1" a="1"/>
  <c r="AM665" i="1" s="1"/>
  <c r="AM664" i="1" a="1"/>
  <c r="AM664" i="1" s="1"/>
  <c r="AM663" i="1"/>
  <c r="AM663" i="1" a="1"/>
  <c r="AM662" i="1" a="1"/>
  <c r="AM662" i="1" s="1"/>
  <c r="AM661" i="1" a="1"/>
  <c r="AM661" i="1" s="1"/>
  <c r="AM660" i="1" a="1"/>
  <c r="AM660" i="1" s="1"/>
  <c r="AM659" i="1" a="1"/>
  <c r="AM659" i="1" s="1"/>
  <c r="AM658" i="1" a="1"/>
  <c r="AM658" i="1" s="1"/>
  <c r="AM657" i="1" a="1"/>
  <c r="AM657" i="1" s="1"/>
  <c r="AM656" i="1" a="1"/>
  <c r="AM656" i="1" s="1"/>
  <c r="AM655" i="1" a="1"/>
  <c r="AM655" i="1" s="1"/>
  <c r="AM654" i="1"/>
  <c r="AM654" i="1" a="1"/>
  <c r="AM653" i="1" a="1"/>
  <c r="AM653" i="1" s="1"/>
  <c r="AM652" i="1" a="1"/>
  <c r="AM652" i="1" s="1"/>
  <c r="AM651" i="1" a="1"/>
  <c r="AM651" i="1" s="1"/>
  <c r="AM650" i="1" a="1"/>
  <c r="AM650" i="1" s="1"/>
  <c r="AM649" i="1"/>
  <c r="AM649" i="1" a="1"/>
  <c r="AM648" i="1"/>
  <c r="AM648" i="1" a="1"/>
  <c r="AM647" i="1" a="1"/>
  <c r="AM647" i="1" s="1"/>
  <c r="AM646" i="1" a="1"/>
  <c r="AM646" i="1" s="1"/>
  <c r="AM645" i="1"/>
  <c r="AM645" i="1" a="1"/>
  <c r="AM644" i="1" a="1"/>
  <c r="AM644" i="1" s="1"/>
  <c r="AM643" i="1" a="1"/>
  <c r="AM643" i="1" s="1"/>
  <c r="AM642" i="1" a="1"/>
  <c r="AM642" i="1" s="1"/>
  <c r="AM641" i="1" a="1"/>
  <c r="AM641" i="1" s="1"/>
  <c r="AM640" i="1" a="1"/>
  <c r="AM640" i="1" s="1"/>
  <c r="AM639" i="1" a="1"/>
  <c r="AM639" i="1" s="1"/>
  <c r="AM638" i="1" a="1"/>
  <c r="AM638" i="1" s="1"/>
  <c r="AM637" i="1" a="1"/>
  <c r="AM637" i="1" s="1"/>
  <c r="AM636" i="1" a="1"/>
  <c r="AM636" i="1" s="1"/>
  <c r="AM635" i="1" a="1"/>
  <c r="AM635" i="1" s="1"/>
  <c r="AM634" i="1" a="1"/>
  <c r="AM634" i="1" s="1"/>
  <c r="AM633" i="1"/>
  <c r="AM633" i="1" a="1"/>
  <c r="AM632" i="1" a="1"/>
  <c r="AM632" i="1" s="1"/>
  <c r="AM631" i="1"/>
  <c r="AM631" i="1" a="1"/>
  <c r="AM630" i="1"/>
  <c r="AM630" i="1" a="1"/>
  <c r="AM629" i="1" a="1"/>
  <c r="AM629" i="1" s="1"/>
  <c r="AM628" i="1" a="1"/>
  <c r="AM628" i="1" s="1"/>
  <c r="AM627" i="1" a="1"/>
  <c r="AM627" i="1" s="1"/>
  <c r="AM626" i="1" a="1"/>
  <c r="AM626" i="1" s="1"/>
  <c r="AM625" i="1" a="1"/>
  <c r="AM625" i="1" s="1"/>
  <c r="AM624" i="1" a="1"/>
  <c r="AM624" i="1" s="1"/>
  <c r="AM623" i="1" a="1"/>
  <c r="AM623" i="1" s="1"/>
  <c r="AM622" i="1" a="1"/>
  <c r="AM622" i="1" s="1"/>
  <c r="AM621" i="1" a="1"/>
  <c r="AM621" i="1" s="1"/>
  <c r="AM620" i="1" a="1"/>
  <c r="AM620" i="1" s="1"/>
  <c r="AM619" i="1" a="1"/>
  <c r="AM619" i="1" s="1"/>
  <c r="AM618" i="1" a="1"/>
  <c r="AM618" i="1" s="1"/>
  <c r="AM617" i="1" a="1"/>
  <c r="AM617" i="1" s="1"/>
  <c r="AM616" i="1"/>
  <c r="AM616" i="1" a="1"/>
  <c r="AM615" i="1"/>
  <c r="AM615" i="1" a="1"/>
  <c r="AM614" i="1" a="1"/>
  <c r="AM614" i="1" s="1"/>
  <c r="AM613" i="1" a="1"/>
  <c r="AM613" i="1" s="1"/>
  <c r="AM612" i="1" a="1"/>
  <c r="AM612" i="1" s="1"/>
  <c r="AM611" i="1" a="1"/>
  <c r="AM611" i="1" s="1"/>
  <c r="AM610" i="1"/>
  <c r="AM610" i="1" a="1"/>
  <c r="AM609" i="1" a="1"/>
  <c r="AM609" i="1" s="1"/>
  <c r="AM608" i="1" a="1"/>
  <c r="AM608" i="1" s="1"/>
  <c r="AM607" i="1" a="1"/>
  <c r="AM607" i="1" s="1"/>
  <c r="AM606" i="1" a="1"/>
  <c r="AM606" i="1" s="1"/>
  <c r="AM605" i="1" a="1"/>
  <c r="AM605" i="1" s="1"/>
  <c r="AM604" i="1" a="1"/>
  <c r="AM604" i="1" s="1"/>
  <c r="AM603" i="1" a="1"/>
  <c r="AM603" i="1" s="1"/>
  <c r="AM602" i="1"/>
  <c r="AM602" i="1" a="1"/>
  <c r="AM601" i="1"/>
  <c r="AM601" i="1" a="1"/>
  <c r="AM600" i="1"/>
  <c r="AM600" i="1" a="1"/>
  <c r="AM599" i="1" a="1"/>
  <c r="AM599" i="1" s="1"/>
  <c r="AM598" i="1" a="1"/>
  <c r="AM598" i="1" s="1"/>
  <c r="AM597" i="1" a="1"/>
  <c r="AM597" i="1" s="1"/>
  <c r="AM596" i="1"/>
  <c r="AM596" i="1" a="1"/>
  <c r="AM595" i="1"/>
  <c r="AM595" i="1" a="1"/>
  <c r="AM594" i="1" a="1"/>
  <c r="AM594" i="1" s="1"/>
  <c r="AM593" i="1" a="1"/>
  <c r="AM593" i="1" s="1"/>
  <c r="AM592" i="1" a="1"/>
  <c r="AM592" i="1" s="1"/>
  <c r="AM591" i="1" a="1"/>
  <c r="AM591" i="1" s="1"/>
  <c r="AM590" i="1" a="1"/>
  <c r="AM590" i="1" s="1"/>
  <c r="AM589" i="1" a="1"/>
  <c r="AM589" i="1" s="1"/>
  <c r="AM588" i="1"/>
  <c r="AM588" i="1" a="1"/>
  <c r="AM587" i="1"/>
  <c r="AM587" i="1" a="1"/>
  <c r="AM586" i="1"/>
  <c r="AM586" i="1" a="1"/>
  <c r="AM585" i="1"/>
  <c r="AM585" i="1" a="1"/>
  <c r="AM584" i="1" a="1"/>
  <c r="AM584" i="1" s="1"/>
  <c r="AM583" i="1" a="1"/>
  <c r="AM583" i="1" s="1"/>
  <c r="AM582" i="1" a="1"/>
  <c r="AM582" i="1" s="1"/>
  <c r="AM581" i="1"/>
  <c r="AM581" i="1" a="1"/>
  <c r="AM580" i="1"/>
  <c r="AM580" i="1" a="1"/>
  <c r="AM579" i="1" a="1"/>
  <c r="AM579" i="1" s="1"/>
  <c r="AM578" i="1" a="1"/>
  <c r="AM578" i="1" s="1"/>
  <c r="AM577" i="1" a="1"/>
  <c r="AM577" i="1" s="1"/>
  <c r="AM576" i="1" a="1"/>
  <c r="AM576" i="1" s="1"/>
  <c r="AM575" i="1" a="1"/>
  <c r="AM575" i="1" s="1"/>
  <c r="AM574" i="1" a="1"/>
  <c r="AM574" i="1" s="1"/>
  <c r="AM573" i="1" a="1"/>
  <c r="AM573" i="1" s="1"/>
  <c r="AM572" i="1"/>
  <c r="AM572" i="1" a="1"/>
  <c r="AM571" i="1"/>
  <c r="AM571" i="1" a="1"/>
  <c r="AM570" i="1"/>
  <c r="AM570" i="1" a="1"/>
  <c r="AM569" i="1" a="1"/>
  <c r="AM569" i="1" s="1"/>
  <c r="AM568" i="1" a="1"/>
  <c r="AM568" i="1" s="1"/>
  <c r="AM567" i="1" a="1"/>
  <c r="AM567" i="1" s="1"/>
  <c r="AM566" i="1"/>
  <c r="AM566" i="1" a="1"/>
  <c r="AM565" i="1"/>
  <c r="AM565" i="1" a="1"/>
  <c r="AM564" i="1" a="1"/>
  <c r="AM564" i="1" s="1"/>
  <c r="AM563" i="1" a="1"/>
  <c r="AM563" i="1" s="1"/>
  <c r="AM562" i="1" a="1"/>
  <c r="AM562" i="1" s="1"/>
  <c r="AM561" i="1" a="1"/>
  <c r="AM561" i="1" s="1"/>
  <c r="AM560" i="1" a="1"/>
  <c r="AM560" i="1" s="1"/>
  <c r="AM559" i="1" a="1"/>
  <c r="AM559" i="1" s="1"/>
  <c r="AM558" i="1"/>
  <c r="AM558" i="1" a="1"/>
  <c r="AM557" i="1"/>
  <c r="AM557" i="1" a="1"/>
  <c r="AM556" i="1"/>
  <c r="AM556" i="1" a="1"/>
  <c r="AM555" i="1" a="1"/>
  <c r="AM555" i="1" s="1"/>
  <c r="AM554" i="1" a="1"/>
  <c r="AM554" i="1" s="1"/>
  <c r="AM553" i="1" a="1"/>
  <c r="AM553" i="1" s="1"/>
  <c r="AM552" i="1" a="1"/>
  <c r="AM552" i="1" s="1"/>
  <c r="AM551" i="1" a="1"/>
  <c r="AM551" i="1" s="1"/>
  <c r="AM550" i="1"/>
  <c r="AM550" i="1" a="1"/>
  <c r="AM549" i="1" a="1"/>
  <c r="AM549" i="1" s="1"/>
  <c r="AM548" i="1" a="1"/>
  <c r="AM548" i="1" s="1"/>
  <c r="AM547" i="1"/>
  <c r="AM547" i="1" a="1"/>
  <c r="AM546" i="1" a="1"/>
  <c r="AM546" i="1" s="1"/>
  <c r="AM545" i="1" a="1"/>
  <c r="AM545" i="1" s="1"/>
  <c r="AM544" i="1" a="1"/>
  <c r="AM544" i="1" s="1"/>
  <c r="AM543" i="1" a="1"/>
  <c r="AM543" i="1" s="1"/>
  <c r="AM542" i="1"/>
  <c r="AM542" i="1" a="1"/>
  <c r="AM541" i="1" a="1"/>
  <c r="AM541" i="1" s="1"/>
  <c r="AM540" i="1" a="1"/>
  <c r="AM540" i="1" s="1"/>
  <c r="AM539" i="1" a="1"/>
  <c r="AM539" i="1" s="1"/>
  <c r="AM538" i="1" a="1"/>
  <c r="AM538" i="1" s="1"/>
  <c r="AM537" i="1" a="1"/>
  <c r="AM537" i="1" s="1"/>
  <c r="AM536" i="1"/>
  <c r="AM536" i="1" a="1"/>
  <c r="AM535" i="1"/>
  <c r="AM535" i="1" a="1"/>
  <c r="AM534" i="1" a="1"/>
  <c r="AM534" i="1" s="1"/>
  <c r="AM533" i="1"/>
  <c r="AM533" i="1" a="1"/>
  <c r="AM532" i="1"/>
  <c r="AM532" i="1" a="1"/>
  <c r="AM531" i="1" a="1"/>
  <c r="AM531" i="1" s="1"/>
  <c r="AM530" i="1" a="1"/>
  <c r="AM530" i="1" s="1"/>
  <c r="AM529" i="1" a="1"/>
  <c r="AM529" i="1" s="1"/>
  <c r="AM528" i="1"/>
  <c r="AM528" i="1" a="1"/>
  <c r="AM527" i="1" a="1"/>
  <c r="AM527" i="1" s="1"/>
  <c r="AM526" i="1" a="1"/>
  <c r="AM526" i="1" s="1"/>
  <c r="AM525" i="1" a="1"/>
  <c r="AM525" i="1" s="1"/>
  <c r="AM524" i="1" a="1"/>
  <c r="AM524" i="1" s="1"/>
  <c r="AM523" i="1" a="1"/>
  <c r="AM523" i="1" s="1"/>
  <c r="AM522" i="1" a="1"/>
  <c r="AM522" i="1" s="1"/>
  <c r="AM521" i="1" a="1"/>
  <c r="AM521" i="1" s="1"/>
  <c r="AM520" i="1" a="1"/>
  <c r="AM520" i="1" s="1"/>
  <c r="AM519" i="1"/>
  <c r="AM519" i="1" a="1"/>
  <c r="AM518" i="1"/>
  <c r="AM518" i="1" a="1"/>
  <c r="AM517" i="1"/>
  <c r="AM517" i="1" a="1"/>
  <c r="AM516" i="1" a="1"/>
  <c r="AM516" i="1" s="1"/>
  <c r="AM515" i="1" a="1"/>
  <c r="AM515" i="1" s="1"/>
  <c r="AM514" i="1" a="1"/>
  <c r="AM514" i="1" s="1"/>
  <c r="AM513" i="1" a="1"/>
  <c r="AM513" i="1" s="1"/>
  <c r="AM512" i="1"/>
  <c r="AM512" i="1" a="1"/>
  <c r="AM511" i="1" a="1"/>
  <c r="AM511" i="1" s="1"/>
  <c r="AM510" i="1" a="1"/>
  <c r="AM510" i="1" s="1"/>
  <c r="AM509" i="1" a="1"/>
  <c r="AM509" i="1" s="1"/>
  <c r="AM508" i="1" a="1"/>
  <c r="AM508" i="1" s="1"/>
  <c r="AM507" i="1" a="1"/>
  <c r="AM507" i="1" s="1"/>
  <c r="AM506" i="1" a="1"/>
  <c r="AM506" i="1" s="1"/>
  <c r="AM505" i="1" a="1"/>
  <c r="AM505" i="1" s="1"/>
  <c r="AM504" i="1"/>
  <c r="AM504" i="1" a="1"/>
  <c r="AM503" i="1"/>
  <c r="AM503" i="1" a="1"/>
  <c r="AM502" i="1"/>
  <c r="AM502" i="1" a="1"/>
  <c r="AM501" i="1" a="1"/>
  <c r="AM501" i="1" s="1"/>
  <c r="AM500" i="1" a="1"/>
  <c r="AM500" i="1" s="1"/>
  <c r="AM499" i="1" a="1"/>
  <c r="AM499" i="1" s="1"/>
  <c r="AM498" i="1" a="1"/>
  <c r="AM498" i="1" s="1"/>
  <c r="AM497" i="1"/>
  <c r="AM497" i="1" a="1"/>
  <c r="AM496" i="1" a="1"/>
  <c r="AM496" i="1" s="1"/>
  <c r="AM495" i="1" a="1"/>
  <c r="AM495" i="1" s="1"/>
  <c r="AM494" i="1" a="1"/>
  <c r="AM494" i="1" s="1"/>
  <c r="AM493" i="1" a="1"/>
  <c r="AM493" i="1" s="1"/>
  <c r="AM492" i="1" a="1"/>
  <c r="AM492" i="1" s="1"/>
  <c r="AM491" i="1" a="1"/>
  <c r="AM491" i="1" s="1"/>
  <c r="AM490" i="1" a="1"/>
  <c r="AM490" i="1" s="1"/>
  <c r="AM489" i="1"/>
  <c r="AM489" i="1" a="1"/>
  <c r="AM488" i="1"/>
  <c r="AM488" i="1" a="1"/>
  <c r="AM487" i="1"/>
  <c r="AM487" i="1" a="1"/>
  <c r="AM486" i="1" a="1"/>
  <c r="AM486" i="1" s="1"/>
  <c r="AM485" i="1" a="1"/>
  <c r="AM485" i="1" s="1"/>
  <c r="AM484" i="1" a="1"/>
  <c r="AM484" i="1" s="1"/>
  <c r="AM483" i="1" a="1"/>
  <c r="AM483" i="1" s="1"/>
  <c r="AM482" i="1"/>
  <c r="AM482" i="1" a="1"/>
  <c r="AM481" i="1" a="1"/>
  <c r="AM481" i="1" s="1"/>
  <c r="AM480" i="1" a="1"/>
  <c r="AM480" i="1" s="1"/>
  <c r="AM479" i="1" a="1"/>
  <c r="AM479" i="1" s="1"/>
  <c r="AM478" i="1" a="1"/>
  <c r="AM478" i="1" s="1"/>
  <c r="AM477" i="1" a="1"/>
  <c r="AM477" i="1" s="1"/>
  <c r="AM476" i="1" a="1"/>
  <c r="AM476" i="1" s="1"/>
  <c r="AM475" i="1" a="1"/>
  <c r="AM475" i="1" s="1"/>
  <c r="AM474" i="1"/>
  <c r="AM474" i="1" a="1"/>
  <c r="AM473" i="1"/>
  <c r="AM473" i="1" a="1"/>
  <c r="AM472" i="1"/>
  <c r="AM472" i="1" a="1"/>
  <c r="AM471" i="1" a="1"/>
  <c r="AM471" i="1" s="1"/>
  <c r="AM470" i="1" a="1"/>
  <c r="AM470" i="1" s="1"/>
  <c r="AM469" i="1" a="1"/>
  <c r="AM469" i="1" s="1"/>
  <c r="AM468" i="1" a="1"/>
  <c r="AM468" i="1" s="1"/>
  <c r="AM467" i="1"/>
  <c r="AM467" i="1" a="1"/>
  <c r="AM466" i="1" a="1"/>
  <c r="AM466" i="1" s="1"/>
  <c r="AM465" i="1" a="1"/>
  <c r="AM465" i="1" s="1"/>
  <c r="AM464" i="1" a="1"/>
  <c r="AM464" i="1" s="1"/>
  <c r="AM463" i="1" a="1"/>
  <c r="AM463" i="1" s="1"/>
  <c r="AM462" i="1" a="1"/>
  <c r="AM462" i="1" s="1"/>
  <c r="AM461" i="1" a="1"/>
  <c r="AM461" i="1" s="1"/>
  <c r="AM460" i="1" a="1"/>
  <c r="AM460" i="1" s="1"/>
  <c r="AM459" i="1"/>
  <c r="AM459" i="1" a="1"/>
  <c r="AM458" i="1"/>
  <c r="AM458" i="1" a="1"/>
  <c r="AM457" i="1" a="1"/>
  <c r="AM457" i="1" s="1"/>
  <c r="AM456" i="1" a="1"/>
  <c r="AM456" i="1" s="1"/>
  <c r="AM455" i="1" a="1"/>
  <c r="AM455" i="1" s="1"/>
  <c r="AM454" i="1" a="1"/>
  <c r="AM454" i="1" s="1"/>
  <c r="AM453" i="1"/>
  <c r="AM453" i="1" a="1"/>
  <c r="AM452" i="1"/>
  <c r="AM452" i="1" a="1"/>
  <c r="AM451" i="1" a="1"/>
  <c r="AM451" i="1" s="1"/>
  <c r="AM450" i="1" a="1"/>
  <c r="AM450" i="1" s="1"/>
  <c r="AM449" i="1"/>
  <c r="AM449" i="1" a="1"/>
  <c r="AM448" i="1" a="1"/>
  <c r="AM448" i="1" s="1"/>
  <c r="AM447" i="1" a="1"/>
  <c r="AM447" i="1" s="1"/>
  <c r="AM446" i="1" a="1"/>
  <c r="AM446" i="1" s="1"/>
  <c r="AM445" i="1" a="1"/>
  <c r="AM445" i="1" s="1"/>
  <c r="AM444" i="1"/>
  <c r="AM444" i="1" a="1"/>
  <c r="AM443" i="1" a="1"/>
  <c r="AM443" i="1" s="1"/>
  <c r="AM442" i="1" a="1"/>
  <c r="AM442" i="1" s="1"/>
  <c r="AM441" i="1" a="1"/>
  <c r="AM441" i="1" s="1"/>
  <c r="AM440" i="1" a="1"/>
  <c r="AM440" i="1" s="1"/>
  <c r="AM439" i="1" a="1"/>
  <c r="AM439" i="1" s="1"/>
  <c r="AM438" i="1" a="1"/>
  <c r="AM438" i="1" s="1"/>
  <c r="AM437" i="1"/>
  <c r="AM437" i="1" a="1"/>
  <c r="AM436" i="1" a="1"/>
  <c r="AM436" i="1" s="1"/>
  <c r="AM435" i="1"/>
  <c r="AM435" i="1" a="1"/>
  <c r="AM434" i="1"/>
  <c r="AM434" i="1" a="1"/>
  <c r="AM433" i="1" a="1"/>
  <c r="AM433" i="1" s="1"/>
  <c r="AM432" i="1" a="1"/>
  <c r="AM432" i="1" s="1"/>
  <c r="AM431" i="1" a="1"/>
  <c r="AM431" i="1" s="1"/>
  <c r="AM430" i="1" a="1"/>
  <c r="AM430" i="1" s="1"/>
  <c r="AM429" i="1" a="1"/>
  <c r="AM429" i="1" s="1"/>
  <c r="AM428" i="1" a="1"/>
  <c r="AM428" i="1" s="1"/>
  <c r="AM427" i="1" a="1"/>
  <c r="AM427" i="1" s="1"/>
  <c r="AM426" i="1" a="1"/>
  <c r="AM426" i="1" s="1"/>
  <c r="AM425" i="1" a="1"/>
  <c r="AM425" i="1" s="1"/>
  <c r="AM424" i="1" a="1"/>
  <c r="AM424" i="1" s="1"/>
  <c r="AM423" i="1"/>
  <c r="AM423" i="1" a="1"/>
  <c r="AM422" i="1" a="1"/>
  <c r="AM422" i="1" s="1"/>
  <c r="AM421" i="1"/>
  <c r="AM421" i="1" a="1"/>
  <c r="AM420" i="1"/>
  <c r="AM420" i="1" a="1"/>
  <c r="AM419" i="1"/>
  <c r="AM419" i="1" a="1"/>
  <c r="AM418" i="1" a="1"/>
  <c r="AM418" i="1" s="1"/>
  <c r="AM417" i="1" a="1"/>
  <c r="AM417" i="1" s="1"/>
  <c r="AM416" i="1" a="1"/>
  <c r="AM416" i="1" s="1"/>
  <c r="AM415" i="1" a="1"/>
  <c r="AM415" i="1" s="1"/>
  <c r="AM414" i="1"/>
  <c r="AM414" i="1" a="1"/>
  <c r="AM413" i="1" a="1"/>
  <c r="AM413" i="1" s="1"/>
  <c r="AM412" i="1" a="1"/>
  <c r="AM412" i="1" s="1"/>
  <c r="AM411" i="1" a="1"/>
  <c r="AM411" i="1" s="1"/>
  <c r="AM410" i="1" a="1"/>
  <c r="AM410" i="1" s="1"/>
  <c r="AM409" i="1" a="1"/>
  <c r="AM409" i="1" s="1"/>
  <c r="AM408" i="1" a="1"/>
  <c r="AM408" i="1" s="1"/>
  <c r="AM407" i="1" a="1"/>
  <c r="AM407" i="1" s="1"/>
  <c r="AM406" i="1"/>
  <c r="AM406" i="1" a="1"/>
  <c r="AM405" i="1"/>
  <c r="AM405" i="1" a="1"/>
  <c r="AM404" i="1"/>
  <c r="AM404" i="1" a="1"/>
  <c r="AM403" i="1" a="1"/>
  <c r="AM403" i="1" s="1"/>
  <c r="AM402" i="1" a="1"/>
  <c r="AM402" i="1" s="1"/>
  <c r="AM401" i="1" a="1"/>
  <c r="AM401" i="1" s="1"/>
  <c r="AM400" i="1" a="1"/>
  <c r="AM400" i="1" s="1"/>
  <c r="AM399" i="1" a="1"/>
  <c r="AM399" i="1" s="1"/>
  <c r="AM398" i="1" a="1"/>
  <c r="AM398" i="1" s="1"/>
  <c r="AM397" i="1" a="1"/>
  <c r="AM397" i="1" s="1"/>
  <c r="AM396" i="1" a="1"/>
  <c r="AM396" i="1" s="1"/>
  <c r="AM395" i="1" a="1"/>
  <c r="AM395" i="1" s="1"/>
  <c r="AM394" i="1" a="1"/>
  <c r="AM394" i="1" s="1"/>
  <c r="AM393" i="1" a="1"/>
  <c r="AM393" i="1" s="1"/>
  <c r="AM392" i="1"/>
  <c r="AM392" i="1" a="1"/>
  <c r="AM391" i="1"/>
  <c r="AM391" i="1" a="1"/>
  <c r="AM390" i="1"/>
  <c r="AM390" i="1" a="1"/>
  <c r="AM389" i="1"/>
  <c r="AM389" i="1" a="1"/>
  <c r="AM388" i="1" a="1"/>
  <c r="AM388" i="1" s="1"/>
  <c r="AM387" i="1" a="1"/>
  <c r="AM387" i="1" s="1"/>
  <c r="AM386" i="1" a="1"/>
  <c r="AM386" i="1" s="1"/>
  <c r="AM385" i="1" a="1"/>
  <c r="AM385" i="1" s="1"/>
  <c r="AM384" i="1" a="1"/>
  <c r="AM384" i="1" s="1"/>
  <c r="AM383" i="1" a="1"/>
  <c r="AM383" i="1" s="1"/>
  <c r="AM382" i="1" a="1"/>
  <c r="AM382" i="1" s="1"/>
  <c r="AM381" i="1" a="1"/>
  <c r="AM381" i="1" s="1"/>
  <c r="AM380" i="1" a="1"/>
  <c r="AM380" i="1" s="1"/>
  <c r="AM379" i="1" a="1"/>
  <c r="AM379" i="1" s="1"/>
  <c r="AM378" i="1" a="1"/>
  <c r="AM378" i="1" s="1"/>
  <c r="AM377" i="1" a="1"/>
  <c r="AM377" i="1" s="1"/>
  <c r="AM376" i="1"/>
  <c r="AM376" i="1" a="1"/>
  <c r="AM375" i="1"/>
  <c r="AM375" i="1" a="1"/>
  <c r="AM374" i="1"/>
  <c r="AM374" i="1" a="1"/>
  <c r="AM373" i="1" a="1"/>
  <c r="AM373" i="1" s="1"/>
  <c r="AM372" i="1" a="1"/>
  <c r="AM372" i="1" s="1"/>
  <c r="AM371" i="1" a="1"/>
  <c r="AM371" i="1" s="1"/>
  <c r="AM370" i="1" a="1"/>
  <c r="AM370" i="1" s="1"/>
  <c r="AM369" i="1" a="1"/>
  <c r="AM369" i="1" s="1"/>
  <c r="AM368" i="1" a="1"/>
  <c r="AM368" i="1" s="1"/>
  <c r="AM367" i="1" a="1"/>
  <c r="AM367" i="1" s="1"/>
  <c r="AM366" i="1" a="1"/>
  <c r="AM366" i="1" s="1"/>
  <c r="AM365" i="1" a="1"/>
  <c r="AM365" i="1" s="1"/>
  <c r="AM364" i="1" a="1"/>
  <c r="AM364" i="1" s="1"/>
  <c r="AM363" i="1" a="1"/>
  <c r="AM363" i="1" s="1"/>
  <c r="AM362" i="1" a="1"/>
  <c r="AM362" i="1" s="1"/>
  <c r="AM361" i="1"/>
  <c r="AM361" i="1" a="1"/>
  <c r="AM360" i="1"/>
  <c r="AM360" i="1" a="1"/>
  <c r="AM359" i="1" a="1"/>
  <c r="AM359" i="1" s="1"/>
  <c r="AM358" i="1" a="1"/>
  <c r="AM358" i="1" s="1"/>
  <c r="AM357" i="1" a="1"/>
  <c r="AM357" i="1" s="1"/>
  <c r="AM356" i="1" a="1"/>
  <c r="AM356" i="1" s="1"/>
  <c r="AM355" i="1" a="1"/>
  <c r="AM355" i="1" s="1"/>
  <c r="AM354" i="1"/>
  <c r="AM354" i="1" a="1"/>
  <c r="AM353" i="1" a="1"/>
  <c r="AM353" i="1" s="1"/>
  <c r="AM352" i="1" a="1"/>
  <c r="AM352" i="1" s="1"/>
  <c r="AM351" i="1"/>
  <c r="AM351" i="1" a="1"/>
  <c r="AM350" i="1" a="1"/>
  <c r="AM350" i="1" s="1"/>
  <c r="AM349" i="1" a="1"/>
  <c r="AM349" i="1" s="1"/>
  <c r="AM348" i="1" a="1"/>
  <c r="AM348" i="1" s="1"/>
  <c r="AM347" i="1" a="1"/>
  <c r="AM347" i="1" s="1"/>
  <c r="AM346" i="1"/>
  <c r="AM346" i="1" a="1"/>
  <c r="AM345" i="1" a="1"/>
  <c r="AM345" i="1" s="1"/>
  <c r="AM344" i="1" a="1"/>
  <c r="AM344" i="1" s="1"/>
  <c r="AM343" i="1" a="1"/>
  <c r="AM343" i="1" s="1"/>
  <c r="AM342" i="1" a="1"/>
  <c r="AM342" i="1" s="1"/>
  <c r="AM341" i="1" a="1"/>
  <c r="AM341" i="1" s="1"/>
  <c r="AM340" i="1"/>
  <c r="AM340" i="1" a="1"/>
  <c r="AM339" i="1" a="1"/>
  <c r="AM339" i="1" s="1"/>
  <c r="AM338" i="1" a="1"/>
  <c r="AM338" i="1" s="1"/>
  <c r="AM337" i="1"/>
  <c r="AM337" i="1" a="1"/>
  <c r="AM336" i="1"/>
  <c r="AM336" i="1" a="1"/>
  <c r="AM335" i="1" a="1"/>
  <c r="AM335" i="1" s="1"/>
  <c r="AM334" i="1" a="1"/>
  <c r="AM334" i="1" s="1"/>
  <c r="AM333" i="1" a="1"/>
  <c r="AM333" i="1" s="1"/>
  <c r="AM332" i="1" a="1"/>
  <c r="AM332" i="1" s="1"/>
  <c r="AM331" i="1" a="1"/>
  <c r="AM331" i="1" s="1"/>
  <c r="AM330" i="1" a="1"/>
  <c r="AM330" i="1" s="1"/>
  <c r="AM329" i="1" a="1"/>
  <c r="AM329" i="1" s="1"/>
  <c r="AM328" i="1" a="1"/>
  <c r="AM328" i="1" s="1"/>
  <c r="AM327" i="1" a="1"/>
  <c r="AM327" i="1" s="1"/>
  <c r="AM326" i="1" a="1"/>
  <c r="AM326" i="1" s="1"/>
  <c r="AM325" i="1" a="1"/>
  <c r="AM325" i="1" s="1"/>
  <c r="AM324" i="1" a="1"/>
  <c r="AM324" i="1" s="1"/>
  <c r="AM323" i="1"/>
  <c r="AM323" i="1" a="1"/>
  <c r="AM322" i="1"/>
  <c r="AM322" i="1" a="1"/>
  <c r="AM321" i="1"/>
  <c r="AM321" i="1" a="1"/>
  <c r="AM320" i="1" a="1"/>
  <c r="AM320" i="1" s="1"/>
  <c r="AM319" i="1" a="1"/>
  <c r="AM319" i="1" s="1"/>
  <c r="AM318" i="1" a="1"/>
  <c r="AM318" i="1" s="1"/>
  <c r="AM317" i="1" a="1"/>
  <c r="AM317" i="1" s="1"/>
  <c r="AM316" i="1" a="1"/>
  <c r="AM316" i="1" s="1"/>
  <c r="AM315" i="1" a="1"/>
  <c r="AM315" i="1" s="1"/>
  <c r="AM314" i="1" a="1"/>
  <c r="AM314" i="1" s="1"/>
  <c r="AM313" i="1" a="1"/>
  <c r="AM313" i="1" s="1"/>
  <c r="AM312" i="1" a="1"/>
  <c r="AM312" i="1" s="1"/>
  <c r="AM311" i="1" a="1"/>
  <c r="AM311" i="1" s="1"/>
  <c r="AM310" i="1" a="1"/>
  <c r="AM310" i="1" s="1"/>
  <c r="AM309" i="1" a="1"/>
  <c r="AM309" i="1" s="1"/>
  <c r="AM308" i="1"/>
  <c r="AM308" i="1" a="1"/>
  <c r="AM307" i="1"/>
  <c r="AM307" i="1" a="1"/>
  <c r="AM306" i="1"/>
  <c r="AM306" i="1" a="1"/>
  <c r="AM305" i="1" a="1"/>
  <c r="AM305" i="1" s="1"/>
  <c r="AM304" i="1" a="1"/>
  <c r="AM304" i="1" s="1"/>
  <c r="AM303" i="1" a="1"/>
  <c r="AM303" i="1" s="1"/>
  <c r="AM302" i="1"/>
  <c r="AM302" i="1" a="1"/>
  <c r="AM301" i="1" a="1"/>
  <c r="AM301" i="1" s="1"/>
  <c r="AM300" i="1" a="1"/>
  <c r="AM300" i="1" s="1"/>
  <c r="AM299" i="1" a="1"/>
  <c r="AM299" i="1" s="1"/>
  <c r="AM298" i="1" a="1"/>
  <c r="AM298" i="1" s="1"/>
  <c r="AM297" i="1" a="1"/>
  <c r="AM297" i="1" s="1"/>
  <c r="AM296" i="1" a="1"/>
  <c r="AM296" i="1" s="1"/>
  <c r="AM295" i="1" a="1"/>
  <c r="AM295" i="1" s="1"/>
  <c r="AM294" i="1" a="1"/>
  <c r="AM294" i="1" s="1"/>
  <c r="AM293" i="1"/>
  <c r="AM293" i="1" a="1"/>
  <c r="AM292" i="1"/>
  <c r="AM292" i="1" a="1"/>
  <c r="AM291" i="1"/>
  <c r="AM291" i="1" a="1"/>
  <c r="AM290" i="1" a="1"/>
  <c r="AM290" i="1" s="1"/>
  <c r="AM289" i="1" a="1"/>
  <c r="AM289" i="1" s="1"/>
  <c r="AM288" i="1" a="1"/>
  <c r="AM288" i="1" s="1"/>
  <c r="AM287" i="1" a="1"/>
  <c r="AM287" i="1" s="1"/>
  <c r="AM286" i="1" a="1"/>
  <c r="AM286" i="1" s="1"/>
  <c r="AM285" i="1" a="1"/>
  <c r="AM285" i="1" s="1"/>
  <c r="AM284" i="1" a="1"/>
  <c r="AM284" i="1" s="1"/>
  <c r="AM283" i="1" a="1"/>
  <c r="AM283" i="1" s="1"/>
  <c r="AM282" i="1" a="1"/>
  <c r="AM282" i="1" s="1"/>
  <c r="AM281" i="1" a="1"/>
  <c r="AM281" i="1" s="1"/>
  <c r="AM280" i="1" a="1"/>
  <c r="AM280" i="1" s="1"/>
  <c r="AM279" i="1"/>
  <c r="AM279" i="1" a="1"/>
  <c r="AM278" i="1"/>
  <c r="AM278" i="1" a="1"/>
  <c r="AM277" i="1"/>
  <c r="AM277" i="1" a="1"/>
  <c r="AM276" i="1"/>
  <c r="AM276" i="1" a="1"/>
  <c r="AM275" i="1" a="1"/>
  <c r="AM275" i="1" s="1"/>
  <c r="AM274" i="1" a="1"/>
  <c r="AM274" i="1" s="1"/>
  <c r="AM273" i="1" a="1"/>
  <c r="AM273" i="1" s="1"/>
  <c r="AM272" i="1" a="1"/>
  <c r="AM272" i="1" s="1"/>
  <c r="AM271" i="1" a="1"/>
  <c r="AM271" i="1" s="1"/>
  <c r="AM270" i="1" a="1"/>
  <c r="AM270" i="1" s="1"/>
  <c r="AM269" i="1" a="1"/>
  <c r="AM269" i="1" s="1"/>
  <c r="AM268" i="1" a="1"/>
  <c r="AM268" i="1" s="1"/>
  <c r="AM267" i="1" a="1"/>
  <c r="AM267" i="1" s="1"/>
  <c r="AM266" i="1" a="1"/>
  <c r="AM266" i="1" s="1"/>
  <c r="AM265" i="1" a="1"/>
  <c r="AM265" i="1" s="1"/>
  <c r="AM264" i="1" a="1"/>
  <c r="AM264" i="1" s="1"/>
  <c r="AM263" i="1"/>
  <c r="AM263" i="1" a="1"/>
  <c r="AM262" i="1"/>
  <c r="AM262" i="1" a="1"/>
  <c r="AM261" i="1" a="1"/>
  <c r="AM261" i="1" s="1"/>
  <c r="AM260" i="1" a="1"/>
  <c r="AM260" i="1" s="1"/>
  <c r="AM259" i="1" a="1"/>
  <c r="AM259" i="1" s="1"/>
  <c r="AM258" i="1" a="1"/>
  <c r="AM258" i="1" s="1"/>
  <c r="AM257" i="1" a="1"/>
  <c r="AM257" i="1" s="1"/>
  <c r="AM256" i="1" a="1"/>
  <c r="AM256" i="1" s="1"/>
  <c r="AM255" i="1" a="1"/>
  <c r="AM255" i="1" s="1"/>
  <c r="AM254" i="1" a="1"/>
  <c r="AM254" i="1" s="1"/>
  <c r="AM253" i="1"/>
  <c r="AM253" i="1" a="1"/>
  <c r="AM252" i="1" a="1"/>
  <c r="AM252" i="1" s="1"/>
  <c r="AM251" i="1" a="1"/>
  <c r="AM251" i="1" s="1"/>
  <c r="AM250" i="1"/>
  <c r="AM250" i="1" a="1"/>
  <c r="AM249" i="1" a="1"/>
  <c r="AM249" i="1" s="1"/>
  <c r="AM248" i="1"/>
  <c r="AM248" i="1" a="1"/>
  <c r="AM247" i="1" a="1"/>
  <c r="AM247" i="1" s="1"/>
  <c r="AM246" i="1" a="1"/>
  <c r="AM246" i="1" s="1"/>
  <c r="AM245" i="1" a="1"/>
  <c r="AM245" i="1" s="1"/>
  <c r="AM244" i="1" a="1"/>
  <c r="AM244" i="1" s="1"/>
  <c r="AM243" i="1" a="1"/>
  <c r="AM243" i="1" s="1"/>
  <c r="AM242" i="1" a="1"/>
  <c r="AM242" i="1" s="1"/>
  <c r="AM241" i="1" a="1"/>
  <c r="AM241" i="1" s="1"/>
  <c r="AM240" i="1" a="1"/>
  <c r="AM240" i="1" s="1"/>
  <c r="AM239" i="1"/>
  <c r="AM239" i="1" a="1"/>
  <c r="AM238" i="1"/>
  <c r="AM238" i="1" a="1"/>
  <c r="AM237" i="1" a="1"/>
  <c r="AM237" i="1" s="1"/>
  <c r="AM236" i="1" a="1"/>
  <c r="AM236" i="1" s="1"/>
  <c r="AM235" i="1" a="1"/>
  <c r="AM235" i="1" s="1"/>
  <c r="AM234" i="1"/>
  <c r="AM234" i="1" a="1"/>
  <c r="AM233" i="1" a="1"/>
  <c r="AM233" i="1" s="1"/>
  <c r="AM232" i="1" a="1"/>
  <c r="AM232" i="1" s="1"/>
  <c r="AM231" i="1" a="1"/>
  <c r="AM231" i="1" s="1"/>
  <c r="AM230" i="1" a="1"/>
  <c r="AM230" i="1" s="1"/>
  <c r="AM229" i="1" a="1"/>
  <c r="AM229" i="1" s="1"/>
  <c r="AM228" i="1" a="1"/>
  <c r="AM228" i="1" s="1"/>
  <c r="AM227" i="1" a="1"/>
  <c r="AM227" i="1" s="1"/>
  <c r="AM226" i="1" a="1"/>
  <c r="AM226" i="1" s="1"/>
  <c r="AM225" i="1"/>
  <c r="AM225" i="1" a="1"/>
  <c r="AM224" i="1"/>
  <c r="AM224" i="1" a="1"/>
  <c r="AM223" i="1"/>
  <c r="AM223" i="1" a="1"/>
  <c r="AM222" i="1" a="1"/>
  <c r="AM222" i="1" s="1"/>
  <c r="AM221" i="1" a="1"/>
  <c r="AM221" i="1" s="1"/>
  <c r="AM220" i="1" a="1"/>
  <c r="AM220" i="1" s="1"/>
  <c r="AM219" i="1" a="1"/>
  <c r="AM219" i="1" s="1"/>
  <c r="AM218" i="1" a="1"/>
  <c r="AM218" i="1" s="1"/>
  <c r="AM217" i="1" a="1"/>
  <c r="AM217" i="1" s="1"/>
  <c r="AM216" i="1" a="1"/>
  <c r="AM216" i="1" s="1"/>
  <c r="AM215" i="1" a="1"/>
  <c r="AM215" i="1" s="1"/>
  <c r="AM214" i="1" a="1"/>
  <c r="AM214" i="1" s="1"/>
  <c r="AM213" i="1" a="1"/>
  <c r="AM213" i="1" s="1"/>
  <c r="AM212" i="1" a="1"/>
  <c r="AM212" i="1" s="1"/>
  <c r="AM211" i="1" a="1"/>
  <c r="AM211" i="1" s="1"/>
  <c r="AM210" i="1"/>
  <c r="AM210" i="1" a="1"/>
  <c r="AM209" i="1"/>
  <c r="AM209" i="1" a="1"/>
  <c r="AM208" i="1"/>
  <c r="AM208" i="1" a="1"/>
  <c r="AM207" i="1" a="1"/>
  <c r="AM207" i="1" s="1"/>
  <c r="AM206" i="1" a="1"/>
  <c r="AM206" i="1" s="1"/>
  <c r="AM205" i="1" a="1"/>
  <c r="AM205" i="1" s="1"/>
  <c r="AM204" i="1" a="1"/>
  <c r="AM204" i="1" s="1"/>
  <c r="AM203" i="1" a="1"/>
  <c r="AM203" i="1" s="1"/>
  <c r="AM202" i="1" a="1"/>
  <c r="AM202" i="1" s="1"/>
  <c r="AM201" i="1" a="1"/>
  <c r="AM201" i="1" s="1"/>
  <c r="AM200" i="1" a="1"/>
  <c r="AM200" i="1" s="1"/>
  <c r="AM199" i="1" a="1"/>
  <c r="AM199" i="1" s="1"/>
  <c r="AM198" i="1" a="1"/>
  <c r="AM198" i="1" s="1"/>
  <c r="AM197" i="1" a="1"/>
  <c r="AM197" i="1" s="1"/>
  <c r="AM196" i="1" a="1"/>
  <c r="AM196" i="1" s="1"/>
  <c r="AM195" i="1"/>
  <c r="AM195" i="1" a="1"/>
  <c r="AM194" i="1"/>
  <c r="AM194" i="1" a="1"/>
  <c r="AM193" i="1"/>
  <c r="AM193" i="1" a="1"/>
  <c r="AM192" i="1" a="1"/>
  <c r="AM192" i="1" s="1"/>
  <c r="AM191" i="1" a="1"/>
  <c r="AM191" i="1" s="1"/>
  <c r="AM190" i="1" a="1"/>
  <c r="AM190" i="1" s="1"/>
  <c r="AM189" i="1" a="1"/>
  <c r="AM189" i="1" s="1"/>
  <c r="AM188" i="1" a="1"/>
  <c r="AM188" i="1" s="1"/>
  <c r="AM187" i="1" a="1"/>
  <c r="AM187" i="1" s="1"/>
  <c r="AM186" i="1" a="1"/>
  <c r="AM186" i="1" s="1"/>
  <c r="AM185" i="1" a="1"/>
  <c r="AM185" i="1" s="1"/>
  <c r="AM184" i="1" a="1"/>
  <c r="AM184" i="1" s="1"/>
  <c r="AM183" i="1" a="1"/>
  <c r="AM183" i="1" s="1"/>
  <c r="AM182" i="1" a="1"/>
  <c r="AM182" i="1" s="1"/>
  <c r="AM181" i="1"/>
  <c r="AM181" i="1" a="1"/>
  <c r="AM180" i="1"/>
  <c r="AM180" i="1" a="1"/>
  <c r="AM179" i="1"/>
  <c r="AM179" i="1" a="1"/>
  <c r="AM178" i="1"/>
  <c r="AM178" i="1" a="1"/>
  <c r="AM177" i="1" a="1"/>
  <c r="AM177" i="1" s="1"/>
  <c r="AM176" i="1" a="1"/>
  <c r="AM176" i="1" s="1"/>
  <c r="AM175" i="1" a="1"/>
  <c r="AM175" i="1" s="1"/>
  <c r="AM174" i="1" a="1"/>
  <c r="AM174" i="1" s="1"/>
  <c r="AM173" i="1" a="1"/>
  <c r="AM173" i="1" s="1"/>
  <c r="AM172" i="1" a="1"/>
  <c r="AM172" i="1" s="1"/>
  <c r="AM171" i="1" a="1"/>
  <c r="AM171" i="1" s="1"/>
  <c r="AM170" i="1" a="1"/>
  <c r="AM170" i="1" s="1"/>
  <c r="AM169" i="1" a="1"/>
  <c r="AM169" i="1" s="1"/>
  <c r="AM168" i="1" a="1"/>
  <c r="AM168" i="1" s="1"/>
  <c r="AM167" i="1" a="1"/>
  <c r="AM167" i="1" s="1"/>
  <c r="AM166" i="1" a="1"/>
  <c r="AM166" i="1" s="1"/>
  <c r="AM165" i="1"/>
  <c r="AM165" i="1" a="1"/>
  <c r="AM164" i="1"/>
  <c r="AM164" i="1" a="1"/>
  <c r="AM163" i="1" a="1"/>
  <c r="AM163" i="1" s="1"/>
  <c r="AM162" i="1" a="1"/>
  <c r="AM162" i="1" s="1"/>
  <c r="AM161" i="1" a="1"/>
  <c r="AM161" i="1" s="1"/>
  <c r="AM160" i="1" a="1"/>
  <c r="AM160" i="1" s="1"/>
  <c r="AM159" i="1" a="1"/>
  <c r="AM159" i="1" s="1"/>
  <c r="AM158" i="1" a="1"/>
  <c r="AM158" i="1" s="1"/>
  <c r="AM157" i="1" a="1"/>
  <c r="AM157" i="1" s="1"/>
  <c r="AM156" i="1" a="1"/>
  <c r="AM156" i="1" s="1"/>
  <c r="AM155" i="1"/>
  <c r="AM155" i="1" a="1"/>
  <c r="AM154" i="1" a="1"/>
  <c r="AM154" i="1" s="1"/>
  <c r="AM153" i="1" a="1"/>
  <c r="AM153" i="1" s="1"/>
  <c r="AM152" i="1"/>
  <c r="AM152" i="1" a="1"/>
  <c r="AM151" i="1" a="1"/>
  <c r="AM151" i="1" s="1"/>
  <c r="AM150" i="1"/>
  <c r="AM150" i="1" a="1"/>
  <c r="AM149" i="1"/>
  <c r="AM149" i="1" a="1"/>
  <c r="AM148" i="1"/>
  <c r="AM148" i="1" a="1"/>
  <c r="AM147" i="1" a="1"/>
  <c r="AM147" i="1" s="1"/>
  <c r="AM146" i="1" a="1"/>
  <c r="AM146" i="1" s="1"/>
  <c r="AM145" i="1" a="1"/>
  <c r="AM145" i="1" s="1"/>
  <c r="AM144" i="1"/>
  <c r="AM144" i="1" a="1"/>
  <c r="AM143" i="1"/>
  <c r="AM143" i="1" a="1"/>
  <c r="AM142" i="1"/>
  <c r="AM142" i="1" a="1"/>
  <c r="AM141" i="1"/>
  <c r="AM141" i="1" a="1"/>
  <c r="AM140" i="1" a="1"/>
  <c r="AM140" i="1" s="1"/>
  <c r="AM139" i="1" a="1"/>
  <c r="AM139" i="1" s="1"/>
  <c r="AM138" i="1"/>
  <c r="AM138" i="1" a="1"/>
  <c r="AM137" i="1" a="1"/>
  <c r="AM137" i="1" s="1"/>
  <c r="AM136" i="1"/>
  <c r="AM136" i="1" a="1"/>
  <c r="AM135" i="1"/>
  <c r="AM135" i="1" a="1"/>
  <c r="AM134" i="1"/>
  <c r="AM134" i="1" a="1"/>
  <c r="AM133" i="1" a="1"/>
  <c r="AM133" i="1" s="1"/>
  <c r="AM132" i="1" a="1"/>
  <c r="AM132" i="1" s="1"/>
  <c r="AM131" i="1" a="1"/>
  <c r="AM131" i="1" s="1"/>
  <c r="AM130" i="1"/>
  <c r="AM130" i="1" a="1"/>
  <c r="AM129" i="1"/>
  <c r="AM129" i="1" a="1"/>
  <c r="AM128" i="1"/>
  <c r="AM128" i="1" a="1"/>
  <c r="AM127" i="1"/>
  <c r="AM127" i="1" a="1"/>
  <c r="AM126" i="1" a="1"/>
  <c r="AM126" i="1" s="1"/>
  <c r="AM125" i="1" a="1"/>
  <c r="AM125" i="1" s="1"/>
  <c r="AM124" i="1" a="1"/>
  <c r="AM124" i="1" s="1"/>
  <c r="AM123" i="1" a="1"/>
  <c r="AM123" i="1" s="1"/>
  <c r="AM122" i="1"/>
  <c r="AM122" i="1" a="1"/>
  <c r="AM121" i="1"/>
  <c r="AM121" i="1" a="1"/>
  <c r="AM120" i="1"/>
  <c r="AM120" i="1" a="1"/>
  <c r="AM119" i="1" a="1"/>
  <c r="AM119" i="1" s="1"/>
  <c r="AM118" i="1" a="1"/>
  <c r="AM118" i="1" s="1"/>
  <c r="AM117" i="1" a="1"/>
  <c r="AM117" i="1" s="1"/>
  <c r="AM116" i="1" a="1"/>
  <c r="AM116" i="1" s="1"/>
  <c r="AM115" i="1"/>
  <c r="AM115" i="1" a="1"/>
  <c r="AM114" i="1"/>
  <c r="AM114" i="1" a="1"/>
  <c r="AM113" i="1"/>
  <c r="AM113" i="1" a="1"/>
  <c r="AM112" i="1" a="1"/>
  <c r="AM112" i="1" s="1"/>
  <c r="AM111" i="1" a="1"/>
  <c r="AM111" i="1" s="1"/>
  <c r="AM110" i="1" a="1"/>
  <c r="AM110" i="1" s="1"/>
  <c r="AM109" i="1" a="1"/>
  <c r="AM109" i="1" s="1"/>
  <c r="AM108" i="1"/>
  <c r="AM108" i="1" a="1"/>
  <c r="AM107" i="1"/>
  <c r="AM107" i="1" a="1"/>
  <c r="AM106" i="1"/>
  <c r="AM106" i="1" a="1"/>
  <c r="AM105" i="1" a="1"/>
  <c r="AM105" i="1" s="1"/>
  <c r="AM104" i="1" a="1"/>
  <c r="AM104" i="1" s="1"/>
  <c r="AM103" i="1"/>
  <c r="AM103" i="1" a="1"/>
  <c r="AM102" i="1" a="1"/>
  <c r="AM102" i="1" s="1"/>
  <c r="AM101" i="1"/>
  <c r="AM101" i="1" a="1"/>
  <c r="AM100" i="1"/>
  <c r="AM100" i="1" a="1"/>
  <c r="AM99" i="1"/>
  <c r="AM99" i="1" a="1"/>
  <c r="AM98" i="1" a="1"/>
  <c r="AM98" i="1" s="1"/>
  <c r="AM97" i="1" a="1"/>
  <c r="AM97" i="1" s="1"/>
  <c r="AM96" i="1" a="1"/>
  <c r="AM96" i="1" s="1"/>
  <c r="AM95" i="1"/>
  <c r="AM95" i="1" a="1"/>
  <c r="AM94" i="1"/>
  <c r="AM94" i="1" a="1"/>
  <c r="AM93" i="1"/>
  <c r="AM93" i="1" a="1"/>
  <c r="AM92" i="1"/>
  <c r="AM92" i="1" a="1"/>
  <c r="AM91" i="1" a="1"/>
  <c r="AM91" i="1" s="1"/>
  <c r="AM90" i="1" a="1"/>
  <c r="AM90" i="1" s="1"/>
  <c r="AM89" i="1"/>
  <c r="AM89" i="1" a="1"/>
  <c r="AM88" i="1" a="1"/>
  <c r="AM88" i="1" s="1"/>
  <c r="AM87" i="1"/>
  <c r="AM87" i="1" a="1"/>
  <c r="AM86" i="1"/>
  <c r="AM86" i="1" a="1"/>
  <c r="AM85" i="1"/>
  <c r="AM85" i="1" a="1"/>
  <c r="AM84" i="1" a="1"/>
  <c r="AM84" i="1" s="1"/>
  <c r="AM83" i="1" a="1"/>
  <c r="AM83" i="1" s="1"/>
  <c r="AM82" i="1" a="1"/>
  <c r="AM82" i="1" s="1"/>
  <c r="AM81" i="1"/>
  <c r="AM81" i="1" a="1"/>
  <c r="AM80" i="1"/>
  <c r="AM80" i="1" a="1"/>
  <c r="AM79" i="1"/>
  <c r="AM79" i="1" a="1"/>
  <c r="AM78" i="1"/>
  <c r="AM78" i="1" a="1"/>
  <c r="AM77" i="1" a="1"/>
  <c r="AM77" i="1" s="1"/>
  <c r="AM76" i="1" a="1"/>
  <c r="AM76" i="1" s="1"/>
  <c r="AM75" i="1" a="1"/>
  <c r="AM75" i="1" s="1"/>
  <c r="AM74" i="1" a="1"/>
  <c r="AM74" i="1" s="1"/>
  <c r="AM73" i="1"/>
  <c r="AM73" i="1" a="1"/>
  <c r="AM72" i="1"/>
  <c r="AM72" i="1" a="1"/>
  <c r="AM71" i="1"/>
  <c r="AM71" i="1" a="1"/>
  <c r="AM70" i="1" a="1"/>
  <c r="AM70" i="1" s="1"/>
  <c r="AM69" i="1" a="1"/>
  <c r="AM69" i="1" s="1"/>
  <c r="AM68" i="1" a="1"/>
  <c r="AM68" i="1" s="1"/>
  <c r="AM67" i="1" a="1"/>
  <c r="AM67" i="1" s="1"/>
  <c r="AM66" i="1"/>
  <c r="AM66" i="1" a="1"/>
  <c r="AM65" i="1"/>
  <c r="AM65" i="1" a="1"/>
  <c r="AM64" i="1"/>
  <c r="AM64" i="1" a="1"/>
  <c r="AM63" i="1" a="1"/>
  <c r="AM63" i="1" s="1"/>
  <c r="AM62" i="1" a="1"/>
  <c r="AM62" i="1" s="1"/>
  <c r="AM61" i="1" a="1"/>
  <c r="AM61" i="1" s="1"/>
  <c r="AM60" i="1" a="1"/>
  <c r="AM60" i="1" s="1"/>
  <c r="AM59" i="1"/>
  <c r="AM59" i="1" a="1"/>
  <c r="AM58" i="1"/>
  <c r="AM58" i="1" a="1"/>
  <c r="AM57" i="1"/>
  <c r="AM57" i="1" a="1"/>
  <c r="AM56" i="1" a="1"/>
  <c r="AM56" i="1" s="1"/>
  <c r="AM55" i="1" a="1"/>
  <c r="AM55" i="1" s="1"/>
  <c r="AM54" i="1"/>
  <c r="AM54" i="1" a="1"/>
  <c r="AM53" i="1" a="1"/>
  <c r="AM53" i="1" s="1"/>
  <c r="AM52" i="1"/>
  <c r="AM52" i="1" a="1"/>
  <c r="AM51" i="1"/>
  <c r="AM51" i="1" a="1"/>
  <c r="AM50" i="1"/>
  <c r="AM50" i="1" a="1"/>
  <c r="AM49" i="1" a="1"/>
  <c r="AM49" i="1" s="1"/>
  <c r="AM48" i="1" a="1"/>
  <c r="AM48" i="1" s="1"/>
  <c r="AM47" i="1" a="1"/>
  <c r="AM47" i="1" s="1"/>
  <c r="AM46" i="1"/>
  <c r="AM46" i="1" a="1"/>
  <c r="AM45" i="1"/>
  <c r="AM45" i="1" a="1"/>
  <c r="AM44" i="1"/>
  <c r="AM44" i="1" a="1"/>
  <c r="AM43" i="1"/>
  <c r="AM43" i="1" a="1"/>
  <c r="AM42" i="1" a="1"/>
  <c r="AM42" i="1" s="1"/>
  <c r="AM41" i="1" a="1"/>
  <c r="AM41" i="1" s="1"/>
  <c r="AM40" i="1"/>
  <c r="AM40" i="1" a="1"/>
  <c r="AM39" i="1" a="1"/>
  <c r="AM39" i="1" s="1"/>
  <c r="AM38" i="1"/>
  <c r="AM38" i="1" a="1"/>
  <c r="AM37" i="1"/>
  <c r="AM37" i="1" a="1"/>
  <c r="AM36" i="1"/>
  <c r="AM36" i="1" a="1"/>
  <c r="AM35" i="1" a="1"/>
  <c r="AM35" i="1" s="1"/>
  <c r="AM34" i="1" a="1"/>
  <c r="AM34" i="1" s="1"/>
  <c r="AM33" i="1" a="1"/>
  <c r="AM33" i="1" s="1"/>
  <c r="AM32" i="1"/>
  <c r="AM32" i="1" a="1"/>
  <c r="AM31" i="1"/>
  <c r="AM31" i="1" a="1"/>
  <c r="AM30" i="1"/>
  <c r="AM30" i="1" a="1"/>
  <c r="AM29" i="1"/>
  <c r="AM29" i="1" a="1"/>
  <c r="AM28" i="1" a="1"/>
  <c r="AM28" i="1" s="1"/>
  <c r="AM27" i="1" a="1"/>
  <c r="AM27" i="1" s="1"/>
  <c r="AM26" i="1" a="1"/>
  <c r="AM26" i="1" s="1"/>
  <c r="AM25" i="1" a="1"/>
  <c r="AM25" i="1" s="1"/>
  <c r="AM24" i="1"/>
  <c r="AM24" i="1" a="1"/>
  <c r="AM23" i="1"/>
  <c r="AM23" i="1" a="1"/>
  <c r="AM22" i="1"/>
  <c r="AM22" i="1" a="1"/>
  <c r="AM21" i="1" a="1"/>
  <c r="AM21" i="1" s="1"/>
  <c r="AM20" i="1" a="1"/>
  <c r="AM20" i="1" s="1"/>
  <c r="AM19" i="1" a="1"/>
  <c r="AM19" i="1" s="1"/>
  <c r="AM18" i="1" a="1"/>
  <c r="AM18" i="1" s="1"/>
  <c r="AM17" i="1"/>
  <c r="AM17" i="1" a="1"/>
  <c r="AM16" i="1"/>
  <c r="AM16" i="1" a="1"/>
  <c r="AM15" i="1"/>
  <c r="AM15" i="1" a="1"/>
  <c r="AM14" i="1" a="1"/>
  <c r="AM14" i="1" s="1"/>
  <c r="AM13" i="1" a="1"/>
  <c r="AM13" i="1" s="1"/>
  <c r="AM12" i="1" a="1"/>
  <c r="AM12" i="1" s="1"/>
  <c r="AM11" i="1" a="1"/>
  <c r="AM11" i="1" s="1"/>
  <c r="AM10" i="1"/>
  <c r="AM10" i="1" a="1"/>
  <c r="AM9" i="1"/>
  <c r="AM9" i="1" a="1"/>
  <c r="AM8" i="1"/>
  <c r="AM8" i="1" a="1"/>
  <c r="AM7" i="1" a="1"/>
  <c r="AM7" i="1" s="1"/>
  <c r="AM6" i="1" a="1"/>
  <c r="AM6" i="1" s="1"/>
  <c r="AM5" i="1"/>
  <c r="AM5" i="1" a="1"/>
  <c r="AM4" i="1" a="1"/>
  <c r="AM4" i="1" s="1"/>
  <c r="AM3" i="1"/>
  <c r="AM3" i="1" a="1"/>
  <c r="AM2" i="1" a="1"/>
  <c r="AM2" i="1" s="1"/>
  <c r="J2" i="3"/>
  <c r="M2" i="3"/>
  <c r="N2" i="3"/>
  <c r="O2" i="3"/>
  <c r="P2" i="3"/>
  <c r="J3" i="3"/>
  <c r="M3" i="3"/>
  <c r="N3" i="3"/>
  <c r="O3" i="3"/>
  <c r="P3" i="3"/>
  <c r="J4" i="3"/>
  <c r="M4" i="3"/>
  <c r="N4" i="3"/>
  <c r="O4" i="3"/>
  <c r="P4" i="3"/>
  <c r="J5" i="3"/>
  <c r="M5" i="3"/>
  <c r="N5" i="3"/>
  <c r="O5" i="3"/>
  <c r="P5" i="3"/>
  <c r="J6" i="3"/>
  <c r="M6" i="3"/>
  <c r="N6" i="3"/>
  <c r="O6" i="3"/>
  <c r="P6" i="3"/>
  <c r="J7" i="3"/>
  <c r="M7" i="3"/>
  <c r="N7" i="3"/>
  <c r="O7" i="3"/>
  <c r="P7" i="3"/>
  <c r="J8" i="3"/>
  <c r="M8" i="3"/>
  <c r="N8" i="3"/>
  <c r="O8" i="3"/>
  <c r="P8" i="3"/>
  <c r="J9" i="3"/>
  <c r="M9" i="3"/>
  <c r="N9" i="3"/>
  <c r="O9" i="3"/>
  <c r="P9" i="3"/>
  <c r="J10" i="3"/>
  <c r="M10" i="3"/>
  <c r="N10" i="3"/>
  <c r="O10" i="3"/>
  <c r="P10" i="3"/>
  <c r="J11" i="3"/>
  <c r="M11" i="3"/>
  <c r="N11" i="3"/>
  <c r="O11" i="3"/>
  <c r="P11" i="3"/>
  <c r="J12" i="3"/>
  <c r="M12" i="3"/>
  <c r="N12" i="3"/>
  <c r="O12" i="3"/>
  <c r="P12" i="3"/>
  <c r="J13" i="3"/>
  <c r="M13" i="3"/>
  <c r="N13" i="3"/>
  <c r="O13" i="3"/>
  <c r="P13" i="3"/>
  <c r="J14" i="3"/>
  <c r="M14" i="3"/>
  <c r="N14" i="3"/>
  <c r="O14" i="3"/>
  <c r="P14" i="3"/>
  <c r="J15" i="3"/>
  <c r="M15" i="3"/>
  <c r="N15" i="3"/>
  <c r="O15" i="3"/>
  <c r="P15" i="3"/>
  <c r="J16" i="3"/>
  <c r="M16" i="3"/>
  <c r="N16" i="3"/>
  <c r="O16" i="3"/>
  <c r="P16" i="3"/>
  <c r="J17" i="3"/>
  <c r="M17" i="3"/>
  <c r="N17" i="3"/>
  <c r="O17" i="3"/>
  <c r="P17" i="3"/>
  <c r="J18" i="3"/>
  <c r="M18" i="3"/>
  <c r="N18" i="3"/>
  <c r="O18" i="3"/>
  <c r="P18" i="3"/>
  <c r="J19" i="3"/>
  <c r="M19" i="3"/>
  <c r="N19" i="3"/>
  <c r="O19" i="3"/>
  <c r="P19" i="3"/>
  <c r="J20" i="3"/>
  <c r="M20" i="3"/>
  <c r="N20" i="3"/>
  <c r="O20" i="3"/>
  <c r="P20" i="3"/>
  <c r="J21" i="3"/>
  <c r="M21" i="3"/>
  <c r="N21" i="3"/>
  <c r="O21" i="3"/>
  <c r="P21" i="3"/>
  <c r="J22" i="3"/>
  <c r="M22" i="3"/>
  <c r="N22" i="3"/>
  <c r="O22" i="3"/>
  <c r="P22" i="3"/>
  <c r="J23" i="3"/>
  <c r="M23" i="3"/>
  <c r="N23" i="3"/>
  <c r="O23" i="3"/>
  <c r="P23" i="3"/>
  <c r="J24" i="3"/>
  <c r="M24" i="3"/>
  <c r="N24" i="3"/>
  <c r="O24" i="3"/>
  <c r="P24" i="3"/>
  <c r="J25" i="3"/>
  <c r="M25" i="3"/>
  <c r="N25" i="3"/>
  <c r="O25" i="3"/>
  <c r="P25" i="3"/>
  <c r="J26" i="3"/>
  <c r="M26" i="3"/>
  <c r="N26" i="3"/>
  <c r="O26" i="3"/>
  <c r="P26" i="3"/>
  <c r="J27" i="3"/>
  <c r="M27" i="3"/>
  <c r="N27" i="3"/>
  <c r="O27" i="3"/>
  <c r="P27" i="3"/>
  <c r="J28" i="3"/>
  <c r="M28" i="3"/>
  <c r="N28" i="3"/>
  <c r="O28" i="3"/>
  <c r="P28" i="3"/>
  <c r="J29" i="3"/>
  <c r="M29" i="3"/>
  <c r="N29" i="3"/>
  <c r="O29" i="3"/>
  <c r="P29" i="3"/>
  <c r="J30" i="3"/>
  <c r="M30" i="3"/>
  <c r="N30" i="3"/>
  <c r="O30" i="3"/>
  <c r="P30" i="3"/>
  <c r="J31" i="3"/>
  <c r="M31" i="3"/>
  <c r="N31" i="3"/>
  <c r="O31" i="3"/>
  <c r="P31" i="3"/>
  <c r="J32" i="3"/>
  <c r="M32" i="3"/>
  <c r="N32" i="3"/>
  <c r="O32" i="3"/>
  <c r="P32" i="3"/>
  <c r="J33" i="3"/>
  <c r="M33" i="3"/>
  <c r="N33" i="3"/>
  <c r="O33" i="3"/>
  <c r="P33" i="3"/>
  <c r="J34" i="3"/>
  <c r="M34" i="3"/>
  <c r="N34" i="3"/>
  <c r="O34" i="3"/>
  <c r="P34" i="3"/>
  <c r="J35" i="3"/>
  <c r="M35" i="3"/>
  <c r="N35" i="3"/>
  <c r="O35" i="3"/>
  <c r="P35" i="3"/>
  <c r="J36" i="3"/>
  <c r="M36" i="3"/>
  <c r="N36" i="3"/>
  <c r="O36" i="3"/>
  <c r="P36" i="3"/>
  <c r="J37" i="3"/>
  <c r="M37" i="3"/>
  <c r="N37" i="3"/>
  <c r="O37" i="3"/>
  <c r="P37" i="3"/>
  <c r="J38" i="3"/>
  <c r="M38" i="3"/>
  <c r="N38" i="3"/>
  <c r="O38" i="3"/>
  <c r="P38" i="3"/>
  <c r="J39" i="3"/>
  <c r="M39" i="3"/>
  <c r="N39" i="3"/>
  <c r="O39" i="3"/>
  <c r="P39" i="3"/>
  <c r="J40" i="3"/>
  <c r="M40" i="3"/>
  <c r="N40" i="3"/>
  <c r="O40" i="3"/>
  <c r="P40" i="3"/>
  <c r="J41" i="3"/>
  <c r="M41" i="3"/>
  <c r="N41" i="3"/>
  <c r="O41" i="3"/>
  <c r="P41" i="3"/>
  <c r="J42" i="3"/>
  <c r="M42" i="3"/>
  <c r="N42" i="3"/>
  <c r="O42" i="3"/>
  <c r="P42" i="3"/>
  <c r="J43" i="3"/>
  <c r="M43" i="3"/>
  <c r="N43" i="3"/>
  <c r="O43" i="3"/>
  <c r="P43" i="3"/>
  <c r="J44" i="3"/>
  <c r="M44" i="3"/>
  <c r="N44" i="3"/>
  <c r="O44" i="3"/>
  <c r="P44" i="3"/>
  <c r="J45" i="3"/>
  <c r="M45" i="3"/>
  <c r="N45" i="3"/>
  <c r="O45" i="3"/>
  <c r="P45" i="3"/>
  <c r="J46" i="3"/>
  <c r="M46" i="3"/>
  <c r="N46" i="3"/>
  <c r="O46" i="3"/>
  <c r="P46" i="3"/>
  <c r="J47" i="3"/>
  <c r="M47" i="3"/>
  <c r="N47" i="3"/>
  <c r="O47" i="3"/>
  <c r="P47" i="3"/>
  <c r="J48" i="3"/>
  <c r="M48" i="3"/>
  <c r="N48" i="3"/>
  <c r="O48" i="3"/>
  <c r="P48" i="3"/>
  <c r="J49" i="3"/>
  <c r="M49" i="3"/>
  <c r="N49" i="3"/>
  <c r="O49" i="3"/>
  <c r="P49" i="3"/>
  <c r="J50" i="3"/>
  <c r="M50" i="3"/>
  <c r="N50" i="3"/>
  <c r="O50" i="3"/>
  <c r="P50" i="3"/>
  <c r="J51" i="3"/>
  <c r="M51" i="3"/>
  <c r="N51" i="3"/>
  <c r="O51" i="3"/>
  <c r="P51" i="3"/>
  <c r="J52" i="3"/>
  <c r="M52" i="3"/>
  <c r="N52" i="3"/>
  <c r="O52" i="3"/>
  <c r="P52" i="3"/>
  <c r="J53" i="3"/>
  <c r="M53" i="3"/>
  <c r="N53" i="3"/>
  <c r="O53" i="3"/>
  <c r="P53" i="3"/>
  <c r="J54" i="3"/>
  <c r="M54" i="3"/>
  <c r="N54" i="3"/>
  <c r="O54" i="3"/>
  <c r="P54" i="3"/>
  <c r="J55" i="3"/>
  <c r="M55" i="3"/>
  <c r="N55" i="3"/>
  <c r="O55" i="3"/>
  <c r="P55" i="3"/>
  <c r="J56" i="3"/>
  <c r="M56" i="3"/>
  <c r="N56" i="3"/>
  <c r="O56" i="3"/>
  <c r="P56" i="3"/>
  <c r="J57" i="3"/>
  <c r="M57" i="3"/>
  <c r="N57" i="3"/>
  <c r="O57" i="3"/>
  <c r="P57" i="3"/>
  <c r="J58" i="3"/>
  <c r="M58" i="3"/>
  <c r="N58" i="3"/>
  <c r="O58" i="3"/>
  <c r="P58" i="3"/>
  <c r="J59" i="3"/>
  <c r="M59" i="3"/>
  <c r="N59" i="3"/>
  <c r="O59" i="3"/>
  <c r="P59" i="3"/>
  <c r="J60" i="3"/>
  <c r="M60" i="3"/>
  <c r="N60" i="3"/>
  <c r="O60" i="3"/>
  <c r="P60" i="3"/>
  <c r="J61" i="3"/>
  <c r="M61" i="3"/>
  <c r="N61" i="3"/>
  <c r="O61" i="3"/>
  <c r="P61" i="3"/>
  <c r="J62" i="3"/>
  <c r="M62" i="3"/>
  <c r="N62" i="3"/>
  <c r="O62" i="3"/>
  <c r="P62" i="3"/>
  <c r="J63" i="3"/>
  <c r="M63" i="3"/>
  <c r="N63" i="3"/>
  <c r="O63" i="3"/>
  <c r="P63" i="3"/>
  <c r="J64" i="3"/>
  <c r="M64" i="3"/>
  <c r="N64" i="3"/>
  <c r="O64" i="3"/>
  <c r="P64" i="3"/>
  <c r="J65" i="3"/>
  <c r="M65" i="3"/>
  <c r="N65" i="3"/>
  <c r="O65" i="3"/>
  <c r="P65" i="3"/>
  <c r="J66" i="3"/>
  <c r="M66" i="3"/>
  <c r="N66" i="3"/>
  <c r="O66" i="3"/>
  <c r="P66" i="3"/>
  <c r="J67" i="3"/>
  <c r="M67" i="3"/>
  <c r="N67" i="3"/>
  <c r="O67" i="3"/>
  <c r="P67" i="3"/>
  <c r="J68" i="3"/>
  <c r="M68" i="3"/>
  <c r="N68" i="3"/>
  <c r="O68" i="3"/>
  <c r="P68" i="3"/>
  <c r="J69" i="3"/>
  <c r="M69" i="3"/>
  <c r="N69" i="3"/>
  <c r="O69" i="3"/>
  <c r="P69" i="3"/>
  <c r="J70" i="3"/>
  <c r="M70" i="3"/>
  <c r="N70" i="3"/>
  <c r="O70" i="3"/>
  <c r="P70" i="3"/>
  <c r="J71" i="3"/>
  <c r="M71" i="3"/>
  <c r="N71" i="3"/>
  <c r="O71" i="3"/>
  <c r="P71" i="3"/>
  <c r="J72" i="3"/>
  <c r="M72" i="3"/>
  <c r="N72" i="3"/>
  <c r="O72" i="3"/>
  <c r="P72" i="3"/>
  <c r="J73" i="3"/>
  <c r="M73" i="3"/>
  <c r="N73" i="3"/>
  <c r="O73" i="3"/>
  <c r="P73" i="3"/>
  <c r="J74" i="3"/>
  <c r="M74" i="3"/>
  <c r="N74" i="3"/>
  <c r="O74" i="3"/>
  <c r="P74" i="3"/>
  <c r="J75" i="3"/>
  <c r="M75" i="3"/>
  <c r="N75" i="3"/>
  <c r="O75" i="3"/>
  <c r="P75" i="3"/>
  <c r="J76" i="3"/>
  <c r="M76" i="3"/>
  <c r="N76" i="3"/>
  <c r="O76" i="3"/>
  <c r="P76" i="3"/>
  <c r="J77" i="3"/>
  <c r="M77" i="3"/>
  <c r="N77" i="3"/>
  <c r="O77" i="3"/>
  <c r="P77" i="3"/>
  <c r="J78" i="3"/>
  <c r="M78" i="3"/>
  <c r="N78" i="3"/>
  <c r="O78" i="3"/>
  <c r="P78" i="3"/>
  <c r="J79" i="3"/>
  <c r="M79" i="3"/>
  <c r="N79" i="3"/>
  <c r="O79" i="3"/>
  <c r="P79" i="3"/>
  <c r="J80" i="3"/>
  <c r="M80" i="3"/>
  <c r="N80" i="3"/>
  <c r="O80" i="3"/>
  <c r="P80" i="3"/>
  <c r="J81" i="3"/>
  <c r="M81" i="3"/>
  <c r="N81" i="3"/>
  <c r="O81" i="3"/>
  <c r="P81" i="3"/>
  <c r="J82" i="3"/>
  <c r="M82" i="3"/>
  <c r="N82" i="3"/>
  <c r="O82" i="3"/>
  <c r="P82" i="3"/>
  <c r="J83" i="3"/>
  <c r="M83" i="3"/>
  <c r="N83" i="3"/>
  <c r="O83" i="3"/>
  <c r="P83" i="3"/>
  <c r="J84" i="3"/>
  <c r="M84" i="3"/>
  <c r="N84" i="3"/>
  <c r="O84" i="3"/>
  <c r="P84" i="3"/>
  <c r="J85" i="3"/>
  <c r="M85" i="3"/>
  <c r="N85" i="3"/>
  <c r="O85" i="3"/>
  <c r="P85" i="3"/>
  <c r="J86" i="3"/>
  <c r="M86" i="3"/>
  <c r="N86" i="3"/>
  <c r="O86" i="3"/>
  <c r="P86" i="3"/>
  <c r="J87" i="3"/>
  <c r="M87" i="3"/>
  <c r="N87" i="3"/>
  <c r="O87" i="3"/>
  <c r="P87" i="3"/>
  <c r="J88" i="3"/>
  <c r="M88" i="3"/>
  <c r="N88" i="3"/>
  <c r="O88" i="3"/>
  <c r="P88" i="3"/>
  <c r="J89" i="3"/>
  <c r="M89" i="3"/>
  <c r="N89" i="3"/>
  <c r="O89" i="3"/>
  <c r="P89" i="3"/>
  <c r="J90" i="3"/>
  <c r="M90" i="3"/>
  <c r="N90" i="3"/>
  <c r="O90" i="3"/>
  <c r="P90" i="3"/>
  <c r="J91" i="3"/>
  <c r="M91" i="3"/>
  <c r="N91" i="3"/>
  <c r="O91" i="3"/>
  <c r="P91" i="3"/>
  <c r="J92" i="3"/>
  <c r="M92" i="3"/>
  <c r="N92" i="3"/>
  <c r="O92" i="3"/>
  <c r="P92" i="3"/>
  <c r="J93" i="3"/>
  <c r="M93" i="3"/>
  <c r="N93" i="3"/>
  <c r="O93" i="3"/>
  <c r="P93" i="3"/>
  <c r="J94" i="3"/>
  <c r="M94" i="3"/>
  <c r="N94" i="3"/>
  <c r="O94" i="3"/>
  <c r="P94" i="3"/>
  <c r="J95" i="3"/>
  <c r="M95" i="3"/>
  <c r="N95" i="3"/>
  <c r="O95" i="3"/>
  <c r="P95" i="3"/>
  <c r="J96" i="3"/>
  <c r="M96" i="3"/>
  <c r="N96" i="3"/>
  <c r="O96" i="3"/>
  <c r="P96" i="3"/>
  <c r="J97" i="3"/>
  <c r="M97" i="3"/>
  <c r="N97" i="3"/>
  <c r="O97" i="3"/>
  <c r="P97" i="3"/>
  <c r="J98" i="3"/>
  <c r="M98" i="3"/>
  <c r="N98" i="3"/>
  <c r="O98" i="3"/>
  <c r="P98" i="3"/>
  <c r="J99" i="3"/>
  <c r="M99" i="3"/>
  <c r="N99" i="3"/>
  <c r="O99" i="3"/>
  <c r="P99" i="3"/>
  <c r="J100" i="3"/>
  <c r="M100" i="3"/>
  <c r="N100" i="3"/>
  <c r="O100" i="3"/>
  <c r="P100" i="3"/>
  <c r="J101" i="3"/>
  <c r="M101" i="3"/>
  <c r="N101" i="3"/>
  <c r="O101" i="3"/>
  <c r="P101" i="3"/>
  <c r="J102" i="3"/>
  <c r="M102" i="3"/>
  <c r="N102" i="3"/>
  <c r="O102" i="3"/>
  <c r="P102" i="3"/>
  <c r="J103" i="3"/>
  <c r="M103" i="3"/>
  <c r="N103" i="3"/>
  <c r="O103" i="3"/>
  <c r="P103" i="3"/>
  <c r="J104" i="3"/>
  <c r="M104" i="3"/>
  <c r="N104" i="3"/>
  <c r="O104" i="3"/>
  <c r="P104" i="3"/>
  <c r="J105" i="3"/>
  <c r="M105" i="3"/>
  <c r="N105" i="3"/>
  <c r="O105" i="3"/>
  <c r="P105" i="3"/>
  <c r="J106" i="3"/>
  <c r="M106" i="3"/>
  <c r="N106" i="3"/>
  <c r="O106" i="3"/>
  <c r="P106" i="3"/>
  <c r="J107" i="3"/>
  <c r="M107" i="3"/>
  <c r="N107" i="3"/>
  <c r="O107" i="3"/>
  <c r="P107" i="3"/>
  <c r="J108" i="3"/>
  <c r="M108" i="3"/>
  <c r="N108" i="3"/>
  <c r="O108" i="3"/>
  <c r="P108" i="3"/>
  <c r="J109" i="3"/>
  <c r="M109" i="3"/>
  <c r="N109" i="3"/>
  <c r="O109" i="3"/>
  <c r="P109" i="3"/>
  <c r="J110" i="3"/>
  <c r="M110" i="3"/>
  <c r="N110" i="3"/>
  <c r="O110" i="3"/>
  <c r="P110" i="3"/>
  <c r="J111" i="3"/>
  <c r="M111" i="3"/>
  <c r="N111" i="3"/>
  <c r="O111" i="3"/>
  <c r="P111" i="3"/>
  <c r="J112" i="3"/>
  <c r="M112" i="3"/>
  <c r="N112" i="3"/>
  <c r="O112" i="3"/>
  <c r="P112" i="3"/>
  <c r="J113" i="3"/>
  <c r="M113" i="3"/>
  <c r="N113" i="3"/>
  <c r="O113" i="3"/>
  <c r="P113" i="3"/>
  <c r="J114" i="3"/>
  <c r="M114" i="3"/>
  <c r="N114" i="3"/>
  <c r="O114" i="3"/>
  <c r="P114" i="3"/>
  <c r="J115" i="3"/>
  <c r="M115" i="3"/>
  <c r="N115" i="3"/>
  <c r="O115" i="3"/>
  <c r="P115" i="3"/>
  <c r="J116" i="3"/>
  <c r="M116" i="3"/>
  <c r="N116" i="3"/>
  <c r="O116" i="3"/>
  <c r="P116" i="3"/>
  <c r="J117" i="3"/>
  <c r="M117" i="3"/>
  <c r="N117" i="3"/>
  <c r="O117" i="3"/>
  <c r="P117" i="3"/>
  <c r="J118" i="3"/>
  <c r="M118" i="3"/>
  <c r="N118" i="3"/>
  <c r="O118" i="3"/>
  <c r="P118" i="3"/>
  <c r="J119" i="3"/>
  <c r="M119" i="3"/>
  <c r="N119" i="3"/>
  <c r="O119" i="3"/>
  <c r="P119" i="3"/>
  <c r="J120" i="3"/>
  <c r="M120" i="3"/>
  <c r="N120" i="3"/>
  <c r="O120" i="3"/>
  <c r="P120" i="3"/>
  <c r="J121" i="3"/>
  <c r="M121" i="3"/>
  <c r="N121" i="3"/>
  <c r="O121" i="3"/>
  <c r="P121" i="3"/>
  <c r="J122" i="3"/>
  <c r="M122" i="3"/>
  <c r="N122" i="3"/>
  <c r="O122" i="3"/>
  <c r="P122" i="3"/>
  <c r="J123" i="3"/>
  <c r="M123" i="3"/>
  <c r="N123" i="3"/>
  <c r="O123" i="3"/>
  <c r="P123" i="3"/>
  <c r="J124" i="3"/>
  <c r="M124" i="3"/>
  <c r="N124" i="3"/>
  <c r="O124" i="3"/>
  <c r="P124" i="3"/>
  <c r="J125" i="3"/>
  <c r="M125" i="3"/>
  <c r="N125" i="3"/>
  <c r="O125" i="3"/>
  <c r="P125" i="3"/>
  <c r="J126" i="3"/>
  <c r="M126" i="3"/>
  <c r="N126" i="3"/>
  <c r="O126" i="3"/>
  <c r="P126" i="3"/>
  <c r="J127" i="3"/>
  <c r="M127" i="3"/>
  <c r="N127" i="3"/>
  <c r="O127" i="3"/>
  <c r="P127" i="3"/>
  <c r="J128" i="3"/>
  <c r="M128" i="3"/>
  <c r="N128" i="3"/>
  <c r="O128" i="3"/>
  <c r="P128" i="3"/>
  <c r="J129" i="3"/>
  <c r="M129" i="3"/>
  <c r="N129" i="3"/>
  <c r="O129" i="3"/>
  <c r="P129" i="3"/>
  <c r="J130" i="3"/>
  <c r="M130" i="3"/>
  <c r="N130" i="3"/>
  <c r="O130" i="3"/>
  <c r="P130" i="3"/>
  <c r="J131" i="3"/>
  <c r="M131" i="3"/>
  <c r="N131" i="3"/>
  <c r="O131" i="3"/>
  <c r="P131" i="3"/>
  <c r="J132" i="3"/>
  <c r="M132" i="3"/>
  <c r="N132" i="3"/>
  <c r="O132" i="3"/>
  <c r="P132" i="3"/>
  <c r="J133" i="3"/>
  <c r="M133" i="3"/>
  <c r="N133" i="3"/>
  <c r="O133" i="3"/>
  <c r="P133" i="3"/>
  <c r="J134" i="3"/>
  <c r="M134" i="3"/>
  <c r="N134" i="3"/>
  <c r="O134" i="3"/>
  <c r="P134" i="3"/>
  <c r="J135" i="3"/>
  <c r="M135" i="3"/>
  <c r="N135" i="3"/>
  <c r="O135" i="3"/>
  <c r="P135" i="3"/>
  <c r="J136" i="3"/>
  <c r="M136" i="3"/>
  <c r="N136" i="3"/>
  <c r="O136" i="3"/>
  <c r="P136" i="3"/>
  <c r="J137" i="3"/>
  <c r="M137" i="3"/>
  <c r="N137" i="3"/>
  <c r="O137" i="3"/>
  <c r="P137" i="3"/>
  <c r="J138" i="3"/>
  <c r="M138" i="3"/>
  <c r="N138" i="3"/>
  <c r="O138" i="3"/>
  <c r="P138" i="3"/>
  <c r="J139" i="3"/>
  <c r="M139" i="3"/>
  <c r="N139" i="3"/>
  <c r="O139" i="3"/>
  <c r="P139" i="3"/>
  <c r="J140" i="3"/>
  <c r="M140" i="3"/>
  <c r="N140" i="3"/>
  <c r="O140" i="3"/>
  <c r="P140" i="3"/>
  <c r="J141" i="3"/>
  <c r="M141" i="3"/>
  <c r="N141" i="3"/>
  <c r="O141" i="3"/>
  <c r="P141" i="3"/>
  <c r="J142" i="3"/>
  <c r="M142" i="3"/>
  <c r="N142" i="3"/>
  <c r="O142" i="3"/>
  <c r="P142" i="3"/>
  <c r="J143" i="3"/>
  <c r="M143" i="3"/>
  <c r="N143" i="3"/>
  <c r="O143" i="3"/>
  <c r="P143" i="3"/>
  <c r="J144" i="3"/>
  <c r="M144" i="3"/>
  <c r="N144" i="3"/>
  <c r="O144" i="3"/>
  <c r="P144" i="3"/>
  <c r="J145" i="3"/>
  <c r="M145" i="3"/>
  <c r="N145" i="3"/>
  <c r="O145" i="3"/>
  <c r="P145" i="3"/>
  <c r="J146" i="3"/>
  <c r="M146" i="3"/>
  <c r="N146" i="3"/>
  <c r="O146" i="3"/>
  <c r="P146" i="3"/>
  <c r="J147" i="3"/>
  <c r="M147" i="3"/>
  <c r="N147" i="3"/>
  <c r="O147" i="3"/>
  <c r="P147" i="3"/>
  <c r="J148" i="3"/>
  <c r="M148" i="3"/>
  <c r="N148" i="3"/>
  <c r="O148" i="3"/>
  <c r="P148" i="3"/>
  <c r="J149" i="3"/>
  <c r="M149" i="3"/>
  <c r="N149" i="3"/>
  <c r="O149" i="3"/>
  <c r="P149" i="3"/>
  <c r="J150" i="3"/>
  <c r="M150" i="3"/>
  <c r="N150" i="3"/>
  <c r="O150" i="3"/>
  <c r="P150" i="3"/>
  <c r="J151" i="3"/>
  <c r="M151" i="3"/>
  <c r="N151" i="3"/>
  <c r="O151" i="3"/>
  <c r="P151" i="3"/>
  <c r="J152" i="3"/>
  <c r="M152" i="3"/>
  <c r="N152" i="3"/>
  <c r="O152" i="3"/>
  <c r="P152" i="3"/>
  <c r="J153" i="3"/>
  <c r="M153" i="3"/>
  <c r="N153" i="3"/>
  <c r="O153" i="3"/>
  <c r="P153" i="3"/>
  <c r="J154" i="3"/>
  <c r="M154" i="3"/>
  <c r="N154" i="3"/>
  <c r="O154" i="3"/>
  <c r="P154" i="3"/>
  <c r="J155" i="3"/>
  <c r="M155" i="3"/>
  <c r="N155" i="3"/>
  <c r="O155" i="3"/>
  <c r="P155" i="3"/>
  <c r="J156" i="3"/>
  <c r="M156" i="3"/>
  <c r="N156" i="3"/>
  <c r="O156" i="3"/>
  <c r="P156" i="3"/>
  <c r="J157" i="3"/>
  <c r="M157" i="3"/>
  <c r="N157" i="3"/>
  <c r="O157" i="3"/>
  <c r="P157" i="3"/>
  <c r="J158" i="3"/>
  <c r="M158" i="3"/>
  <c r="N158" i="3"/>
  <c r="O158" i="3"/>
  <c r="P158" i="3"/>
  <c r="J159" i="3"/>
  <c r="M159" i="3"/>
  <c r="N159" i="3"/>
  <c r="O159" i="3"/>
  <c r="P159" i="3"/>
  <c r="J160" i="3"/>
  <c r="M160" i="3"/>
  <c r="N160" i="3"/>
  <c r="O160" i="3"/>
  <c r="P160" i="3"/>
  <c r="J161" i="3"/>
  <c r="M161" i="3"/>
  <c r="N161" i="3"/>
  <c r="O161" i="3"/>
  <c r="P161" i="3"/>
  <c r="J162" i="3"/>
  <c r="M162" i="3"/>
  <c r="N162" i="3"/>
  <c r="O162" i="3"/>
  <c r="P162" i="3"/>
  <c r="J163" i="3"/>
  <c r="M163" i="3"/>
  <c r="N163" i="3"/>
  <c r="O163" i="3"/>
  <c r="P163" i="3"/>
  <c r="J164" i="3"/>
  <c r="M164" i="3"/>
  <c r="N164" i="3"/>
  <c r="O164" i="3"/>
  <c r="P164" i="3"/>
  <c r="J165" i="3"/>
  <c r="M165" i="3"/>
  <c r="N165" i="3"/>
  <c r="O165" i="3"/>
  <c r="P165" i="3"/>
  <c r="J166" i="3"/>
  <c r="M166" i="3"/>
  <c r="N166" i="3"/>
  <c r="O166" i="3"/>
  <c r="P166" i="3"/>
  <c r="J167" i="3"/>
  <c r="M167" i="3"/>
  <c r="N167" i="3"/>
  <c r="O167" i="3"/>
  <c r="P167" i="3"/>
  <c r="J168" i="3"/>
  <c r="M168" i="3"/>
  <c r="N168" i="3"/>
  <c r="O168" i="3"/>
  <c r="P168" i="3"/>
  <c r="J169" i="3"/>
  <c r="M169" i="3"/>
  <c r="N169" i="3"/>
  <c r="O169" i="3"/>
  <c r="P169" i="3"/>
  <c r="J170" i="3"/>
  <c r="M170" i="3"/>
  <c r="N170" i="3"/>
  <c r="O170" i="3"/>
  <c r="P170" i="3"/>
  <c r="J171" i="3"/>
  <c r="M171" i="3"/>
  <c r="N171" i="3"/>
  <c r="O171" i="3"/>
  <c r="P171" i="3"/>
  <c r="J172" i="3"/>
  <c r="M172" i="3"/>
  <c r="N172" i="3"/>
  <c r="O172" i="3"/>
  <c r="P172" i="3"/>
  <c r="J173" i="3"/>
  <c r="M173" i="3"/>
  <c r="N173" i="3"/>
  <c r="O173" i="3"/>
  <c r="P173" i="3"/>
  <c r="J174" i="3"/>
  <c r="M174" i="3"/>
  <c r="N174" i="3"/>
  <c r="O174" i="3"/>
  <c r="P174" i="3"/>
  <c r="J175" i="3"/>
  <c r="M175" i="3"/>
  <c r="N175" i="3"/>
  <c r="O175" i="3"/>
  <c r="P175" i="3"/>
  <c r="J176" i="3"/>
  <c r="M176" i="3"/>
  <c r="N176" i="3"/>
  <c r="O176" i="3"/>
  <c r="P176" i="3"/>
  <c r="J177" i="3"/>
  <c r="M177" i="3"/>
  <c r="N177" i="3"/>
  <c r="O177" i="3"/>
  <c r="P177" i="3"/>
  <c r="J178" i="3"/>
  <c r="M178" i="3"/>
  <c r="N178" i="3"/>
  <c r="O178" i="3"/>
  <c r="P178" i="3"/>
  <c r="J179" i="3"/>
  <c r="M179" i="3"/>
  <c r="N179" i="3"/>
  <c r="O179" i="3"/>
  <c r="P179" i="3"/>
  <c r="J180" i="3"/>
  <c r="M180" i="3"/>
  <c r="N180" i="3"/>
  <c r="O180" i="3"/>
  <c r="P180" i="3"/>
  <c r="J181" i="3"/>
  <c r="M181" i="3"/>
  <c r="N181" i="3"/>
  <c r="O181" i="3"/>
  <c r="P181" i="3"/>
  <c r="J182" i="3"/>
  <c r="M182" i="3"/>
  <c r="N182" i="3"/>
  <c r="O182" i="3"/>
  <c r="P182" i="3"/>
  <c r="J183" i="3"/>
  <c r="M183" i="3"/>
  <c r="N183" i="3"/>
  <c r="O183" i="3"/>
  <c r="P183" i="3"/>
  <c r="J184" i="3"/>
  <c r="M184" i="3"/>
  <c r="N184" i="3"/>
  <c r="O184" i="3"/>
  <c r="P184" i="3"/>
  <c r="J185" i="3"/>
  <c r="M185" i="3"/>
  <c r="N185" i="3"/>
  <c r="O185" i="3"/>
  <c r="P185" i="3"/>
  <c r="J186" i="3"/>
  <c r="M186" i="3"/>
  <c r="N186" i="3"/>
  <c r="O186" i="3"/>
  <c r="P186" i="3"/>
  <c r="J187" i="3"/>
  <c r="M187" i="3"/>
  <c r="N187" i="3"/>
  <c r="O187" i="3"/>
  <c r="P187" i="3"/>
  <c r="J188" i="3"/>
  <c r="M188" i="3"/>
  <c r="N188" i="3"/>
  <c r="O188" i="3"/>
  <c r="P188" i="3"/>
  <c r="J189" i="3"/>
  <c r="M189" i="3"/>
  <c r="N189" i="3"/>
  <c r="O189" i="3"/>
  <c r="P189" i="3"/>
  <c r="J190" i="3"/>
  <c r="M190" i="3"/>
  <c r="N190" i="3"/>
  <c r="O190" i="3"/>
  <c r="P190" i="3"/>
  <c r="J191" i="3"/>
  <c r="M191" i="3"/>
  <c r="N191" i="3"/>
  <c r="O191" i="3"/>
  <c r="P191" i="3"/>
  <c r="J192" i="3"/>
  <c r="M192" i="3"/>
  <c r="N192" i="3"/>
  <c r="O192" i="3"/>
  <c r="P192" i="3"/>
  <c r="J193" i="3"/>
  <c r="M193" i="3"/>
  <c r="N193" i="3"/>
  <c r="O193" i="3"/>
  <c r="P193" i="3"/>
  <c r="J194" i="3"/>
  <c r="M194" i="3"/>
  <c r="N194" i="3"/>
  <c r="O194" i="3"/>
  <c r="P194" i="3"/>
  <c r="J195" i="3"/>
  <c r="M195" i="3"/>
  <c r="N195" i="3"/>
  <c r="O195" i="3"/>
  <c r="P195" i="3"/>
  <c r="J196" i="3"/>
  <c r="M196" i="3"/>
  <c r="N196" i="3"/>
  <c r="O196" i="3"/>
  <c r="P196" i="3"/>
  <c r="J197" i="3"/>
  <c r="M197" i="3"/>
  <c r="N197" i="3"/>
  <c r="O197" i="3"/>
  <c r="P197" i="3"/>
  <c r="J198" i="3"/>
  <c r="M198" i="3"/>
  <c r="N198" i="3"/>
  <c r="O198" i="3"/>
  <c r="P198" i="3"/>
  <c r="J199" i="3"/>
  <c r="M199" i="3"/>
  <c r="N199" i="3"/>
  <c r="O199" i="3"/>
  <c r="P199" i="3"/>
  <c r="J200" i="3"/>
  <c r="M200" i="3"/>
  <c r="N200" i="3"/>
  <c r="O200" i="3"/>
  <c r="P200" i="3"/>
  <c r="J201" i="3"/>
  <c r="M201" i="3"/>
  <c r="N201" i="3"/>
  <c r="O201" i="3"/>
  <c r="P201" i="3"/>
  <c r="J202" i="3"/>
  <c r="M202" i="3"/>
  <c r="N202" i="3"/>
  <c r="O202" i="3"/>
  <c r="P202" i="3"/>
  <c r="J203" i="3"/>
  <c r="M203" i="3"/>
  <c r="N203" i="3"/>
  <c r="O203" i="3"/>
  <c r="P203" i="3"/>
  <c r="J204" i="3"/>
  <c r="M204" i="3"/>
  <c r="N204" i="3"/>
  <c r="O204" i="3"/>
  <c r="P204" i="3"/>
  <c r="J205" i="3"/>
  <c r="M205" i="3"/>
  <c r="N205" i="3"/>
  <c r="O205" i="3"/>
  <c r="P205" i="3"/>
  <c r="J206" i="3"/>
  <c r="M206" i="3"/>
  <c r="N206" i="3"/>
  <c r="O206" i="3"/>
  <c r="P206" i="3"/>
  <c r="J207" i="3"/>
  <c r="M207" i="3"/>
  <c r="N207" i="3"/>
  <c r="O207" i="3"/>
  <c r="P207" i="3"/>
  <c r="J208" i="3"/>
  <c r="M208" i="3"/>
  <c r="N208" i="3"/>
  <c r="O208" i="3"/>
  <c r="P208" i="3"/>
  <c r="J209" i="3"/>
  <c r="M209" i="3"/>
  <c r="N209" i="3"/>
  <c r="O209" i="3"/>
  <c r="P209" i="3"/>
  <c r="J210" i="3"/>
  <c r="M210" i="3"/>
  <c r="N210" i="3"/>
  <c r="O210" i="3"/>
  <c r="P210" i="3"/>
  <c r="J211" i="3"/>
  <c r="M211" i="3"/>
  <c r="N211" i="3"/>
  <c r="O211" i="3"/>
  <c r="P211" i="3"/>
  <c r="J212" i="3"/>
  <c r="M212" i="3"/>
  <c r="N212" i="3"/>
  <c r="O212" i="3"/>
  <c r="P212" i="3"/>
  <c r="J213" i="3"/>
  <c r="M213" i="3"/>
  <c r="N213" i="3"/>
  <c r="O213" i="3"/>
  <c r="P213" i="3"/>
  <c r="J214" i="3"/>
  <c r="M214" i="3"/>
  <c r="N214" i="3"/>
  <c r="O214" i="3"/>
  <c r="P214" i="3"/>
  <c r="J215" i="3"/>
  <c r="M215" i="3"/>
  <c r="N215" i="3"/>
  <c r="O215" i="3"/>
  <c r="P215" i="3"/>
  <c r="J216" i="3"/>
  <c r="M216" i="3"/>
  <c r="N216" i="3"/>
  <c r="O216" i="3"/>
  <c r="P216" i="3"/>
  <c r="J217" i="3"/>
  <c r="M217" i="3"/>
  <c r="N217" i="3"/>
  <c r="O217" i="3"/>
  <c r="P217" i="3"/>
  <c r="J218" i="3"/>
  <c r="M218" i="3"/>
  <c r="N218" i="3"/>
  <c r="O218" i="3"/>
  <c r="P218" i="3"/>
  <c r="J219" i="3"/>
  <c r="M219" i="3"/>
  <c r="N219" i="3"/>
  <c r="O219" i="3"/>
  <c r="P219" i="3"/>
  <c r="J220" i="3"/>
  <c r="M220" i="3"/>
  <c r="N220" i="3"/>
  <c r="O220" i="3"/>
  <c r="P220" i="3"/>
  <c r="J221" i="3"/>
  <c r="M221" i="3"/>
  <c r="N221" i="3"/>
  <c r="O221" i="3"/>
  <c r="P221" i="3"/>
  <c r="J222" i="3"/>
  <c r="M222" i="3"/>
  <c r="N222" i="3"/>
  <c r="O222" i="3"/>
  <c r="P222" i="3"/>
  <c r="J223" i="3"/>
  <c r="M223" i="3"/>
  <c r="N223" i="3"/>
  <c r="O223" i="3"/>
  <c r="P223" i="3"/>
  <c r="J224" i="3"/>
  <c r="M224" i="3"/>
  <c r="N224" i="3"/>
  <c r="O224" i="3"/>
  <c r="P224" i="3"/>
  <c r="J225" i="3"/>
  <c r="M225" i="3"/>
  <c r="N225" i="3"/>
  <c r="O225" i="3"/>
  <c r="P225" i="3"/>
  <c r="J226" i="3"/>
  <c r="M226" i="3"/>
  <c r="N226" i="3"/>
  <c r="O226" i="3"/>
  <c r="P226" i="3"/>
  <c r="J227" i="3"/>
  <c r="M227" i="3"/>
  <c r="N227" i="3"/>
  <c r="O227" i="3"/>
  <c r="P227" i="3"/>
  <c r="J228" i="3"/>
  <c r="M228" i="3"/>
  <c r="N228" i="3"/>
  <c r="O228" i="3"/>
  <c r="P228" i="3"/>
  <c r="J229" i="3"/>
  <c r="M229" i="3"/>
  <c r="N229" i="3"/>
  <c r="O229" i="3"/>
  <c r="P229" i="3"/>
  <c r="J230" i="3"/>
  <c r="M230" i="3"/>
  <c r="N230" i="3"/>
  <c r="O230" i="3"/>
  <c r="P230" i="3"/>
  <c r="J231" i="3"/>
  <c r="M231" i="3"/>
  <c r="N231" i="3"/>
  <c r="O231" i="3"/>
  <c r="P231" i="3"/>
  <c r="J232" i="3"/>
  <c r="M232" i="3"/>
  <c r="N232" i="3"/>
  <c r="O232" i="3"/>
  <c r="P232" i="3"/>
  <c r="J233" i="3"/>
  <c r="M233" i="3"/>
  <c r="N233" i="3"/>
  <c r="O233" i="3"/>
  <c r="P233" i="3"/>
  <c r="J234" i="3"/>
  <c r="M234" i="3"/>
  <c r="N234" i="3"/>
  <c r="O234" i="3"/>
  <c r="P234" i="3"/>
  <c r="J235" i="3"/>
  <c r="M235" i="3"/>
  <c r="N235" i="3"/>
  <c r="O235" i="3"/>
  <c r="P235" i="3"/>
  <c r="J236" i="3"/>
  <c r="M236" i="3"/>
  <c r="N236" i="3"/>
  <c r="O236" i="3"/>
  <c r="P236" i="3"/>
  <c r="J237" i="3"/>
  <c r="M237" i="3"/>
  <c r="N237" i="3"/>
  <c r="O237" i="3"/>
  <c r="P237" i="3"/>
  <c r="J238" i="3"/>
  <c r="M238" i="3"/>
  <c r="N238" i="3"/>
  <c r="O238" i="3"/>
  <c r="P238" i="3"/>
  <c r="J239" i="3"/>
  <c r="M239" i="3"/>
  <c r="N239" i="3"/>
  <c r="O239" i="3"/>
  <c r="P239" i="3"/>
  <c r="J240" i="3"/>
  <c r="M240" i="3"/>
  <c r="N240" i="3"/>
  <c r="O240" i="3"/>
  <c r="P240" i="3"/>
  <c r="J241" i="3"/>
  <c r="M241" i="3"/>
  <c r="N241" i="3"/>
  <c r="O241" i="3"/>
  <c r="P241" i="3"/>
  <c r="J242" i="3"/>
  <c r="M242" i="3"/>
  <c r="N242" i="3"/>
  <c r="O242" i="3"/>
  <c r="P242" i="3"/>
  <c r="J243" i="3"/>
  <c r="M243" i="3"/>
  <c r="N243" i="3"/>
  <c r="O243" i="3"/>
  <c r="P243" i="3"/>
  <c r="J244" i="3"/>
  <c r="M244" i="3"/>
  <c r="N244" i="3"/>
  <c r="O244" i="3"/>
  <c r="P244" i="3"/>
  <c r="J245" i="3"/>
  <c r="M245" i="3"/>
  <c r="N245" i="3"/>
  <c r="O245" i="3"/>
  <c r="P245" i="3"/>
  <c r="J246" i="3"/>
  <c r="M246" i="3"/>
  <c r="N246" i="3"/>
  <c r="O246" i="3"/>
  <c r="P246" i="3"/>
  <c r="J247" i="3"/>
  <c r="M247" i="3"/>
  <c r="N247" i="3"/>
  <c r="O247" i="3"/>
  <c r="P247" i="3"/>
  <c r="J248" i="3"/>
  <c r="M248" i="3"/>
  <c r="N248" i="3"/>
  <c r="O248" i="3"/>
  <c r="P248" i="3"/>
  <c r="J249" i="3"/>
  <c r="M249" i="3"/>
  <c r="N249" i="3"/>
  <c r="O249" i="3"/>
  <c r="P249" i="3"/>
  <c r="J250" i="3"/>
  <c r="M250" i="3"/>
  <c r="N250" i="3"/>
  <c r="O250" i="3"/>
  <c r="P250" i="3"/>
  <c r="J251" i="3"/>
  <c r="M251" i="3"/>
  <c r="N251" i="3"/>
  <c r="O251" i="3"/>
  <c r="P251" i="3"/>
  <c r="J252" i="3"/>
  <c r="M252" i="3"/>
  <c r="N252" i="3"/>
  <c r="O252" i="3"/>
  <c r="P252" i="3"/>
  <c r="J253" i="3"/>
  <c r="M253" i="3"/>
  <c r="N253" i="3"/>
  <c r="O253" i="3"/>
  <c r="P253" i="3"/>
  <c r="J254" i="3"/>
  <c r="M254" i="3"/>
  <c r="N254" i="3"/>
  <c r="O254" i="3"/>
  <c r="P254" i="3"/>
  <c r="J255" i="3"/>
  <c r="M255" i="3"/>
  <c r="N255" i="3"/>
  <c r="O255" i="3"/>
  <c r="P255" i="3"/>
  <c r="J256" i="3"/>
  <c r="M256" i="3"/>
  <c r="N256" i="3"/>
  <c r="O256" i="3"/>
  <c r="P256" i="3"/>
  <c r="J257" i="3"/>
  <c r="M257" i="3"/>
  <c r="N257" i="3"/>
  <c r="O257" i="3"/>
  <c r="P257" i="3"/>
  <c r="J258" i="3"/>
  <c r="M258" i="3"/>
  <c r="N258" i="3"/>
  <c r="O258" i="3"/>
  <c r="P258" i="3"/>
  <c r="J259" i="3"/>
  <c r="M259" i="3"/>
  <c r="N259" i="3"/>
  <c r="O259" i="3"/>
  <c r="P259" i="3"/>
  <c r="J260" i="3"/>
  <c r="M260" i="3"/>
  <c r="N260" i="3"/>
  <c r="O260" i="3"/>
  <c r="P260" i="3"/>
  <c r="J261" i="3"/>
  <c r="M261" i="3"/>
  <c r="N261" i="3"/>
  <c r="O261" i="3"/>
  <c r="P261" i="3"/>
  <c r="J262" i="3"/>
  <c r="M262" i="3"/>
  <c r="N262" i="3"/>
  <c r="O262" i="3"/>
  <c r="P262" i="3"/>
  <c r="J263" i="3"/>
  <c r="M263" i="3"/>
  <c r="N263" i="3"/>
  <c r="O263" i="3"/>
  <c r="P263" i="3"/>
  <c r="J264" i="3"/>
  <c r="M264" i="3"/>
  <c r="N264" i="3"/>
  <c r="O264" i="3"/>
  <c r="P264" i="3"/>
  <c r="J265" i="3"/>
  <c r="M265" i="3"/>
  <c r="N265" i="3"/>
  <c r="O265" i="3"/>
  <c r="P265" i="3"/>
  <c r="J266" i="3"/>
  <c r="M266" i="3"/>
  <c r="N266" i="3"/>
  <c r="O266" i="3"/>
  <c r="P266" i="3"/>
  <c r="J267" i="3"/>
  <c r="M267" i="3"/>
  <c r="N267" i="3"/>
  <c r="O267" i="3"/>
  <c r="P267" i="3"/>
  <c r="J268" i="3"/>
  <c r="M268" i="3"/>
  <c r="N268" i="3"/>
  <c r="O268" i="3"/>
  <c r="P268" i="3"/>
  <c r="J269" i="3"/>
  <c r="M269" i="3"/>
  <c r="N269" i="3"/>
  <c r="O269" i="3"/>
  <c r="P269" i="3"/>
  <c r="J270" i="3"/>
  <c r="M270" i="3"/>
  <c r="N270" i="3"/>
  <c r="O270" i="3"/>
  <c r="P270" i="3"/>
  <c r="J271" i="3"/>
  <c r="M271" i="3"/>
  <c r="N271" i="3"/>
  <c r="O271" i="3"/>
  <c r="P271" i="3"/>
  <c r="J272" i="3"/>
  <c r="M272" i="3"/>
  <c r="N272" i="3"/>
  <c r="O272" i="3"/>
  <c r="P272" i="3"/>
  <c r="J273" i="3"/>
  <c r="M273" i="3"/>
  <c r="N273" i="3"/>
  <c r="O273" i="3"/>
  <c r="P273" i="3"/>
  <c r="J274" i="3"/>
  <c r="M274" i="3"/>
  <c r="N274" i="3"/>
  <c r="O274" i="3"/>
  <c r="P274" i="3"/>
  <c r="J275" i="3"/>
  <c r="M275" i="3"/>
  <c r="N275" i="3"/>
  <c r="O275" i="3"/>
  <c r="P275" i="3"/>
  <c r="J276" i="3"/>
  <c r="M276" i="3"/>
  <c r="N276" i="3"/>
  <c r="O276" i="3"/>
  <c r="P276" i="3"/>
  <c r="J277" i="3"/>
  <c r="M277" i="3"/>
  <c r="N277" i="3"/>
  <c r="O277" i="3"/>
  <c r="P277" i="3"/>
  <c r="J278" i="3"/>
  <c r="M278" i="3"/>
  <c r="N278" i="3"/>
  <c r="O278" i="3"/>
  <c r="P278" i="3"/>
  <c r="J279" i="3"/>
  <c r="M279" i="3"/>
  <c r="N279" i="3"/>
  <c r="O279" i="3"/>
  <c r="P279" i="3"/>
  <c r="J280" i="3"/>
  <c r="M280" i="3"/>
  <c r="N280" i="3"/>
  <c r="O280" i="3"/>
  <c r="P280" i="3"/>
  <c r="J281" i="3"/>
  <c r="M281" i="3"/>
  <c r="N281" i="3"/>
  <c r="O281" i="3"/>
  <c r="P281" i="3"/>
  <c r="J282" i="3"/>
  <c r="M282" i="3"/>
  <c r="N282" i="3"/>
  <c r="O282" i="3"/>
  <c r="P282" i="3"/>
  <c r="J283" i="3"/>
  <c r="M283" i="3"/>
  <c r="N283" i="3"/>
  <c r="O283" i="3"/>
  <c r="P283" i="3"/>
  <c r="J284" i="3"/>
  <c r="M284" i="3"/>
  <c r="N284" i="3"/>
  <c r="O284" i="3"/>
  <c r="P284" i="3"/>
  <c r="J285" i="3"/>
  <c r="M285" i="3"/>
  <c r="N285" i="3"/>
  <c r="O285" i="3"/>
  <c r="P285" i="3"/>
  <c r="J286" i="3"/>
  <c r="M286" i="3"/>
  <c r="N286" i="3"/>
  <c r="O286" i="3"/>
  <c r="P286" i="3"/>
  <c r="J287" i="3"/>
  <c r="M287" i="3"/>
  <c r="N287" i="3"/>
  <c r="O287" i="3"/>
  <c r="P287" i="3"/>
  <c r="J288" i="3"/>
  <c r="M288" i="3"/>
  <c r="N288" i="3"/>
  <c r="O288" i="3"/>
  <c r="P288" i="3"/>
  <c r="J289" i="3"/>
  <c r="M289" i="3"/>
  <c r="N289" i="3"/>
  <c r="O289" i="3"/>
  <c r="P289" i="3"/>
  <c r="J290" i="3"/>
  <c r="M290" i="3"/>
  <c r="N290" i="3"/>
  <c r="O290" i="3"/>
  <c r="P290" i="3"/>
  <c r="J291" i="3"/>
  <c r="M291" i="3"/>
  <c r="N291" i="3"/>
  <c r="O291" i="3"/>
  <c r="P291" i="3"/>
  <c r="J292" i="3"/>
  <c r="M292" i="3"/>
  <c r="N292" i="3"/>
  <c r="O292" i="3"/>
  <c r="P292" i="3"/>
  <c r="J293" i="3"/>
  <c r="M293" i="3"/>
  <c r="N293" i="3"/>
  <c r="O293" i="3"/>
  <c r="P293" i="3"/>
  <c r="J294" i="3"/>
  <c r="M294" i="3"/>
  <c r="N294" i="3"/>
  <c r="O294" i="3"/>
  <c r="P294" i="3"/>
  <c r="J295" i="3"/>
  <c r="M295" i="3"/>
  <c r="N295" i="3"/>
  <c r="O295" i="3"/>
  <c r="P295" i="3"/>
  <c r="J296" i="3"/>
  <c r="M296" i="3"/>
  <c r="N296" i="3"/>
  <c r="O296" i="3"/>
  <c r="P296" i="3"/>
  <c r="J297" i="3"/>
  <c r="M297" i="3"/>
  <c r="N297" i="3"/>
  <c r="O297" i="3"/>
  <c r="P297" i="3"/>
  <c r="J298" i="3"/>
  <c r="M298" i="3"/>
  <c r="N298" i="3"/>
  <c r="O298" i="3"/>
  <c r="P298" i="3"/>
  <c r="J299" i="3"/>
  <c r="M299" i="3"/>
  <c r="N299" i="3"/>
  <c r="O299" i="3"/>
  <c r="P299" i="3"/>
  <c r="J300" i="3"/>
  <c r="M300" i="3"/>
  <c r="N300" i="3"/>
  <c r="O300" i="3"/>
  <c r="P300" i="3"/>
  <c r="J301" i="3"/>
  <c r="M301" i="3"/>
  <c r="N301" i="3"/>
  <c r="O301" i="3"/>
  <c r="P301" i="3"/>
  <c r="J302" i="3"/>
  <c r="M302" i="3"/>
  <c r="N302" i="3"/>
  <c r="O302" i="3"/>
  <c r="P302" i="3"/>
  <c r="J303" i="3"/>
  <c r="M303" i="3"/>
  <c r="N303" i="3"/>
  <c r="O303" i="3"/>
  <c r="P303" i="3"/>
  <c r="J304" i="3"/>
  <c r="M304" i="3"/>
  <c r="N304" i="3"/>
  <c r="O304" i="3"/>
  <c r="P304" i="3"/>
  <c r="J305" i="3"/>
  <c r="M305" i="3"/>
  <c r="N305" i="3"/>
  <c r="O305" i="3"/>
  <c r="P305" i="3"/>
  <c r="J306" i="3"/>
  <c r="M306" i="3"/>
  <c r="N306" i="3"/>
  <c r="O306" i="3"/>
  <c r="P306" i="3"/>
  <c r="J307" i="3"/>
  <c r="M307" i="3"/>
  <c r="N307" i="3"/>
  <c r="O307" i="3"/>
  <c r="P307" i="3"/>
  <c r="J308" i="3"/>
  <c r="M308" i="3"/>
  <c r="N308" i="3"/>
  <c r="O308" i="3"/>
  <c r="P308" i="3"/>
  <c r="J309" i="3"/>
  <c r="M309" i="3"/>
  <c r="N309" i="3"/>
  <c r="O309" i="3"/>
  <c r="P309" i="3"/>
  <c r="J310" i="3"/>
  <c r="M310" i="3"/>
  <c r="N310" i="3"/>
  <c r="O310" i="3"/>
  <c r="P310" i="3"/>
  <c r="J311" i="3"/>
  <c r="M311" i="3"/>
  <c r="N311" i="3"/>
  <c r="O311" i="3"/>
  <c r="P311" i="3"/>
  <c r="J312" i="3"/>
  <c r="M312" i="3"/>
  <c r="N312" i="3"/>
  <c r="O312" i="3"/>
  <c r="P312" i="3"/>
  <c r="J313" i="3"/>
  <c r="M313" i="3"/>
  <c r="N313" i="3"/>
  <c r="O313" i="3"/>
  <c r="P313" i="3"/>
  <c r="J314" i="3"/>
  <c r="M314" i="3"/>
  <c r="N314" i="3"/>
  <c r="O314" i="3"/>
  <c r="P314" i="3"/>
  <c r="J315" i="3"/>
  <c r="M315" i="3"/>
  <c r="N315" i="3"/>
  <c r="O315" i="3"/>
  <c r="P315" i="3"/>
  <c r="J316" i="3"/>
  <c r="M316" i="3"/>
  <c r="N316" i="3"/>
  <c r="O316" i="3"/>
  <c r="P316" i="3"/>
  <c r="J317" i="3"/>
  <c r="M317" i="3"/>
  <c r="N317" i="3"/>
  <c r="O317" i="3"/>
  <c r="P317" i="3"/>
  <c r="J318" i="3"/>
  <c r="M318" i="3"/>
  <c r="N318" i="3"/>
  <c r="O318" i="3"/>
  <c r="P318" i="3"/>
  <c r="J319" i="3"/>
  <c r="M319" i="3"/>
  <c r="N319" i="3"/>
  <c r="O319" i="3"/>
  <c r="P319" i="3"/>
  <c r="J320" i="3"/>
  <c r="M320" i="3"/>
  <c r="N320" i="3"/>
  <c r="O320" i="3"/>
  <c r="P320" i="3"/>
  <c r="J321" i="3"/>
  <c r="M321" i="3"/>
  <c r="N321" i="3"/>
  <c r="O321" i="3"/>
  <c r="P321" i="3"/>
  <c r="J322" i="3"/>
  <c r="M322" i="3"/>
  <c r="N322" i="3"/>
  <c r="O322" i="3"/>
  <c r="P322" i="3"/>
  <c r="J323" i="3"/>
  <c r="M323" i="3"/>
  <c r="N323" i="3"/>
  <c r="O323" i="3"/>
  <c r="P323" i="3"/>
  <c r="J324" i="3"/>
  <c r="M324" i="3"/>
  <c r="N324" i="3"/>
  <c r="O324" i="3"/>
  <c r="P324" i="3"/>
  <c r="J325" i="3"/>
  <c r="M325" i="3"/>
  <c r="N325" i="3"/>
  <c r="O325" i="3"/>
  <c r="P325" i="3"/>
  <c r="J326" i="3"/>
  <c r="M326" i="3"/>
  <c r="N326" i="3"/>
  <c r="O326" i="3"/>
  <c r="P326" i="3"/>
  <c r="J327" i="3"/>
  <c r="M327" i="3"/>
  <c r="N327" i="3"/>
  <c r="O327" i="3"/>
  <c r="P327" i="3"/>
  <c r="J328" i="3"/>
  <c r="M328" i="3"/>
  <c r="N328" i="3"/>
  <c r="O328" i="3"/>
  <c r="P328" i="3"/>
  <c r="J329" i="3"/>
  <c r="M329" i="3"/>
  <c r="N329" i="3"/>
  <c r="O329" i="3"/>
  <c r="P329" i="3"/>
  <c r="J330" i="3"/>
  <c r="M330" i="3"/>
  <c r="N330" i="3"/>
  <c r="O330" i="3"/>
  <c r="P330" i="3"/>
  <c r="J331" i="3"/>
  <c r="M331" i="3"/>
  <c r="N331" i="3"/>
  <c r="O331" i="3"/>
  <c r="P331" i="3"/>
  <c r="J332" i="3"/>
  <c r="M332" i="3"/>
  <c r="N332" i="3"/>
  <c r="O332" i="3"/>
  <c r="P332" i="3"/>
  <c r="J333" i="3"/>
  <c r="M333" i="3"/>
  <c r="N333" i="3"/>
  <c r="O333" i="3"/>
  <c r="P333" i="3"/>
  <c r="J334" i="3"/>
  <c r="M334" i="3"/>
  <c r="N334" i="3"/>
  <c r="O334" i="3"/>
  <c r="P334" i="3"/>
  <c r="J335" i="3"/>
  <c r="M335" i="3"/>
  <c r="N335" i="3"/>
  <c r="O335" i="3"/>
  <c r="P335" i="3"/>
  <c r="J336" i="3"/>
  <c r="M336" i="3"/>
  <c r="N336" i="3"/>
  <c r="O336" i="3"/>
  <c r="P336" i="3"/>
  <c r="J337" i="3"/>
  <c r="M337" i="3"/>
  <c r="N337" i="3"/>
  <c r="O337" i="3"/>
  <c r="P337" i="3"/>
  <c r="J338" i="3"/>
  <c r="M338" i="3"/>
  <c r="N338" i="3"/>
  <c r="O338" i="3"/>
  <c r="P338" i="3"/>
  <c r="J339" i="3"/>
  <c r="M339" i="3"/>
  <c r="N339" i="3"/>
  <c r="O339" i="3"/>
  <c r="P339" i="3"/>
  <c r="J340" i="3"/>
  <c r="M340" i="3"/>
  <c r="N340" i="3"/>
  <c r="O340" i="3"/>
  <c r="P340" i="3"/>
  <c r="J341" i="3"/>
  <c r="M341" i="3"/>
  <c r="N341" i="3"/>
  <c r="O341" i="3"/>
  <c r="P341" i="3"/>
  <c r="J342" i="3"/>
  <c r="M342" i="3"/>
  <c r="N342" i="3"/>
  <c r="O342" i="3"/>
  <c r="P342" i="3"/>
  <c r="J343" i="3"/>
  <c r="M343" i="3"/>
  <c r="N343" i="3"/>
  <c r="O343" i="3"/>
  <c r="P343" i="3"/>
  <c r="J344" i="3"/>
  <c r="M344" i="3"/>
  <c r="N344" i="3"/>
  <c r="O344" i="3"/>
  <c r="P344" i="3"/>
  <c r="J345" i="3"/>
  <c r="M345" i="3"/>
  <c r="N345" i="3"/>
  <c r="O345" i="3"/>
  <c r="P345" i="3"/>
  <c r="J346" i="3"/>
  <c r="M346" i="3"/>
  <c r="N346" i="3"/>
  <c r="O346" i="3"/>
  <c r="P346" i="3"/>
  <c r="J347" i="3"/>
  <c r="M347" i="3"/>
  <c r="N347" i="3"/>
  <c r="O347" i="3"/>
  <c r="P347" i="3"/>
  <c r="J348" i="3"/>
  <c r="M348" i="3"/>
  <c r="N348" i="3"/>
  <c r="O348" i="3"/>
  <c r="P348" i="3"/>
  <c r="J349" i="3"/>
  <c r="M349" i="3"/>
  <c r="N349" i="3"/>
  <c r="O349" i="3"/>
  <c r="P349" i="3"/>
  <c r="J350" i="3"/>
  <c r="M350" i="3"/>
  <c r="N350" i="3"/>
  <c r="O350" i="3"/>
  <c r="P350" i="3"/>
  <c r="J351" i="3"/>
  <c r="M351" i="3"/>
  <c r="N351" i="3"/>
  <c r="O351" i="3"/>
  <c r="P351" i="3"/>
  <c r="J352" i="3"/>
  <c r="M352" i="3"/>
  <c r="N352" i="3"/>
  <c r="O352" i="3"/>
  <c r="P352" i="3"/>
  <c r="J353" i="3"/>
  <c r="M353" i="3"/>
  <c r="N353" i="3"/>
  <c r="O353" i="3"/>
  <c r="P353" i="3"/>
  <c r="J354" i="3"/>
  <c r="M354" i="3"/>
  <c r="N354" i="3"/>
  <c r="O354" i="3"/>
  <c r="P354" i="3"/>
  <c r="J355" i="3"/>
  <c r="M355" i="3"/>
  <c r="N355" i="3"/>
  <c r="O355" i="3"/>
  <c r="P355" i="3"/>
  <c r="J356" i="3"/>
  <c r="M356" i="3"/>
  <c r="N356" i="3"/>
  <c r="O356" i="3"/>
  <c r="P356" i="3"/>
  <c r="J357" i="3"/>
  <c r="M357" i="3"/>
  <c r="N357" i="3"/>
  <c r="O357" i="3"/>
  <c r="P357" i="3"/>
  <c r="J358" i="3"/>
  <c r="M358" i="3"/>
  <c r="N358" i="3"/>
  <c r="O358" i="3"/>
  <c r="P358" i="3"/>
  <c r="J359" i="3"/>
  <c r="M359" i="3"/>
  <c r="N359" i="3"/>
  <c r="O359" i="3"/>
  <c r="P359" i="3"/>
  <c r="J360" i="3"/>
  <c r="M360" i="3"/>
  <c r="N360" i="3"/>
  <c r="O360" i="3"/>
  <c r="P360" i="3"/>
  <c r="J361" i="3"/>
  <c r="M361" i="3"/>
  <c r="N361" i="3"/>
  <c r="O361" i="3"/>
  <c r="P361" i="3"/>
  <c r="J362" i="3"/>
  <c r="M362" i="3"/>
  <c r="N362" i="3"/>
  <c r="O362" i="3"/>
  <c r="P362" i="3"/>
  <c r="J363" i="3"/>
  <c r="M363" i="3"/>
  <c r="N363" i="3"/>
  <c r="O363" i="3"/>
  <c r="P363" i="3"/>
  <c r="J364" i="3"/>
  <c r="M364" i="3"/>
  <c r="N364" i="3"/>
  <c r="O364" i="3"/>
  <c r="P364" i="3"/>
  <c r="J365" i="3"/>
  <c r="M365" i="3"/>
  <c r="N365" i="3"/>
  <c r="O365" i="3"/>
  <c r="P365" i="3"/>
  <c r="J366" i="3"/>
  <c r="M366" i="3"/>
  <c r="N366" i="3"/>
  <c r="O366" i="3"/>
  <c r="P366" i="3"/>
  <c r="J367" i="3"/>
  <c r="M367" i="3"/>
  <c r="N367" i="3"/>
  <c r="O367" i="3"/>
  <c r="P367" i="3"/>
  <c r="J368" i="3"/>
  <c r="M368" i="3"/>
  <c r="N368" i="3"/>
  <c r="O368" i="3"/>
  <c r="P368" i="3"/>
  <c r="J369" i="3"/>
  <c r="M369" i="3"/>
  <c r="N369" i="3"/>
  <c r="O369" i="3"/>
  <c r="P369" i="3"/>
  <c r="J370" i="3"/>
  <c r="M370" i="3"/>
  <c r="N370" i="3"/>
  <c r="O370" i="3"/>
  <c r="P370" i="3"/>
  <c r="J371" i="3"/>
  <c r="M371" i="3"/>
  <c r="N371" i="3"/>
  <c r="O371" i="3"/>
  <c r="P371" i="3"/>
  <c r="J372" i="3"/>
  <c r="M372" i="3"/>
  <c r="N372" i="3"/>
  <c r="O372" i="3"/>
  <c r="P372" i="3"/>
  <c r="J373" i="3"/>
  <c r="M373" i="3"/>
  <c r="N373" i="3"/>
  <c r="O373" i="3"/>
  <c r="P373" i="3"/>
  <c r="J374" i="3"/>
  <c r="M374" i="3"/>
  <c r="N374" i="3"/>
  <c r="O374" i="3"/>
  <c r="P374" i="3"/>
  <c r="J375" i="3"/>
  <c r="M375" i="3"/>
  <c r="N375" i="3"/>
  <c r="O375" i="3"/>
  <c r="P375" i="3"/>
  <c r="J376" i="3"/>
  <c r="M376" i="3"/>
  <c r="N376" i="3"/>
  <c r="O376" i="3"/>
  <c r="P376" i="3"/>
  <c r="J377" i="3"/>
  <c r="M377" i="3"/>
  <c r="N377" i="3"/>
  <c r="O377" i="3"/>
  <c r="P377" i="3"/>
  <c r="J378" i="3"/>
  <c r="M378" i="3"/>
  <c r="N378" i="3"/>
  <c r="O378" i="3"/>
  <c r="P378" i="3"/>
  <c r="J379" i="3"/>
  <c r="M379" i="3"/>
  <c r="N379" i="3"/>
  <c r="O379" i="3"/>
  <c r="P379" i="3"/>
  <c r="J380" i="3"/>
  <c r="M380" i="3"/>
  <c r="N380" i="3"/>
  <c r="O380" i="3"/>
  <c r="P380" i="3"/>
  <c r="J381" i="3"/>
  <c r="M381" i="3"/>
  <c r="N381" i="3"/>
  <c r="O381" i="3"/>
  <c r="P381" i="3"/>
  <c r="J382" i="3"/>
  <c r="M382" i="3"/>
  <c r="N382" i="3"/>
  <c r="O382" i="3"/>
  <c r="P382" i="3"/>
  <c r="J383" i="3"/>
  <c r="M383" i="3"/>
  <c r="N383" i="3"/>
  <c r="O383" i="3"/>
  <c r="P383" i="3"/>
  <c r="J384" i="3"/>
  <c r="M384" i="3"/>
  <c r="N384" i="3"/>
  <c r="O384" i="3"/>
  <c r="P384" i="3"/>
  <c r="J385" i="3"/>
  <c r="M385" i="3"/>
  <c r="N385" i="3"/>
  <c r="O385" i="3"/>
  <c r="P385" i="3"/>
  <c r="J386" i="3"/>
  <c r="M386" i="3"/>
  <c r="N386" i="3"/>
  <c r="O386" i="3"/>
  <c r="P386" i="3"/>
  <c r="J387" i="3"/>
  <c r="M387" i="3"/>
  <c r="N387" i="3"/>
  <c r="O387" i="3"/>
  <c r="P387" i="3"/>
  <c r="J388" i="3"/>
  <c r="M388" i="3"/>
  <c r="N388" i="3"/>
  <c r="O388" i="3"/>
  <c r="P388" i="3"/>
  <c r="J389" i="3"/>
  <c r="M389" i="3"/>
  <c r="N389" i="3"/>
  <c r="O389" i="3"/>
  <c r="P389" i="3"/>
  <c r="J390" i="3"/>
  <c r="M390" i="3"/>
  <c r="N390" i="3"/>
  <c r="O390" i="3"/>
  <c r="P390" i="3"/>
  <c r="J391" i="3"/>
  <c r="M391" i="3"/>
  <c r="N391" i="3"/>
  <c r="O391" i="3"/>
  <c r="P391" i="3"/>
  <c r="J392" i="3"/>
  <c r="M392" i="3"/>
  <c r="N392" i="3"/>
  <c r="O392" i="3"/>
  <c r="P392" i="3"/>
  <c r="J393" i="3"/>
  <c r="M393" i="3"/>
  <c r="N393" i="3"/>
  <c r="O393" i="3"/>
  <c r="P393" i="3"/>
  <c r="J394" i="3"/>
  <c r="M394" i="3"/>
  <c r="N394" i="3"/>
  <c r="O394" i="3"/>
  <c r="P394" i="3"/>
  <c r="J395" i="3"/>
  <c r="M395" i="3"/>
  <c r="N395" i="3"/>
  <c r="O395" i="3"/>
  <c r="P395" i="3"/>
  <c r="J396" i="3"/>
  <c r="M396" i="3"/>
  <c r="N396" i="3"/>
  <c r="O396" i="3"/>
  <c r="P396" i="3"/>
  <c r="J397" i="3"/>
  <c r="M397" i="3"/>
  <c r="N397" i="3"/>
  <c r="O397" i="3"/>
  <c r="P397" i="3"/>
  <c r="J398" i="3"/>
  <c r="M398" i="3"/>
  <c r="N398" i="3"/>
  <c r="O398" i="3"/>
  <c r="P398" i="3"/>
  <c r="J399" i="3"/>
  <c r="M399" i="3"/>
  <c r="N399" i="3"/>
  <c r="O399" i="3"/>
  <c r="P399" i="3"/>
  <c r="J400" i="3"/>
  <c r="M400" i="3"/>
  <c r="N400" i="3"/>
  <c r="O400" i="3"/>
  <c r="P400" i="3"/>
  <c r="J401" i="3"/>
  <c r="M401" i="3"/>
  <c r="N401" i="3"/>
  <c r="O401" i="3"/>
  <c r="P401" i="3"/>
  <c r="J402" i="3"/>
  <c r="M402" i="3"/>
  <c r="N402" i="3"/>
  <c r="O402" i="3"/>
  <c r="P402" i="3"/>
  <c r="J403" i="3"/>
  <c r="M403" i="3"/>
  <c r="N403" i="3"/>
  <c r="O403" i="3"/>
  <c r="P403" i="3"/>
  <c r="J404" i="3"/>
  <c r="M404" i="3"/>
  <c r="N404" i="3"/>
  <c r="O404" i="3"/>
  <c r="P404" i="3"/>
  <c r="J405" i="3"/>
  <c r="M405" i="3"/>
  <c r="N405" i="3"/>
  <c r="O405" i="3"/>
  <c r="P405" i="3"/>
  <c r="J406" i="3"/>
  <c r="M406" i="3"/>
  <c r="N406" i="3"/>
  <c r="O406" i="3"/>
  <c r="P406" i="3"/>
  <c r="J407" i="3"/>
  <c r="M407" i="3"/>
  <c r="N407" i="3"/>
  <c r="O407" i="3"/>
  <c r="P407" i="3"/>
  <c r="J408" i="3"/>
  <c r="M408" i="3"/>
  <c r="N408" i="3"/>
  <c r="O408" i="3"/>
  <c r="P408" i="3"/>
  <c r="J409" i="3"/>
  <c r="M409" i="3"/>
  <c r="N409" i="3"/>
  <c r="O409" i="3"/>
  <c r="P409" i="3"/>
  <c r="J410" i="3"/>
  <c r="M410" i="3"/>
  <c r="N410" i="3"/>
  <c r="O410" i="3"/>
  <c r="P410" i="3"/>
  <c r="J411" i="3"/>
  <c r="M411" i="3"/>
  <c r="N411" i="3"/>
  <c r="O411" i="3"/>
  <c r="P411" i="3"/>
  <c r="J412" i="3"/>
  <c r="M412" i="3"/>
  <c r="N412" i="3"/>
  <c r="O412" i="3"/>
  <c r="P412" i="3"/>
  <c r="J413" i="3"/>
  <c r="M413" i="3"/>
  <c r="N413" i="3"/>
  <c r="O413" i="3"/>
  <c r="P413" i="3"/>
  <c r="J414" i="3"/>
  <c r="M414" i="3"/>
  <c r="N414" i="3"/>
  <c r="O414" i="3"/>
  <c r="P414" i="3"/>
  <c r="J415" i="3"/>
  <c r="M415" i="3"/>
  <c r="N415" i="3"/>
  <c r="O415" i="3"/>
  <c r="P415" i="3"/>
  <c r="J416" i="3"/>
  <c r="M416" i="3"/>
  <c r="N416" i="3"/>
  <c r="O416" i="3"/>
  <c r="P416" i="3"/>
  <c r="J417" i="3"/>
  <c r="M417" i="3"/>
  <c r="N417" i="3"/>
  <c r="O417" i="3"/>
  <c r="P417" i="3"/>
  <c r="J418" i="3"/>
  <c r="M418" i="3"/>
  <c r="N418" i="3"/>
  <c r="O418" i="3"/>
  <c r="P418" i="3"/>
  <c r="J419" i="3"/>
  <c r="M419" i="3"/>
  <c r="N419" i="3"/>
  <c r="O419" i="3"/>
  <c r="P419" i="3"/>
  <c r="J420" i="3"/>
  <c r="M420" i="3"/>
  <c r="N420" i="3"/>
  <c r="O420" i="3"/>
  <c r="P420" i="3"/>
  <c r="J421" i="3"/>
  <c r="M421" i="3"/>
  <c r="N421" i="3"/>
  <c r="O421" i="3"/>
  <c r="P421" i="3"/>
  <c r="J422" i="3"/>
  <c r="M422" i="3"/>
  <c r="N422" i="3"/>
  <c r="O422" i="3"/>
  <c r="P422" i="3"/>
  <c r="J423" i="3"/>
  <c r="M423" i="3"/>
  <c r="N423" i="3"/>
  <c r="O423" i="3"/>
  <c r="P423" i="3"/>
  <c r="J424" i="3"/>
  <c r="M424" i="3"/>
  <c r="N424" i="3"/>
  <c r="O424" i="3"/>
  <c r="P424" i="3"/>
  <c r="J425" i="3"/>
  <c r="M425" i="3"/>
  <c r="N425" i="3"/>
  <c r="O425" i="3"/>
  <c r="P425" i="3"/>
  <c r="J426" i="3"/>
  <c r="M426" i="3"/>
  <c r="N426" i="3"/>
  <c r="O426" i="3"/>
  <c r="P426" i="3"/>
  <c r="J427" i="3"/>
  <c r="M427" i="3"/>
  <c r="N427" i="3"/>
  <c r="O427" i="3"/>
  <c r="P427" i="3"/>
  <c r="J428" i="3"/>
  <c r="M428" i="3"/>
  <c r="N428" i="3"/>
  <c r="O428" i="3"/>
  <c r="P428" i="3"/>
  <c r="J429" i="3"/>
  <c r="M429" i="3"/>
  <c r="N429" i="3"/>
  <c r="O429" i="3"/>
  <c r="P429" i="3"/>
  <c r="J430" i="3"/>
  <c r="M430" i="3"/>
  <c r="N430" i="3"/>
  <c r="O430" i="3"/>
  <c r="P430" i="3"/>
  <c r="J431" i="3"/>
  <c r="M431" i="3"/>
  <c r="N431" i="3"/>
  <c r="O431" i="3"/>
  <c r="P431" i="3"/>
  <c r="J432" i="3"/>
  <c r="M432" i="3"/>
  <c r="N432" i="3"/>
  <c r="O432" i="3"/>
  <c r="P432" i="3"/>
  <c r="J433" i="3"/>
  <c r="M433" i="3"/>
  <c r="N433" i="3"/>
  <c r="O433" i="3"/>
  <c r="P433" i="3"/>
  <c r="J434" i="3"/>
  <c r="M434" i="3"/>
  <c r="N434" i="3"/>
  <c r="O434" i="3"/>
  <c r="P434" i="3"/>
  <c r="J435" i="3"/>
  <c r="M435" i="3"/>
  <c r="N435" i="3"/>
  <c r="O435" i="3"/>
  <c r="P435" i="3"/>
  <c r="J436" i="3"/>
  <c r="M436" i="3"/>
  <c r="N436" i="3"/>
  <c r="O436" i="3"/>
  <c r="P436" i="3"/>
  <c r="J437" i="3"/>
  <c r="M437" i="3"/>
  <c r="N437" i="3"/>
  <c r="O437" i="3"/>
  <c r="P437" i="3"/>
  <c r="J438" i="3"/>
  <c r="M438" i="3"/>
  <c r="N438" i="3"/>
  <c r="O438" i="3"/>
  <c r="P438" i="3"/>
  <c r="J439" i="3"/>
  <c r="M439" i="3"/>
  <c r="N439" i="3"/>
  <c r="O439" i="3"/>
  <c r="P439" i="3"/>
  <c r="J440" i="3"/>
  <c r="M440" i="3"/>
  <c r="N440" i="3"/>
  <c r="O440" i="3"/>
  <c r="P440" i="3"/>
  <c r="J441" i="3"/>
  <c r="M441" i="3"/>
  <c r="N441" i="3"/>
  <c r="O441" i="3"/>
  <c r="P441" i="3"/>
  <c r="J442" i="3"/>
  <c r="M442" i="3"/>
  <c r="N442" i="3"/>
  <c r="O442" i="3"/>
  <c r="P442" i="3"/>
  <c r="J443" i="3"/>
  <c r="M443" i="3"/>
  <c r="N443" i="3"/>
  <c r="O443" i="3"/>
  <c r="P443" i="3"/>
  <c r="J444" i="3"/>
  <c r="M444" i="3"/>
  <c r="N444" i="3"/>
  <c r="O444" i="3"/>
  <c r="P444" i="3"/>
  <c r="J445" i="3"/>
  <c r="M445" i="3"/>
  <c r="N445" i="3"/>
  <c r="O445" i="3"/>
  <c r="P445" i="3"/>
  <c r="J446" i="3"/>
  <c r="M446" i="3"/>
  <c r="N446" i="3"/>
  <c r="O446" i="3"/>
  <c r="P446" i="3"/>
  <c r="J447" i="3"/>
  <c r="M447" i="3"/>
  <c r="N447" i="3"/>
  <c r="O447" i="3"/>
  <c r="P447" i="3"/>
  <c r="J448" i="3"/>
  <c r="M448" i="3"/>
  <c r="N448" i="3"/>
  <c r="O448" i="3"/>
  <c r="P448" i="3"/>
  <c r="J449" i="3"/>
  <c r="M449" i="3"/>
  <c r="N449" i="3"/>
  <c r="O449" i="3"/>
  <c r="P449" i="3"/>
  <c r="J450" i="3"/>
  <c r="M450" i="3"/>
  <c r="N450" i="3"/>
  <c r="O450" i="3"/>
  <c r="P450" i="3"/>
  <c r="J451" i="3"/>
  <c r="M451" i="3"/>
  <c r="N451" i="3"/>
  <c r="O451" i="3"/>
  <c r="P451" i="3"/>
  <c r="J452" i="3"/>
  <c r="M452" i="3"/>
  <c r="N452" i="3"/>
  <c r="O452" i="3"/>
  <c r="P452" i="3"/>
  <c r="J453" i="3"/>
  <c r="M453" i="3"/>
  <c r="N453" i="3"/>
  <c r="O453" i="3"/>
  <c r="P453" i="3"/>
  <c r="J454" i="3"/>
  <c r="M454" i="3"/>
  <c r="N454" i="3"/>
  <c r="O454" i="3"/>
  <c r="P454" i="3"/>
  <c r="J455" i="3"/>
  <c r="M455" i="3"/>
  <c r="N455" i="3"/>
  <c r="O455" i="3"/>
  <c r="P455" i="3"/>
  <c r="J456" i="3"/>
  <c r="M456" i="3"/>
  <c r="N456" i="3"/>
  <c r="O456" i="3"/>
  <c r="P456" i="3"/>
  <c r="J457" i="3"/>
  <c r="M457" i="3"/>
  <c r="N457" i="3"/>
  <c r="O457" i="3"/>
  <c r="P457" i="3"/>
  <c r="J458" i="3"/>
  <c r="M458" i="3"/>
  <c r="N458" i="3"/>
  <c r="O458" i="3"/>
  <c r="P458" i="3"/>
  <c r="J459" i="3"/>
  <c r="M459" i="3"/>
  <c r="N459" i="3"/>
  <c r="O459" i="3"/>
  <c r="P459" i="3"/>
  <c r="J460" i="3"/>
  <c r="M460" i="3"/>
  <c r="N460" i="3"/>
  <c r="O460" i="3"/>
  <c r="P460" i="3"/>
  <c r="J461" i="3"/>
  <c r="M461" i="3"/>
  <c r="N461" i="3"/>
  <c r="O461" i="3"/>
  <c r="P461" i="3"/>
  <c r="J462" i="3"/>
  <c r="M462" i="3"/>
  <c r="N462" i="3"/>
  <c r="O462" i="3"/>
  <c r="P462" i="3"/>
  <c r="J463" i="3"/>
  <c r="M463" i="3"/>
  <c r="N463" i="3"/>
  <c r="O463" i="3"/>
  <c r="P463" i="3"/>
  <c r="J464" i="3"/>
  <c r="M464" i="3"/>
  <c r="N464" i="3"/>
  <c r="O464" i="3"/>
  <c r="P464" i="3"/>
  <c r="J465" i="3"/>
  <c r="M465" i="3"/>
  <c r="N465" i="3"/>
  <c r="O465" i="3"/>
  <c r="P465" i="3"/>
  <c r="J466" i="3"/>
  <c r="M466" i="3"/>
  <c r="N466" i="3"/>
  <c r="O466" i="3"/>
  <c r="P466" i="3"/>
  <c r="J467" i="3"/>
  <c r="M467" i="3"/>
  <c r="N467" i="3"/>
  <c r="O467" i="3"/>
  <c r="P467" i="3"/>
  <c r="J468" i="3"/>
  <c r="M468" i="3"/>
  <c r="N468" i="3"/>
  <c r="O468" i="3"/>
  <c r="P468" i="3"/>
  <c r="J469" i="3"/>
  <c r="M469" i="3"/>
  <c r="N469" i="3"/>
  <c r="O469" i="3"/>
  <c r="P469" i="3"/>
  <c r="J470" i="3"/>
  <c r="M470" i="3"/>
  <c r="N470" i="3"/>
  <c r="O470" i="3"/>
  <c r="P470" i="3"/>
  <c r="J471" i="3"/>
  <c r="M471" i="3"/>
  <c r="N471" i="3"/>
  <c r="O471" i="3"/>
  <c r="P471" i="3"/>
  <c r="J472" i="3"/>
  <c r="M472" i="3"/>
  <c r="N472" i="3"/>
  <c r="O472" i="3"/>
  <c r="P472" i="3"/>
  <c r="J473" i="3"/>
  <c r="M473" i="3"/>
  <c r="N473" i="3"/>
  <c r="O473" i="3"/>
  <c r="P473" i="3"/>
  <c r="J474" i="3"/>
  <c r="M474" i="3"/>
  <c r="N474" i="3"/>
  <c r="O474" i="3"/>
  <c r="P474" i="3"/>
  <c r="J475" i="3"/>
  <c r="M475" i="3"/>
  <c r="N475" i="3"/>
  <c r="O475" i="3"/>
  <c r="P475" i="3"/>
  <c r="J476" i="3"/>
  <c r="M476" i="3"/>
  <c r="N476" i="3"/>
  <c r="O476" i="3"/>
  <c r="P476" i="3"/>
  <c r="J477" i="3"/>
  <c r="M477" i="3"/>
  <c r="N477" i="3"/>
  <c r="O477" i="3"/>
  <c r="P477" i="3"/>
  <c r="J478" i="3"/>
  <c r="M478" i="3"/>
  <c r="N478" i="3"/>
  <c r="O478" i="3"/>
  <c r="P478" i="3"/>
  <c r="J479" i="3"/>
  <c r="M479" i="3"/>
  <c r="N479" i="3"/>
  <c r="O479" i="3"/>
  <c r="P479" i="3"/>
  <c r="J480" i="3"/>
  <c r="M480" i="3"/>
  <c r="N480" i="3"/>
  <c r="O480" i="3"/>
  <c r="P480" i="3"/>
  <c r="J481" i="3"/>
  <c r="M481" i="3"/>
  <c r="N481" i="3"/>
  <c r="O481" i="3"/>
  <c r="P481" i="3"/>
  <c r="J482" i="3"/>
  <c r="M482" i="3"/>
  <c r="N482" i="3"/>
  <c r="O482" i="3"/>
  <c r="P482" i="3"/>
  <c r="J483" i="3"/>
  <c r="M483" i="3"/>
  <c r="N483" i="3"/>
  <c r="O483" i="3"/>
  <c r="P483" i="3"/>
  <c r="J484" i="3"/>
  <c r="M484" i="3"/>
  <c r="N484" i="3"/>
  <c r="O484" i="3"/>
  <c r="P484" i="3"/>
  <c r="J485" i="3"/>
  <c r="M485" i="3"/>
  <c r="N485" i="3"/>
  <c r="O485" i="3"/>
  <c r="P485" i="3"/>
  <c r="J486" i="3"/>
  <c r="M486" i="3"/>
  <c r="N486" i="3"/>
  <c r="O486" i="3"/>
  <c r="P486" i="3"/>
  <c r="J487" i="3"/>
  <c r="M487" i="3"/>
  <c r="N487" i="3"/>
  <c r="O487" i="3"/>
  <c r="P487" i="3"/>
  <c r="J488" i="3"/>
  <c r="M488" i="3"/>
  <c r="N488" i="3"/>
  <c r="O488" i="3"/>
  <c r="P488" i="3"/>
  <c r="J489" i="3"/>
  <c r="M489" i="3"/>
  <c r="N489" i="3"/>
  <c r="O489" i="3"/>
  <c r="P489" i="3"/>
  <c r="J490" i="3"/>
  <c r="M490" i="3"/>
  <c r="N490" i="3"/>
  <c r="O490" i="3"/>
  <c r="P490" i="3"/>
  <c r="J491" i="3"/>
  <c r="M491" i="3"/>
  <c r="N491" i="3"/>
  <c r="O491" i="3"/>
  <c r="P491" i="3"/>
  <c r="J492" i="3"/>
  <c r="M492" i="3"/>
  <c r="N492" i="3"/>
  <c r="O492" i="3"/>
  <c r="P492" i="3"/>
  <c r="J493" i="3"/>
  <c r="M493" i="3"/>
  <c r="N493" i="3"/>
  <c r="O493" i="3"/>
  <c r="P493" i="3"/>
  <c r="J494" i="3"/>
  <c r="M494" i="3"/>
  <c r="N494" i="3"/>
  <c r="O494" i="3"/>
  <c r="P494" i="3"/>
  <c r="J495" i="3"/>
  <c r="M495" i="3"/>
  <c r="N495" i="3"/>
  <c r="O495" i="3"/>
  <c r="P495" i="3"/>
  <c r="J496" i="3"/>
  <c r="M496" i="3"/>
  <c r="N496" i="3"/>
  <c r="O496" i="3"/>
  <c r="P496" i="3"/>
  <c r="J497" i="3"/>
  <c r="M497" i="3"/>
  <c r="N497" i="3"/>
  <c r="O497" i="3"/>
  <c r="P497" i="3"/>
  <c r="J498" i="3"/>
  <c r="M498" i="3"/>
  <c r="N498" i="3"/>
  <c r="O498" i="3"/>
  <c r="P498" i="3"/>
  <c r="J499" i="3"/>
  <c r="M499" i="3"/>
  <c r="N499" i="3"/>
  <c r="O499" i="3"/>
  <c r="P499" i="3"/>
  <c r="J500" i="3"/>
  <c r="M500" i="3"/>
  <c r="N500" i="3"/>
  <c r="O500" i="3"/>
  <c r="P500" i="3"/>
  <c r="J501" i="3"/>
  <c r="M501" i="3"/>
  <c r="N501" i="3"/>
  <c r="O501" i="3"/>
  <c r="P501" i="3"/>
  <c r="J502" i="3"/>
  <c r="M502" i="3"/>
  <c r="N502" i="3"/>
  <c r="O502" i="3"/>
  <c r="P502" i="3"/>
  <c r="J503" i="3"/>
  <c r="M503" i="3"/>
  <c r="N503" i="3"/>
  <c r="O503" i="3"/>
  <c r="P503" i="3"/>
  <c r="J504" i="3"/>
  <c r="M504" i="3"/>
  <c r="N504" i="3"/>
  <c r="O504" i="3"/>
  <c r="P504" i="3"/>
  <c r="J505" i="3"/>
  <c r="M505" i="3"/>
  <c r="N505" i="3"/>
  <c r="O505" i="3"/>
  <c r="P505" i="3"/>
  <c r="J506" i="3"/>
  <c r="M506" i="3"/>
  <c r="N506" i="3"/>
  <c r="O506" i="3"/>
  <c r="P506" i="3"/>
  <c r="J507" i="3"/>
  <c r="M507" i="3"/>
  <c r="N507" i="3"/>
  <c r="O507" i="3"/>
  <c r="P507" i="3"/>
  <c r="J508" i="3"/>
  <c r="M508" i="3"/>
  <c r="N508" i="3"/>
  <c r="O508" i="3"/>
  <c r="P508" i="3"/>
  <c r="J509" i="3"/>
  <c r="M509" i="3"/>
  <c r="N509" i="3"/>
  <c r="O509" i="3"/>
  <c r="P509" i="3"/>
  <c r="J510" i="3"/>
  <c r="M510" i="3"/>
  <c r="N510" i="3"/>
  <c r="O510" i="3"/>
  <c r="P510" i="3"/>
  <c r="J511" i="3"/>
  <c r="M511" i="3"/>
  <c r="N511" i="3"/>
  <c r="O511" i="3"/>
  <c r="P511" i="3"/>
  <c r="J512" i="3"/>
  <c r="M512" i="3"/>
  <c r="N512" i="3"/>
  <c r="O512" i="3"/>
  <c r="P512" i="3"/>
  <c r="J513" i="3"/>
  <c r="M513" i="3"/>
  <c r="N513" i="3"/>
  <c r="O513" i="3"/>
  <c r="P513" i="3"/>
  <c r="J514" i="3"/>
  <c r="M514" i="3"/>
  <c r="N514" i="3"/>
  <c r="O514" i="3"/>
  <c r="P514" i="3"/>
  <c r="J515" i="3"/>
  <c r="M515" i="3"/>
  <c r="N515" i="3"/>
  <c r="O515" i="3"/>
  <c r="P515" i="3"/>
  <c r="J516" i="3"/>
  <c r="M516" i="3"/>
  <c r="N516" i="3"/>
  <c r="O516" i="3"/>
  <c r="P516" i="3"/>
  <c r="J517" i="3"/>
  <c r="M517" i="3"/>
  <c r="N517" i="3"/>
  <c r="O517" i="3"/>
  <c r="P517" i="3"/>
  <c r="J518" i="3"/>
  <c r="M518" i="3"/>
  <c r="N518" i="3"/>
  <c r="O518" i="3"/>
  <c r="P518" i="3"/>
  <c r="J519" i="3"/>
  <c r="M519" i="3"/>
  <c r="N519" i="3"/>
  <c r="O519" i="3"/>
  <c r="P519" i="3"/>
  <c r="J520" i="3"/>
  <c r="M520" i="3"/>
  <c r="N520" i="3"/>
  <c r="O520" i="3"/>
  <c r="P520" i="3"/>
  <c r="J521" i="3"/>
  <c r="M521" i="3"/>
  <c r="N521" i="3"/>
  <c r="O521" i="3"/>
  <c r="P521" i="3"/>
  <c r="J522" i="3"/>
  <c r="M522" i="3"/>
  <c r="N522" i="3"/>
  <c r="O522" i="3"/>
  <c r="P522" i="3"/>
  <c r="J523" i="3"/>
  <c r="M523" i="3"/>
  <c r="N523" i="3"/>
  <c r="O523" i="3"/>
  <c r="P523" i="3"/>
  <c r="J524" i="3"/>
  <c r="M524" i="3"/>
  <c r="N524" i="3"/>
  <c r="O524" i="3"/>
  <c r="P524" i="3"/>
  <c r="J525" i="3"/>
  <c r="M525" i="3"/>
  <c r="N525" i="3"/>
  <c r="O525" i="3"/>
  <c r="P525" i="3"/>
  <c r="J526" i="3"/>
  <c r="M526" i="3"/>
  <c r="N526" i="3"/>
  <c r="O526" i="3"/>
  <c r="P526" i="3"/>
  <c r="J527" i="3"/>
  <c r="M527" i="3"/>
  <c r="N527" i="3"/>
  <c r="O527" i="3"/>
  <c r="P527" i="3"/>
  <c r="J528" i="3"/>
  <c r="M528" i="3"/>
  <c r="N528" i="3"/>
  <c r="O528" i="3"/>
  <c r="P528" i="3"/>
  <c r="J529" i="3"/>
  <c r="M529" i="3"/>
  <c r="N529" i="3"/>
  <c r="O529" i="3"/>
  <c r="P529" i="3"/>
  <c r="J530" i="3"/>
  <c r="M530" i="3"/>
  <c r="N530" i="3"/>
  <c r="O530" i="3"/>
  <c r="P530" i="3"/>
  <c r="J531" i="3"/>
  <c r="M531" i="3"/>
  <c r="N531" i="3"/>
  <c r="O531" i="3"/>
  <c r="P531" i="3"/>
  <c r="J532" i="3"/>
  <c r="M532" i="3"/>
  <c r="N532" i="3"/>
  <c r="O532" i="3"/>
  <c r="P532" i="3"/>
  <c r="J533" i="3"/>
  <c r="M533" i="3"/>
  <c r="N533" i="3"/>
  <c r="O533" i="3"/>
  <c r="P533" i="3"/>
  <c r="J534" i="3"/>
  <c r="M534" i="3"/>
  <c r="N534" i="3"/>
  <c r="O534" i="3"/>
  <c r="P534" i="3"/>
  <c r="J535" i="3"/>
  <c r="M535" i="3"/>
  <c r="N535" i="3"/>
  <c r="O535" i="3"/>
  <c r="P535" i="3"/>
  <c r="J536" i="3"/>
  <c r="M536" i="3"/>
  <c r="N536" i="3"/>
  <c r="O536" i="3"/>
  <c r="P536" i="3"/>
  <c r="J537" i="3"/>
  <c r="M537" i="3"/>
  <c r="N537" i="3"/>
  <c r="O537" i="3"/>
  <c r="P537" i="3"/>
  <c r="J538" i="3"/>
  <c r="M538" i="3"/>
  <c r="N538" i="3"/>
  <c r="O538" i="3"/>
  <c r="P538" i="3"/>
  <c r="J539" i="3"/>
  <c r="M539" i="3"/>
  <c r="N539" i="3"/>
  <c r="O539" i="3"/>
  <c r="P539" i="3"/>
  <c r="J540" i="3"/>
  <c r="M540" i="3"/>
  <c r="N540" i="3"/>
  <c r="O540" i="3"/>
  <c r="P540" i="3"/>
  <c r="J541" i="3"/>
  <c r="M541" i="3"/>
  <c r="N541" i="3"/>
  <c r="O541" i="3"/>
  <c r="P541" i="3"/>
  <c r="J542" i="3"/>
  <c r="M542" i="3"/>
  <c r="N542" i="3"/>
  <c r="O542" i="3"/>
  <c r="P542" i="3"/>
  <c r="J543" i="3"/>
  <c r="M543" i="3"/>
  <c r="N543" i="3"/>
  <c r="O543" i="3"/>
  <c r="P543" i="3"/>
  <c r="J544" i="3"/>
  <c r="M544" i="3"/>
  <c r="N544" i="3"/>
  <c r="O544" i="3"/>
  <c r="P544" i="3"/>
  <c r="J545" i="3"/>
  <c r="M545" i="3"/>
  <c r="N545" i="3"/>
  <c r="O545" i="3"/>
  <c r="P545" i="3"/>
  <c r="J546" i="3"/>
  <c r="M546" i="3"/>
  <c r="N546" i="3"/>
  <c r="O546" i="3"/>
  <c r="P546" i="3"/>
  <c r="J547" i="3"/>
  <c r="M547" i="3"/>
  <c r="N547" i="3"/>
  <c r="O547" i="3"/>
  <c r="P547" i="3"/>
  <c r="J548" i="3"/>
  <c r="M548" i="3"/>
  <c r="N548" i="3"/>
  <c r="O548" i="3"/>
  <c r="P548" i="3"/>
  <c r="J549" i="3"/>
  <c r="M549" i="3"/>
  <c r="N549" i="3"/>
  <c r="O549" i="3"/>
  <c r="P549" i="3"/>
  <c r="J550" i="3"/>
  <c r="M550" i="3"/>
  <c r="N550" i="3"/>
  <c r="O550" i="3"/>
  <c r="P550" i="3"/>
  <c r="J551" i="3"/>
  <c r="M551" i="3"/>
  <c r="N551" i="3"/>
  <c r="O551" i="3"/>
  <c r="P551" i="3"/>
  <c r="J552" i="3"/>
  <c r="M552" i="3"/>
  <c r="N552" i="3"/>
  <c r="O552" i="3"/>
  <c r="P552" i="3"/>
  <c r="J553" i="3"/>
  <c r="M553" i="3"/>
  <c r="N553" i="3"/>
  <c r="O553" i="3"/>
  <c r="P553" i="3"/>
  <c r="J554" i="3"/>
  <c r="M554" i="3"/>
  <c r="N554" i="3"/>
  <c r="O554" i="3"/>
  <c r="P554" i="3"/>
  <c r="J555" i="3"/>
  <c r="M555" i="3"/>
  <c r="N555" i="3"/>
  <c r="O555" i="3"/>
  <c r="P555" i="3"/>
  <c r="J556" i="3"/>
  <c r="M556" i="3"/>
  <c r="N556" i="3"/>
  <c r="O556" i="3"/>
  <c r="P556" i="3"/>
  <c r="J557" i="3"/>
  <c r="M557" i="3"/>
  <c r="N557" i="3"/>
  <c r="O557" i="3"/>
  <c r="P557" i="3"/>
  <c r="J558" i="3"/>
  <c r="M558" i="3"/>
  <c r="N558" i="3"/>
  <c r="O558" i="3"/>
  <c r="P558" i="3"/>
  <c r="J559" i="3"/>
  <c r="M559" i="3"/>
  <c r="N559" i="3"/>
  <c r="O559" i="3"/>
  <c r="P559" i="3"/>
  <c r="J560" i="3"/>
  <c r="M560" i="3"/>
  <c r="N560" i="3"/>
  <c r="O560" i="3"/>
  <c r="P560" i="3"/>
  <c r="J561" i="3"/>
  <c r="M561" i="3"/>
  <c r="N561" i="3"/>
  <c r="O561" i="3"/>
  <c r="P561" i="3"/>
  <c r="J562" i="3"/>
  <c r="M562" i="3"/>
  <c r="N562" i="3"/>
  <c r="O562" i="3"/>
  <c r="P562" i="3"/>
  <c r="J563" i="3"/>
  <c r="M563" i="3"/>
  <c r="N563" i="3"/>
  <c r="O563" i="3"/>
  <c r="P563" i="3"/>
  <c r="J564" i="3"/>
  <c r="M564" i="3"/>
  <c r="N564" i="3"/>
  <c r="O564" i="3"/>
  <c r="P564" i="3"/>
  <c r="J565" i="3"/>
  <c r="M565" i="3"/>
  <c r="N565" i="3"/>
  <c r="O565" i="3"/>
  <c r="P565" i="3"/>
  <c r="J566" i="3"/>
  <c r="M566" i="3"/>
  <c r="N566" i="3"/>
  <c r="O566" i="3"/>
  <c r="P566" i="3"/>
  <c r="J567" i="3"/>
  <c r="M567" i="3"/>
  <c r="N567" i="3"/>
  <c r="O567" i="3"/>
  <c r="P567" i="3"/>
  <c r="J568" i="3"/>
  <c r="M568" i="3"/>
  <c r="N568" i="3"/>
  <c r="O568" i="3"/>
  <c r="P568" i="3"/>
  <c r="J569" i="3"/>
  <c r="M569" i="3"/>
  <c r="N569" i="3"/>
  <c r="O569" i="3"/>
  <c r="P569" i="3"/>
  <c r="J570" i="3"/>
  <c r="M570" i="3"/>
  <c r="N570" i="3"/>
  <c r="O570" i="3"/>
  <c r="P570" i="3"/>
  <c r="J571" i="3"/>
  <c r="M571" i="3"/>
  <c r="N571" i="3"/>
  <c r="O571" i="3"/>
  <c r="P571" i="3"/>
  <c r="J572" i="3"/>
  <c r="M572" i="3"/>
  <c r="N572" i="3"/>
  <c r="O572" i="3"/>
  <c r="P572" i="3"/>
  <c r="J573" i="3"/>
  <c r="M573" i="3"/>
  <c r="N573" i="3"/>
  <c r="O573" i="3"/>
  <c r="P573" i="3"/>
  <c r="J574" i="3"/>
  <c r="M574" i="3"/>
  <c r="N574" i="3"/>
  <c r="O574" i="3"/>
  <c r="P574" i="3"/>
  <c r="J575" i="3"/>
  <c r="M575" i="3"/>
  <c r="N575" i="3"/>
  <c r="O575" i="3"/>
  <c r="P575" i="3"/>
  <c r="J576" i="3"/>
  <c r="M576" i="3"/>
  <c r="N576" i="3"/>
  <c r="O576" i="3"/>
  <c r="P576" i="3"/>
  <c r="J577" i="3"/>
  <c r="M577" i="3"/>
  <c r="N577" i="3"/>
  <c r="O577" i="3"/>
  <c r="P577" i="3"/>
  <c r="J578" i="3"/>
  <c r="M578" i="3"/>
  <c r="N578" i="3"/>
  <c r="O578" i="3"/>
  <c r="P578" i="3"/>
  <c r="J579" i="3"/>
  <c r="M579" i="3"/>
  <c r="N579" i="3"/>
  <c r="O579" i="3"/>
  <c r="P579" i="3"/>
  <c r="J580" i="3"/>
  <c r="M580" i="3"/>
  <c r="N580" i="3"/>
  <c r="O580" i="3"/>
  <c r="P580" i="3"/>
  <c r="J581" i="3"/>
  <c r="M581" i="3"/>
  <c r="N581" i="3"/>
  <c r="O581" i="3"/>
  <c r="P581" i="3"/>
  <c r="J582" i="3"/>
  <c r="M582" i="3"/>
  <c r="N582" i="3"/>
  <c r="O582" i="3"/>
  <c r="P582" i="3"/>
  <c r="J583" i="3"/>
  <c r="M583" i="3"/>
  <c r="N583" i="3"/>
  <c r="O583" i="3"/>
  <c r="P583" i="3"/>
  <c r="J584" i="3"/>
  <c r="M584" i="3"/>
  <c r="N584" i="3"/>
  <c r="O584" i="3"/>
  <c r="P584" i="3"/>
  <c r="J585" i="3"/>
  <c r="M585" i="3"/>
  <c r="N585" i="3"/>
  <c r="O585" i="3"/>
  <c r="P585" i="3"/>
  <c r="J586" i="3"/>
  <c r="M586" i="3"/>
  <c r="N586" i="3"/>
  <c r="O586" i="3"/>
  <c r="P586" i="3"/>
  <c r="J587" i="3"/>
  <c r="M587" i="3"/>
  <c r="N587" i="3"/>
  <c r="O587" i="3"/>
  <c r="P587" i="3"/>
  <c r="J588" i="3"/>
  <c r="M588" i="3"/>
  <c r="N588" i="3"/>
  <c r="O588" i="3"/>
  <c r="P588" i="3"/>
  <c r="J589" i="3"/>
  <c r="M589" i="3"/>
  <c r="N589" i="3"/>
  <c r="O589" i="3"/>
  <c r="P589" i="3"/>
  <c r="J590" i="3"/>
  <c r="M590" i="3"/>
  <c r="N590" i="3"/>
  <c r="O590" i="3"/>
  <c r="P590" i="3"/>
  <c r="J591" i="3"/>
  <c r="M591" i="3"/>
  <c r="N591" i="3"/>
  <c r="O591" i="3"/>
  <c r="P591" i="3"/>
  <c r="J592" i="3"/>
  <c r="M592" i="3"/>
  <c r="N592" i="3"/>
  <c r="O592" i="3"/>
  <c r="P592" i="3"/>
  <c r="J593" i="3"/>
  <c r="M593" i="3"/>
  <c r="N593" i="3"/>
  <c r="O593" i="3"/>
  <c r="P593" i="3"/>
  <c r="J594" i="3"/>
  <c r="M594" i="3"/>
  <c r="N594" i="3"/>
  <c r="O594" i="3"/>
  <c r="P594" i="3"/>
  <c r="J595" i="3"/>
  <c r="M595" i="3"/>
  <c r="N595" i="3"/>
  <c r="O595" i="3"/>
  <c r="P595" i="3"/>
  <c r="J596" i="3"/>
  <c r="M596" i="3"/>
  <c r="N596" i="3"/>
  <c r="O596" i="3"/>
  <c r="P596" i="3"/>
  <c r="J597" i="3"/>
  <c r="M597" i="3"/>
  <c r="N597" i="3"/>
  <c r="O597" i="3"/>
  <c r="P597" i="3"/>
  <c r="J598" i="3"/>
  <c r="M598" i="3"/>
  <c r="N598" i="3"/>
  <c r="O598" i="3"/>
  <c r="P598" i="3"/>
  <c r="J599" i="3"/>
  <c r="M599" i="3"/>
  <c r="N599" i="3"/>
  <c r="O599" i="3"/>
  <c r="P599" i="3"/>
  <c r="J600" i="3"/>
  <c r="M600" i="3"/>
  <c r="N600" i="3"/>
  <c r="O600" i="3"/>
  <c r="P600" i="3"/>
  <c r="J601" i="3"/>
  <c r="M601" i="3"/>
  <c r="N601" i="3"/>
  <c r="O601" i="3"/>
  <c r="P601" i="3"/>
  <c r="J602" i="3"/>
  <c r="M602" i="3"/>
  <c r="N602" i="3"/>
  <c r="O602" i="3"/>
  <c r="P602" i="3"/>
  <c r="J603" i="3"/>
  <c r="M603" i="3"/>
  <c r="N603" i="3"/>
  <c r="O603" i="3"/>
  <c r="P603" i="3"/>
  <c r="J604" i="3"/>
  <c r="M604" i="3"/>
  <c r="N604" i="3"/>
  <c r="O604" i="3"/>
  <c r="P604" i="3"/>
  <c r="J605" i="3"/>
  <c r="M605" i="3"/>
  <c r="N605" i="3"/>
  <c r="O605" i="3"/>
  <c r="P605" i="3"/>
  <c r="J606" i="3"/>
  <c r="M606" i="3"/>
  <c r="N606" i="3"/>
  <c r="O606" i="3"/>
  <c r="P606" i="3"/>
  <c r="J607" i="3"/>
  <c r="M607" i="3"/>
  <c r="N607" i="3"/>
  <c r="O607" i="3"/>
  <c r="P607" i="3"/>
  <c r="J608" i="3"/>
  <c r="M608" i="3"/>
  <c r="N608" i="3"/>
  <c r="O608" i="3"/>
  <c r="P608" i="3"/>
  <c r="J609" i="3"/>
  <c r="M609" i="3"/>
  <c r="N609" i="3"/>
  <c r="O609" i="3"/>
  <c r="P609" i="3"/>
  <c r="J610" i="3"/>
  <c r="M610" i="3"/>
  <c r="N610" i="3"/>
  <c r="O610" i="3"/>
  <c r="P610" i="3"/>
  <c r="J611" i="3"/>
  <c r="M611" i="3"/>
  <c r="N611" i="3"/>
  <c r="O611" i="3"/>
  <c r="P611" i="3"/>
  <c r="J612" i="3"/>
  <c r="M612" i="3"/>
  <c r="N612" i="3"/>
  <c r="O612" i="3"/>
  <c r="P612" i="3"/>
  <c r="J613" i="3"/>
  <c r="M613" i="3"/>
  <c r="N613" i="3"/>
  <c r="O613" i="3"/>
  <c r="P613" i="3"/>
  <c r="J614" i="3"/>
  <c r="M614" i="3"/>
  <c r="N614" i="3"/>
  <c r="O614" i="3"/>
  <c r="P614" i="3"/>
  <c r="J615" i="3"/>
  <c r="M615" i="3"/>
  <c r="N615" i="3"/>
  <c r="O615" i="3"/>
  <c r="P615" i="3"/>
  <c r="J616" i="3"/>
  <c r="M616" i="3"/>
  <c r="N616" i="3"/>
  <c r="O616" i="3"/>
  <c r="P616" i="3"/>
  <c r="J617" i="3"/>
  <c r="M617" i="3"/>
  <c r="N617" i="3"/>
  <c r="O617" i="3"/>
  <c r="P617" i="3"/>
  <c r="J618" i="3"/>
  <c r="M618" i="3"/>
  <c r="N618" i="3"/>
  <c r="O618" i="3"/>
  <c r="P618" i="3"/>
  <c r="J619" i="3"/>
  <c r="M619" i="3"/>
  <c r="N619" i="3"/>
  <c r="O619" i="3"/>
  <c r="P619" i="3"/>
  <c r="J620" i="3"/>
  <c r="M620" i="3"/>
  <c r="N620" i="3"/>
  <c r="O620" i="3"/>
  <c r="P620" i="3"/>
  <c r="J621" i="3"/>
  <c r="M621" i="3"/>
  <c r="N621" i="3"/>
  <c r="O621" i="3"/>
  <c r="P621" i="3"/>
  <c r="J622" i="3"/>
  <c r="M622" i="3"/>
  <c r="N622" i="3"/>
  <c r="O622" i="3"/>
  <c r="P622" i="3"/>
  <c r="J623" i="3"/>
  <c r="M623" i="3"/>
  <c r="N623" i="3"/>
  <c r="O623" i="3"/>
  <c r="P623" i="3"/>
  <c r="J624" i="3"/>
  <c r="M624" i="3"/>
  <c r="N624" i="3"/>
  <c r="O624" i="3"/>
  <c r="P624" i="3"/>
  <c r="J625" i="3"/>
  <c r="M625" i="3"/>
  <c r="N625" i="3"/>
  <c r="O625" i="3"/>
  <c r="P625" i="3"/>
  <c r="J626" i="3"/>
  <c r="M626" i="3"/>
  <c r="N626" i="3"/>
  <c r="O626" i="3"/>
  <c r="P626" i="3"/>
  <c r="J627" i="3"/>
  <c r="M627" i="3"/>
  <c r="N627" i="3"/>
  <c r="O627" i="3"/>
  <c r="P627" i="3"/>
  <c r="J628" i="3"/>
  <c r="M628" i="3"/>
  <c r="N628" i="3"/>
  <c r="O628" i="3"/>
  <c r="P628" i="3"/>
  <c r="J629" i="3"/>
  <c r="M629" i="3"/>
  <c r="N629" i="3"/>
  <c r="O629" i="3"/>
  <c r="P629" i="3"/>
  <c r="J630" i="3"/>
  <c r="M630" i="3"/>
  <c r="N630" i="3"/>
  <c r="O630" i="3"/>
  <c r="P630" i="3"/>
  <c r="J631" i="3"/>
  <c r="M631" i="3"/>
  <c r="N631" i="3"/>
  <c r="O631" i="3"/>
  <c r="P631" i="3"/>
  <c r="J632" i="3"/>
  <c r="M632" i="3"/>
  <c r="N632" i="3"/>
  <c r="O632" i="3"/>
  <c r="P632" i="3"/>
  <c r="J633" i="3"/>
  <c r="M633" i="3"/>
  <c r="N633" i="3"/>
  <c r="O633" i="3"/>
  <c r="P633" i="3"/>
  <c r="J634" i="3"/>
  <c r="M634" i="3"/>
  <c r="N634" i="3"/>
  <c r="O634" i="3"/>
  <c r="P634" i="3"/>
  <c r="J635" i="3"/>
  <c r="M635" i="3"/>
  <c r="N635" i="3"/>
  <c r="O635" i="3"/>
  <c r="P635" i="3"/>
  <c r="J636" i="3"/>
  <c r="M636" i="3"/>
  <c r="N636" i="3"/>
  <c r="O636" i="3"/>
  <c r="P636" i="3"/>
  <c r="J637" i="3"/>
  <c r="M637" i="3"/>
  <c r="N637" i="3"/>
  <c r="O637" i="3"/>
  <c r="P637" i="3"/>
  <c r="J638" i="3"/>
  <c r="M638" i="3"/>
  <c r="N638" i="3"/>
  <c r="O638" i="3"/>
  <c r="P638" i="3"/>
  <c r="J639" i="3"/>
  <c r="M639" i="3"/>
  <c r="N639" i="3"/>
  <c r="O639" i="3"/>
  <c r="P639" i="3"/>
  <c r="J640" i="3"/>
  <c r="M640" i="3"/>
  <c r="N640" i="3"/>
  <c r="O640" i="3"/>
  <c r="P640" i="3"/>
  <c r="J641" i="3"/>
  <c r="M641" i="3"/>
  <c r="N641" i="3"/>
  <c r="O641" i="3"/>
  <c r="P641" i="3"/>
  <c r="J642" i="3"/>
  <c r="M642" i="3"/>
  <c r="N642" i="3"/>
  <c r="O642" i="3"/>
  <c r="P642" i="3"/>
  <c r="J643" i="3"/>
  <c r="M643" i="3"/>
  <c r="N643" i="3"/>
  <c r="O643" i="3"/>
  <c r="P643" i="3"/>
  <c r="J644" i="3"/>
  <c r="M644" i="3"/>
  <c r="N644" i="3"/>
  <c r="O644" i="3"/>
  <c r="P644" i="3"/>
  <c r="J645" i="3"/>
  <c r="M645" i="3"/>
  <c r="N645" i="3"/>
  <c r="O645" i="3"/>
  <c r="P645" i="3"/>
  <c r="J646" i="3"/>
  <c r="M646" i="3"/>
  <c r="N646" i="3"/>
  <c r="O646" i="3"/>
  <c r="P646" i="3"/>
  <c r="J647" i="3"/>
  <c r="M647" i="3"/>
  <c r="N647" i="3"/>
  <c r="O647" i="3"/>
  <c r="P647" i="3"/>
  <c r="J648" i="3"/>
  <c r="M648" i="3"/>
  <c r="N648" i="3"/>
  <c r="O648" i="3"/>
  <c r="P648" i="3"/>
  <c r="J649" i="3"/>
  <c r="M649" i="3"/>
  <c r="N649" i="3"/>
  <c r="O649" i="3"/>
  <c r="P649" i="3"/>
  <c r="J650" i="3"/>
  <c r="M650" i="3"/>
  <c r="N650" i="3"/>
  <c r="O650" i="3"/>
  <c r="P650" i="3"/>
  <c r="J651" i="3"/>
  <c r="M651" i="3"/>
  <c r="N651" i="3"/>
  <c r="O651" i="3"/>
  <c r="P651" i="3"/>
  <c r="J652" i="3"/>
  <c r="M652" i="3"/>
  <c r="N652" i="3"/>
  <c r="O652" i="3"/>
  <c r="P652" i="3"/>
  <c r="J653" i="3"/>
  <c r="M653" i="3"/>
  <c r="N653" i="3"/>
  <c r="O653" i="3"/>
  <c r="P653" i="3"/>
  <c r="J654" i="3"/>
  <c r="M654" i="3"/>
  <c r="N654" i="3"/>
  <c r="O654" i="3"/>
  <c r="P654" i="3"/>
  <c r="J655" i="3"/>
  <c r="M655" i="3"/>
  <c r="N655" i="3"/>
  <c r="O655" i="3"/>
  <c r="P655" i="3"/>
  <c r="J656" i="3"/>
  <c r="M656" i="3"/>
  <c r="N656" i="3"/>
  <c r="O656" i="3"/>
  <c r="P656" i="3"/>
  <c r="J657" i="3"/>
  <c r="M657" i="3"/>
  <c r="N657" i="3"/>
  <c r="O657" i="3"/>
  <c r="P657" i="3"/>
  <c r="J658" i="3"/>
  <c r="M658" i="3"/>
  <c r="N658" i="3"/>
  <c r="O658" i="3"/>
  <c r="P658" i="3"/>
  <c r="J659" i="3"/>
  <c r="M659" i="3"/>
  <c r="N659" i="3"/>
  <c r="O659" i="3"/>
  <c r="P659" i="3"/>
  <c r="J660" i="3"/>
  <c r="M660" i="3"/>
  <c r="N660" i="3"/>
  <c r="O660" i="3"/>
  <c r="P660" i="3"/>
  <c r="J661" i="3"/>
  <c r="M661" i="3"/>
  <c r="N661" i="3"/>
  <c r="O661" i="3"/>
  <c r="P661" i="3"/>
  <c r="J662" i="3"/>
  <c r="M662" i="3"/>
  <c r="N662" i="3"/>
  <c r="O662" i="3"/>
  <c r="P662" i="3"/>
  <c r="J663" i="3"/>
  <c r="M663" i="3"/>
  <c r="N663" i="3"/>
  <c r="O663" i="3"/>
  <c r="P663" i="3"/>
  <c r="J664" i="3"/>
  <c r="M664" i="3"/>
  <c r="N664" i="3"/>
  <c r="O664" i="3"/>
  <c r="P664" i="3"/>
  <c r="J665" i="3"/>
  <c r="M665" i="3"/>
  <c r="N665" i="3"/>
  <c r="O665" i="3"/>
  <c r="P665" i="3"/>
  <c r="J666" i="3"/>
  <c r="M666" i="3"/>
  <c r="N666" i="3"/>
  <c r="O666" i="3"/>
  <c r="P666" i="3"/>
  <c r="J667" i="3"/>
  <c r="M667" i="3"/>
  <c r="N667" i="3"/>
  <c r="O667" i="3"/>
  <c r="P667" i="3"/>
  <c r="J668" i="3"/>
  <c r="M668" i="3"/>
  <c r="N668" i="3"/>
  <c r="O668" i="3"/>
  <c r="P668" i="3"/>
  <c r="J669" i="3"/>
  <c r="M669" i="3"/>
  <c r="N669" i="3"/>
  <c r="O669" i="3"/>
  <c r="P669" i="3"/>
  <c r="J670" i="3"/>
  <c r="M670" i="3"/>
  <c r="N670" i="3"/>
  <c r="O670" i="3"/>
  <c r="P670" i="3"/>
  <c r="J671" i="3"/>
  <c r="M671" i="3"/>
  <c r="N671" i="3"/>
  <c r="O671" i="3"/>
  <c r="P671" i="3"/>
  <c r="J672" i="3"/>
  <c r="M672" i="3"/>
  <c r="N672" i="3"/>
  <c r="O672" i="3"/>
  <c r="P672" i="3"/>
  <c r="J673" i="3"/>
  <c r="M673" i="3"/>
  <c r="N673" i="3"/>
  <c r="O673" i="3"/>
  <c r="P673" i="3"/>
  <c r="J674" i="3"/>
  <c r="M674" i="3"/>
  <c r="N674" i="3"/>
  <c r="O674" i="3"/>
  <c r="P674" i="3"/>
  <c r="J675" i="3"/>
  <c r="M675" i="3"/>
  <c r="N675" i="3"/>
  <c r="O675" i="3"/>
  <c r="P675" i="3"/>
  <c r="J676" i="3"/>
  <c r="M676" i="3"/>
  <c r="N676" i="3"/>
  <c r="O676" i="3"/>
  <c r="P676" i="3"/>
  <c r="J677" i="3"/>
  <c r="M677" i="3"/>
  <c r="N677" i="3"/>
  <c r="O677" i="3"/>
  <c r="P677" i="3"/>
  <c r="J678" i="3"/>
  <c r="M678" i="3"/>
  <c r="N678" i="3"/>
  <c r="O678" i="3"/>
  <c r="P678" i="3"/>
  <c r="J679" i="3"/>
  <c r="M679" i="3"/>
  <c r="N679" i="3"/>
  <c r="O679" i="3"/>
  <c r="P679" i="3"/>
  <c r="J680" i="3"/>
  <c r="M680" i="3"/>
  <c r="N680" i="3"/>
  <c r="O680" i="3"/>
  <c r="P680" i="3"/>
  <c r="J681" i="3"/>
  <c r="M681" i="3"/>
  <c r="N681" i="3"/>
  <c r="O681" i="3"/>
  <c r="P681" i="3"/>
  <c r="J682" i="3"/>
  <c r="M682" i="3"/>
  <c r="N682" i="3"/>
  <c r="O682" i="3"/>
  <c r="P682" i="3"/>
  <c r="J683" i="3"/>
  <c r="M683" i="3"/>
  <c r="N683" i="3"/>
  <c r="O683" i="3"/>
  <c r="P683" i="3"/>
  <c r="J684" i="3"/>
  <c r="M684" i="3"/>
  <c r="N684" i="3"/>
  <c r="O684" i="3"/>
  <c r="P684" i="3"/>
  <c r="J685" i="3"/>
  <c r="M685" i="3"/>
  <c r="N685" i="3"/>
  <c r="O685" i="3"/>
  <c r="P685" i="3"/>
  <c r="J686" i="3"/>
  <c r="M686" i="3"/>
  <c r="N686" i="3"/>
  <c r="O686" i="3"/>
  <c r="P686" i="3"/>
  <c r="J687" i="3"/>
  <c r="M687" i="3"/>
  <c r="N687" i="3"/>
  <c r="O687" i="3"/>
  <c r="P687" i="3"/>
  <c r="J688" i="3"/>
  <c r="M688" i="3"/>
  <c r="N688" i="3"/>
  <c r="O688" i="3"/>
  <c r="P688" i="3"/>
  <c r="J689" i="3"/>
  <c r="M689" i="3"/>
  <c r="N689" i="3"/>
  <c r="O689" i="3"/>
  <c r="P689" i="3"/>
  <c r="J690" i="3"/>
  <c r="M690" i="3"/>
  <c r="N690" i="3"/>
  <c r="O690" i="3"/>
  <c r="P690" i="3"/>
  <c r="J691" i="3"/>
  <c r="M691" i="3"/>
  <c r="N691" i="3"/>
  <c r="O691" i="3"/>
  <c r="P691" i="3"/>
  <c r="J692" i="3"/>
  <c r="M692" i="3"/>
  <c r="N692" i="3"/>
  <c r="O692" i="3"/>
  <c r="P692" i="3"/>
  <c r="J693" i="3"/>
  <c r="M693" i="3"/>
  <c r="N693" i="3"/>
  <c r="O693" i="3"/>
  <c r="P693" i="3"/>
  <c r="J694" i="3"/>
  <c r="M694" i="3"/>
  <c r="N694" i="3"/>
  <c r="O694" i="3"/>
  <c r="P694" i="3"/>
  <c r="J695" i="3"/>
  <c r="M695" i="3"/>
  <c r="N695" i="3"/>
  <c r="O695" i="3"/>
  <c r="P695" i="3"/>
  <c r="J696" i="3"/>
  <c r="M696" i="3"/>
  <c r="N696" i="3"/>
  <c r="O696" i="3"/>
  <c r="P696" i="3"/>
  <c r="J697" i="3"/>
  <c r="M697" i="3"/>
  <c r="N697" i="3"/>
  <c r="O697" i="3"/>
  <c r="P697" i="3"/>
  <c r="J698" i="3"/>
  <c r="M698" i="3"/>
  <c r="N698" i="3"/>
  <c r="O698" i="3"/>
  <c r="P698" i="3"/>
  <c r="J699" i="3"/>
  <c r="M699" i="3"/>
  <c r="N699" i="3"/>
  <c r="O699" i="3"/>
  <c r="P699" i="3"/>
  <c r="J700" i="3"/>
  <c r="M700" i="3"/>
  <c r="N700" i="3"/>
  <c r="O700" i="3"/>
  <c r="P700" i="3"/>
  <c r="J701" i="3"/>
  <c r="M701" i="3"/>
  <c r="N701" i="3"/>
  <c r="O701" i="3"/>
  <c r="P701" i="3"/>
  <c r="J702" i="3"/>
  <c r="M702" i="3"/>
  <c r="N702" i="3"/>
  <c r="O702" i="3"/>
  <c r="P702" i="3"/>
  <c r="J703" i="3"/>
  <c r="M703" i="3"/>
  <c r="N703" i="3"/>
  <c r="O703" i="3"/>
  <c r="P703" i="3"/>
  <c r="J704" i="3"/>
  <c r="M704" i="3"/>
  <c r="N704" i="3"/>
  <c r="O704" i="3"/>
  <c r="P704" i="3"/>
  <c r="J705" i="3"/>
  <c r="M705" i="3"/>
  <c r="N705" i="3"/>
  <c r="O705" i="3"/>
  <c r="P705" i="3"/>
  <c r="J706" i="3"/>
  <c r="M706" i="3"/>
  <c r="N706" i="3"/>
  <c r="O706" i="3"/>
  <c r="P706" i="3"/>
  <c r="J707" i="3"/>
  <c r="M707" i="3"/>
  <c r="N707" i="3"/>
  <c r="O707" i="3"/>
  <c r="P707" i="3"/>
  <c r="J708" i="3"/>
  <c r="M708" i="3"/>
  <c r="N708" i="3"/>
  <c r="O708" i="3"/>
  <c r="P708" i="3"/>
  <c r="J709" i="3"/>
  <c r="M709" i="3"/>
  <c r="N709" i="3"/>
  <c r="O709" i="3"/>
  <c r="P709" i="3"/>
  <c r="J710" i="3"/>
  <c r="M710" i="3"/>
  <c r="N710" i="3"/>
  <c r="O710" i="3"/>
  <c r="P710" i="3"/>
  <c r="J711" i="3"/>
  <c r="M711" i="3"/>
  <c r="N711" i="3"/>
  <c r="O711" i="3"/>
  <c r="P711" i="3"/>
  <c r="J712" i="3"/>
  <c r="M712" i="3"/>
  <c r="N712" i="3"/>
  <c r="O712" i="3"/>
  <c r="P712" i="3"/>
  <c r="J713" i="3"/>
  <c r="M713" i="3"/>
  <c r="N713" i="3"/>
  <c r="O713" i="3"/>
  <c r="P713" i="3"/>
  <c r="J714" i="3"/>
  <c r="M714" i="3"/>
  <c r="N714" i="3"/>
  <c r="O714" i="3"/>
  <c r="P714" i="3"/>
  <c r="J715" i="3"/>
  <c r="M715" i="3"/>
  <c r="N715" i="3"/>
  <c r="O715" i="3"/>
  <c r="P715" i="3"/>
  <c r="J716" i="3"/>
  <c r="M716" i="3"/>
  <c r="N716" i="3"/>
  <c r="O716" i="3"/>
  <c r="P716" i="3"/>
  <c r="J717" i="3"/>
  <c r="M717" i="3"/>
  <c r="N717" i="3"/>
  <c r="O717" i="3"/>
  <c r="P717" i="3"/>
  <c r="J718" i="3"/>
  <c r="M718" i="3"/>
  <c r="N718" i="3"/>
  <c r="O718" i="3"/>
  <c r="P718" i="3"/>
  <c r="J719" i="3"/>
  <c r="M719" i="3"/>
  <c r="N719" i="3"/>
  <c r="O719" i="3"/>
  <c r="P719" i="3"/>
  <c r="J720" i="3"/>
  <c r="M720" i="3"/>
  <c r="N720" i="3"/>
  <c r="O720" i="3"/>
  <c r="P720" i="3"/>
  <c r="J721" i="3"/>
  <c r="M721" i="3"/>
  <c r="N721" i="3"/>
  <c r="O721" i="3"/>
  <c r="P721" i="3"/>
  <c r="J722" i="3"/>
  <c r="M722" i="3"/>
  <c r="N722" i="3"/>
  <c r="O722" i="3"/>
  <c r="P722" i="3"/>
  <c r="J723" i="3"/>
  <c r="M723" i="3"/>
  <c r="N723" i="3"/>
  <c r="O723" i="3"/>
  <c r="P723" i="3"/>
  <c r="J724" i="3"/>
  <c r="M724" i="3"/>
  <c r="N724" i="3"/>
  <c r="O724" i="3"/>
  <c r="P724" i="3"/>
  <c r="J725" i="3"/>
  <c r="M725" i="3"/>
  <c r="N725" i="3"/>
  <c r="O725" i="3"/>
  <c r="P725" i="3"/>
  <c r="J726" i="3"/>
  <c r="M726" i="3"/>
  <c r="N726" i="3"/>
  <c r="O726" i="3"/>
  <c r="P726" i="3"/>
  <c r="J727" i="3"/>
  <c r="M727" i="3"/>
  <c r="N727" i="3"/>
  <c r="O727" i="3"/>
  <c r="P727" i="3"/>
  <c r="J728" i="3"/>
  <c r="M728" i="3"/>
  <c r="N728" i="3"/>
  <c r="O728" i="3"/>
  <c r="P728" i="3"/>
  <c r="J729" i="3"/>
  <c r="M729" i="3"/>
  <c r="N729" i="3"/>
  <c r="O729" i="3"/>
  <c r="P729" i="3"/>
  <c r="J730" i="3"/>
  <c r="M730" i="3"/>
  <c r="N730" i="3"/>
  <c r="O730" i="3"/>
  <c r="P730" i="3"/>
  <c r="J731" i="3"/>
  <c r="M731" i="3"/>
  <c r="N731" i="3"/>
  <c r="O731" i="3"/>
  <c r="P731" i="3"/>
  <c r="J732" i="3"/>
  <c r="M732" i="3"/>
  <c r="N732" i="3"/>
  <c r="O732" i="3"/>
  <c r="P732" i="3"/>
  <c r="J733" i="3"/>
  <c r="M733" i="3"/>
  <c r="N733" i="3"/>
  <c r="O733" i="3"/>
  <c r="P733" i="3"/>
  <c r="J734" i="3"/>
  <c r="M734" i="3"/>
  <c r="N734" i="3"/>
  <c r="O734" i="3"/>
  <c r="P734" i="3"/>
  <c r="J735" i="3"/>
  <c r="M735" i="3"/>
  <c r="N735" i="3"/>
  <c r="O735" i="3"/>
  <c r="P735" i="3"/>
  <c r="J736" i="3"/>
  <c r="M736" i="3"/>
  <c r="N736" i="3"/>
  <c r="O736" i="3"/>
  <c r="P736" i="3"/>
  <c r="J737" i="3"/>
  <c r="M737" i="3"/>
  <c r="N737" i="3"/>
  <c r="O737" i="3"/>
  <c r="P737" i="3"/>
  <c r="J738" i="3"/>
  <c r="M738" i="3"/>
  <c r="N738" i="3"/>
  <c r="O738" i="3"/>
  <c r="P738" i="3"/>
  <c r="J739" i="3"/>
  <c r="M739" i="3"/>
  <c r="N739" i="3"/>
  <c r="O739" i="3"/>
  <c r="P739" i="3"/>
  <c r="J740" i="3"/>
  <c r="M740" i="3"/>
  <c r="N740" i="3"/>
  <c r="O740" i="3"/>
  <c r="P740" i="3"/>
  <c r="J741" i="3"/>
  <c r="M741" i="3"/>
  <c r="N741" i="3"/>
  <c r="O741" i="3"/>
  <c r="P741" i="3"/>
  <c r="J742" i="3"/>
  <c r="M742" i="3"/>
  <c r="N742" i="3"/>
  <c r="O742" i="3"/>
  <c r="P742" i="3"/>
  <c r="J743" i="3"/>
  <c r="M743" i="3"/>
  <c r="N743" i="3"/>
  <c r="O743" i="3"/>
  <c r="P743" i="3"/>
  <c r="D16" i="9" l="1"/>
  <c r="D14" i="9"/>
  <c r="D13" i="9"/>
  <c r="D12" i="9"/>
  <c r="D11" i="9"/>
  <c r="D10" i="9"/>
  <c r="D9" i="9"/>
  <c r="D8" i="9"/>
  <c r="D7" i="9"/>
  <c r="A2" i="9"/>
  <c r="D2" i="9" s="1"/>
  <c r="D15" i="9"/>
  <c r="D5" i="9"/>
  <c r="D6" i="9"/>
  <c r="D19" i="9"/>
  <c r="D3" i="9"/>
  <c r="D18" i="9"/>
  <c r="D17" i="9"/>
  <c r="AO13" i="1" a="1"/>
  <c r="AO13" i="1" s="1"/>
  <c r="AO10" i="1" a="1"/>
  <c r="AO10" i="1" s="1"/>
  <c r="L2" i="3"/>
  <c r="A2" i="3" a="1"/>
  <c r="A2" i="3" s="1"/>
  <c r="A2" i="4" s="1" a="1"/>
  <c r="E25" i="5" l="1"/>
  <c r="F384" i="5"/>
  <c r="F370" i="5"/>
  <c r="F356" i="5"/>
  <c r="F342" i="5"/>
  <c r="F328" i="5"/>
  <c r="F314" i="5"/>
  <c r="F300" i="5"/>
  <c r="F286" i="5"/>
  <c r="F272" i="5"/>
  <c r="F258" i="5"/>
  <c r="F244" i="5"/>
  <c r="F230" i="5"/>
  <c r="F216" i="5"/>
  <c r="F202" i="5"/>
  <c r="F188" i="5"/>
  <c r="F174" i="5"/>
  <c r="F160" i="5"/>
  <c r="F146" i="5"/>
  <c r="F132" i="5"/>
  <c r="F118" i="5"/>
  <c r="F104" i="5"/>
  <c r="F90" i="5"/>
  <c r="F76" i="5"/>
  <c r="F62" i="5"/>
  <c r="F48" i="5"/>
  <c r="F34" i="5"/>
  <c r="F20" i="5"/>
  <c r="F6" i="5"/>
  <c r="F383" i="5"/>
  <c r="F369" i="5"/>
  <c r="F355" i="5"/>
  <c r="F341" i="5"/>
  <c r="F327" i="5"/>
  <c r="F313" i="5"/>
  <c r="F299" i="5"/>
  <c r="F285" i="5"/>
  <c r="F271" i="5"/>
  <c r="F257" i="5"/>
  <c r="F243" i="5"/>
  <c r="F229" i="5"/>
  <c r="F215" i="5"/>
  <c r="F201" i="5"/>
  <c r="F187" i="5"/>
  <c r="F173" i="5"/>
  <c r="F159" i="5"/>
  <c r="F145" i="5"/>
  <c r="F131" i="5"/>
  <c r="F117" i="5"/>
  <c r="F103" i="5"/>
  <c r="F89" i="5"/>
  <c r="F75" i="5"/>
  <c r="F61" i="5"/>
  <c r="F47" i="5"/>
  <c r="F33" i="5"/>
  <c r="F19" i="5"/>
  <c r="F5" i="5"/>
  <c r="F382" i="5"/>
  <c r="F368" i="5"/>
  <c r="F354" i="5"/>
  <c r="F340" i="5"/>
  <c r="F326" i="5"/>
  <c r="F312" i="5"/>
  <c r="F298" i="5"/>
  <c r="F284" i="5"/>
  <c r="F270" i="5"/>
  <c r="F256" i="5"/>
  <c r="F242" i="5"/>
  <c r="F228" i="5"/>
  <c r="F214" i="5"/>
  <c r="F200" i="5"/>
  <c r="F186" i="5"/>
  <c r="F172" i="5"/>
  <c r="F158" i="5"/>
  <c r="F144" i="5"/>
  <c r="F130" i="5"/>
  <c r="F116" i="5"/>
  <c r="F102" i="5"/>
  <c r="F88" i="5"/>
  <c r="F74" i="5"/>
  <c r="F60" i="5"/>
  <c r="F46" i="5"/>
  <c r="F32" i="5"/>
  <c r="F18" i="5"/>
  <c r="F4" i="5"/>
  <c r="F365" i="5"/>
  <c r="F381" i="5"/>
  <c r="F367" i="5"/>
  <c r="F353" i="5"/>
  <c r="F339" i="5"/>
  <c r="F325" i="5"/>
  <c r="F311" i="5"/>
  <c r="F297" i="5"/>
  <c r="F283" i="5"/>
  <c r="F269" i="5"/>
  <c r="F255" i="5"/>
  <c r="F241" i="5"/>
  <c r="F227" i="5"/>
  <c r="F213" i="5"/>
  <c r="F199" i="5"/>
  <c r="F185" i="5"/>
  <c r="F171" i="5"/>
  <c r="F157" i="5"/>
  <c r="F143" i="5"/>
  <c r="F129" i="5"/>
  <c r="F115" i="5"/>
  <c r="F101" i="5"/>
  <c r="F87" i="5"/>
  <c r="F73" i="5"/>
  <c r="F59" i="5"/>
  <c r="F45" i="5"/>
  <c r="F31" i="5"/>
  <c r="F17" i="5"/>
  <c r="F3" i="5"/>
  <c r="F379" i="5"/>
  <c r="F394" i="5"/>
  <c r="F380" i="5"/>
  <c r="F366" i="5"/>
  <c r="F352" i="5"/>
  <c r="F338" i="5"/>
  <c r="F324" i="5"/>
  <c r="F310" i="5"/>
  <c r="F296" i="5"/>
  <c r="F282" i="5"/>
  <c r="F268" i="5"/>
  <c r="F254" i="5"/>
  <c r="F240" i="5"/>
  <c r="F226" i="5"/>
  <c r="F212" i="5"/>
  <c r="F198" i="5"/>
  <c r="F184" i="5"/>
  <c r="F170" i="5"/>
  <c r="F156" i="5"/>
  <c r="F142" i="5"/>
  <c r="F128" i="5"/>
  <c r="F114" i="5"/>
  <c r="F100" i="5"/>
  <c r="F86" i="5"/>
  <c r="F72" i="5"/>
  <c r="F58" i="5"/>
  <c r="F44" i="5"/>
  <c r="F30" i="5"/>
  <c r="F16" i="5"/>
  <c r="F2" i="5"/>
  <c r="F393" i="5"/>
  <c r="F351" i="5"/>
  <c r="F337" i="5"/>
  <c r="F323" i="5"/>
  <c r="F309" i="5"/>
  <c r="F295" i="5"/>
  <c r="F281" i="5"/>
  <c r="F267" i="5"/>
  <c r="F253" i="5"/>
  <c r="F239" i="5"/>
  <c r="F225" i="5"/>
  <c r="F211" i="5"/>
  <c r="F197" i="5"/>
  <c r="F183" i="5"/>
  <c r="F169" i="5"/>
  <c r="F155" i="5"/>
  <c r="F141" i="5"/>
  <c r="F127" i="5"/>
  <c r="F113" i="5"/>
  <c r="F99" i="5"/>
  <c r="F85" i="5"/>
  <c r="F71" i="5"/>
  <c r="F57" i="5"/>
  <c r="F43" i="5"/>
  <c r="F29" i="5"/>
  <c r="F15" i="5"/>
  <c r="F392" i="5"/>
  <c r="F378" i="5"/>
  <c r="F364" i="5"/>
  <c r="F350" i="5"/>
  <c r="F336" i="5"/>
  <c r="F322" i="5"/>
  <c r="F308" i="5"/>
  <c r="F294" i="5"/>
  <c r="F280" i="5"/>
  <c r="F266" i="5"/>
  <c r="F252" i="5"/>
  <c r="F238" i="5"/>
  <c r="F224" i="5"/>
  <c r="F210" i="5"/>
  <c r="F196" i="5"/>
  <c r="F182" i="5"/>
  <c r="F168" i="5"/>
  <c r="F154" i="5"/>
  <c r="F140" i="5"/>
  <c r="F126" i="5"/>
  <c r="F112" i="5"/>
  <c r="F98" i="5"/>
  <c r="F84" i="5"/>
  <c r="F70" i="5"/>
  <c r="F56" i="5"/>
  <c r="F42" i="5"/>
  <c r="F28" i="5"/>
  <c r="F14" i="5"/>
  <c r="F389" i="5"/>
  <c r="F391" i="5"/>
  <c r="F377" i="5"/>
  <c r="F363" i="5"/>
  <c r="F349" i="5"/>
  <c r="F335" i="5"/>
  <c r="F321" i="5"/>
  <c r="F307" i="5"/>
  <c r="F293" i="5"/>
  <c r="F279" i="5"/>
  <c r="F265" i="5"/>
  <c r="F251" i="5"/>
  <c r="F237" i="5"/>
  <c r="F223" i="5"/>
  <c r="F209" i="5"/>
  <c r="F195" i="5"/>
  <c r="F181" i="5"/>
  <c r="F167" i="5"/>
  <c r="F153" i="5"/>
  <c r="F139" i="5"/>
  <c r="F125" i="5"/>
  <c r="F111" i="5"/>
  <c r="F97" i="5"/>
  <c r="F83" i="5"/>
  <c r="F69" i="5"/>
  <c r="F55" i="5"/>
  <c r="F41" i="5"/>
  <c r="F27" i="5"/>
  <c r="F13" i="5"/>
  <c r="F390" i="5"/>
  <c r="F376" i="5"/>
  <c r="F362" i="5"/>
  <c r="F348" i="5"/>
  <c r="F334" i="5"/>
  <c r="F320" i="5"/>
  <c r="F306" i="5"/>
  <c r="F292" i="5"/>
  <c r="F278" i="5"/>
  <c r="F264" i="5"/>
  <c r="F250" i="5"/>
  <c r="F236" i="5"/>
  <c r="F222" i="5"/>
  <c r="F208" i="5"/>
  <c r="F194" i="5"/>
  <c r="F180" i="5"/>
  <c r="F166" i="5"/>
  <c r="F152" i="5"/>
  <c r="F138" i="5"/>
  <c r="F124" i="5"/>
  <c r="F110" i="5"/>
  <c r="F96" i="5"/>
  <c r="F82" i="5"/>
  <c r="F68" i="5"/>
  <c r="F54" i="5"/>
  <c r="F40" i="5"/>
  <c r="F26" i="5"/>
  <c r="F12" i="5"/>
  <c r="F358" i="5"/>
  <c r="F317" i="5"/>
  <c r="F276" i="5"/>
  <c r="F235" i="5"/>
  <c r="F203" i="5"/>
  <c r="F162" i="5"/>
  <c r="F121" i="5"/>
  <c r="F80" i="5"/>
  <c r="F39" i="5"/>
  <c r="F7" i="5"/>
  <c r="F249" i="5"/>
  <c r="F247" i="5"/>
  <c r="F245" i="5"/>
  <c r="F357" i="5"/>
  <c r="F316" i="5"/>
  <c r="F275" i="5"/>
  <c r="F234" i="5"/>
  <c r="F193" i="5"/>
  <c r="F161" i="5"/>
  <c r="F120" i="5"/>
  <c r="F79" i="5"/>
  <c r="F38" i="5"/>
  <c r="F260" i="5"/>
  <c r="F135" i="5"/>
  <c r="F204" i="5"/>
  <c r="F388" i="5"/>
  <c r="F347" i="5"/>
  <c r="F315" i="5"/>
  <c r="F274" i="5"/>
  <c r="F233" i="5"/>
  <c r="F192" i="5"/>
  <c r="F151" i="5"/>
  <c r="F119" i="5"/>
  <c r="F78" i="5"/>
  <c r="F37" i="5"/>
  <c r="F385" i="5"/>
  <c r="F262" i="5"/>
  <c r="F221" i="5"/>
  <c r="F189" i="5"/>
  <c r="F148" i="5"/>
  <c r="F107" i="5"/>
  <c r="F66" i="5"/>
  <c r="F25" i="5"/>
  <c r="F375" i="5"/>
  <c r="F343" i="5"/>
  <c r="F302" i="5"/>
  <c r="F261" i="5"/>
  <c r="F220" i="5"/>
  <c r="F179" i="5"/>
  <c r="F147" i="5"/>
  <c r="F106" i="5"/>
  <c r="F65" i="5"/>
  <c r="F24" i="5"/>
  <c r="F374" i="5"/>
  <c r="F219" i="5"/>
  <c r="F178" i="5"/>
  <c r="F137" i="5"/>
  <c r="F105" i="5"/>
  <c r="F64" i="5"/>
  <c r="F23" i="5"/>
  <c r="F373" i="5"/>
  <c r="F332" i="5"/>
  <c r="F291" i="5"/>
  <c r="F259" i="5"/>
  <c r="F218" i="5"/>
  <c r="F177" i="5"/>
  <c r="F136" i="5"/>
  <c r="F95" i="5"/>
  <c r="F63" i="5"/>
  <c r="F22" i="5"/>
  <c r="F372" i="5"/>
  <c r="F217" i="5"/>
  <c r="F176" i="5"/>
  <c r="F94" i="5"/>
  <c r="F53" i="5"/>
  <c r="F21" i="5"/>
  <c r="F371" i="5"/>
  <c r="F330" i="5"/>
  <c r="F289" i="5"/>
  <c r="F248" i="5"/>
  <c r="F207" i="5"/>
  <c r="F175" i="5"/>
  <c r="F134" i="5"/>
  <c r="F93" i="5"/>
  <c r="F52" i="5"/>
  <c r="F11" i="5"/>
  <c r="F361" i="5"/>
  <c r="F206" i="5"/>
  <c r="F165" i="5"/>
  <c r="F133" i="5"/>
  <c r="F92" i="5"/>
  <c r="F51" i="5"/>
  <c r="F10" i="5"/>
  <c r="F360" i="5"/>
  <c r="F319" i="5"/>
  <c r="F287" i="5"/>
  <c r="F246" i="5"/>
  <c r="F205" i="5"/>
  <c r="F164" i="5"/>
  <c r="F123" i="5"/>
  <c r="F91" i="5"/>
  <c r="F50" i="5"/>
  <c r="F9" i="5"/>
  <c r="F359" i="5"/>
  <c r="F163" i="5"/>
  <c r="F122" i="5"/>
  <c r="F81" i="5"/>
  <c r="F49" i="5"/>
  <c r="F8" i="5"/>
  <c r="F387" i="5"/>
  <c r="F346" i="5"/>
  <c r="F305" i="5"/>
  <c r="F273" i="5"/>
  <c r="F232" i="5"/>
  <c r="F191" i="5"/>
  <c r="F150" i="5"/>
  <c r="F109" i="5"/>
  <c r="F77" i="5"/>
  <c r="F36" i="5"/>
  <c r="F344" i="5"/>
  <c r="F301" i="5"/>
  <c r="F290" i="5"/>
  <c r="F329" i="5"/>
  <c r="F277" i="5"/>
  <c r="F386" i="5"/>
  <c r="F345" i="5"/>
  <c r="F304" i="5"/>
  <c r="F263" i="5"/>
  <c r="F231" i="5"/>
  <c r="F190" i="5"/>
  <c r="F149" i="5"/>
  <c r="F108" i="5"/>
  <c r="F67" i="5"/>
  <c r="F35" i="5"/>
  <c r="F303" i="5"/>
  <c r="F333" i="5"/>
  <c r="F331" i="5"/>
  <c r="F288" i="5"/>
  <c r="F318" i="5"/>
  <c r="E6" i="5"/>
  <c r="E320" i="5"/>
  <c r="E196" i="5"/>
  <c r="E141" i="5"/>
  <c r="E105" i="5"/>
  <c r="E167" i="5"/>
  <c r="E372" i="5"/>
  <c r="E386" i="5"/>
  <c r="E104" i="5"/>
  <c r="E121" i="5"/>
  <c r="E210" i="5"/>
  <c r="E149" i="5"/>
  <c r="E155" i="5"/>
  <c r="E129" i="5"/>
  <c r="E237" i="5"/>
  <c r="E393" i="5"/>
  <c r="E133" i="5"/>
  <c r="E53" i="5"/>
  <c r="E199" i="5"/>
  <c r="E2" i="5"/>
  <c r="E371" i="5"/>
  <c r="E115" i="5"/>
  <c r="E52" i="5"/>
  <c r="E90" i="5"/>
  <c r="E182" i="5"/>
  <c r="E135" i="5"/>
  <c r="E370" i="5"/>
  <c r="E278" i="5"/>
  <c r="E86" i="5"/>
  <c r="E80" i="5"/>
  <c r="E324" i="5"/>
  <c r="E32" i="5"/>
  <c r="E264" i="5"/>
  <c r="E17" i="5"/>
  <c r="E338" i="5"/>
  <c r="E106" i="5"/>
  <c r="E223" i="5"/>
  <c r="E4" i="5"/>
  <c r="E342" i="5"/>
  <c r="E356" i="5"/>
  <c r="E127" i="5"/>
  <c r="E119" i="5"/>
  <c r="E96" i="5"/>
  <c r="E385" i="5"/>
  <c r="E55" i="5"/>
  <c r="E125" i="5"/>
  <c r="E352" i="5"/>
  <c r="E120" i="5"/>
  <c r="E363" i="5"/>
  <c r="E66" i="5"/>
  <c r="E222" i="5"/>
  <c r="E381" i="5"/>
  <c r="E152" i="5"/>
  <c r="E311" i="5"/>
  <c r="E94" i="5"/>
  <c r="E303" i="5"/>
  <c r="E107" i="5"/>
  <c r="E180" i="5"/>
  <c r="E339" i="5"/>
  <c r="E110" i="5"/>
  <c r="E269" i="5"/>
  <c r="E45" i="5"/>
  <c r="E208" i="5"/>
  <c r="E261" i="5"/>
  <c r="E65" i="5"/>
  <c r="E270" i="5"/>
  <c r="E274" i="5"/>
  <c r="E78" i="5"/>
  <c r="E368" i="5"/>
  <c r="E287" i="5"/>
  <c r="E91" i="5"/>
  <c r="E340" i="5"/>
  <c r="E272" i="5"/>
  <c r="E76" i="5"/>
  <c r="E242" i="5"/>
  <c r="E268" i="5"/>
  <c r="E72" i="5"/>
  <c r="E281" i="5"/>
  <c r="E85" i="5"/>
  <c r="E280" i="5"/>
  <c r="E84" i="5"/>
  <c r="E283" i="5"/>
  <c r="E195" i="5"/>
  <c r="E374" i="5"/>
  <c r="E279" i="5"/>
  <c r="E27" i="5"/>
  <c r="E348" i="5"/>
  <c r="E290" i="5"/>
  <c r="E37" i="5"/>
  <c r="E246" i="5"/>
  <c r="E256" i="5"/>
  <c r="E63" i="5"/>
  <c r="E244" i="5"/>
  <c r="E130" i="5"/>
  <c r="E44" i="5"/>
  <c r="E252" i="5"/>
  <c r="E13" i="5"/>
  <c r="E157" i="5"/>
  <c r="E297" i="5"/>
  <c r="E389" i="5"/>
  <c r="E325" i="5"/>
  <c r="E102" i="5"/>
  <c r="E36" i="5"/>
  <c r="E245" i="5"/>
  <c r="E172" i="5"/>
  <c r="E34" i="5"/>
  <c r="E226" i="5"/>
  <c r="E239" i="5"/>
  <c r="E238" i="5"/>
  <c r="E54" i="5"/>
  <c r="E236" i="5"/>
  <c r="E109" i="5"/>
  <c r="E265" i="5"/>
  <c r="E11" i="5"/>
  <c r="E205" i="5"/>
  <c r="E9" i="5"/>
  <c r="E218" i="5"/>
  <c r="E144" i="5"/>
  <c r="E35" i="5"/>
  <c r="E216" i="5"/>
  <c r="E18" i="5"/>
  <c r="E16" i="5"/>
  <c r="E29" i="5"/>
  <c r="E28" i="5"/>
  <c r="E164" i="5"/>
  <c r="E221" i="5"/>
  <c r="E377" i="5"/>
  <c r="E151" i="5"/>
  <c r="E307" i="5"/>
  <c r="E124" i="5"/>
  <c r="E249" i="5"/>
  <c r="E247" i="5"/>
  <c r="E51" i="5"/>
  <c r="E214" i="5"/>
  <c r="E260" i="5"/>
  <c r="E64" i="5"/>
  <c r="E312" i="5"/>
  <c r="E273" i="5"/>
  <c r="E77" i="5"/>
  <c r="E284" i="5"/>
  <c r="E258" i="5"/>
  <c r="E62" i="5"/>
  <c r="E186" i="5"/>
  <c r="E254" i="5"/>
  <c r="E58" i="5"/>
  <c r="E267" i="5"/>
  <c r="E71" i="5"/>
  <c r="E266" i="5"/>
  <c r="E70" i="5"/>
  <c r="E362" i="5"/>
  <c r="E277" i="5"/>
  <c r="E81" i="5"/>
  <c r="E24" i="5"/>
  <c r="E262" i="5"/>
  <c r="E192" i="5"/>
  <c r="E206" i="5"/>
  <c r="E233" i="5"/>
  <c r="E158" i="5"/>
  <c r="E50" i="5"/>
  <c r="E259" i="5"/>
  <c r="E228" i="5"/>
  <c r="E48" i="5"/>
  <c r="E240" i="5"/>
  <c r="E253" i="5"/>
  <c r="E57" i="5"/>
  <c r="E56" i="5"/>
  <c r="E391" i="5"/>
  <c r="E59" i="5"/>
  <c r="E68" i="5"/>
  <c r="E227" i="5"/>
  <c r="E361" i="5"/>
  <c r="E219" i="5"/>
  <c r="E23" i="5"/>
  <c r="E232" i="5"/>
  <c r="E200" i="5"/>
  <c r="E49" i="5"/>
  <c r="E230" i="5"/>
  <c r="E74" i="5"/>
  <c r="E30" i="5"/>
  <c r="E43" i="5"/>
  <c r="E42" i="5"/>
  <c r="E3" i="5"/>
  <c r="E97" i="5"/>
  <c r="E335" i="5"/>
  <c r="E39" i="5"/>
  <c r="A2" i="4"/>
  <c r="A2" i="5" s="1" a="1"/>
  <c r="D142" i="5" s="1"/>
  <c r="E46" i="5"/>
  <c r="E22" i="5"/>
  <c r="E231" i="5"/>
  <c r="E116" i="5"/>
  <c r="E20" i="5"/>
  <c r="E212" i="5"/>
  <c r="E225" i="5"/>
  <c r="E224" i="5"/>
  <c r="E101" i="5"/>
  <c r="E305" i="5"/>
  <c r="E153" i="5"/>
  <c r="E387" i="5"/>
  <c r="E93" i="5"/>
  <c r="E358" i="5"/>
  <c r="E92" i="5"/>
  <c r="E357" i="5"/>
  <c r="E21" i="5"/>
  <c r="E328" i="5"/>
  <c r="E341" i="5"/>
  <c r="E310" i="5"/>
  <c r="E379" i="5"/>
  <c r="E113" i="5"/>
  <c r="E168" i="5"/>
  <c r="E207" i="5"/>
  <c r="E137" i="5"/>
  <c r="E319" i="5"/>
  <c r="E343" i="5"/>
  <c r="E365" i="5"/>
  <c r="E95" i="5"/>
  <c r="E360" i="5"/>
  <c r="E376" i="5"/>
  <c r="E359" i="5"/>
  <c r="E330" i="5"/>
  <c r="E329" i="5"/>
  <c r="E300" i="5"/>
  <c r="E282" i="5"/>
  <c r="E15" i="5"/>
  <c r="E136" i="5"/>
  <c r="E138" i="5"/>
  <c r="E304" i="5"/>
  <c r="E163" i="5"/>
  <c r="E326" i="5"/>
  <c r="E147" i="5"/>
  <c r="E100" i="5"/>
  <c r="E122" i="5"/>
  <c r="E139" i="5"/>
  <c r="E346" i="5"/>
  <c r="E194" i="5"/>
  <c r="E373" i="5"/>
  <c r="E79" i="5"/>
  <c r="E344" i="5"/>
  <c r="E8" i="5"/>
  <c r="E7" i="5"/>
  <c r="E314" i="5"/>
  <c r="E285" i="5"/>
  <c r="E296" i="5"/>
  <c r="E99" i="5"/>
  <c r="E154" i="5"/>
  <c r="E178" i="5"/>
  <c r="E31" i="5"/>
  <c r="E235" i="5"/>
  <c r="E369" i="5"/>
  <c r="E383" i="5"/>
  <c r="E355" i="5"/>
  <c r="E243" i="5"/>
  <c r="E351" i="5"/>
  <c r="E140" i="5"/>
  <c r="E213" i="5"/>
  <c r="E321" i="5"/>
  <c r="E165" i="5"/>
  <c r="E12" i="5"/>
  <c r="E88" i="5"/>
  <c r="E366" i="5"/>
  <c r="E241" i="5"/>
  <c r="E26" i="5"/>
  <c r="E69" i="5"/>
  <c r="E276" i="5"/>
  <c r="E345" i="5"/>
  <c r="E299" i="5"/>
  <c r="E316" i="5"/>
  <c r="E327" i="5"/>
  <c r="E315" i="5"/>
  <c r="E313" i="5"/>
  <c r="E286" i="5"/>
  <c r="E187" i="5"/>
  <c r="E198" i="5"/>
  <c r="E337" i="5"/>
  <c r="E392" i="5"/>
  <c r="E126" i="5"/>
  <c r="E171" i="5"/>
  <c r="E251" i="5"/>
  <c r="E179" i="5"/>
  <c r="E67" i="5"/>
  <c r="E306" i="5"/>
  <c r="E349" i="5"/>
  <c r="E331" i="5"/>
  <c r="E229" i="5"/>
  <c r="E302" i="5"/>
  <c r="E271" i="5"/>
  <c r="E301" i="5"/>
  <c r="E257" i="5"/>
  <c r="E202" i="5"/>
  <c r="E117" i="5"/>
  <c r="E184" i="5"/>
  <c r="E323" i="5"/>
  <c r="E378" i="5"/>
  <c r="E112" i="5"/>
  <c r="E209" i="5"/>
  <c r="E292" i="5"/>
  <c r="E220" i="5"/>
  <c r="E108" i="5"/>
  <c r="E347" i="5"/>
  <c r="E390" i="5"/>
  <c r="E317" i="5"/>
  <c r="E159" i="5"/>
  <c r="E288" i="5"/>
  <c r="E215" i="5"/>
  <c r="E217" i="5"/>
  <c r="E201" i="5"/>
  <c r="E188" i="5"/>
  <c r="E61" i="5"/>
  <c r="E170" i="5"/>
  <c r="E309" i="5"/>
  <c r="E364" i="5"/>
  <c r="E98" i="5"/>
  <c r="E250" i="5"/>
  <c r="E333" i="5"/>
  <c r="E255" i="5"/>
  <c r="E111" i="5"/>
  <c r="E162" i="5"/>
  <c r="E161" i="5"/>
  <c r="E60" i="5"/>
  <c r="E380" i="5"/>
  <c r="E183" i="5"/>
  <c r="E40" i="5"/>
  <c r="E193" i="5"/>
  <c r="E148" i="5"/>
  <c r="E118" i="5"/>
  <c r="E169" i="5"/>
  <c r="E123" i="5"/>
  <c r="E185" i="5"/>
  <c r="E134" i="5"/>
  <c r="E143" i="5"/>
  <c r="E388" i="5"/>
  <c r="E87" i="5"/>
  <c r="E289" i="5"/>
  <c r="E103" i="5"/>
  <c r="E204" i="5"/>
  <c r="E173" i="5"/>
  <c r="E203" i="5"/>
  <c r="E145" i="5"/>
  <c r="E174" i="5"/>
  <c r="E354" i="5"/>
  <c r="E156" i="5"/>
  <c r="E295" i="5"/>
  <c r="E350" i="5"/>
  <c r="E14" i="5"/>
  <c r="E291" i="5"/>
  <c r="E318" i="5"/>
  <c r="E293" i="5"/>
  <c r="E181" i="5"/>
  <c r="E38" i="5"/>
  <c r="E166" i="5"/>
  <c r="E275" i="5"/>
  <c r="E47" i="5"/>
  <c r="E190" i="5"/>
  <c r="E131" i="5"/>
  <c r="E189" i="5"/>
  <c r="E89" i="5"/>
  <c r="E160" i="5"/>
  <c r="E298" i="5"/>
  <c r="E142" i="5"/>
  <c r="E211" i="5"/>
  <c r="E336" i="5"/>
  <c r="E10" i="5"/>
  <c r="E332" i="5"/>
  <c r="E353" i="5"/>
  <c r="E334" i="5"/>
  <c r="E263" i="5"/>
  <c r="E73" i="5"/>
  <c r="E248" i="5"/>
  <c r="E191" i="5"/>
  <c r="E5" i="5"/>
  <c r="E176" i="5"/>
  <c r="E75" i="5"/>
  <c r="E175" i="5"/>
  <c r="E33" i="5"/>
  <c r="E146" i="5"/>
  <c r="E394" i="5"/>
  <c r="E128" i="5"/>
  <c r="E197" i="5"/>
  <c r="E322" i="5"/>
  <c r="E83" i="5"/>
  <c r="E367" i="5"/>
  <c r="E41" i="5"/>
  <c r="E375" i="5"/>
  <c r="E177" i="5"/>
  <c r="E382" i="5"/>
  <c r="E19" i="5"/>
  <c r="E132" i="5"/>
  <c r="E114" i="5"/>
  <c r="E308" i="5"/>
  <c r="E82" i="5"/>
  <c r="E150" i="5"/>
  <c r="E384" i="5"/>
  <c r="E294" i="5"/>
  <c r="E234" i="5"/>
  <c r="D170" i="5" l="1"/>
  <c r="D369" i="5"/>
  <c r="D362" i="5"/>
  <c r="D160" i="5"/>
  <c r="D79" i="5"/>
  <c r="D106" i="5"/>
  <c r="D383" i="5"/>
  <c r="D245" i="5"/>
  <c r="D187" i="5"/>
  <c r="D390" i="5"/>
  <c r="D149" i="5"/>
  <c r="D376" i="5"/>
  <c r="D127" i="5"/>
  <c r="D72" i="5"/>
  <c r="D394" i="5"/>
  <c r="D45" i="5"/>
  <c r="D250" i="5"/>
  <c r="D21" i="5"/>
  <c r="D31" i="5"/>
  <c r="D372" i="5"/>
  <c r="D236" i="5"/>
  <c r="D216" i="5"/>
  <c r="D237" i="5"/>
  <c r="D393" i="5"/>
  <c r="D391" i="5"/>
  <c r="D262" i="5"/>
  <c r="D32" i="5"/>
  <c r="D240" i="5"/>
  <c r="D301" i="5"/>
  <c r="D191" i="5"/>
  <c r="D348" i="5"/>
  <c r="D63" i="5"/>
  <c r="D330" i="5"/>
  <c r="D12" i="5"/>
  <c r="D375" i="5"/>
  <c r="D24" i="5"/>
  <c r="D30" i="5"/>
  <c r="D146" i="5"/>
  <c r="D315" i="5"/>
  <c r="D339" i="5"/>
  <c r="D111" i="5"/>
  <c r="D325" i="5"/>
  <c r="D90" i="5"/>
  <c r="D297" i="5"/>
  <c r="D44" i="5"/>
  <c r="D283" i="5"/>
  <c r="D23" i="5"/>
  <c r="D269" i="5"/>
  <c r="D373" i="5"/>
  <c r="D255" i="5"/>
  <c r="D350" i="5"/>
  <c r="D46" i="5"/>
  <c r="D94" i="5"/>
  <c r="D184" i="5"/>
  <c r="D9" i="5"/>
  <c r="D143" i="5"/>
  <c r="D174" i="5"/>
  <c r="D129" i="5"/>
  <c r="D150" i="5"/>
  <c r="D101" i="5"/>
  <c r="D107" i="5"/>
  <c r="D87" i="5"/>
  <c r="D85" i="5"/>
  <c r="D73" i="5"/>
  <c r="D64" i="5"/>
  <c r="D59" i="5"/>
  <c r="D42" i="5"/>
  <c r="D241" i="5"/>
  <c r="D324" i="5"/>
  <c r="D227" i="5"/>
  <c r="D303" i="5"/>
  <c r="D136" i="5"/>
  <c r="D279" i="5"/>
  <c r="D194" i="5"/>
  <c r="D180" i="5"/>
  <c r="D84" i="5"/>
  <c r="D334" i="5"/>
  <c r="D368" i="5"/>
  <c r="D173" i="5"/>
  <c r="D54" i="5"/>
  <c r="D40" i="5"/>
  <c r="D276" i="5"/>
  <c r="D254" i="5"/>
  <c r="D211" i="5"/>
  <c r="D138" i="5"/>
  <c r="D172" i="5"/>
  <c r="D308" i="5"/>
  <c r="D15" i="5"/>
  <c r="D365" i="5"/>
  <c r="D221" i="5"/>
  <c r="D351" i="5"/>
  <c r="D304" i="5"/>
  <c r="D179" i="5"/>
  <c r="D282" i="5"/>
  <c r="D190" i="5"/>
  <c r="D168" i="5"/>
  <c r="D367" i="5"/>
  <c r="D154" i="5"/>
  <c r="D158" i="5"/>
  <c r="D2" i="5"/>
  <c r="D67" i="5"/>
  <c r="D108" i="5"/>
  <c r="D53" i="5"/>
  <c r="D86" i="5"/>
  <c r="D25" i="5"/>
  <c r="D43" i="5"/>
  <c r="D374" i="5"/>
  <c r="D22" i="5"/>
  <c r="D346" i="5"/>
  <c r="D13" i="5"/>
  <c r="D332" i="5"/>
  <c r="D120" i="5"/>
  <c r="D165" i="5"/>
  <c r="D261" i="5"/>
  <c r="D151" i="5"/>
  <c r="D239" i="5"/>
  <c r="D171" i="5"/>
  <c r="D217" i="5"/>
  <c r="D353" i="5"/>
  <c r="D133" i="5"/>
  <c r="D293" i="5"/>
  <c r="D122" i="5"/>
  <c r="D272" i="5"/>
  <c r="D231" i="5"/>
  <c r="D226" i="5"/>
  <c r="D35" i="5"/>
  <c r="D205" i="5"/>
  <c r="D141" i="5"/>
  <c r="D183" i="5"/>
  <c r="D232" i="5"/>
  <c r="D162" i="5"/>
  <c r="D342" i="5"/>
  <c r="D388" i="5"/>
  <c r="D210" i="5"/>
  <c r="D387" i="5"/>
  <c r="D317" i="5"/>
  <c r="D366" i="5"/>
  <c r="D280" i="5"/>
  <c r="D157" i="5"/>
  <c r="D195" i="5"/>
  <c r="D359" i="5"/>
  <c r="D363" i="5"/>
  <c r="D336" i="5"/>
  <c r="D56" i="5"/>
  <c r="D290" i="5"/>
  <c r="D253" i="5"/>
  <c r="D268" i="5"/>
  <c r="D364" i="5"/>
  <c r="D247" i="5"/>
  <c r="D57" i="5"/>
  <c r="D225" i="5"/>
  <c r="D164" i="5"/>
  <c r="D140" i="5"/>
  <c r="D36" i="5"/>
  <c r="D119" i="5"/>
  <c r="D316" i="5"/>
  <c r="D327" i="5"/>
  <c r="D213" i="5"/>
  <c r="D96" i="5"/>
  <c r="D97" i="5"/>
  <c r="D266" i="5"/>
  <c r="D281" i="5"/>
  <c r="D83" i="5"/>
  <c r="D65" i="5"/>
  <c r="D275" i="5"/>
  <c r="D201" i="5"/>
  <c r="D333" i="5"/>
  <c r="D6" i="5"/>
  <c r="D38" i="5"/>
  <c r="D131" i="5"/>
  <c r="D319" i="5"/>
  <c r="D379" i="5"/>
  <c r="D230" i="5"/>
  <c r="D215" i="5"/>
  <c r="D199" i="5"/>
  <c r="D26" i="5"/>
  <c r="D76" i="5"/>
  <c r="D156" i="5"/>
  <c r="D260" i="5"/>
  <c r="D62" i="5"/>
  <c r="D14" i="5"/>
  <c r="D185" i="5"/>
  <c r="D52" i="5"/>
  <c r="D238" i="5"/>
  <c r="D121" i="5"/>
  <c r="D115" i="5"/>
  <c r="D314" i="5"/>
  <c r="D128" i="5"/>
  <c r="D370" i="5"/>
  <c r="D5" i="5"/>
  <c r="D292" i="5"/>
  <c r="D161" i="5"/>
  <c r="D48" i="5"/>
  <c r="D322" i="5"/>
  <c r="D251" i="5"/>
  <c r="D222" i="5"/>
  <c r="D139" i="5"/>
  <c r="D258" i="5"/>
  <c r="D124" i="5"/>
  <c r="D219" i="5"/>
  <c r="D55" i="5"/>
  <c r="D4" i="5"/>
  <c r="D66" i="5"/>
  <c r="D98" i="5"/>
  <c r="D386" i="5"/>
  <c r="D312" i="5"/>
  <c r="D378" i="5"/>
  <c r="D343" i="5"/>
  <c r="D200" i="5"/>
  <c r="D118" i="5"/>
  <c r="D300" i="5"/>
  <c r="D203" i="5"/>
  <c r="D167" i="5"/>
  <c r="D302" i="5"/>
  <c r="D259" i="5"/>
  <c r="D380" i="5"/>
  <c r="D175" i="5"/>
  <c r="D186" i="5"/>
  <c r="D110" i="5"/>
  <c r="D8" i="5"/>
  <c r="D197" i="5"/>
  <c r="D147" i="5"/>
  <c r="D252" i="5"/>
  <c r="D116" i="5"/>
  <c r="D305" i="5"/>
  <c r="D224" i="5"/>
  <c r="D176" i="5"/>
  <c r="D125" i="5"/>
  <c r="D163" i="5"/>
  <c r="D235" i="5"/>
  <c r="D80" i="5"/>
  <c r="D39" i="5"/>
  <c r="D196" i="5"/>
  <c r="D356" i="5"/>
  <c r="D381" i="5"/>
  <c r="D137" i="5"/>
  <c r="D181" i="5"/>
  <c r="D349" i="5"/>
  <c r="D37" i="5"/>
  <c r="D274" i="5"/>
  <c r="D311" i="5"/>
  <c r="D123" i="5"/>
  <c r="D71" i="5"/>
  <c r="D323" i="5"/>
  <c r="D377" i="5"/>
  <c r="D78" i="5"/>
  <c r="D17" i="5"/>
  <c r="D109" i="5"/>
  <c r="D309" i="5"/>
  <c r="D218" i="5"/>
  <c r="D3" i="5"/>
  <c r="D288" i="5"/>
  <c r="D209" i="5"/>
  <c r="D192" i="5"/>
  <c r="D360" i="5"/>
  <c r="D20" i="5"/>
  <c r="D306" i="5"/>
  <c r="D248" i="5"/>
  <c r="D244" i="5"/>
  <c r="D91" i="5"/>
  <c r="D392" i="5"/>
  <c r="D385" i="5"/>
  <c r="D69" i="5"/>
  <c r="D41" i="5"/>
  <c r="D33" i="5"/>
  <c r="D34" i="5"/>
  <c r="A2" i="5"/>
  <c r="D371" i="5"/>
  <c r="D132" i="5"/>
  <c r="D19" i="5"/>
  <c r="D338" i="5"/>
  <c r="D320" i="5"/>
  <c r="D166" i="5"/>
  <c r="D223" i="5"/>
  <c r="D11" i="5"/>
  <c r="D152" i="5"/>
  <c r="D354" i="5"/>
  <c r="D328" i="5"/>
  <c r="D278" i="5"/>
  <c r="D294" i="5"/>
  <c r="D99" i="5"/>
  <c r="D77" i="5"/>
  <c r="D82" i="5"/>
  <c r="D264" i="5"/>
  <c r="D114" i="5"/>
  <c r="D313" i="5"/>
  <c r="D89" i="5"/>
  <c r="D234" i="5"/>
  <c r="D148" i="5"/>
  <c r="D344" i="5"/>
  <c r="D389" i="5"/>
  <c r="D126" i="5"/>
  <c r="D249" i="5"/>
  <c r="D193" i="5"/>
  <c r="D347" i="5"/>
  <c r="D382" i="5"/>
  <c r="D51" i="5"/>
  <c r="D189" i="5"/>
  <c r="D295" i="5"/>
  <c r="D310" i="5"/>
  <c r="D289" i="5"/>
  <c r="D204" i="5"/>
  <c r="D182" i="5"/>
  <c r="D355" i="5"/>
  <c r="D93" i="5"/>
  <c r="D299" i="5"/>
  <c r="D285" i="5"/>
  <c r="D271" i="5"/>
  <c r="D296" i="5"/>
  <c r="D10" i="5"/>
  <c r="D229" i="5"/>
  <c r="D58" i="5"/>
  <c r="D159" i="5"/>
  <c r="D145" i="5"/>
  <c r="D117" i="5"/>
  <c r="D113" i="5"/>
  <c r="D75" i="5"/>
  <c r="D257" i="5"/>
  <c r="D243" i="5"/>
  <c r="D214" i="5"/>
  <c r="D95" i="5"/>
  <c r="D153" i="5"/>
  <c r="D277" i="5"/>
  <c r="D340" i="5"/>
  <c r="D287" i="5"/>
  <c r="D326" i="5"/>
  <c r="D265" i="5"/>
  <c r="D298" i="5"/>
  <c r="D220" i="5"/>
  <c r="D284" i="5"/>
  <c r="D198" i="5"/>
  <c r="D270" i="5"/>
  <c r="D177" i="5"/>
  <c r="D256" i="5"/>
  <c r="D155" i="5"/>
  <c r="D61" i="5"/>
  <c r="D49" i="5"/>
  <c r="D47" i="5"/>
  <c r="D27" i="5"/>
  <c r="D18" i="5"/>
  <c r="D208" i="5"/>
  <c r="D169" i="5"/>
  <c r="D321" i="5"/>
  <c r="D233" i="5"/>
  <c r="D105" i="5"/>
  <c r="D263" i="5"/>
  <c r="D207" i="5"/>
  <c r="D361" i="5"/>
  <c r="D345" i="5"/>
  <c r="D188" i="5"/>
  <c r="D29" i="5"/>
  <c r="D358" i="5"/>
  <c r="D335" i="5"/>
  <c r="D206" i="5"/>
  <c r="D100" i="5"/>
  <c r="D273" i="5"/>
  <c r="D16" i="5"/>
  <c r="D341" i="5"/>
  <c r="D50" i="5"/>
  <c r="D28" i="5"/>
  <c r="D7" i="5"/>
  <c r="D384" i="5"/>
  <c r="D267" i="5"/>
  <c r="D246" i="5"/>
  <c r="D291" i="5"/>
  <c r="D68" i="5"/>
  <c r="D202" i="5"/>
  <c r="D178" i="5"/>
  <c r="D135" i="5"/>
  <c r="D103" i="5"/>
  <c r="D92" i="5"/>
  <c r="D70" i="5"/>
  <c r="D357" i="5"/>
  <c r="D331" i="5"/>
  <c r="D337" i="5"/>
  <c r="D318" i="5"/>
  <c r="D81" i="5"/>
  <c r="D144" i="5"/>
  <c r="D212" i="5"/>
  <c r="D130" i="5"/>
  <c r="D104" i="5"/>
  <c r="D102" i="5"/>
  <c r="D352" i="5"/>
  <c r="D88" i="5"/>
  <c r="D329" i="5"/>
  <c r="D74" i="5"/>
  <c r="D307" i="5"/>
  <c r="D60" i="5"/>
  <c r="D286" i="5"/>
  <c r="D242" i="5"/>
  <c r="D134" i="5"/>
  <c r="D228" i="5"/>
  <c r="D112" i="5"/>
  <c r="A2" i="6" l="1" a="1"/>
  <c r="A2" i="6" l="1"/>
  <c r="A2" i="7" a="1"/>
  <c r="A2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tc={189C46E6-4C7B-4A3A-868E-FFB8D8654AF3}</author>
    <author>tc={EA4DF294-D8D2-4E7A-888A-47E31F58DC5F}</author>
    <author>tc={9DC61BA5-D31C-4014-8B5F-79C77877DAAA}</author>
  </authors>
  <commentList>
    <comment ref="V79" authorId="0" shapeId="0" xr:uid="{189C46E6-4C7B-4A3A-868E-FFB8D8654AF3}">
      <text>
        <t>[Threaded comment]
Your version of Excel allows you to read this threaded comment; however, any edits to it will get removed if the file is opened in a newer version of Excel. Learn more: https://go.microsoft.com/fwlink/?linkid=870924
Comment:
    Handmatig ingevoerd door gebruiker (was leeg in Twizzit-export)</t>
      </text>
    </comment>
    <comment ref="V80" authorId="1" shapeId="0" xr:uid="{EA4DF294-D8D2-4E7A-888A-47E31F58DC5F}">
      <text>
        <t>[Threaded comment]
Your version of Excel allows you to read this threaded comment; however, any edits to it will get removed if the file is opened in a newer version of Excel. Learn more: https://go.microsoft.com/fwlink/?linkid=870924
Comment:
    Handmatig ingevoerd door gebruiker (was leeg in Twizzit-export)</t>
      </text>
    </comment>
    <comment ref="V91" authorId="2" shapeId="0" xr:uid="{9DC61BA5-D31C-4014-8B5F-79C77877DAAA}">
      <text>
        <t>[Threaded comment]
Your version of Excel allows you to read this threaded comment; however, any edits to it will get removed if the file is opened in a newer version of Excel. Learn more: https://go.microsoft.com/fwlink/?linkid=870924
Comment:
    Handmatig ingevoerd door gebruiker (was leeg in Twizzit-export)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<sst xmlns="http://schemas.openxmlformats.org/spreadsheetml/2006/main" count="7806" uniqueCount="2900">
  <si>
    <t>ID</t>
  </si>
  <si>
    <t>Naam</t>
  </si>
  <si>
    <t>Voornaam</t>
  </si>
  <si>
    <t>Geslacht</t>
  </si>
  <si>
    <t>Geboortedatum</t>
  </si>
  <si>
    <t>Straat</t>
  </si>
  <si>
    <t>Huisnummer</t>
  </si>
  <si>
    <t>Busnummer</t>
  </si>
  <si>
    <t>Postcode</t>
  </si>
  <si>
    <t>Gemeente</t>
  </si>
  <si>
    <t>Land</t>
  </si>
  <si>
    <t>Nationaliteit</t>
  </si>
  <si>
    <t>Beroep</t>
  </si>
  <si>
    <t>E-mail 1 type</t>
  </si>
  <si>
    <t>E-mail 1</t>
  </si>
  <si>
    <t>E-mail 2 type</t>
  </si>
  <si>
    <t>E-mail 2</t>
  </si>
  <si>
    <t>E-mail 3 type</t>
  </si>
  <si>
    <t>E-mail 3</t>
  </si>
  <si>
    <t>Mobiel 1 type</t>
  </si>
  <si>
    <t>Mobiel 1</t>
  </si>
  <si>
    <t>Mobiel 2 type</t>
  </si>
  <si>
    <t>Mobiel 2</t>
  </si>
  <si>
    <t>Mobiel 3 type</t>
  </si>
  <si>
    <t>Mobiel 3</t>
  </si>
  <si>
    <t>Telefoon</t>
  </si>
  <si>
    <t>Rekeningnummer</t>
  </si>
  <si>
    <t>Rijksregisternummer</t>
  </si>
  <si>
    <t>Rugnummer</t>
  </si>
  <si>
    <t>Profielfoto</t>
  </si>
  <si>
    <t>Relation ID invoicing (Export / Octopus)</t>
  </si>
  <si>
    <t>Lidnummer Basket Vlaanderen</t>
  </si>
  <si>
    <t>Club name</t>
  </si>
  <si>
    <t>Club function</t>
  </si>
  <si>
    <t>2026-2027</t>
  </si>
  <si>
    <t>2026-2027 Functie</t>
  </si>
  <si>
    <t>Committee</t>
  </si>
  <si>
    <t>Adam</t>
  </si>
  <si>
    <t>Koen</t>
  </si>
  <si>
    <t>nl</t>
  </si>
  <si>
    <t>M</t>
  </si>
  <si>
    <t>07/05/1978</t>
  </si>
  <si>
    <t>Braambrugstraat</t>
  </si>
  <si>
    <t>Oudenaarde</t>
  </si>
  <si>
    <t>Belgium</t>
  </si>
  <si>
    <t>BE</t>
  </si>
  <si>
    <t>Persoonlijk</t>
  </si>
  <si>
    <t>koenadam78@gmail.com</t>
  </si>
  <si>
    <t>Lily</t>
  </si>
  <si>
    <t>F</t>
  </si>
  <si>
    <t>07/05/2010</t>
  </si>
  <si>
    <t>Vader</t>
  </si>
  <si>
    <t>Koenadam78@gmail.com</t>
  </si>
  <si>
    <t>Moeder</t>
  </si>
  <si>
    <t>Freya.spiessens@gmail.com</t>
  </si>
  <si>
    <t>0476837352</t>
  </si>
  <si>
    <t>Dochter</t>
  </si>
  <si>
    <t>0456558867</t>
  </si>
  <si>
    <t>10.05.07-190.68</t>
  </si>
  <si>
    <t>https://app.twizzit.com/public/photos/2182441/s/eec7946e1a9e80461f26752840c4aedc7d235bab.jpeg</t>
  </si>
  <si>
    <t>DSE A Haantjes Certifisc Oudenaarde</t>
  </si>
  <si>
    <t>Speler</t>
  </si>
  <si>
    <t>Clubrefs (Clubref)</t>
  </si>
  <si>
    <t>Zomerstage 2026 (Blankenberge)</t>
  </si>
  <si>
    <t xml:space="preserve">Trainerspoule </t>
  </si>
  <si>
    <t>Coach</t>
  </si>
  <si>
    <t>Alia</t>
  </si>
  <si>
    <t>Enida</t>
  </si>
  <si>
    <t>22/05/2017</t>
  </si>
  <si>
    <t>Broekstraat</t>
  </si>
  <si>
    <t>elidona.eni@gmail.com</t>
  </si>
  <si>
    <t>00499284650</t>
  </si>
  <si>
    <t>Kledion</t>
  </si>
  <si>
    <t>23/09/2013</t>
  </si>
  <si>
    <t>https://app.twizzit.com/public/photos/2650601/s/f885f644ea63bcfe0579c08cf537df8dcbb43ecc.png</t>
  </si>
  <si>
    <t>G14 A Haantjes CERTIFISC Oudenaarde</t>
  </si>
  <si>
    <t>Altruy</t>
  </si>
  <si>
    <t>Kors</t>
  </si>
  <si>
    <t>19/07/2014</t>
  </si>
  <si>
    <t>Markettestraat</t>
  </si>
  <si>
    <t>David.altruy@outlook.be</t>
  </si>
  <si>
    <t>0479873979</t>
  </si>
  <si>
    <t>14.07.19-211.76</t>
  </si>
  <si>
    <t>G14 B Haantjes CERTIFISC Oudenaarde</t>
  </si>
  <si>
    <t>Lenn</t>
  </si>
  <si>
    <t>27/02/2017</t>
  </si>
  <si>
    <t>11.07.27-323.43</t>
  </si>
  <si>
    <t>Zomerstage 2026 U10 &amp; U12 (Oudenaarde)</t>
  </si>
  <si>
    <t>G10 Geel HAANTJES CERTIFISC OUDENAARDE</t>
  </si>
  <si>
    <t>Ameloot-Vanhove</t>
  </si>
  <si>
    <t>Isa</t>
  </si>
  <si>
    <t>22/02/2012</t>
  </si>
  <si>
    <t>Baarstraat</t>
  </si>
  <si>
    <t>sofie.ameloot@huurland.be</t>
  </si>
  <si>
    <t>0483203613</t>
  </si>
  <si>
    <t>0478210216</t>
  </si>
  <si>
    <t>https://app.twizzit.com/public/photos/5115343/s/0e6908415a8d44c9a80019c8bc87b39596577cc5.jpeg</t>
  </si>
  <si>
    <t>M16 A Haantjes CERTIFISC  Oudenaarde</t>
  </si>
  <si>
    <t>Anar</t>
  </si>
  <si>
    <t>Arsen</t>
  </si>
  <si>
    <t>04/05/2016</t>
  </si>
  <si>
    <t>Ohiostraat</t>
  </si>
  <si>
    <t>16.05.04-489.82</t>
  </si>
  <si>
    <t>https://app.twizzit.com/public/photos/11272034/s/339c8f61eeb207a0a7ef82edab3f88fc90d76b77.jpeg</t>
  </si>
  <si>
    <t>G12 Blauw HAANTJES CERTIFISC OUDENAARDE</t>
  </si>
  <si>
    <t>Mark</t>
  </si>
  <si>
    <t>16.05.04-491.80</t>
  </si>
  <si>
    <t>https://app.twizzit.com/public/photos/11272030/s/d97169c55e4278dd5f5452138091d993430ca8ab.jpeg</t>
  </si>
  <si>
    <t>Marsel</t>
  </si>
  <si>
    <t>16.05.04-493.78</t>
  </si>
  <si>
    <t>https://app.twizzit.com/public/photos/11272039/s/667db68e153309a064042452d0f619e8acb011fa.jpeg</t>
  </si>
  <si>
    <t>Anseeuw</t>
  </si>
  <si>
    <t>Bent</t>
  </si>
  <si>
    <t>30/06/2010</t>
  </si>
  <si>
    <t>Dorpsstraat</t>
  </si>
  <si>
    <t>matthias.anseeuw@telenet.be</t>
  </si>
  <si>
    <t>Zoon</t>
  </si>
  <si>
    <t>bent.anseeuw@gmail.com</t>
  </si>
  <si>
    <t>0497023380</t>
  </si>
  <si>
    <t>0459412728</t>
  </si>
  <si>
    <t>https://app.twizzit.com/public/photos/2182451/s/d40702514c4affc118f06eee4555b1ca966c4e65.png</t>
  </si>
  <si>
    <t>J18 B Haantjes CERTIFISC Oudenaarde</t>
  </si>
  <si>
    <t>Mare</t>
  </si>
  <si>
    <t>17/02/2014</t>
  </si>
  <si>
    <t>Dorpstraat</t>
  </si>
  <si>
    <t>14.02.17-334.75</t>
  </si>
  <si>
    <t>https://app.twizzit.com/public/photos/2182456/s/112b54676bd1e925e699cce3ec7a25a94902a3a2.png</t>
  </si>
  <si>
    <t>M14 A Haantjes CERTIFISC  Oudenaarde</t>
  </si>
  <si>
    <t>Senn</t>
  </si>
  <si>
    <t>15/05/2018</t>
  </si>
  <si>
    <t>https://app.twizzit.com/public/photos/4421954/s/39c1d6c08bc84b336f4c340a175719810e926066.png</t>
  </si>
  <si>
    <t>G10 Blauw HAANTJES CERTIFISC OUDENAARDE</t>
  </si>
  <si>
    <t>Apostolescu</t>
  </si>
  <si>
    <t>Vlad Alexandru</t>
  </si>
  <si>
    <t>06/03/1996</t>
  </si>
  <si>
    <t>Nieuwe Brugstraat</t>
  </si>
  <si>
    <t>Ronse</t>
  </si>
  <si>
    <t>96.03.06-191.17</t>
  </si>
  <si>
    <t>Arickx</t>
  </si>
  <si>
    <t>Joao</t>
  </si>
  <si>
    <t>13/04/2011</t>
  </si>
  <si>
    <t>Nestor de Tièrestraat</t>
  </si>
  <si>
    <t>11.04.13-143.46</t>
  </si>
  <si>
    <t>J16 B Haantjes CERTIFISC Oudenaarde</t>
  </si>
  <si>
    <t>Baert</t>
  </si>
  <si>
    <t>Jasper</t>
  </si>
  <si>
    <t>11/05/2012</t>
  </si>
  <si>
    <t>Sneppestraat</t>
  </si>
  <si>
    <t>baert_stijn@hotmail.com</t>
  </si>
  <si>
    <t>12.05.11-117.63</t>
  </si>
  <si>
    <t>https://app.twizzit.com/public/photos/2650780/s/77c3f1ac992ce48307c6c7ab431ab89e2bd37774.png</t>
  </si>
  <si>
    <t>Balcaen</t>
  </si>
  <si>
    <t>Christopher</t>
  </si>
  <si>
    <t>20/04/1995</t>
  </si>
  <si>
    <t>0474072810</t>
  </si>
  <si>
    <t>https://app.twizzit.com/public/photos/6349669/s/f1a8e75d54553d15234adcd3add0a63b193557cd.png</t>
  </si>
  <si>
    <t>Bauters</t>
  </si>
  <si>
    <t>Bo</t>
  </si>
  <si>
    <t>01/09/2017</t>
  </si>
  <si>
    <t>Ouwerkerkstraat</t>
  </si>
  <si>
    <t>Jurgenbauters@gmail.com</t>
  </si>
  <si>
    <t>0497533520</t>
  </si>
  <si>
    <t>17.09.01-092.36</t>
  </si>
  <si>
    <t>https://app.twizzit.com/public/photos/3472864/s/02d5da48533f12868f14fb4b62a0634d769bf8a7.png</t>
  </si>
  <si>
    <t>M10 HAANTJES CERTIFISC OUDENAARDE</t>
  </si>
  <si>
    <t>Janna</t>
  </si>
  <si>
    <t>25/01/1994</t>
  </si>
  <si>
    <t>Lindestraat</t>
  </si>
  <si>
    <t>94.01.25-262.96</t>
  </si>
  <si>
    <t>https://app.twizzit.com/public/photos/2182476/s/d120dcfc0ec82f0d803829f917b4287681f3dd01.png</t>
  </si>
  <si>
    <t>Noa</t>
  </si>
  <si>
    <t>10/02/2015</t>
  </si>
  <si>
    <t>15.02.10-126.29</t>
  </si>
  <si>
    <t>https://app.twizzit.com/public/photos/11846410/s/0498863fb0a62c783eced92596a817e3339dca11.jpeg</t>
  </si>
  <si>
    <t>M12 A HAANTJES CERTIFISC OUDENAARDE</t>
  </si>
  <si>
    <t>Rémi</t>
  </si>
  <si>
    <t>22/12/2008</t>
  </si>
  <si>
    <t>Pontstraat</t>
  </si>
  <si>
    <t>0497078444</t>
  </si>
  <si>
    <t>J21 A HAANTJES CERTIFISC OUDENAARDE</t>
  </si>
  <si>
    <t>HSE B Haantjes Certifisc Oudenaarde</t>
  </si>
  <si>
    <t>Bauwens</t>
  </si>
  <si>
    <t>Karine</t>
  </si>
  <si>
    <t>16/01/1974</t>
  </si>
  <si>
    <t>Eekhoutstraat</t>
  </si>
  <si>
    <t>Beeckman</t>
  </si>
  <si>
    <t>Joppe</t>
  </si>
  <si>
    <t>26/03/2019</t>
  </si>
  <si>
    <t>Vlinderstaat</t>
  </si>
  <si>
    <t>ppoitiez@hotmail.com</t>
  </si>
  <si>
    <t>0486440775</t>
  </si>
  <si>
    <t>https://app.twizzit.com/public/photos/7329719/s/3900de37cfdf557a3c2ce4dcb1b36ecfefd6df85.png</t>
  </si>
  <si>
    <t>G08 Geel HAANTJES CERTIFISC OUDENAARDE</t>
  </si>
  <si>
    <t>Sara</t>
  </si>
  <si>
    <t>27/11/1981</t>
  </si>
  <si>
    <t>Vlinderstraat</t>
  </si>
  <si>
    <t>81.11.27-094.01</t>
  </si>
  <si>
    <t>https://app.twizzit.com/public/photos/2182486/s/756b8f4f4a0d0890e89db01537d432ba96a97666.png</t>
  </si>
  <si>
    <t>Torre</t>
  </si>
  <si>
    <t>11/08/2011</t>
  </si>
  <si>
    <t>11.08.11-227.50</t>
  </si>
  <si>
    <t>https://app.twizzit.com/public/photos/2182491/s/9cf26edd91096e59f19c665e2f0a4528adc17aa7.png</t>
  </si>
  <si>
    <t>J16 A Haantjes CERTIFISC Oudenaarde</t>
  </si>
  <si>
    <t>Beirnaert</t>
  </si>
  <si>
    <t>Philippe</t>
  </si>
  <si>
    <t>Galgestraat</t>
  </si>
  <si>
    <t>0497271228</t>
  </si>
  <si>
    <t>63.07.11-337.26</t>
  </si>
  <si>
    <t>Beke</t>
  </si>
  <si>
    <t>Vince</t>
  </si>
  <si>
    <t>01/10/2010</t>
  </si>
  <si>
    <t>Opperije</t>
  </si>
  <si>
    <t>wim.beke@telenet.be</t>
  </si>
  <si>
    <t>0494534565</t>
  </si>
  <si>
    <t>10.10.01-263.16</t>
  </si>
  <si>
    <t>https://app.twizzit.com/public/photos/2182501/s/ff9efabb61fd27d35070a050abd98c15c9bfe6c5.png</t>
  </si>
  <si>
    <t>Belien</t>
  </si>
  <si>
    <t>Elke</t>
  </si>
  <si>
    <t>06/11/1981</t>
  </si>
  <si>
    <t>Koninging Elisabethlaan</t>
  </si>
  <si>
    <t>Partner</t>
  </si>
  <si>
    <t>dries.goossens@gmail.com</t>
  </si>
  <si>
    <t>slimmerik.briek@gmail.com</t>
  </si>
  <si>
    <t>BE22979596098347</t>
  </si>
  <si>
    <t>81.11.06-136.07</t>
  </si>
  <si>
    <t>Benoot</t>
  </si>
  <si>
    <t>Quinten</t>
  </si>
  <si>
    <t>18/10/2010</t>
  </si>
  <si>
    <t>Gentpoortstraat</t>
  </si>
  <si>
    <t>Benoothans20@gmail.com</t>
  </si>
  <si>
    <t>Quintenmaetha@gmail.com</t>
  </si>
  <si>
    <t>0485287357</t>
  </si>
  <si>
    <t>0472031844</t>
  </si>
  <si>
    <t>0476900206</t>
  </si>
  <si>
    <t>https://app.twizzit.com/public/photos/4080393/s/fc77b80b0f519cf2bcaae55fec7f11c92e5c4d9f.jpeg</t>
  </si>
  <si>
    <t>Berkvens</t>
  </si>
  <si>
    <t>Emile</t>
  </si>
  <si>
    <t>28/08/2012</t>
  </si>
  <si>
    <t>Beverestraat</t>
  </si>
  <si>
    <t>12.08.28-079.97</t>
  </si>
  <si>
    <t>https://app.twizzit.com/public/photos/2650778/s/15d2f475817dbbc2474d7d1a8b8b6a06ed3f6c72.png</t>
  </si>
  <si>
    <t>Bessems</t>
  </si>
  <si>
    <t>Kas</t>
  </si>
  <si>
    <t>03/04/2008</t>
  </si>
  <si>
    <t>bessemskas@gmail.com</t>
  </si>
  <si>
    <t>info@bessems.be</t>
  </si>
  <si>
    <t>0475811935</t>
  </si>
  <si>
    <t>0470059511</t>
  </si>
  <si>
    <t>0497535913</t>
  </si>
  <si>
    <t>Beutels</t>
  </si>
  <si>
    <t>Gust</t>
  </si>
  <si>
    <t>01/08/2007</t>
  </si>
  <si>
    <t>Omgangstraat</t>
  </si>
  <si>
    <t>gbeutels07@gmail.com</t>
  </si>
  <si>
    <t>Blancke</t>
  </si>
  <si>
    <t>Celeste</t>
  </si>
  <si>
    <t>27/05/2014</t>
  </si>
  <si>
    <t>Wortegemstraat</t>
  </si>
  <si>
    <t>https://app.twizzit.com/public/photos/3500953/s/601083ebf506787be01432d1e891039519c5d9b6.jpeg</t>
  </si>
  <si>
    <t>Merel</t>
  </si>
  <si>
    <t>13/07/2012</t>
  </si>
  <si>
    <t>0478385011</t>
  </si>
  <si>
    <t>0473412540</t>
  </si>
  <si>
    <t>12.07.13-050.84</t>
  </si>
  <si>
    <t>https://app.twizzit.com/public/photos/5568565/s/d285ba208d969f77d6c249fb61359c50c614e6ac.png</t>
  </si>
  <si>
    <t>Blommaert</t>
  </si>
  <si>
    <t>Vic</t>
  </si>
  <si>
    <t>07/01/2018</t>
  </si>
  <si>
    <t>Zottegemstraat</t>
  </si>
  <si>
    <t>jeroen.blommaert@gmail.com</t>
  </si>
  <si>
    <t>0477059912</t>
  </si>
  <si>
    <t>0470067360</t>
  </si>
  <si>
    <t>https://app.twizzit.com/public/photos/7328384/s/880c055e18cd3fa9e57719da7306434e04eaf905.png</t>
  </si>
  <si>
    <t>Blondeel</t>
  </si>
  <si>
    <t>Bart</t>
  </si>
  <si>
    <t>31/05/1961</t>
  </si>
  <si>
    <t>0473373966</t>
  </si>
  <si>
    <t>Bogaert</t>
  </si>
  <si>
    <t>Matti</t>
  </si>
  <si>
    <t>02/07/2009</t>
  </si>
  <si>
    <t>Reytstraat</t>
  </si>
  <si>
    <t>mboogie800@hotmail.com</t>
  </si>
  <si>
    <t>0478427271</t>
  </si>
  <si>
    <t>0476983853</t>
  </si>
  <si>
    <t>0465007097</t>
  </si>
  <si>
    <t>09.07.02-373.28</t>
  </si>
  <si>
    <t>J18 A Haantjes CERTIFISC Oudenaarde</t>
  </si>
  <si>
    <t>Boonaert</t>
  </si>
  <si>
    <t>Maurice</t>
  </si>
  <si>
    <t>08/02/2020</t>
  </si>
  <si>
    <t>Bloemenhof</t>
  </si>
  <si>
    <t>reggyboonaert@outlook.be</t>
  </si>
  <si>
    <t>0478731137</t>
  </si>
  <si>
    <t>20.02.08-143.80</t>
  </si>
  <si>
    <t>G08 Groen HAANTJES CERTIFISC OUDENAARDE</t>
  </si>
  <si>
    <t>Zomerstage 2026 U8 (Oudenaarde)</t>
  </si>
  <si>
    <t>Boone</t>
  </si>
  <si>
    <t>Leon</t>
  </si>
  <si>
    <t>16/11/2019</t>
  </si>
  <si>
    <t>dieter.boone@telenet.be</t>
  </si>
  <si>
    <t>0496024078</t>
  </si>
  <si>
    <t>0496814231</t>
  </si>
  <si>
    <t>Bothuyne</t>
  </si>
  <si>
    <t>Charles</t>
  </si>
  <si>
    <t>03/05/2018</t>
  </si>
  <si>
    <t>Gentstraat</t>
  </si>
  <si>
    <t>Boudringhien</t>
  </si>
  <si>
    <t>Mauro</t>
  </si>
  <si>
    <t>14/12/2007</t>
  </si>
  <si>
    <t>Waterhoek</t>
  </si>
  <si>
    <t>07.12.14-371.51</t>
  </si>
  <si>
    <t>Boullart</t>
  </si>
  <si>
    <t>Luca</t>
  </si>
  <si>
    <t>23/03/2012</t>
  </si>
  <si>
    <t>Riedekens</t>
  </si>
  <si>
    <t>maggy.hombecq@hotmail.com</t>
  </si>
  <si>
    <t>0475558448</t>
  </si>
  <si>
    <t>12.03.23-018.79</t>
  </si>
  <si>
    <t>Bourdeaud'hui</t>
  </si>
  <si>
    <t>Marie</t>
  </si>
  <si>
    <t>12/02/2008</t>
  </si>
  <si>
    <t>0477294347</t>
  </si>
  <si>
    <t>https://app.twizzit.com/public/photos/2182516/s/0d7291570c9e5cf142cd892c8fd7ace8c517270a.png</t>
  </si>
  <si>
    <t>M19 A Haantjes CERTIFISC Oudenaarde</t>
  </si>
  <si>
    <t>Bourgeois</t>
  </si>
  <si>
    <t>Liam</t>
  </si>
  <si>
    <t>18/07/2010</t>
  </si>
  <si>
    <t>0471543824</t>
  </si>
  <si>
    <t>0471878061</t>
  </si>
  <si>
    <t>0499348535</t>
  </si>
  <si>
    <t>10.07.18-115.21</t>
  </si>
  <si>
    <t>Boutmans</t>
  </si>
  <si>
    <t>Beauregard</t>
  </si>
  <si>
    <t>04/11/1980</t>
  </si>
  <si>
    <t>80.11.04-403.70</t>
  </si>
  <si>
    <t>Kobe</t>
  </si>
  <si>
    <t>31/03/2009</t>
  </si>
  <si>
    <t>0479888902</t>
  </si>
  <si>
    <t>09.03.31-079.06</t>
  </si>
  <si>
    <t>Bracke</t>
  </si>
  <si>
    <t>Kaatje</t>
  </si>
  <si>
    <t>05/07/1991</t>
  </si>
  <si>
    <t>Smalle Heerweg</t>
  </si>
  <si>
    <t>91.07.05-386.66</t>
  </si>
  <si>
    <t>Mathieu</t>
  </si>
  <si>
    <t>03/08/1997</t>
  </si>
  <si>
    <t>Begijnhoflaan</t>
  </si>
  <si>
    <t>97.08.03-211.46</t>
  </si>
  <si>
    <t>Braem</t>
  </si>
  <si>
    <t>Filiep</t>
  </si>
  <si>
    <t>08/10/1977</t>
  </si>
  <si>
    <t>braem.filiep@outlook.be</t>
  </si>
  <si>
    <t xml:space="preserve">757056 </t>
  </si>
  <si>
    <t>Lise</t>
  </si>
  <si>
    <t>13/12/2008</t>
  </si>
  <si>
    <t>Braem.lise@gmail.com</t>
  </si>
  <si>
    <t>https://app.twizzit.com/public/photos/2182526/s/a821912bbd87d29337fbfbb0be2e91298bc55869.jpeg</t>
  </si>
  <si>
    <t>Bruyland</t>
  </si>
  <si>
    <t>Florean</t>
  </si>
  <si>
    <t>24/02/2011</t>
  </si>
  <si>
    <t>Karel Martelstraat</t>
  </si>
  <si>
    <t>0476263407</t>
  </si>
  <si>
    <t>BE34979152560490</t>
  </si>
  <si>
    <t>11.02.24-051.85</t>
  </si>
  <si>
    <t>https://app.twizzit.com/public/photos/2182531/s/a96a35504a45f2aa6d5205a67f03e56978acf0e6.png</t>
  </si>
  <si>
    <t>Bruyneel</t>
  </si>
  <si>
    <t>11/05/2014</t>
  </si>
  <si>
    <t>Corpusstraat</t>
  </si>
  <si>
    <t>brambruyneel@gmail.com</t>
  </si>
  <si>
    <t>0494037946</t>
  </si>
  <si>
    <t>0477986896</t>
  </si>
  <si>
    <t>Buadee</t>
  </si>
  <si>
    <t>Aishatu Lieve</t>
  </si>
  <si>
    <t>08/01/1991</t>
  </si>
  <si>
    <t>Brielstraat</t>
  </si>
  <si>
    <t>0496745543</t>
  </si>
  <si>
    <t>91.01.08-442.72</t>
  </si>
  <si>
    <t>Buckens</t>
  </si>
  <si>
    <t>Eva</t>
  </si>
  <si>
    <t>Buda Meirlaen</t>
  </si>
  <si>
    <t>Matisse</t>
  </si>
  <si>
    <t>15/07/2014</t>
  </si>
  <si>
    <t>Molenstraat</t>
  </si>
  <si>
    <t>0477658556</t>
  </si>
  <si>
    <t>14.07.15-383.24</t>
  </si>
  <si>
    <t>https://app.twizzit.com/public/photos/7666112/s/28beee7a2b02560648d49ec2140a1cc079666b2a.png</t>
  </si>
  <si>
    <t>Bufkens</t>
  </si>
  <si>
    <t>Dylann</t>
  </si>
  <si>
    <t>01/04/1998</t>
  </si>
  <si>
    <t>Maagdenstraat</t>
  </si>
  <si>
    <t>0493561486</t>
  </si>
  <si>
    <t>BE15 0638 0785 4330</t>
  </si>
  <si>
    <t>98.04.01-245.65</t>
  </si>
  <si>
    <t>23/12/2011</t>
  </si>
  <si>
    <t>Oswald Ponettestraat</t>
  </si>
  <si>
    <t>vanbael_ijlie@hotmail.com</t>
  </si>
  <si>
    <t>Calewaert</t>
  </si>
  <si>
    <t>Iris</t>
  </si>
  <si>
    <t>19/07/1999</t>
  </si>
  <si>
    <t>Nieuwstraat</t>
  </si>
  <si>
    <t>99.07.19-376.18</t>
  </si>
  <si>
    <t>Callens</t>
  </si>
  <si>
    <t>Louise</t>
  </si>
  <si>
    <t>29/05/2015</t>
  </si>
  <si>
    <t>Meersestraat</t>
  </si>
  <si>
    <t>koencallens@msn.com</t>
  </si>
  <si>
    <t>0478885199</t>
  </si>
  <si>
    <t>15.05.29-024.67</t>
  </si>
  <si>
    <t>Camua</t>
  </si>
  <si>
    <t>Gabriël</t>
  </si>
  <si>
    <t>03/07/2012</t>
  </si>
  <si>
    <t>Muziekbosstraat</t>
  </si>
  <si>
    <t>Cardon</t>
  </si>
  <si>
    <t>Thomas</t>
  </si>
  <si>
    <t>22/03/2011</t>
  </si>
  <si>
    <t>11.03.22-043.63</t>
  </si>
  <si>
    <t>https://app.twizzit.com/public/photos/2182541/s/ad278a1858d3fc927675b6581e22f467523759f0.png</t>
  </si>
  <si>
    <t>Castelain</t>
  </si>
  <si>
    <t>Cézan</t>
  </si>
  <si>
    <t>18/12/2014</t>
  </si>
  <si>
    <t>Fontaineweg</t>
  </si>
  <si>
    <t>0499418414</t>
  </si>
  <si>
    <t>14.12.18-212.43</t>
  </si>
  <si>
    <t>Feliz</t>
  </si>
  <si>
    <t>15/07/2013</t>
  </si>
  <si>
    <t>13.07.15-272.17</t>
  </si>
  <si>
    <t>https://app.twizzit.com/public/photos/2182546/s/9bde50d70ec897c3545fc312ea9113a20df6bb57.jpeg</t>
  </si>
  <si>
    <t>Jonas</t>
  </si>
  <si>
    <t>03/10/1989</t>
  </si>
  <si>
    <t>Berchemweg</t>
  </si>
  <si>
    <t>Werk</t>
  </si>
  <si>
    <t>BE71 0018 1921 2869</t>
  </si>
  <si>
    <t>89.10.03-097.06</t>
  </si>
  <si>
    <t>https://app.twizzit.com/public/photos/4076852/s/61b60ceb37e0ad4e63ab95460de787c3e165b233.png</t>
  </si>
  <si>
    <t>12/10/2018</t>
  </si>
  <si>
    <t>18.10.12-033.84</t>
  </si>
  <si>
    <t>https://app.twizzit.com/public/photos/3486565/s/dbc5287e080bfa9acd16205b0ef6339800e0ffb6.png</t>
  </si>
  <si>
    <t xml:space="preserve">762623 </t>
  </si>
  <si>
    <t>Odet</t>
  </si>
  <si>
    <t>15/02/2022</t>
  </si>
  <si>
    <t>evelyn.demesel@hotmail.be</t>
  </si>
  <si>
    <t>22.02.15-160.89</t>
  </si>
  <si>
    <t>Balschool U6</t>
  </si>
  <si>
    <t>Simon</t>
  </si>
  <si>
    <t>11/05/1970</t>
  </si>
  <si>
    <t>70.05.11-123.82</t>
  </si>
  <si>
    <t>Cattoir</t>
  </si>
  <si>
    <t>17/11/1983</t>
  </si>
  <si>
    <t>Veldstraat</t>
  </si>
  <si>
    <t>83.11.17-027.22</t>
  </si>
  <si>
    <t>Jonah</t>
  </si>
  <si>
    <t>09/08/2011</t>
  </si>
  <si>
    <t>11.08.09-333.04</t>
  </si>
  <si>
    <t>Lasse</t>
  </si>
  <si>
    <t>24/07/2020</t>
  </si>
  <si>
    <t>20.07.24-083.83</t>
  </si>
  <si>
    <t>https://app.twizzit.com/public/photos/9522553/s/70d508b65eaba88af49f20bd545e119d36420c07.png</t>
  </si>
  <si>
    <t>Chaouch</t>
  </si>
  <si>
    <t>Ahmed</t>
  </si>
  <si>
    <t>04/05/1993</t>
  </si>
  <si>
    <t>Oudenaardsestraat</t>
  </si>
  <si>
    <t>93.05.04-415.95</t>
  </si>
  <si>
    <t>Christiaens</t>
  </si>
  <si>
    <t>27/11/2009</t>
  </si>
  <si>
    <t>Christiaens.jan@skynet.be</t>
  </si>
  <si>
    <t>09.11.27-341.17</t>
  </si>
  <si>
    <t>https://app.twizzit.com/public/photos/6352973/s/e9e52d61f1e32c98f69949c0179e81da5763fe5f.png</t>
  </si>
  <si>
    <t>Claes</t>
  </si>
  <si>
    <t>Arne</t>
  </si>
  <si>
    <t>26/08/2002</t>
  </si>
  <si>
    <t>Verbingdingsstraat</t>
  </si>
  <si>
    <t>02.08.26-317.97</t>
  </si>
  <si>
    <t>Cokelaere</t>
  </si>
  <si>
    <t>Alice</t>
  </si>
  <si>
    <t>04/06/2008</t>
  </si>
  <si>
    <t>sofie.pattyn@telenet.be</t>
  </si>
  <si>
    <t>0477681738</t>
  </si>
  <si>
    <t>08.06.04-074.45</t>
  </si>
  <si>
    <t>Andy</t>
  </si>
  <si>
    <t>06/08/1972</t>
  </si>
  <si>
    <t>72.08.06-035.92</t>
  </si>
  <si>
    <t>Jules</t>
  </si>
  <si>
    <t>22/06/2003</t>
  </si>
  <si>
    <t>HSE  C Haantjes Certifisc Oudenaarde</t>
  </si>
  <si>
    <t>Colpaert</t>
  </si>
  <si>
    <t>Nand</t>
  </si>
  <si>
    <t>12/02/2018</t>
  </si>
  <si>
    <t>Puistraat</t>
  </si>
  <si>
    <t>stijn.colpaert@telenet.be</t>
  </si>
  <si>
    <t>0497216213</t>
  </si>
  <si>
    <t>Veerle</t>
  </si>
  <si>
    <t>24/01/1978</t>
  </si>
  <si>
    <t>Prins Leopoldstraat</t>
  </si>
  <si>
    <t>0476935877</t>
  </si>
  <si>
    <t>78.01.24-372.68</t>
  </si>
  <si>
    <t>Constant</t>
  </si>
  <si>
    <t>Yvora</t>
  </si>
  <si>
    <t>20/04/2015</t>
  </si>
  <si>
    <t>Temseveldstraat</t>
  </si>
  <si>
    <t>0477081887</t>
  </si>
  <si>
    <t>Coopmans</t>
  </si>
  <si>
    <t>Maarten</t>
  </si>
  <si>
    <t>14/02/1989</t>
  </si>
  <si>
    <t>Meersetraat</t>
  </si>
  <si>
    <t>89.02.14-433.60</t>
  </si>
  <si>
    <t>Coppens</t>
  </si>
  <si>
    <t>Didier</t>
  </si>
  <si>
    <t>20/07/1965</t>
  </si>
  <si>
    <t>65.07.20-459.64</t>
  </si>
  <si>
    <t>https://app.twizzit.com/public/photos/2669951/s/778e1130cdfaade86f30dde5646159e9171c6f6b.png</t>
  </si>
  <si>
    <t>Coryn</t>
  </si>
  <si>
    <t>Luka</t>
  </si>
  <si>
    <t>12/09/2008</t>
  </si>
  <si>
    <t>Schoendalestraat</t>
  </si>
  <si>
    <t>michael.coryn@telenet.be</t>
  </si>
  <si>
    <t>luka.coryn@gmail.com</t>
  </si>
  <si>
    <t>0471737015</t>
  </si>
  <si>
    <t>08.09.12-163.28</t>
  </si>
  <si>
    <t>Cousaert</t>
  </si>
  <si>
    <t>Anna</t>
  </si>
  <si>
    <t>30/07/2019</t>
  </si>
  <si>
    <t>0494445513</t>
  </si>
  <si>
    <t>Frederik</t>
  </si>
  <si>
    <t>07/04/1988</t>
  </si>
  <si>
    <t>Herlegem</t>
  </si>
  <si>
    <t>88.04.07-063.51</t>
  </si>
  <si>
    <t>Lieze</t>
  </si>
  <si>
    <t>17/07/2017</t>
  </si>
  <si>
    <t>Creteur</t>
  </si>
  <si>
    <t>David</t>
  </si>
  <si>
    <t>Harelbekestraat</t>
  </si>
  <si>
    <t>david@credelec.be</t>
  </si>
  <si>
    <t>00497249349</t>
  </si>
  <si>
    <t>Niklas</t>
  </si>
  <si>
    <t>27/06/2013</t>
  </si>
  <si>
    <t>Korenbloemlaan</t>
  </si>
  <si>
    <t>13.06.27-335.72</t>
  </si>
  <si>
    <t>Tanguy</t>
  </si>
  <si>
    <t>29/07/2008</t>
  </si>
  <si>
    <t>0470535338</t>
  </si>
  <si>
    <t>0497249349</t>
  </si>
  <si>
    <t>Crombez</t>
  </si>
  <si>
    <t>Arthur</t>
  </si>
  <si>
    <t>07/04/2018</t>
  </si>
  <si>
    <t>Heerweg</t>
  </si>
  <si>
    <t>29B</t>
  </si>
  <si>
    <t>0478792675</t>
  </si>
  <si>
    <t>https://app.twizzit.com/public/photos/7501921/s/cda3c2c21188914d3908db110c011be3c8f5a13d.png</t>
  </si>
  <si>
    <t>Ella-Marie</t>
  </si>
  <si>
    <t>10/03/2014</t>
  </si>
  <si>
    <t>Tom.crombez@gmail.com</t>
  </si>
  <si>
    <t>00478792675</t>
  </si>
  <si>
    <t>00474828659</t>
  </si>
  <si>
    <t>Tom</t>
  </si>
  <si>
    <t>12/03/1984</t>
  </si>
  <si>
    <t>Statiestraat</t>
  </si>
  <si>
    <t>0474828659</t>
  </si>
  <si>
    <t>Cromheeke</t>
  </si>
  <si>
    <t>Mathis</t>
  </si>
  <si>
    <t>18/04/2010</t>
  </si>
  <si>
    <t>Rue d'Anseroeul</t>
  </si>
  <si>
    <t>Cruypeninck</t>
  </si>
  <si>
    <t>Lou</t>
  </si>
  <si>
    <t>08/09/2017</t>
  </si>
  <si>
    <t>Bossenaar</t>
  </si>
  <si>
    <t>hanne.platteeuw@gmail.com</t>
  </si>
  <si>
    <t>0477254581</t>
  </si>
  <si>
    <t>0498700275</t>
  </si>
  <si>
    <t>17.09.08-221.85</t>
  </si>
  <si>
    <t>D'Haenen</t>
  </si>
  <si>
    <t>Sofian</t>
  </si>
  <si>
    <t>06/05/2009</t>
  </si>
  <si>
    <t>Mussenstraat</t>
  </si>
  <si>
    <t>09.05.06-469.89</t>
  </si>
  <si>
    <t>Yunus</t>
  </si>
  <si>
    <t>14/05/2010</t>
  </si>
  <si>
    <t>D'Haese</t>
  </si>
  <si>
    <t>24/09/2008</t>
  </si>
  <si>
    <t>Dans</t>
  </si>
  <si>
    <t>Karen</t>
  </si>
  <si>
    <t>26/02/1990</t>
  </si>
  <si>
    <t>Kortrijkstraat</t>
  </si>
  <si>
    <t>90.02.26-186.65</t>
  </si>
  <si>
    <t>https://app.twizzit.com/public/photos/2182586/s/3c061ecaa7eb60b4e8b27f2490fa3fff24778b0c.png</t>
  </si>
  <si>
    <t>Darragas</t>
  </si>
  <si>
    <t>Ben_darragas@hotmail.com</t>
  </si>
  <si>
    <t>Dawyndt</t>
  </si>
  <si>
    <t>Pip</t>
  </si>
  <si>
    <t>10/08/2012</t>
  </si>
  <si>
    <t>Oudenaardseweg</t>
  </si>
  <si>
    <t>0473746819</t>
  </si>
  <si>
    <t>12.08.10-138.93</t>
  </si>
  <si>
    <t>0496273638</t>
  </si>
  <si>
    <t>Cel evenementen (Lid cel)</t>
  </si>
  <si>
    <t>De Baere</t>
  </si>
  <si>
    <t>Louis</t>
  </si>
  <si>
    <t>18/09/2001</t>
  </si>
  <si>
    <t>Grote Herreweg</t>
  </si>
  <si>
    <t>0491029558</t>
  </si>
  <si>
    <t>01.09.18-189.63</t>
  </si>
  <si>
    <t>De Block</t>
  </si>
  <si>
    <t>Nadine</t>
  </si>
  <si>
    <t>28/05/1955</t>
  </si>
  <si>
    <t>Riethof</t>
  </si>
  <si>
    <t>De Boe</t>
  </si>
  <si>
    <t>Marieke</t>
  </si>
  <si>
    <t>Boekelbaan</t>
  </si>
  <si>
    <t>mariekedeboe@gmail.com</t>
  </si>
  <si>
    <t>De Bosschere</t>
  </si>
  <si>
    <t>Ria</t>
  </si>
  <si>
    <t>25/03/1976</t>
  </si>
  <si>
    <t>Zonnestraat</t>
  </si>
  <si>
    <t>76.03.25-200.85</t>
  </si>
  <si>
    <t>De Brabander</t>
  </si>
  <si>
    <t>16/05/1979</t>
  </si>
  <si>
    <t>117A</t>
  </si>
  <si>
    <t>de.brabander.david@telenet.be</t>
  </si>
  <si>
    <t>0478251758</t>
  </si>
  <si>
    <t>79.05.16-013.37</t>
  </si>
  <si>
    <t>https://app.twizzit.com/public/photos/4024795/s/7af12ff114d5d53515b4f220ddc6cdb6ff121519.png</t>
  </si>
  <si>
    <t>Sportieve cel (Lid cel)</t>
  </si>
  <si>
    <t>Algemeen bestuur (Bestuurslid)</t>
  </si>
  <si>
    <t>Milan</t>
  </si>
  <si>
    <t>14/05/2009</t>
  </si>
  <si>
    <t>A</t>
  </si>
  <si>
    <t>Dorinne.reynen@gmail.com</t>
  </si>
  <si>
    <t>0473865789</t>
  </si>
  <si>
    <t>0468348603</t>
  </si>
  <si>
    <t>09.05.14-147.74</t>
  </si>
  <si>
    <t>https://app.twizzit.com/public/photos/3519915/s/cb4bbdba90c700302dcd9548901e284ce021df92.jpeg</t>
  </si>
  <si>
    <t>De Cauwer</t>
  </si>
  <si>
    <t>Norah</t>
  </si>
  <si>
    <t>27/08/2018</t>
  </si>
  <si>
    <t>Blote</t>
  </si>
  <si>
    <t>thomasdecauwer@msn.com</t>
  </si>
  <si>
    <t>00499380833</t>
  </si>
  <si>
    <t xml:space="preserve">De Clercq </t>
  </si>
  <si>
    <t>Camiel</t>
  </si>
  <si>
    <t>08/05/2003</t>
  </si>
  <si>
    <t>00499129081</t>
  </si>
  <si>
    <t>De Clercq</t>
  </si>
  <si>
    <t>Lieven</t>
  </si>
  <si>
    <t>10/02/1986</t>
  </si>
  <si>
    <t>Broeke</t>
  </si>
  <si>
    <t>86.02.10-127.35</t>
  </si>
  <si>
    <t>19/09/1988</t>
  </si>
  <si>
    <t>0495786491</t>
  </si>
  <si>
    <t>88.09.19-137.40</t>
  </si>
  <si>
    <t>Robbe</t>
  </si>
  <si>
    <t>14/09/1999</t>
  </si>
  <si>
    <t>Ronseweg</t>
  </si>
  <si>
    <t>99.09.14-317.47</t>
  </si>
  <si>
    <t>Tybe</t>
  </si>
  <si>
    <t>07/06/2019</t>
  </si>
  <si>
    <t>freyadesmet@hotmail.com</t>
  </si>
  <si>
    <t>0476214551</t>
  </si>
  <si>
    <t>G08 Blauw HAANTJES CERTIFISC OUDENAARDE</t>
  </si>
  <si>
    <t>Wim</t>
  </si>
  <si>
    <t>17/08/1964</t>
  </si>
  <si>
    <t>Gaspar Heuvickstraat</t>
  </si>
  <si>
    <t>0475797952</t>
  </si>
  <si>
    <t>64.08.17-233.75</t>
  </si>
  <si>
    <t>Algemeen bestuur (Penningmeester)</t>
  </si>
  <si>
    <t>Cel cafetaria (Lid cel)</t>
  </si>
  <si>
    <t>De Coen</t>
  </si>
  <si>
    <t>Maure</t>
  </si>
  <si>
    <t>21/11/2011</t>
  </si>
  <si>
    <t>Wielewaalstraat</t>
  </si>
  <si>
    <t>Achimdecoen@hotmail.com</t>
  </si>
  <si>
    <t>0473760932</t>
  </si>
  <si>
    <t>De Coker</t>
  </si>
  <si>
    <t>Mike</t>
  </si>
  <si>
    <t>14/04/1999</t>
  </si>
  <si>
    <t>Georges Lobertstraat</t>
  </si>
  <si>
    <t>99.04.14-301.28</t>
  </si>
  <si>
    <t>De Coninck</t>
  </si>
  <si>
    <t>Billie</t>
  </si>
  <si>
    <t>12/09/2018</t>
  </si>
  <si>
    <t>Aulnoit</t>
  </si>
  <si>
    <t>kinoo.astrid@hotmail.com</t>
  </si>
  <si>
    <t>0489941519</t>
  </si>
  <si>
    <t>Minne</t>
  </si>
  <si>
    <t>03/08/2016</t>
  </si>
  <si>
    <t>Kapelleberg</t>
  </si>
  <si>
    <t>joosdeconinck@hotmail.com</t>
  </si>
  <si>
    <t>0475398321</t>
  </si>
  <si>
    <t>0479602944</t>
  </si>
  <si>
    <t>16.08.03-306.25</t>
  </si>
  <si>
    <t>De Coussemaker</t>
  </si>
  <si>
    <t>Len</t>
  </si>
  <si>
    <t>12/06/2012</t>
  </si>
  <si>
    <t>Vaddenhoek</t>
  </si>
  <si>
    <t>kristien.vdv@telenet.be</t>
  </si>
  <si>
    <t>12.06.12-447.01</t>
  </si>
  <si>
    <t>https://app.twizzit.com/public/photos/2182636/s/ac8133dfa6021f95e4cb86240c3d9e68218f8a83.png</t>
  </si>
  <si>
    <t>Niels</t>
  </si>
  <si>
    <t>01/06/2010</t>
  </si>
  <si>
    <t>kristien@coussies.be</t>
  </si>
  <si>
    <t>10.06.01-249.02</t>
  </si>
  <si>
    <t>https://app.twizzit.com/public/photos/2182641/s/bc2ed87ccb6bf61129b3522eabde4c5cff856719.png</t>
  </si>
  <si>
    <t>De Groote Hoebeke</t>
  </si>
  <si>
    <t>Cécile</t>
  </si>
  <si>
    <t>18/05/2021</t>
  </si>
  <si>
    <t>Aalststraat</t>
  </si>
  <si>
    <t>hoebekehanne@gmail.com</t>
  </si>
  <si>
    <t>0473630733</t>
  </si>
  <si>
    <t>0499144754</t>
  </si>
  <si>
    <t>Madelein</t>
  </si>
  <si>
    <t>19/04/2019</t>
  </si>
  <si>
    <t>https://app.twizzit.com/public/photos/7992432/s/9093b3c321ebca1981daea541211e5a7f8dcd3e7.png</t>
  </si>
  <si>
    <t>De Keukeleire</t>
  </si>
  <si>
    <t>Mary-Lou</t>
  </si>
  <si>
    <t>10/07/2015</t>
  </si>
  <si>
    <t>Maalderijstraat</t>
  </si>
  <si>
    <t>0498363470</t>
  </si>
  <si>
    <t>15.07.10-026.67</t>
  </si>
  <si>
    <t>https://app.twizzit.com/public/photos/7663442/s/a1e4c1d99d71fda9ac80bca383a3ddb377005195.png</t>
  </si>
  <si>
    <t>De Keyser</t>
  </si>
  <si>
    <t>Jan</t>
  </si>
  <si>
    <t>13/02/1990</t>
  </si>
  <si>
    <t>Vlaanderenstraat</t>
  </si>
  <si>
    <t>90.02.13-365.82</t>
  </si>
  <si>
    <t>De Keyzer</t>
  </si>
  <si>
    <t>11/03/1999</t>
  </si>
  <si>
    <t>Donderij</t>
  </si>
  <si>
    <t>maritadeclercq@gmail.com</t>
  </si>
  <si>
    <t>de la Rivière</t>
  </si>
  <si>
    <t>Gaëlle</t>
  </si>
  <si>
    <t>21/03/2016</t>
  </si>
  <si>
    <t>Jules Bordetlaan</t>
  </si>
  <si>
    <t>dlrgeoffrey@gmail.com</t>
  </si>
  <si>
    <t>0494172499</t>
  </si>
  <si>
    <t>0494773553</t>
  </si>
  <si>
    <t>Geoffrey</t>
  </si>
  <si>
    <t>De Leersnyder</t>
  </si>
  <si>
    <t>24/12/2021</t>
  </si>
  <si>
    <t>Parkstraat</t>
  </si>
  <si>
    <t>joke.toye@gmail.com</t>
  </si>
  <si>
    <t>0475403946</t>
  </si>
  <si>
    <t>De Lepeleire</t>
  </si>
  <si>
    <t>21/04/1990</t>
  </si>
  <si>
    <t>De Ronde</t>
  </si>
  <si>
    <t>90.04.21-127.94</t>
  </si>
  <si>
    <t>HSE A Haantjes Certifisc Oudenaarde</t>
  </si>
  <si>
    <t>G12 Geel HAANTJES CERTIFISC OUDENAARDE</t>
  </si>
  <si>
    <t>De Maertelaere</t>
  </si>
  <si>
    <t>12/07/2014</t>
  </si>
  <si>
    <t>Pater Ruyffelaertstraat</t>
  </si>
  <si>
    <t>Nico.demaertelaere@live.be</t>
  </si>
  <si>
    <t>valerie_glorieux@hotmail.com</t>
  </si>
  <si>
    <t>14.07.12-003.09</t>
  </si>
  <si>
    <t>https://app.twizzit.com/public/photos/2650646/s/56772b58320eb18076cfee29ed253bb014e8ad21.png</t>
  </si>
  <si>
    <t>De Meyer</t>
  </si>
  <si>
    <t>Siebe</t>
  </si>
  <si>
    <t>15/01/2002</t>
  </si>
  <si>
    <t>02.01.15-153.57</t>
  </si>
  <si>
    <t>De Munter</t>
  </si>
  <si>
    <t>Jacques</t>
  </si>
  <si>
    <t>21/01/1965</t>
  </si>
  <si>
    <t>Martijn van Torhoutstraat</t>
  </si>
  <si>
    <t>65.01.21-303.51</t>
  </si>
  <si>
    <t>Noach</t>
  </si>
  <si>
    <t>16/02/2007</t>
  </si>
  <si>
    <t>Martijn Van Torhoutstraat</t>
  </si>
  <si>
    <t>07.02.16-145.50</t>
  </si>
  <si>
    <t>De Ruyck</t>
  </si>
  <si>
    <t>Chloë</t>
  </si>
  <si>
    <t>13/05/1991</t>
  </si>
  <si>
    <t>Kapellestraat</t>
  </si>
  <si>
    <t>91.05.13-342.50</t>
  </si>
  <si>
    <t>De Ruysscher</t>
  </si>
  <si>
    <t>Yari</t>
  </si>
  <si>
    <t>01/02/2009</t>
  </si>
  <si>
    <t>0475971559</t>
  </si>
  <si>
    <t>0468109025</t>
  </si>
  <si>
    <t>09.02.01-159.43</t>
  </si>
  <si>
    <t>De Ruyver</t>
  </si>
  <si>
    <t>Inge</t>
  </si>
  <si>
    <t>Akkerstraat</t>
  </si>
  <si>
    <t>0478347087</t>
  </si>
  <si>
    <t>https://app.twizzit.com/public/photos/4358429/s/d79ff54bc507bc51b7a66ca27491ef8c288b7c7d.png</t>
  </si>
  <si>
    <t>Tessa</t>
  </si>
  <si>
    <t>22/08/1982</t>
  </si>
  <si>
    <t>Wolvenberg</t>
  </si>
  <si>
    <t>0478936135</t>
  </si>
  <si>
    <t>De Rycke</t>
  </si>
  <si>
    <t>Lobke</t>
  </si>
  <si>
    <t>08/01/2012</t>
  </si>
  <si>
    <t>0497511954</t>
  </si>
  <si>
    <t>0485629650</t>
  </si>
  <si>
    <t>12.01.08-042.06</t>
  </si>
  <si>
    <t>https://app.twizzit.com/public/photos/3361769/s/b867d38024248d08e5578b9874af52a32c38205b.png</t>
  </si>
  <si>
    <t>De Saedeleer</t>
  </si>
  <si>
    <t>Cléo</t>
  </si>
  <si>
    <t>13/08/2010</t>
  </si>
  <si>
    <t>Achterhoek</t>
  </si>
  <si>
    <t>10.08.13-142.54</t>
  </si>
  <si>
    <t>De Scheerder</t>
  </si>
  <si>
    <t>Naomi</t>
  </si>
  <si>
    <t>31/10/2014</t>
  </si>
  <si>
    <t>Eeststraat</t>
  </si>
  <si>
    <t>https://app.twizzit.com/public/photos/3434759/s/64625cb4a4a90ed188ec4a77f3e5a2582b82f71f.png</t>
  </si>
  <si>
    <t>De Smet</t>
  </si>
  <si>
    <t>Anneleen</t>
  </si>
  <si>
    <t>anneleendesmet1978@outlook.com</t>
  </si>
  <si>
    <t>Kimberley</t>
  </si>
  <si>
    <t>02/12/1990</t>
  </si>
  <si>
    <t>Graaf Van Landaststraat</t>
  </si>
  <si>
    <t>90.12.02-282.80</t>
  </si>
  <si>
    <t>https://app.twizzit.com/public/photos/2182696/s/b3404003062e85e1b45f5fca9b0565fe70029286.png</t>
  </si>
  <si>
    <t>Quint</t>
  </si>
  <si>
    <t>02/10/2003</t>
  </si>
  <si>
    <t>03.10.02-255.41</t>
  </si>
  <si>
    <t>Vikter-Troy</t>
  </si>
  <si>
    <t>08/10/2000</t>
  </si>
  <si>
    <t>Moerkensheide</t>
  </si>
  <si>
    <t>00.10.08-187.60</t>
  </si>
  <si>
    <t>De Sutter</t>
  </si>
  <si>
    <t>Felix</t>
  </si>
  <si>
    <t>16/11/2016</t>
  </si>
  <si>
    <t>vijverweide</t>
  </si>
  <si>
    <t>Buckensmarie1@gmail.com</t>
  </si>
  <si>
    <t>0478287091</t>
  </si>
  <si>
    <t>https://app.twizzit.com/public/photos/3440013/s/d39cee25f3de0f58fe5c6da0a709df7576ef784e.png</t>
  </si>
  <si>
    <t>Leander</t>
  </si>
  <si>
    <t>24/06/2008</t>
  </si>
  <si>
    <t>08.06.24-279.16</t>
  </si>
  <si>
    <t>Matthias</t>
  </si>
  <si>
    <t>01/12/2008</t>
  </si>
  <si>
    <t>08.12.01-171.80</t>
  </si>
  <si>
    <t>De Taeye</t>
  </si>
  <si>
    <t>Ulrike</t>
  </si>
  <si>
    <t>09/09/1984</t>
  </si>
  <si>
    <t>84.09.09-138.61</t>
  </si>
  <si>
    <t>https://app.twizzit.com/public/photos/2182711/s/d2f671923bea94e6b46b55b94ee26f4649bac088.png</t>
  </si>
  <si>
    <t>Cel evenementen (Verantwoordelijke cel)</t>
  </si>
  <si>
    <t>De Vleeschauwer</t>
  </si>
  <si>
    <t>Tibo</t>
  </si>
  <si>
    <t>07/06/2017</t>
  </si>
  <si>
    <t>Nederholbeekstraat</t>
  </si>
  <si>
    <t>De vreese</t>
  </si>
  <si>
    <t>Camille</t>
  </si>
  <si>
    <t>31/01/2017</t>
  </si>
  <si>
    <t>Dammekensstraat</t>
  </si>
  <si>
    <t>0498651266</t>
  </si>
  <si>
    <t>17.01.31-246.90</t>
  </si>
  <si>
    <t>https://app.twizzit.com/public/photos/7284534/s/89166ad605bd29d54909fd3e80a34843f88650ec.png</t>
  </si>
  <si>
    <t>De Vreese</t>
  </si>
  <si>
    <t>Oliver</t>
  </si>
  <si>
    <t>11/04/2018</t>
  </si>
  <si>
    <t>Dijkstraat</t>
  </si>
  <si>
    <t>/</t>
  </si>
  <si>
    <t>De Vriese</t>
  </si>
  <si>
    <t>Mats</t>
  </si>
  <si>
    <t>25/02/2008</t>
  </si>
  <si>
    <t>0478239304</t>
  </si>
  <si>
    <t>De Waele</t>
  </si>
  <si>
    <t>Vital</t>
  </si>
  <si>
    <t>06/04/2010</t>
  </si>
  <si>
    <t>Anzegemsesteenweg</t>
  </si>
  <si>
    <t>eddy.de_waele@unilin.com</t>
  </si>
  <si>
    <t>De Weirt</t>
  </si>
  <si>
    <t>Cedric</t>
  </si>
  <si>
    <t>11/04/1992</t>
  </si>
  <si>
    <t>1A</t>
  </si>
  <si>
    <t>0472263674</t>
  </si>
  <si>
    <t>92.04.11-155.20</t>
  </si>
  <si>
    <t>https://app.twizzit.com/public/photos/4024808/s/36237781b3b5fa7c3ba1974edd454e9639c65aac.png</t>
  </si>
  <si>
    <t>De Windt</t>
  </si>
  <si>
    <t>Emile-Louis</t>
  </si>
  <si>
    <t>30/01/2009</t>
  </si>
  <si>
    <t>Vlaamse Ardennenstraat</t>
  </si>
  <si>
    <t>dwingrey@gmail.com</t>
  </si>
  <si>
    <t>0485843240</t>
  </si>
  <si>
    <t>0472618027</t>
  </si>
  <si>
    <t>https://app.twizzit.com/public/photos/3463928/s/65ba284a6aa8f67e5b08f396e397206e4afd6e82.png</t>
  </si>
  <si>
    <t>De Zitter</t>
  </si>
  <si>
    <t>Elli</t>
  </si>
  <si>
    <t>15/01/2019</t>
  </si>
  <si>
    <t>de.zitter.steve@gmail.com</t>
  </si>
  <si>
    <t>0473423222</t>
  </si>
  <si>
    <t>0473544531</t>
  </si>
  <si>
    <t>Limme</t>
  </si>
  <si>
    <t>28/10/2014</t>
  </si>
  <si>
    <t>Debels</t>
  </si>
  <si>
    <t>Davie</t>
  </si>
  <si>
    <t>0495279874</t>
  </si>
  <si>
    <t>06/07/2017</t>
  </si>
  <si>
    <t>Fonteineweg</t>
  </si>
  <si>
    <t>0476521616</t>
  </si>
  <si>
    <t>17.07.06-395.54</t>
  </si>
  <si>
    <t>https://app.twizzit.com/public/photos/7307064/s/62a20fb436e1f6920a77ad9e4cd715a7e88bd1d1.png</t>
  </si>
  <si>
    <t>Debisschop</t>
  </si>
  <si>
    <t>07/06/2014</t>
  </si>
  <si>
    <t>Kabienstraat</t>
  </si>
  <si>
    <t>0486445874</t>
  </si>
  <si>
    <t>Debouverie</t>
  </si>
  <si>
    <t>Ryan</t>
  </si>
  <si>
    <t>19/01/1994</t>
  </si>
  <si>
    <t>debouverieryan@gmail.com</t>
  </si>
  <si>
    <t>94.01.19-167.80</t>
  </si>
  <si>
    <t>Seb</t>
  </si>
  <si>
    <t>06/09/2018</t>
  </si>
  <si>
    <t>https://app.twizzit.com/public/photos/3470113/s/d4f4d56826c6eb1d41480a49a2f8240682b337d2.png</t>
  </si>
  <si>
    <t>Tille</t>
  </si>
  <si>
    <t>13/08/2021</t>
  </si>
  <si>
    <t>https://app.twizzit.com/public/photos/10452578/s/292aacecec7d92bf38572d240646cc8a5ea5dc01.png</t>
  </si>
  <si>
    <t>Debrabandere</t>
  </si>
  <si>
    <t>Alexander</t>
  </si>
  <si>
    <t>22/11/2020</t>
  </si>
  <si>
    <t>Den Osse</t>
  </si>
  <si>
    <t>wouterdebrabandere@hotmail.com</t>
  </si>
  <si>
    <t>0477290811</t>
  </si>
  <si>
    <t>0479632757</t>
  </si>
  <si>
    <t>https://app.twizzit.com/public/photos/9358687/s/39dec95c934b8449accefe9b14858af58d6c820f.png</t>
  </si>
  <si>
    <t>Debruyne</t>
  </si>
  <si>
    <t>Quentin</t>
  </si>
  <si>
    <t>30/01/2004</t>
  </si>
  <si>
    <t>0471753995</t>
  </si>
  <si>
    <t>Declercq</t>
  </si>
  <si>
    <t>Henri</t>
  </si>
  <si>
    <t>25/04/1995</t>
  </si>
  <si>
    <t>Decock</t>
  </si>
  <si>
    <t>Rami</t>
  </si>
  <si>
    <t>16/11/2021</t>
  </si>
  <si>
    <t>Rotterij</t>
  </si>
  <si>
    <t>decock.anthony07@gmail.com</t>
  </si>
  <si>
    <t>049819525</t>
  </si>
  <si>
    <t>Suze</t>
  </si>
  <si>
    <t>11/04/2020</t>
  </si>
  <si>
    <t>Vogelkersstraat</t>
  </si>
  <si>
    <t>andries.decock@gmail.com</t>
  </si>
  <si>
    <t>0495721285</t>
  </si>
  <si>
    <t>20.04.11-144.03</t>
  </si>
  <si>
    <t>Decroix</t>
  </si>
  <si>
    <t>Dieuwke</t>
  </si>
  <si>
    <t>30/04/2010</t>
  </si>
  <si>
    <t>Heurnestraat</t>
  </si>
  <si>
    <t>decroix.willem@gmail.com</t>
  </si>
  <si>
    <t>Jan.foucart@telenet.be</t>
  </si>
  <si>
    <t>0483596928</t>
  </si>
  <si>
    <t>Defever</t>
  </si>
  <si>
    <t>Wouter</t>
  </si>
  <si>
    <t>26/06/1969</t>
  </si>
  <si>
    <t>Nestor De Tièrestraat</t>
  </si>
  <si>
    <t>0470102338</t>
  </si>
  <si>
    <t>69.06.26-277.46</t>
  </si>
  <si>
    <t>Defraigne</t>
  </si>
  <si>
    <t>Maxime</t>
  </si>
  <si>
    <t>24/02/1999</t>
  </si>
  <si>
    <t>Molendreef</t>
  </si>
  <si>
    <t>99.02.24-269.37</t>
  </si>
  <si>
    <t>Degroote</t>
  </si>
  <si>
    <t>Jente</t>
  </si>
  <si>
    <t>Kanunnikenstraat</t>
  </si>
  <si>
    <t>Jilke</t>
  </si>
  <si>
    <t>12/12/2012</t>
  </si>
  <si>
    <t>08/07/2011</t>
  </si>
  <si>
    <t>Kastanjeplein</t>
  </si>
  <si>
    <t>lien_baert@hotmail.be</t>
  </si>
  <si>
    <t>28/01/1978</t>
  </si>
  <si>
    <t>Dekkar</t>
  </si>
  <si>
    <t>07/01/2013</t>
  </si>
  <si>
    <t>Fietelstraat</t>
  </si>
  <si>
    <t>hakim.dekkar@icloud.com</t>
  </si>
  <si>
    <t>13.01.07-157.39</t>
  </si>
  <si>
    <t>https://app.twizzit.com/public/photos/3451601/s/35fd5f537189934e8013cbeb18029ae3e97fcdcc.jpeg</t>
  </si>
  <si>
    <t>Dekorte</t>
  </si>
  <si>
    <t>Ann</t>
  </si>
  <si>
    <t>05/05/1979</t>
  </si>
  <si>
    <t>Kortekeer</t>
  </si>
  <si>
    <t>Delbaere</t>
  </si>
  <si>
    <t>Jakob</t>
  </si>
  <si>
    <t>20/04/2021</t>
  </si>
  <si>
    <t>Leegstraat</t>
  </si>
  <si>
    <t>0474233989</t>
  </si>
  <si>
    <t>Delcoigne</t>
  </si>
  <si>
    <t>Elias</t>
  </si>
  <si>
    <t>Stijn Streuvelstraat</t>
  </si>
  <si>
    <t>Michael.delcoigne@bernardusscholen.be</t>
  </si>
  <si>
    <t>0472527437</t>
  </si>
  <si>
    <t>0479474727</t>
  </si>
  <si>
    <t>https://app.twizzit.com/public/photos/2650658/s/473b38a30fa520bc6241ccd50a4cd1d0948d70a8.png</t>
  </si>
  <si>
    <t>Michaël</t>
  </si>
  <si>
    <t>12/07/1983</t>
  </si>
  <si>
    <t>83.07.12-011.63</t>
  </si>
  <si>
    <t>Delcroix</t>
  </si>
  <si>
    <t>Mathias</t>
  </si>
  <si>
    <t>23/05/2016</t>
  </si>
  <si>
    <t>Martijn van torhoutstraat</t>
  </si>
  <si>
    <t>Delcroix.dieter@hotmail.com</t>
  </si>
  <si>
    <t>0487106040</t>
  </si>
  <si>
    <t>Delmote</t>
  </si>
  <si>
    <t>05/01/2017</t>
  </si>
  <si>
    <t>Petegemplein</t>
  </si>
  <si>
    <t>Delouvroy</t>
  </si>
  <si>
    <t>Frederic</t>
  </si>
  <si>
    <t>30/12/1988</t>
  </si>
  <si>
    <t>Mijttestraat</t>
  </si>
  <si>
    <t>88.12.30-195.61</t>
  </si>
  <si>
    <t>Demesure</t>
  </si>
  <si>
    <t>Ibe</t>
  </si>
  <si>
    <t>04/01/2007</t>
  </si>
  <si>
    <t>Tumulus</t>
  </si>
  <si>
    <t>https://app.twizzit.com/public/photos/2670015/s/f1e98f51378ab75737aecc5cbf700ec759f2fc89.png</t>
  </si>
  <si>
    <t>Demets</t>
  </si>
  <si>
    <t>Lora</t>
  </si>
  <si>
    <t>07/12/2011</t>
  </si>
  <si>
    <t>Onderwaarde</t>
  </si>
  <si>
    <t>Lowie.demets@telenet.be</t>
  </si>
  <si>
    <t>0474450168</t>
  </si>
  <si>
    <t>0477382736</t>
  </si>
  <si>
    <t>11.12.07-328.97</t>
  </si>
  <si>
    <t>Lore</t>
  </si>
  <si>
    <t>14/07/2007</t>
  </si>
  <si>
    <t>0497388351</t>
  </si>
  <si>
    <t>Lotte</t>
  </si>
  <si>
    <t>Omer</t>
  </si>
  <si>
    <t>23/10/2015</t>
  </si>
  <si>
    <t>Demeulemeester</t>
  </si>
  <si>
    <t>Sabine</t>
  </si>
  <si>
    <t>02/02/1981</t>
  </si>
  <si>
    <t>81.02.02-134.66</t>
  </si>
  <si>
    <t>Demuynck</t>
  </si>
  <si>
    <t>Ian</t>
  </si>
  <si>
    <t>19/02/2009</t>
  </si>
  <si>
    <t>0499758598</t>
  </si>
  <si>
    <t>0499758594</t>
  </si>
  <si>
    <t>09.02.19-293.48</t>
  </si>
  <si>
    <t>Dequeecker</t>
  </si>
  <si>
    <t>Guus</t>
  </si>
  <si>
    <t>20/04/2007</t>
  </si>
  <si>
    <t>Dorre Wei</t>
  </si>
  <si>
    <t>sven.dequeecker@scarlet.be</t>
  </si>
  <si>
    <t>Sven</t>
  </si>
  <si>
    <t>06/06/1980</t>
  </si>
  <si>
    <t>80.06.06-439.36</t>
  </si>
  <si>
    <t>Deraedt</t>
  </si>
  <si>
    <t>Renée</t>
  </si>
  <si>
    <t>03/11/2018</t>
  </si>
  <si>
    <t>Ooikeplein</t>
  </si>
  <si>
    <t>https://app.twizzit.com/public/photos/7328300/s/7e2d6dfb7100b0ca8feb8f22a68ce2009271348a.png</t>
  </si>
  <si>
    <t>Derous</t>
  </si>
  <si>
    <t>22/08/2001</t>
  </si>
  <si>
    <t>Rode Beukendreef</t>
  </si>
  <si>
    <t>0468258571</t>
  </si>
  <si>
    <t>01.08.22-063.62</t>
  </si>
  <si>
    <t>Derycke</t>
  </si>
  <si>
    <t>Vinke</t>
  </si>
  <si>
    <t>27/12/2016</t>
  </si>
  <si>
    <t>Weistraat</t>
  </si>
  <si>
    <t>stevenderycke244@gmail.com</t>
  </si>
  <si>
    <t>BE62736030399561</t>
  </si>
  <si>
    <t>16.12.27-033.91</t>
  </si>
  <si>
    <t>Desmet</t>
  </si>
  <si>
    <t>16/05/1991</t>
  </si>
  <si>
    <t>Kruishoutemstraat</t>
  </si>
  <si>
    <t>91.05.16-437.59</t>
  </si>
  <si>
    <t>Ode</t>
  </si>
  <si>
    <t>23/03/2014</t>
  </si>
  <si>
    <t>Stooktstraat</t>
  </si>
  <si>
    <t>freyamalfait@icloud.com</t>
  </si>
  <si>
    <t>0472832063</t>
  </si>
  <si>
    <t>0485591517</t>
  </si>
  <si>
    <t>BE3114304455</t>
  </si>
  <si>
    <t>14.03.23-068.71</t>
  </si>
  <si>
    <t>https://app.twizzit.com/public/photos/2650916/s/be89217f1fc3b11d85c4b13abcca39bae64798e5.png</t>
  </si>
  <si>
    <t>Despriet</t>
  </si>
  <si>
    <t>Matheo</t>
  </si>
  <si>
    <t>01/07/2009</t>
  </si>
  <si>
    <t>Rue Croix-ou-Pile(SS)</t>
  </si>
  <si>
    <t>Matheo.despriet@gmail.com</t>
  </si>
  <si>
    <t>09.07.01-313.21</t>
  </si>
  <si>
    <t>16/11/2011</t>
  </si>
  <si>
    <t>Tibo.despriet@gmail.com</t>
  </si>
  <si>
    <t>11.11.16-405.34</t>
  </si>
  <si>
    <t>https://app.twizzit.com/public/photos/3884890/s/99828396af5826db82003655528894a4f299045f.jpeg</t>
  </si>
  <si>
    <t>Destickere</t>
  </si>
  <si>
    <t>Julie</t>
  </si>
  <si>
    <t>13/06/2007</t>
  </si>
  <si>
    <t>Kasteelstraat</t>
  </si>
  <si>
    <t>stefaan@immoboss.be</t>
  </si>
  <si>
    <t>Detavernier</t>
  </si>
  <si>
    <t>10/07/2012</t>
  </si>
  <si>
    <t>Kareldetavernier@hotmail.com</t>
  </si>
  <si>
    <t>0498633133</t>
  </si>
  <si>
    <t>12.07.10-089.38</t>
  </si>
  <si>
    <t>https://app.twizzit.com/public/photos/7212696/s/e7c3461b90a1ac60a7f21e048de55152ece732aa.png</t>
  </si>
  <si>
    <t>Devos</t>
  </si>
  <si>
    <t>Alexis</t>
  </si>
  <si>
    <t>01/09/2013</t>
  </si>
  <si>
    <t>Zwalmbeekweg</t>
  </si>
  <si>
    <t>0495886987</t>
  </si>
  <si>
    <t>13.09.01-181.57</t>
  </si>
  <si>
    <t>https://app.twizzit.com/public/photos/6106676/s/2ae43246aa8142b23f5743a7efbb9e280e512170.png</t>
  </si>
  <si>
    <t>Dewaele</t>
  </si>
  <si>
    <t>Emmanuelle</t>
  </si>
  <si>
    <t>09/02/2016</t>
  </si>
  <si>
    <t>0498070140</t>
  </si>
  <si>
    <t>16.02.09-326.74</t>
  </si>
  <si>
    <t>22/04/2009</t>
  </si>
  <si>
    <t>Lindendreef</t>
  </si>
  <si>
    <t>08/03/2014</t>
  </si>
  <si>
    <t>Hongerije</t>
  </si>
  <si>
    <t>0472984375</t>
  </si>
  <si>
    <t>Nathan</t>
  </si>
  <si>
    <t>03/09/2012</t>
  </si>
  <si>
    <t>wesleydewaele@yahoo.co.uk</t>
  </si>
  <si>
    <t>https://app.twizzit.com/public/photos/2182816/s/c00a73a61de05b1991d5eac8f8ad498e97a90e40.png</t>
  </si>
  <si>
    <t>Wesley</t>
  </si>
  <si>
    <t>10/12/1977</t>
  </si>
  <si>
    <t>0470540240</t>
  </si>
  <si>
    <t>77.12.10-005.38</t>
  </si>
  <si>
    <t>Deweerdt</t>
  </si>
  <si>
    <t>Dora</t>
  </si>
  <si>
    <t>12/07/2010</t>
  </si>
  <si>
    <t>Kouteren</t>
  </si>
  <si>
    <t>Dewilde</t>
  </si>
  <si>
    <t>12/10/2014</t>
  </si>
  <si>
    <t>niekdewilde@hotmail.be</t>
  </si>
  <si>
    <t>0472914166</t>
  </si>
  <si>
    <t>0474562569</t>
  </si>
  <si>
    <t>Dewolf</t>
  </si>
  <si>
    <t>Paula</t>
  </si>
  <si>
    <t>13/11/2012</t>
  </si>
  <si>
    <t>kelly.wood@hotmail.be</t>
  </si>
  <si>
    <t>0478720771</t>
  </si>
  <si>
    <t>Dewulf</t>
  </si>
  <si>
    <t>Lowie</t>
  </si>
  <si>
    <t>15/05/2012</t>
  </si>
  <si>
    <t>0474743487</t>
  </si>
  <si>
    <t>Dhaenens</t>
  </si>
  <si>
    <t>Alies</t>
  </si>
  <si>
    <t>06/03/2018</t>
  </si>
  <si>
    <t>eline.huysman@gmail.com</t>
  </si>
  <si>
    <t>0474684572</t>
  </si>
  <si>
    <t>Dhont</t>
  </si>
  <si>
    <t>Jarno</t>
  </si>
  <si>
    <t>16/12/2005</t>
  </si>
  <si>
    <t>jarno.mathis@gmail.com</t>
  </si>
  <si>
    <t>dhont.lieven1@gmail.com</t>
  </si>
  <si>
    <t>Jarno.dhont@gmail.com</t>
  </si>
  <si>
    <t>05.12.16-015.14</t>
  </si>
  <si>
    <t>Kenneth</t>
  </si>
  <si>
    <t>02/06/1980</t>
  </si>
  <si>
    <t>0477485789</t>
  </si>
  <si>
    <t>BE59 9792 4333 6326</t>
  </si>
  <si>
    <t>80.06.02-131.76</t>
  </si>
  <si>
    <t>13/01/1962</t>
  </si>
  <si>
    <t>05.12.16-017.12</t>
  </si>
  <si>
    <t>Dhont Gallant</t>
  </si>
  <si>
    <t>Guillaume</t>
  </si>
  <si>
    <t>28/04/2015</t>
  </si>
  <si>
    <t>477485 789</t>
  </si>
  <si>
    <t>15.04.28-133.78</t>
  </si>
  <si>
    <t>Diciu</t>
  </si>
  <si>
    <t>Stefan</t>
  </si>
  <si>
    <t>02/08/2013</t>
  </si>
  <si>
    <t>https://app.twizzit.com/public/photos/2650816/s/599e8735dd592b996d4eda81212c870f2e83f50b.png</t>
  </si>
  <si>
    <t>Dick</t>
  </si>
  <si>
    <t>Marco</t>
  </si>
  <si>
    <t>25/04/1999</t>
  </si>
  <si>
    <t>Beekstraat</t>
  </si>
  <si>
    <t>99.04.25-323.64</t>
  </si>
  <si>
    <t>Diederick</t>
  </si>
  <si>
    <t>Molly</t>
  </si>
  <si>
    <t>16/08/1987</t>
  </si>
  <si>
    <t>St. Martinusstraat</t>
  </si>
  <si>
    <t>87.08.16-145.94</t>
  </si>
  <si>
    <t>Diependaele</t>
  </si>
  <si>
    <t>Pieter</t>
  </si>
  <si>
    <t>07/03/2006</t>
  </si>
  <si>
    <t>coachpieter.basket@gmail.com</t>
  </si>
  <si>
    <t>06.03.07-161.96</t>
  </si>
  <si>
    <t>https://app.twizzit.com/public/photos/3239965/s/944ad53074c1441abd98efedc98fef813d2f093f.png</t>
  </si>
  <si>
    <t>Dione</t>
  </si>
  <si>
    <t>Kessy</t>
  </si>
  <si>
    <t>24/10/2010</t>
  </si>
  <si>
    <t>General Merlhierstraat</t>
  </si>
  <si>
    <t>Donev</t>
  </si>
  <si>
    <t>Laurens</t>
  </si>
  <si>
    <t>31/12/1998</t>
  </si>
  <si>
    <t>Krekelstraat</t>
  </si>
  <si>
    <t>98.12.31-247.92</t>
  </si>
  <si>
    <t>Doom</t>
  </si>
  <si>
    <t>Stella</t>
  </si>
  <si>
    <t>05/03/2012</t>
  </si>
  <si>
    <t>Louise-mariestraat</t>
  </si>
  <si>
    <t>0474339019</t>
  </si>
  <si>
    <t>12.03.05-122.30</t>
  </si>
  <si>
    <t>https://app.twizzit.com/public/photos/2934216/s/45c04c91f177e5e2573823a0565e40b71992ab87.png</t>
  </si>
  <si>
    <t>Doublet</t>
  </si>
  <si>
    <t>Cérile</t>
  </si>
  <si>
    <t>20/03/2021</t>
  </si>
  <si>
    <t>Rue Crimont</t>
  </si>
  <si>
    <t>36C</t>
  </si>
  <si>
    <t>doubletbenoit@msn.com</t>
  </si>
  <si>
    <t>0472578222</t>
  </si>
  <si>
    <t>Romain</t>
  </si>
  <si>
    <t>19/09/2019</t>
  </si>
  <si>
    <t>00472578222</t>
  </si>
  <si>
    <t>https://app.twizzit.com/public/photos/7664262/s/02fc4b8f066baecdefdf5af95e2fcf6d6b1f0215.jpeg</t>
  </si>
  <si>
    <t>Dujardin</t>
  </si>
  <si>
    <t>Dieter</t>
  </si>
  <si>
    <t>03/06/1998</t>
  </si>
  <si>
    <t>Duisbeke</t>
  </si>
  <si>
    <t>98.06.03-169.95</t>
  </si>
  <si>
    <t>Dull</t>
  </si>
  <si>
    <t>Emmanuel</t>
  </si>
  <si>
    <t>04/01/2012</t>
  </si>
  <si>
    <t>0472172783</t>
  </si>
  <si>
    <t>Dupont</t>
  </si>
  <si>
    <t>Craig</t>
  </si>
  <si>
    <t>20/10/1998</t>
  </si>
  <si>
    <t>98.10.20-505.53</t>
  </si>
  <si>
    <t>04/03/2020</t>
  </si>
  <si>
    <t>Hogerlucht</t>
  </si>
  <si>
    <t>sarah.verhellen@hotmail.com</t>
  </si>
  <si>
    <t>0470112368</t>
  </si>
  <si>
    <t>Duran</t>
  </si>
  <si>
    <t>21/01/2008</t>
  </si>
  <si>
    <t>0477784746</t>
  </si>
  <si>
    <t>Durhan</t>
  </si>
  <si>
    <t>Egemen</t>
  </si>
  <si>
    <t>29/05/2018</t>
  </si>
  <si>
    <t>Sompelstraat</t>
  </si>
  <si>
    <t>ibosabrie06@gmail.com</t>
  </si>
  <si>
    <t>0491630885</t>
  </si>
  <si>
    <t>18.05.29-031.26</t>
  </si>
  <si>
    <t>https://app.twizzit.com/public/photos/5748750/s/6a03612f72e189fb2a542ac535552aede78aad3f.png</t>
  </si>
  <si>
    <t>Duyck</t>
  </si>
  <si>
    <t>Stijn</t>
  </si>
  <si>
    <t>18/03/1990</t>
  </si>
  <si>
    <t>Graaf Van Landastraat</t>
  </si>
  <si>
    <t>90.03.18-199.08</t>
  </si>
  <si>
    <t>El Hajli</t>
  </si>
  <si>
    <t>Rayan</t>
  </si>
  <si>
    <t>22/06/2017</t>
  </si>
  <si>
    <t>17.06.22-167.86</t>
  </si>
  <si>
    <t>El Malt</t>
  </si>
  <si>
    <t>Yassin</t>
  </si>
  <si>
    <t>31/12/2007</t>
  </si>
  <si>
    <t>Lieven Duvosellaan</t>
  </si>
  <si>
    <t>m.elmalt@europital.com</t>
  </si>
  <si>
    <t>elmaltyassin@gmail.com</t>
  </si>
  <si>
    <t>07.12.31-295.05</t>
  </si>
  <si>
    <t>El-Batouli</t>
  </si>
  <si>
    <t>Rawi</t>
  </si>
  <si>
    <t>06/09/2019</t>
  </si>
  <si>
    <t>Rue Albert Massez</t>
  </si>
  <si>
    <t>Elyn</t>
  </si>
  <si>
    <t>Cas</t>
  </si>
  <si>
    <t>11/12/2021</t>
  </si>
  <si>
    <t>Spoorweglaan</t>
  </si>
  <si>
    <t>lievemoyaert@icloud.com</t>
  </si>
  <si>
    <t>0495653737</t>
  </si>
  <si>
    <t>Charlotte</t>
  </si>
  <si>
    <t>26/08/1990</t>
  </si>
  <si>
    <t>90.08.26-198.95</t>
  </si>
  <si>
    <t>Jorunn</t>
  </si>
  <si>
    <t>31/07/2004</t>
  </si>
  <si>
    <t>Tuintjesstraat</t>
  </si>
  <si>
    <t>04.07.31-184.18</t>
  </si>
  <si>
    <t>Laurence</t>
  </si>
  <si>
    <t>21/02/1988</t>
  </si>
  <si>
    <t>Begoniaweg</t>
  </si>
  <si>
    <t>Manou</t>
  </si>
  <si>
    <t>22/10/2006</t>
  </si>
  <si>
    <t>06.10.22-036.14</t>
  </si>
  <si>
    <t>Miel</t>
  </si>
  <si>
    <t>24/03/2017</t>
  </si>
  <si>
    <t>Lievemoyaert@icloud.com</t>
  </si>
  <si>
    <t>Robin</t>
  </si>
  <si>
    <t>03/10/2019</t>
  </si>
  <si>
    <t>Engels</t>
  </si>
  <si>
    <t>Evi</t>
  </si>
  <si>
    <t>14/06/1989</t>
  </si>
  <si>
    <t>Hamstraat</t>
  </si>
  <si>
    <t>89.06.14-128.05</t>
  </si>
  <si>
    <t>Espeel</t>
  </si>
  <si>
    <t>15/09/2010</t>
  </si>
  <si>
    <t>Axelwalle</t>
  </si>
  <si>
    <t>leen.rebry@ugent.be</t>
  </si>
  <si>
    <t>jasper.espeel@gmail.com</t>
  </si>
  <si>
    <t>0496150874</t>
  </si>
  <si>
    <t>0485070328</t>
  </si>
  <si>
    <t>0486767319</t>
  </si>
  <si>
    <t>BE26445762397129</t>
  </si>
  <si>
    <t>10.09.15-133.10</t>
  </si>
  <si>
    <t>30/01/2013</t>
  </si>
  <si>
    <t>Essien</t>
  </si>
  <si>
    <t>Ukeme</t>
  </si>
  <si>
    <t>29/09/2003</t>
  </si>
  <si>
    <t>Zwijnaardsesteenweg</t>
  </si>
  <si>
    <t>00493339044</t>
  </si>
  <si>
    <t>03.09.29-199.56</t>
  </si>
  <si>
    <t>Ettijrini</t>
  </si>
  <si>
    <t>Fadila</t>
  </si>
  <si>
    <t>30/03/2017</t>
  </si>
  <si>
    <t>Pelikaanstraat</t>
  </si>
  <si>
    <t>0470221432</t>
  </si>
  <si>
    <t>Jamila</t>
  </si>
  <si>
    <t>04/08/2011</t>
  </si>
  <si>
    <t>Evrard</t>
  </si>
  <si>
    <t>Amélie</t>
  </si>
  <si>
    <t>09/07/2018</t>
  </si>
  <si>
    <t>Beertegemstraat</t>
  </si>
  <si>
    <t>evrard143@gmail.com</t>
  </si>
  <si>
    <t>00473223315</t>
  </si>
  <si>
    <t>00483001187</t>
  </si>
  <si>
    <t>Faelens</t>
  </si>
  <si>
    <t>Chloé</t>
  </si>
  <si>
    <t>11/12/2012</t>
  </si>
  <si>
    <t>0472960602</t>
  </si>
  <si>
    <t>https://app.twizzit.com/public/photos/4276094/s/88cd5d3554278fc03aae2c2a9989ae19589b1181.png</t>
  </si>
  <si>
    <t>Flamant</t>
  </si>
  <si>
    <t>Thibeau</t>
  </si>
  <si>
    <t>Spendelos</t>
  </si>
  <si>
    <t>Foret</t>
  </si>
  <si>
    <t>Matteo</t>
  </si>
  <si>
    <t>05/11/2005</t>
  </si>
  <si>
    <t>Nukerkestraat</t>
  </si>
  <si>
    <t>05.11.05-167.88</t>
  </si>
  <si>
    <t>Gallant</t>
  </si>
  <si>
    <t>Karolien</t>
  </si>
  <si>
    <t>Garcia</t>
  </si>
  <si>
    <t>Daniël</t>
  </si>
  <si>
    <t>29/06/1976</t>
  </si>
  <si>
    <t>Wijnendale</t>
  </si>
  <si>
    <t>76.06.29-141.45</t>
  </si>
  <si>
    <t>Luis</t>
  </si>
  <si>
    <t>30/08/2002</t>
  </si>
  <si>
    <t>02.08.30-137.60</t>
  </si>
  <si>
    <t>Geenens</t>
  </si>
  <si>
    <t>Alixe</t>
  </si>
  <si>
    <t>29/08/2017</t>
  </si>
  <si>
    <t>Rue Lableau</t>
  </si>
  <si>
    <t>1C</t>
  </si>
  <si>
    <t>stephengeenens@gmail.com</t>
  </si>
  <si>
    <t>0477248349</t>
  </si>
  <si>
    <t>14/01/2014</t>
  </si>
  <si>
    <t>14.01.14-304.91</t>
  </si>
  <si>
    <t>04/01/2016</t>
  </si>
  <si>
    <t>Brokelaerestraat</t>
  </si>
  <si>
    <t>0474335674</t>
  </si>
  <si>
    <t>0479858482</t>
  </si>
  <si>
    <t>16.01.04-339.10</t>
  </si>
  <si>
    <t>https://app.twizzit.com/public/photos/10377574/s/62e9c970b54f4ce753f6fe1b02a81459ce0f4576.png</t>
  </si>
  <si>
    <t>Stephen</t>
  </si>
  <si>
    <t>26/07/1982</t>
  </si>
  <si>
    <t>0494195355</t>
  </si>
  <si>
    <t>82.07.26-031.87</t>
  </si>
  <si>
    <t>Geiregat</t>
  </si>
  <si>
    <t>22/09/2015</t>
  </si>
  <si>
    <t>Knokstraat</t>
  </si>
  <si>
    <t>0499132186</t>
  </si>
  <si>
    <t>0473050473</t>
  </si>
  <si>
    <t>Victor</t>
  </si>
  <si>
    <t>20/02/2011</t>
  </si>
  <si>
    <t>jurgengeiregat@gmail.com</t>
  </si>
  <si>
    <t>victorgeiregat@gmail.com</t>
  </si>
  <si>
    <t>0485242755</t>
  </si>
  <si>
    <t>0476693010</t>
  </si>
  <si>
    <t>0467007382</t>
  </si>
  <si>
    <t>Genbrugge</t>
  </si>
  <si>
    <t>Basiel</t>
  </si>
  <si>
    <t>20/11/2012</t>
  </si>
  <si>
    <t>Winkelveldeke</t>
  </si>
  <si>
    <t>4a</t>
  </si>
  <si>
    <t>basiel.genbrugge@gmail.com</t>
  </si>
  <si>
    <t>0486314030</t>
  </si>
  <si>
    <t>12.11.20-237.06</t>
  </si>
  <si>
    <t>https://app.twizzit.com/public/photos/8579142/s/db8d4000b96831e0c69a1f9ee9bb0955ce673dba.png</t>
  </si>
  <si>
    <t>Tuur</t>
  </si>
  <si>
    <t>16/06/1983</t>
  </si>
  <si>
    <t>4A</t>
  </si>
  <si>
    <t>BE48 0015 7526 3327</t>
  </si>
  <si>
    <t>83.06.16-341.91</t>
  </si>
  <si>
    <t>Gheysen</t>
  </si>
  <si>
    <t>Amber</t>
  </si>
  <si>
    <t>24/01/1998</t>
  </si>
  <si>
    <t>Melkweg</t>
  </si>
  <si>
    <t>amber.gheysen@gmail.com</t>
  </si>
  <si>
    <t>https://app.twizzit.com/public/photos/2182901/s/a2498335971019f322ad895555337e0117e5cb4b.png</t>
  </si>
  <si>
    <t>Brent</t>
  </si>
  <si>
    <t>10/05/1999</t>
  </si>
  <si>
    <t>99.05.10-275.84</t>
  </si>
  <si>
    <t>22/05/2014</t>
  </si>
  <si>
    <t>Ghyselinck</t>
  </si>
  <si>
    <t>Hervé</t>
  </si>
  <si>
    <t>26/10/2020</t>
  </si>
  <si>
    <t>Weldenstraat</t>
  </si>
  <si>
    <t>jonifoucart@hotmail.com</t>
  </si>
  <si>
    <t>0485336563</t>
  </si>
  <si>
    <t>Kathelyn</t>
  </si>
  <si>
    <t>19/04/1967</t>
  </si>
  <si>
    <t>Giriteka</t>
  </si>
  <si>
    <t>Yves Bellard</t>
  </si>
  <si>
    <t>20/11/1997</t>
  </si>
  <si>
    <t>Wijngaardstraat</t>
  </si>
  <si>
    <t>0466419783</t>
  </si>
  <si>
    <t>97.11.20-751.84</t>
  </si>
  <si>
    <t>Glorieux</t>
  </si>
  <si>
    <t>Valerie</t>
  </si>
  <si>
    <t>13/12/1985</t>
  </si>
  <si>
    <t>85.12.13-068.53</t>
  </si>
  <si>
    <t>Gocaj</t>
  </si>
  <si>
    <t>Dea</t>
  </si>
  <si>
    <t>04/02/2016</t>
  </si>
  <si>
    <t>00465136417</t>
  </si>
  <si>
    <t>Godefroot</t>
  </si>
  <si>
    <t>08/09/2011</t>
  </si>
  <si>
    <t>Klapstraat</t>
  </si>
  <si>
    <t>0473683008</t>
  </si>
  <si>
    <t>Wolf</t>
  </si>
  <si>
    <t>27/04/2010</t>
  </si>
  <si>
    <t>10.04.27-277.53</t>
  </si>
  <si>
    <t>Godpower</t>
  </si>
  <si>
    <t>Oben</t>
  </si>
  <si>
    <t>22/06/2013</t>
  </si>
  <si>
    <t>0497885450</t>
  </si>
  <si>
    <t>Goossens</t>
  </si>
  <si>
    <t>Briek</t>
  </si>
  <si>
    <t>22/08/2012</t>
  </si>
  <si>
    <t>Dries</t>
  </si>
  <si>
    <t>04/04/1975</t>
  </si>
  <si>
    <t>St.-Martinusstraat</t>
  </si>
  <si>
    <t>Olivier</t>
  </si>
  <si>
    <t>17/10/2011</t>
  </si>
  <si>
    <t>Sint Martinusstraat</t>
  </si>
  <si>
    <t>11.10.17-393.09</t>
  </si>
  <si>
    <t>https://app.twizzit.com/public/photos/2934245/s/03a766ee1e50ca3bad05d69030cd7b4aca9e67ff.png</t>
  </si>
  <si>
    <t>13/06/2008</t>
  </si>
  <si>
    <t>0477281468</t>
  </si>
  <si>
    <t>https://app.twizzit.com/public/photos/2182921/s/d5ec4bbccbaf575bfa3a597df60827a1e6809d4b.png</t>
  </si>
  <si>
    <t>05/11/2014</t>
  </si>
  <si>
    <t>vrolijke.tuur@gmail.com</t>
  </si>
  <si>
    <t>14.11.05-217.33</t>
  </si>
  <si>
    <t>Guenter</t>
  </si>
  <si>
    <t>Heike</t>
  </si>
  <si>
    <t>27/04/2009</t>
  </si>
  <si>
    <t>Noordhoek</t>
  </si>
  <si>
    <t>Heike.guenter@telenet.be</t>
  </si>
  <si>
    <t>0474664394</t>
  </si>
  <si>
    <t>0456085054</t>
  </si>
  <si>
    <t>09.04.27-084.31</t>
  </si>
  <si>
    <t>Viktor</t>
  </si>
  <si>
    <t>24/08/2017</t>
  </si>
  <si>
    <t>Dieter.Guillaume@gmail.com</t>
  </si>
  <si>
    <t>0489100744</t>
  </si>
  <si>
    <t>0486392021</t>
  </si>
  <si>
    <t>Haffner</t>
  </si>
  <si>
    <t>28/04/2020</t>
  </si>
  <si>
    <t>Ruttemburgstraat</t>
  </si>
  <si>
    <t>haffner.r@hotmail.com</t>
  </si>
  <si>
    <t>0470654159</t>
  </si>
  <si>
    <t>Hakuzimana</t>
  </si>
  <si>
    <t>Laura</t>
  </si>
  <si>
    <t>05/06/2011</t>
  </si>
  <si>
    <t>Vrezeveld</t>
  </si>
  <si>
    <t>0496950967</t>
  </si>
  <si>
    <t>11.06.05-028.27</t>
  </si>
  <si>
    <t>Sander</t>
  </si>
  <si>
    <t>30/06/2008</t>
  </si>
  <si>
    <t>0467059655</t>
  </si>
  <si>
    <t>Hardeel</t>
  </si>
  <si>
    <t>21/06/1999</t>
  </si>
  <si>
    <t>Den Bos</t>
  </si>
  <si>
    <t>guillaume.hardeel@outlook.be</t>
  </si>
  <si>
    <t>99.06.21-315.12</t>
  </si>
  <si>
    <t>Hebbelynck</t>
  </si>
  <si>
    <t>Mathijs</t>
  </si>
  <si>
    <t>04/03/2010</t>
  </si>
  <si>
    <t>Heirweg</t>
  </si>
  <si>
    <t>bhebbelynck@gmail.com</t>
  </si>
  <si>
    <t>048610527</t>
  </si>
  <si>
    <t>0498670082</t>
  </si>
  <si>
    <t>Heerman</t>
  </si>
  <si>
    <t>Ali</t>
  </si>
  <si>
    <t>03/02/1964</t>
  </si>
  <si>
    <t>kortekeer</t>
  </si>
  <si>
    <t>Babette</t>
  </si>
  <si>
    <t>22/02/2008</t>
  </si>
  <si>
    <t>0494139188</t>
  </si>
  <si>
    <t>https://app.twizzit.com/public/photos/2182962/s/678de8b1828bb3edb726733948e3f8b1d0b8d6f4.png</t>
  </si>
  <si>
    <t>Marcel</t>
  </si>
  <si>
    <t>07/07/2010</t>
  </si>
  <si>
    <t>https://app.twizzit.com/public/photos/2182967/s/54b7da2d9b89a11ac01b0e47a5e1459ba7405e68.png</t>
  </si>
  <si>
    <t>Heestermans</t>
  </si>
  <si>
    <t>Ron</t>
  </si>
  <si>
    <t>03/08/1955</t>
  </si>
  <si>
    <t>0468152536</t>
  </si>
  <si>
    <t>Heijse</t>
  </si>
  <si>
    <t>Elise</t>
  </si>
  <si>
    <t>19/01/1997</t>
  </si>
  <si>
    <t>Tjollevelddreef</t>
  </si>
  <si>
    <t>97.01.19-356.51</t>
  </si>
  <si>
    <t>Heirbaut</t>
  </si>
  <si>
    <t>Senne</t>
  </si>
  <si>
    <t>01/08/2010</t>
  </si>
  <si>
    <t>Herman</t>
  </si>
  <si>
    <t>Paulien</t>
  </si>
  <si>
    <t>14/05/1996</t>
  </si>
  <si>
    <t>96.05.14-342.28</t>
  </si>
  <si>
    <t>Heyerick</t>
  </si>
  <si>
    <t>Arno</t>
  </si>
  <si>
    <t>22/06/2008</t>
  </si>
  <si>
    <t>Olsensesteenweg</t>
  </si>
  <si>
    <t>0479480500</t>
  </si>
  <si>
    <t>0477834808</t>
  </si>
  <si>
    <t>08.06.22-121.40</t>
  </si>
  <si>
    <t>Heyse</t>
  </si>
  <si>
    <t>Lien</t>
  </si>
  <si>
    <t>02/02/1998</t>
  </si>
  <si>
    <t>98.02.02-344.19</t>
  </si>
  <si>
    <t>Patrick</t>
  </si>
  <si>
    <t>17/06/1962</t>
  </si>
  <si>
    <t>62.06.17-019.39</t>
  </si>
  <si>
    <t>Hoerée</t>
  </si>
  <si>
    <t>Joeri</t>
  </si>
  <si>
    <t>30/07/2003</t>
  </si>
  <si>
    <t>Wallestraat</t>
  </si>
  <si>
    <t>katty.tallieu@pandora.be</t>
  </si>
  <si>
    <t>Hollebar</t>
  </si>
  <si>
    <t>03/05/1994</t>
  </si>
  <si>
    <t>94.05.03-197.73</t>
  </si>
  <si>
    <t>Hoogervorst</t>
  </si>
  <si>
    <t>Mihaèl</t>
  </si>
  <si>
    <t>28/09/2018</t>
  </si>
  <si>
    <t>Gevaertsdreef</t>
  </si>
  <si>
    <t>0465557955</t>
  </si>
  <si>
    <t>18.09.28-423.80</t>
  </si>
  <si>
    <t>Hoste</t>
  </si>
  <si>
    <t>Liesbeth</t>
  </si>
  <si>
    <t>16/03/1983</t>
  </si>
  <si>
    <t>83.03.16-060.60</t>
  </si>
  <si>
    <t>Huys</t>
  </si>
  <si>
    <t>Lennert</t>
  </si>
  <si>
    <t>20/02/2013</t>
  </si>
  <si>
    <t>Oudstrijdersstraat</t>
  </si>
  <si>
    <t>Huysman</t>
  </si>
  <si>
    <t>13/09/2006</t>
  </si>
  <si>
    <t>huysman_felix@gmail.com</t>
  </si>
  <si>
    <t>0474884540</t>
  </si>
  <si>
    <t>0486409490</t>
  </si>
  <si>
    <t>06.09.13-369.41</t>
  </si>
  <si>
    <t>19/10/1974</t>
  </si>
  <si>
    <t>stijn.huysman@outlook.com</t>
  </si>
  <si>
    <t>27/12/2010</t>
  </si>
  <si>
    <t>https://app.twizzit.com/public/photos/2936186/s/c4015a6cfb380c1e7090d66488ca6326fa9caa7a.png</t>
  </si>
  <si>
    <t>Huyzentruyt</t>
  </si>
  <si>
    <t>Noah</t>
  </si>
  <si>
    <t>17/06/2001</t>
  </si>
  <si>
    <t>Passionistenstraat</t>
  </si>
  <si>
    <t>01.06.17-139.25</t>
  </si>
  <si>
    <t>Thibault</t>
  </si>
  <si>
    <t>12/10/1994</t>
  </si>
  <si>
    <t>Lucas Deheerestraat</t>
  </si>
  <si>
    <t>94.10.12-273.53</t>
  </si>
  <si>
    <t>Ismajli Foulon</t>
  </si>
  <si>
    <t>Ilona</t>
  </si>
  <si>
    <t>10/01/2017</t>
  </si>
  <si>
    <t>Outrijvestraat</t>
  </si>
  <si>
    <t>feritamg@gmail.com</t>
  </si>
  <si>
    <t>0486670994</t>
  </si>
  <si>
    <t>Janssens</t>
  </si>
  <si>
    <t>Mirte</t>
  </si>
  <si>
    <t>20/01/2009</t>
  </si>
  <si>
    <t>Baaigemstraat</t>
  </si>
  <si>
    <t>Lies.Vanlerberghe@gmaiil.com</t>
  </si>
  <si>
    <t>janssens.mirte@gmail.com</t>
  </si>
  <si>
    <t>https://app.twizzit.com/public/photos/2669942/s/5f79e0ad9bcf611750cb283fbc9adebafe876bae.png</t>
  </si>
  <si>
    <t>William</t>
  </si>
  <si>
    <t>14/06/1945</t>
  </si>
  <si>
    <t>0486756760</t>
  </si>
  <si>
    <t>45.06.14-111.68</t>
  </si>
  <si>
    <t>Kazmenko</t>
  </si>
  <si>
    <t>Aleksandr</t>
  </si>
  <si>
    <t>29/06/1990</t>
  </si>
  <si>
    <t>Leedsestraat</t>
  </si>
  <si>
    <t>11E</t>
  </si>
  <si>
    <t>alex@inolel.com</t>
  </si>
  <si>
    <t>Kesteloot</t>
  </si>
  <si>
    <t>11/02/1991</t>
  </si>
  <si>
    <t>Veldmaarschalk Montgomerystraat</t>
  </si>
  <si>
    <t>0472298312</t>
  </si>
  <si>
    <t>91.02.11-331.03</t>
  </si>
  <si>
    <t>https://app.twizzit.com/public/photos/2183017/s/cab2a8ce50a8c2f200efa9bb74de43a6f9fbf6e7.png</t>
  </si>
  <si>
    <t>L'Hommelet</t>
  </si>
  <si>
    <t>Filip</t>
  </si>
  <si>
    <t>02/08/1980</t>
  </si>
  <si>
    <t>Chaussee De Renaix</t>
  </si>
  <si>
    <t>147A</t>
  </si>
  <si>
    <t>filip.lhommelet@myweb4u.be</t>
  </si>
  <si>
    <t>80.08.02-103.21</t>
  </si>
  <si>
    <t>01/04/2014</t>
  </si>
  <si>
    <t>Chaussée de Renaix</t>
  </si>
  <si>
    <t>els.bourgois@gmail.com</t>
  </si>
  <si>
    <t>Lacres</t>
  </si>
  <si>
    <t>Maud</t>
  </si>
  <si>
    <t>09/04/2015</t>
  </si>
  <si>
    <t>Hevelweg</t>
  </si>
  <si>
    <t>taelman.elke@gmail.com</t>
  </si>
  <si>
    <t>0486264195</t>
  </si>
  <si>
    <t>15.04.09-228.68</t>
  </si>
  <si>
    <t>https://app.twizzit.com/public/photos/7284400/s/788dc5308deee743b8d2d9764e0824010b7633fe.png</t>
  </si>
  <si>
    <t>Lagae</t>
  </si>
  <si>
    <t>Jannes</t>
  </si>
  <si>
    <t>21/10/2015</t>
  </si>
  <si>
    <t>Rue Déflière</t>
  </si>
  <si>
    <t>Ruubelagae@gmail.com</t>
  </si>
  <si>
    <t>Timlagae@hotmail.com</t>
  </si>
  <si>
    <t>Ruube</t>
  </si>
  <si>
    <t>02/01/2013</t>
  </si>
  <si>
    <t>13.01.02-224.25</t>
  </si>
  <si>
    <t>Lambert</t>
  </si>
  <si>
    <t>Katrien</t>
  </si>
  <si>
    <t>17/07/1980</t>
  </si>
  <si>
    <t>80.07.17-226.23</t>
  </si>
  <si>
    <t>Lampens</t>
  </si>
  <si>
    <t>Wiebe</t>
  </si>
  <si>
    <t>30/10/2008</t>
  </si>
  <si>
    <t>Hulstraat</t>
  </si>
  <si>
    <t>wouterlampens@gmail.com</t>
  </si>
  <si>
    <t>wiebelampens@gmail.com</t>
  </si>
  <si>
    <t>08.10.30-210.30</t>
  </si>
  <si>
    <t>Langaskens</t>
  </si>
  <si>
    <t>Natasja</t>
  </si>
  <si>
    <t>17/12/1971</t>
  </si>
  <si>
    <t>71.12.17-032.63</t>
  </si>
  <si>
    <t>Lapiere</t>
  </si>
  <si>
    <t>Lucas</t>
  </si>
  <si>
    <t>02/10/2001</t>
  </si>
  <si>
    <t>01.10.02-187.67</t>
  </si>
  <si>
    <t>Niko</t>
  </si>
  <si>
    <t>07/05/1975</t>
  </si>
  <si>
    <t>75.05.07-085.54</t>
  </si>
  <si>
    <t>Lapierre</t>
  </si>
  <si>
    <t>19/08/1988</t>
  </si>
  <si>
    <t>Wandellaan</t>
  </si>
  <si>
    <t>0477590960</t>
  </si>
  <si>
    <t>88.08.19-409.52</t>
  </si>
  <si>
    <t>Lasseel</t>
  </si>
  <si>
    <t>Georges</t>
  </si>
  <si>
    <t>20/07/2020</t>
  </si>
  <si>
    <t>Leliestraat</t>
  </si>
  <si>
    <t>lasseeltom@gmail.com</t>
  </si>
  <si>
    <t>0470351060</t>
  </si>
  <si>
    <t>Laurez</t>
  </si>
  <si>
    <t>Babet</t>
  </si>
  <si>
    <t>23/07/2016</t>
  </si>
  <si>
    <t>0477501978</t>
  </si>
  <si>
    <t>0497346571</t>
  </si>
  <si>
    <t>16.07.23-086.26</t>
  </si>
  <si>
    <t>Lauwereins</t>
  </si>
  <si>
    <t>Jef</t>
  </si>
  <si>
    <t>16/09/2019</t>
  </si>
  <si>
    <t>smallendam</t>
  </si>
  <si>
    <t>lauwereins.steven@gmail.com</t>
  </si>
  <si>
    <t>0474317844</t>
  </si>
  <si>
    <t>Lauwers</t>
  </si>
  <si>
    <t>Ramon</t>
  </si>
  <si>
    <t>02/07/2015</t>
  </si>
  <si>
    <t>Kloosterstraat</t>
  </si>
  <si>
    <t>lauwersvanzele@gmail.com</t>
  </si>
  <si>
    <t>0473974827</t>
  </si>
  <si>
    <t>Lebrouchi Poddubnaya</t>
  </si>
  <si>
    <t>08/12/2009</t>
  </si>
  <si>
    <t>Veemarkt</t>
  </si>
  <si>
    <t>marina.pd34@gmail</t>
  </si>
  <si>
    <t>0492948427</t>
  </si>
  <si>
    <t>0494709049</t>
  </si>
  <si>
    <t>Legein</t>
  </si>
  <si>
    <t>16/02/1999</t>
  </si>
  <si>
    <t>Generaal Merchierstraat</t>
  </si>
  <si>
    <t>99.02.16-259.93</t>
  </si>
  <si>
    <t>Lemaire</t>
  </si>
  <si>
    <t>Lothar</t>
  </si>
  <si>
    <t>16/08/2018</t>
  </si>
  <si>
    <t>Mont</t>
  </si>
  <si>
    <t>huglemaire@hotmail.com</t>
  </si>
  <si>
    <t>0485677282</t>
  </si>
  <si>
    <t>https://app.twizzit.com/public/photos/9680220/s/630006e9802fd7af81a6784302b397c8d31a519e.jpeg</t>
  </si>
  <si>
    <t>Lepez</t>
  </si>
  <si>
    <t>Céleste</t>
  </si>
  <si>
    <t>18/01/2021</t>
  </si>
  <si>
    <t>Kerkstraat</t>
  </si>
  <si>
    <t>timo.lepez@gmail.com</t>
  </si>
  <si>
    <t>https://app.twizzit.com/public/photos/10452680/s/43631296673a3f6a5260a0eddda463059079fbf8.jpeg</t>
  </si>
  <si>
    <t>Lessenne</t>
  </si>
  <si>
    <t>Thor</t>
  </si>
  <si>
    <t>22/11/2015</t>
  </si>
  <si>
    <t>lessenne_frederic@yahoo.com</t>
  </si>
  <si>
    <t>0494240195</t>
  </si>
  <si>
    <t>0477650341</t>
  </si>
  <si>
    <t>https://app.twizzit.com/public/photos/4393791/s/f227f8ddb169feb6dded4f508fa8f0a8d6bc3bc4.jpeg</t>
  </si>
  <si>
    <t>29/07/2017</t>
  </si>
  <si>
    <t>https://app.twizzit.com/public/photos/3580747/s/157853967ede68629434e8db7d36b6d860f7ea97.jpeg</t>
  </si>
  <si>
    <t>Libbrecht</t>
  </si>
  <si>
    <t>Anouk</t>
  </si>
  <si>
    <t>24/04/2010</t>
  </si>
  <si>
    <t>Kaphoekstraat</t>
  </si>
  <si>
    <t>Libert</t>
  </si>
  <si>
    <t>24/05/2012</t>
  </si>
  <si>
    <t>Fortstraat</t>
  </si>
  <si>
    <t>s_ardenois@hotmail.com</t>
  </si>
  <si>
    <t>0479788543</t>
  </si>
  <si>
    <t>0471396733</t>
  </si>
  <si>
    <t>074397512</t>
  </si>
  <si>
    <t>0474397512</t>
  </si>
  <si>
    <t>12.05.24-017.64</t>
  </si>
  <si>
    <t>82.10.03-039.14</t>
  </si>
  <si>
    <t>Felice</t>
  </si>
  <si>
    <t>22/07/2015</t>
  </si>
  <si>
    <t>0473780275</t>
  </si>
  <si>
    <t>https://app.twizzit.com/public/photos/7279180/s/1c5d9fda02031baa486ebec940b4c251ec4b6762.png</t>
  </si>
  <si>
    <t>06/09/2015</t>
  </si>
  <si>
    <t>25/08/2017</t>
  </si>
  <si>
    <t>https://app.twizzit.com/public/photos/7493172/s/6235261693b78c2a6b1d4ecbb92a61770437eca9.jpeg</t>
  </si>
  <si>
    <t>Liekens</t>
  </si>
  <si>
    <t>Sam</t>
  </si>
  <si>
    <t>04/11/2010</t>
  </si>
  <si>
    <t>41A</t>
  </si>
  <si>
    <t>0478888243</t>
  </si>
  <si>
    <t>0486979231</t>
  </si>
  <si>
    <t>https://app.twizzit.com/public/photos/3475283/s/e532263ea43cddb59650656f3777387ca04d2de4.jpeg</t>
  </si>
  <si>
    <t>Lievyns</t>
  </si>
  <si>
    <t>Sofie</t>
  </si>
  <si>
    <t>23/08/1979</t>
  </si>
  <si>
    <t>00478331198</t>
  </si>
  <si>
    <t>Lippens</t>
  </si>
  <si>
    <t>Andreas</t>
  </si>
  <si>
    <t>28/03/1995</t>
  </si>
  <si>
    <t>Waregemstraat</t>
  </si>
  <si>
    <t>032492223206</t>
  </si>
  <si>
    <t>95.03.28-131.75</t>
  </si>
  <si>
    <t>Lodewyckx</t>
  </si>
  <si>
    <t>Lars</t>
  </si>
  <si>
    <t>26/06/2013</t>
  </si>
  <si>
    <t>Lossie</t>
  </si>
  <si>
    <t>04/02/2011</t>
  </si>
  <si>
    <t>Trekweg Rechteroever</t>
  </si>
  <si>
    <t>Luyten</t>
  </si>
  <si>
    <t>Boris</t>
  </si>
  <si>
    <t>08/11/2017</t>
  </si>
  <si>
    <t>Bergstraat</t>
  </si>
  <si>
    <t>liesbeth_boudrez@hotmail.be</t>
  </si>
  <si>
    <t>https://app.twizzit.com/public/photos/3437308/s/ee02af9294d7823dae37d6eb7126b435ef764909.png</t>
  </si>
  <si>
    <t>Max</t>
  </si>
  <si>
    <t>05/09/2008</t>
  </si>
  <si>
    <t>Oskar</t>
  </si>
  <si>
    <t>07/03/2020</t>
  </si>
  <si>
    <t>https://app.twizzit.com/public/photos/6067218/s/05d3b6d34153ded2c11249ae66f232311ce5df9d.jpeg</t>
  </si>
  <si>
    <t>Steven</t>
  </si>
  <si>
    <t>L’Hommelet</t>
  </si>
  <si>
    <t>28/01/2011</t>
  </si>
  <si>
    <t>Maebe</t>
  </si>
  <si>
    <t>Fenne</t>
  </si>
  <si>
    <t>17/04/2014</t>
  </si>
  <si>
    <t>Abdijstraat</t>
  </si>
  <si>
    <t>Maenhout</t>
  </si>
  <si>
    <t>08/04/2014</t>
  </si>
  <si>
    <t>jokespies@hotmail.com</t>
  </si>
  <si>
    <t>0489178706</t>
  </si>
  <si>
    <t>0480645080</t>
  </si>
  <si>
    <t>https://app.twizzit.com/public/photos/9359547/s/0986374ba59a462685344af411da25079641e82d.jpeg</t>
  </si>
  <si>
    <t>Maertens</t>
  </si>
  <si>
    <t>04/12/1984</t>
  </si>
  <si>
    <t>Ten Stroom</t>
  </si>
  <si>
    <t>84.12.04-289.81</t>
  </si>
  <si>
    <t>Maes</t>
  </si>
  <si>
    <t>Dréa</t>
  </si>
  <si>
    <t>22/05/2012</t>
  </si>
  <si>
    <t>Tivolistraat</t>
  </si>
  <si>
    <t>Joke.merlaen@gmail.com</t>
  </si>
  <si>
    <t>0473118875</t>
  </si>
  <si>
    <t>12.05.22-068.73</t>
  </si>
  <si>
    <t>https://app.twizzit.com/public/photos/3412861/s/5d2322ba0de7264fd5ba0170cc29e82844de05d5.png</t>
  </si>
  <si>
    <t>Mahieu</t>
  </si>
  <si>
    <t>Kamiel</t>
  </si>
  <si>
    <t>28/07/2010</t>
  </si>
  <si>
    <t>0473745981</t>
  </si>
  <si>
    <t>20/04/2006</t>
  </si>
  <si>
    <t>Kerkewijck</t>
  </si>
  <si>
    <t>06.04.20-201.61</t>
  </si>
  <si>
    <t>Malbrant</t>
  </si>
  <si>
    <t>John</t>
  </si>
  <si>
    <t>03/05/1979</t>
  </si>
  <si>
    <t>Hundelgemsesteenweg</t>
  </si>
  <si>
    <t>0478314265</t>
  </si>
  <si>
    <t>79.05.03-029.23</t>
  </si>
  <si>
    <t>Clubrefs (Verantwoordelijke cel)</t>
  </si>
  <si>
    <t>Malfait</t>
  </si>
  <si>
    <t>23/04/2016</t>
  </si>
  <si>
    <t>Hoekman.annelies1@gmail.com</t>
  </si>
  <si>
    <t>0478836273</t>
  </si>
  <si>
    <t>Marcou</t>
  </si>
  <si>
    <t>10/02/1997</t>
  </si>
  <si>
    <t>Floristenstraat</t>
  </si>
  <si>
    <t>0474234134</t>
  </si>
  <si>
    <t>97.02.10-365.28</t>
  </si>
  <si>
    <t>Martens</t>
  </si>
  <si>
    <t>Gilles</t>
  </si>
  <si>
    <t>30/11/2016</t>
  </si>
  <si>
    <t>Arsenaalweg</t>
  </si>
  <si>
    <t>Martyn</t>
  </si>
  <si>
    <t>Mieke</t>
  </si>
  <si>
    <t>Peeshoek</t>
  </si>
  <si>
    <t>Matthys</t>
  </si>
  <si>
    <t>20/05/1960</t>
  </si>
  <si>
    <t>Jacob Lacopsstraat</t>
  </si>
  <si>
    <t>60.05.20-179.31</t>
  </si>
  <si>
    <t>Ploegverantwoordelijke</t>
  </si>
  <si>
    <t>Algemeen bestuur (Ondervoorzitter)</t>
  </si>
  <si>
    <t>Steppe</t>
  </si>
  <si>
    <t>03/12/2014</t>
  </si>
  <si>
    <t>Heirbaan</t>
  </si>
  <si>
    <t>0468429871</t>
  </si>
  <si>
    <t>0467004709</t>
  </si>
  <si>
    <t>https://app.twizzit.com/public/photos/10488364/s/177c95b9932dcdda23e09eda7b0298c34ca94551.jpeg</t>
  </si>
  <si>
    <t>Bleys</t>
  </si>
  <si>
    <t>15/01/2003</t>
  </si>
  <si>
    <t>Zonnebloemstraat</t>
  </si>
  <si>
    <t>0495940240</t>
  </si>
  <si>
    <t>03.01.15-241.87</t>
  </si>
  <si>
    <t>Mechant</t>
  </si>
  <si>
    <t>Joris</t>
  </si>
  <si>
    <t>24/10/1978</t>
  </si>
  <si>
    <t>jme.basket@telenet.be</t>
  </si>
  <si>
    <t>jme@cretes.be</t>
  </si>
  <si>
    <t>78.10.24-111.04</t>
  </si>
  <si>
    <t>Algemeen bestuur (Secretaris)</t>
  </si>
  <si>
    <t>Cel communicatie (Lid cel)</t>
  </si>
  <si>
    <t>Marte</t>
  </si>
  <si>
    <t>14/09/2006</t>
  </si>
  <si>
    <t>BE33733069987146</t>
  </si>
  <si>
    <t>06.09.14-134.52</t>
  </si>
  <si>
    <t>Meerpoel</t>
  </si>
  <si>
    <t>10/04/1998</t>
  </si>
  <si>
    <t>Windmolenstraat</t>
  </si>
  <si>
    <t>eric.meerpoel@telenet.be</t>
  </si>
  <si>
    <t>98.04.10-333.95</t>
  </si>
  <si>
    <t>Mees</t>
  </si>
  <si>
    <t>Cezar</t>
  </si>
  <si>
    <t>01/06/2018</t>
  </si>
  <si>
    <t>0474721420</t>
  </si>
  <si>
    <t>https://app.twizzit.com/public/photos/3436128/s/3f658dce803d1d860ec8c7dcfee63c3e63f8aeae.png</t>
  </si>
  <si>
    <t>gillesmees@hotmail.com</t>
  </si>
  <si>
    <t>Kasper</t>
  </si>
  <si>
    <t>26/11/2012</t>
  </si>
  <si>
    <t>https://app.twizzit.com/public/photos/2183112/s/07942e4161d7a20864d1fbcf54b9a6dda331637e.png</t>
  </si>
  <si>
    <t>Melis</t>
  </si>
  <si>
    <t>Jayson</t>
  </si>
  <si>
    <t>31/01/1999</t>
  </si>
  <si>
    <t>Dries ter Biest</t>
  </si>
  <si>
    <t>0495300478</t>
  </si>
  <si>
    <t>99.01.31-323.57</t>
  </si>
  <si>
    <t>Melsens</t>
  </si>
  <si>
    <t>Aureel</t>
  </si>
  <si>
    <t>14/07/2019</t>
  </si>
  <si>
    <t>Robert De Preesterstraat</t>
  </si>
  <si>
    <t>lieven.melsens@gmail.com</t>
  </si>
  <si>
    <t>0496392510</t>
  </si>
  <si>
    <t>Messeeuw</t>
  </si>
  <si>
    <t>Juul</t>
  </si>
  <si>
    <t>22/08/2019</t>
  </si>
  <si>
    <t>Koekamerstraat</t>
  </si>
  <si>
    <t>lynnvdwiele@hotmail.com</t>
  </si>
  <si>
    <t>0486610793</t>
  </si>
  <si>
    <t>0486202746</t>
  </si>
  <si>
    <t>Moerman</t>
  </si>
  <si>
    <t>Julian</t>
  </si>
  <si>
    <t>09/02/2020</t>
  </si>
  <si>
    <t>Ter Schabbe</t>
  </si>
  <si>
    <t>mirkomoerman@hotmail.com</t>
  </si>
  <si>
    <t>0495423490</t>
  </si>
  <si>
    <t>09/10/2017</t>
  </si>
  <si>
    <t>Molly.diederick@gmail.com</t>
  </si>
  <si>
    <t>0494605068</t>
  </si>
  <si>
    <t>0478510919</t>
  </si>
  <si>
    <t>17.10.09-181.05</t>
  </si>
  <si>
    <t>https://app.twizzit.com/public/photos/3485821/s/5f632eac97edae595ea1c86f4260b88c5b95d8cd.jpeg</t>
  </si>
  <si>
    <t>Tiaz</t>
  </si>
  <si>
    <t>03/03/2021</t>
  </si>
  <si>
    <t>Monseart</t>
  </si>
  <si>
    <t>28/05/1986</t>
  </si>
  <si>
    <t>Moyaert</t>
  </si>
  <si>
    <t>Lieve</t>
  </si>
  <si>
    <t>01/05/1985</t>
  </si>
  <si>
    <t>85.05.01-280.55</t>
  </si>
  <si>
    <t>https://app.twizzit.com/public/photos/10350943/s/7e37f0181937dc97132770010b15ead720b4220a.png</t>
  </si>
  <si>
    <t>Msili</t>
  </si>
  <si>
    <t>Nohaila</t>
  </si>
  <si>
    <t>02/08/1999</t>
  </si>
  <si>
    <t>0489384856</t>
  </si>
  <si>
    <t>99.08.02-410.16</t>
  </si>
  <si>
    <t>Mukuna-Ngongo</t>
  </si>
  <si>
    <t>Jeremie-Matthis</t>
  </si>
  <si>
    <t>25/11/2011</t>
  </si>
  <si>
    <t>Jacob van Arteveldestraat</t>
  </si>
  <si>
    <t>jeremiemukuna43@gmail.com</t>
  </si>
  <si>
    <t>0468153687</t>
  </si>
  <si>
    <t>Nachtergaele</t>
  </si>
  <si>
    <t>17/08/2015</t>
  </si>
  <si>
    <t>Ladeuze</t>
  </si>
  <si>
    <t>https://app.twizzit.com/public/photos/3526587/s/d9cd2de281e5d48997de87a634d3e25b996ae478.png</t>
  </si>
  <si>
    <t>Naessens</t>
  </si>
  <si>
    <t>Rover</t>
  </si>
  <si>
    <t>05/08/2019</t>
  </si>
  <si>
    <t>Holstraat</t>
  </si>
  <si>
    <t>deesnaessens@hotmail.com</t>
  </si>
  <si>
    <t>0495844733</t>
  </si>
  <si>
    <t>0498849321</t>
  </si>
  <si>
    <t>https://app.twizzit.com/public/photos/7328405/s/a238a3bac0fa83cb173f769b5ce64dd7bdebab6d.jpeg</t>
  </si>
  <si>
    <t>Neyrinck</t>
  </si>
  <si>
    <t>Jean-Reno</t>
  </si>
  <si>
    <t>08/11/2012</t>
  </si>
  <si>
    <t>Zeitje</t>
  </si>
  <si>
    <t>2B</t>
  </si>
  <si>
    <t>https://app.twizzit.com/public/photos/3543437/s/4b4d34aba7c38171a5f39885d89d2a702bb4c5c8.jpeg</t>
  </si>
  <si>
    <t>Norman Broekaert</t>
  </si>
  <si>
    <t>Sky</t>
  </si>
  <si>
    <t>17/03/2017</t>
  </si>
  <si>
    <t>-</t>
  </si>
  <si>
    <t>broekaert.geert@gmail.Com</t>
  </si>
  <si>
    <t>0473217678</t>
  </si>
  <si>
    <t>https://app.twizzit.com/public/photos/4496871/s/16aa6bee5abb15fe43b03f1b23b2f50719423069.png</t>
  </si>
  <si>
    <t>O'Reilly</t>
  </si>
  <si>
    <t>George</t>
  </si>
  <si>
    <t>07/01/2020</t>
  </si>
  <si>
    <t>danieloreilly22@yahoo.ie</t>
  </si>
  <si>
    <t>0494886713</t>
  </si>
  <si>
    <t>Oosterlynck</t>
  </si>
  <si>
    <t>Achilles</t>
  </si>
  <si>
    <t>25/07/2008</t>
  </si>
  <si>
    <t>Zuidstraat</t>
  </si>
  <si>
    <t>Opsomer</t>
  </si>
  <si>
    <t>Emiel</t>
  </si>
  <si>
    <t>26/06/2015</t>
  </si>
  <si>
    <t>Heulestraat</t>
  </si>
  <si>
    <t>meirlaen.evelien@gmail.com</t>
  </si>
  <si>
    <t>0478767261</t>
  </si>
  <si>
    <t>0479271948</t>
  </si>
  <si>
    <t>Jorne</t>
  </si>
  <si>
    <t>06/08/1998</t>
  </si>
  <si>
    <t>BE48 0017 8081 6027</t>
  </si>
  <si>
    <t>Orbie</t>
  </si>
  <si>
    <t>04/02/2013</t>
  </si>
  <si>
    <t>Graaf van Landaststraat</t>
  </si>
  <si>
    <t>15/10/2014</t>
  </si>
  <si>
    <t>03/01/1977</t>
  </si>
  <si>
    <t>Ottevaere</t>
  </si>
  <si>
    <t>16/12/2011</t>
  </si>
  <si>
    <t>Pauwel Vander Scheldenstraat</t>
  </si>
  <si>
    <t>maaike.teirlinck@telenet.be</t>
  </si>
  <si>
    <t>gust.ottevaere@telenet.be</t>
  </si>
  <si>
    <t>Paindavin</t>
  </si>
  <si>
    <t>Fabienne</t>
  </si>
  <si>
    <t>31/10/1976</t>
  </si>
  <si>
    <t>76.10.31-166.85</t>
  </si>
  <si>
    <t>https://app.twizzit.com/public/photos/2183137/s/3b1e368023103c92cad2292d92c8235ee2af4994.png</t>
  </si>
  <si>
    <t>Parmentier</t>
  </si>
  <si>
    <t>Théo</t>
  </si>
  <si>
    <t>22/07/2019</t>
  </si>
  <si>
    <t>Boskant</t>
  </si>
  <si>
    <t>jensparmentier@gmail.com</t>
  </si>
  <si>
    <t>0498076133</t>
  </si>
  <si>
    <t>Pattyn</t>
  </si>
  <si>
    <t>03/12/1972</t>
  </si>
  <si>
    <t>72.12.03-130.18</t>
  </si>
  <si>
    <t>Pauwels</t>
  </si>
  <si>
    <t>Leonie</t>
  </si>
  <si>
    <t>01/08/1996</t>
  </si>
  <si>
    <t>Regenbooglaan</t>
  </si>
  <si>
    <t>96.08.01-324.69</t>
  </si>
  <si>
    <t>Peeters</t>
  </si>
  <si>
    <t>Joël</t>
  </si>
  <si>
    <t>05/03/1974</t>
  </si>
  <si>
    <t>Ledepontweg</t>
  </si>
  <si>
    <t>74.03.05-157.07</t>
  </si>
  <si>
    <t>12/09/2006</t>
  </si>
  <si>
    <t>Maarten.peeters1@hotmail.com</t>
  </si>
  <si>
    <t>Penninck</t>
  </si>
  <si>
    <t>07/10/2010</t>
  </si>
  <si>
    <t>Huttegem</t>
  </si>
  <si>
    <t>19/10/2012</t>
  </si>
  <si>
    <t>0469360650</t>
  </si>
  <si>
    <t>Picard</t>
  </si>
  <si>
    <t>An</t>
  </si>
  <si>
    <t>18/09/1973</t>
  </si>
  <si>
    <t>73.09.18-402.72</t>
  </si>
  <si>
    <t>Piens</t>
  </si>
  <si>
    <t>Marie-Laure</t>
  </si>
  <si>
    <t>09/03/2011</t>
  </si>
  <si>
    <t>Potaardeberg</t>
  </si>
  <si>
    <t>0479984186</t>
  </si>
  <si>
    <t>Sebastiaan</t>
  </si>
  <si>
    <t>11/08/2008</t>
  </si>
  <si>
    <t>Poffyn</t>
  </si>
  <si>
    <t>Elien</t>
  </si>
  <si>
    <t>21/03/1996</t>
  </si>
  <si>
    <t>Bottelaredries</t>
  </si>
  <si>
    <t>96.03.21-382.55</t>
  </si>
  <si>
    <t>Poitiez</t>
  </si>
  <si>
    <t>05/04/1979</t>
  </si>
  <si>
    <t>0472508299</t>
  </si>
  <si>
    <t>Polfliet</t>
  </si>
  <si>
    <t>Fons</t>
  </si>
  <si>
    <t>04/10/2012</t>
  </si>
  <si>
    <t>Stationstraat</t>
  </si>
  <si>
    <t>12.10.04-333.92</t>
  </si>
  <si>
    <t>Pollet</t>
  </si>
  <si>
    <t>21/07/2016</t>
  </si>
  <si>
    <t>Deinzestraat</t>
  </si>
  <si>
    <t>pollet.jelle@gmail.com</t>
  </si>
  <si>
    <t>0497503207</t>
  </si>
  <si>
    <t>0474223155</t>
  </si>
  <si>
    <t>16.07.21-059.16</t>
  </si>
  <si>
    <t>https://app.twizzit.com/public/photos/3454870/s/e7fdcf5140d5e910d15662f873e9aafb78eb7d4f.jpeg</t>
  </si>
  <si>
    <t>Ralph</t>
  </si>
  <si>
    <t>Hovhanisyan</t>
  </si>
  <si>
    <t>12/01/2017</t>
  </si>
  <si>
    <t>Flora.poghosyan@gmail.com</t>
  </si>
  <si>
    <t>0492779773</t>
  </si>
  <si>
    <t>https://app.twizzit.com/public/photos/7790357/s/f283982c8d5add43df5648e925715a1d11e504c3.png</t>
  </si>
  <si>
    <t>Renard</t>
  </si>
  <si>
    <t>17/02/2009</t>
  </si>
  <si>
    <t>0476752923</t>
  </si>
  <si>
    <t>09.02.17-165.42</t>
  </si>
  <si>
    <t>https://app.twizzit.com/public/photos/2183172/s/365feecf0a3ae5a9392582a322a55ff1fee56899.png</t>
  </si>
  <si>
    <t>Reybroeck</t>
  </si>
  <si>
    <t>Tim</t>
  </si>
  <si>
    <t>22/08/2008</t>
  </si>
  <si>
    <t>0476257150</t>
  </si>
  <si>
    <t>0477295202</t>
  </si>
  <si>
    <t>08.08.22-241.31</t>
  </si>
  <si>
    <t>Reynaert</t>
  </si>
  <si>
    <t>07/10/2015</t>
  </si>
  <si>
    <t>https://app.twizzit.com/public/photos/3501048/s/7764c3c4b704e9e0387292c076f32524df1d7d36.png</t>
  </si>
  <si>
    <t>Reynen</t>
  </si>
  <si>
    <t>Dorinne</t>
  </si>
  <si>
    <t>17/12/1983</t>
  </si>
  <si>
    <t>83.12.27-044.03</t>
  </si>
  <si>
    <t>https://app.twizzit.com/public/photos/2183177/s/3f7f7784b29eb06e1132e92e793103356a6bf592.jpeg</t>
  </si>
  <si>
    <t>Rombaut</t>
  </si>
  <si>
    <t>Axel</t>
  </si>
  <si>
    <t>03/11/1996</t>
  </si>
  <si>
    <t>Rue Large</t>
  </si>
  <si>
    <t>96.11.03-341.13</t>
  </si>
  <si>
    <t>Rommens</t>
  </si>
  <si>
    <t>Emlin</t>
  </si>
  <si>
    <t>10/01/2014</t>
  </si>
  <si>
    <t>Vlaamse Ardennendreef</t>
  </si>
  <si>
    <t>pieterrommens@hotmail.be</t>
  </si>
  <si>
    <t>14.01.10-340.78</t>
  </si>
  <si>
    <t>https://app.twizzit.com/public/photos/2650641/s/248b205ecc69fd455c13ac7cc9deb76d11e361a0.png</t>
  </si>
  <si>
    <t>06/09/1976</t>
  </si>
  <si>
    <t>76.09.06-101.20</t>
  </si>
  <si>
    <t>Sadaune</t>
  </si>
  <si>
    <t>Thibaut</t>
  </si>
  <si>
    <t>06/12/2019</t>
  </si>
  <si>
    <t>Puvinage</t>
  </si>
  <si>
    <t>23c</t>
  </si>
  <si>
    <t>bartsadaune@hotmail.com</t>
  </si>
  <si>
    <t>19.12.06-199.36</t>
  </si>
  <si>
    <t>https://app.twizzit.com/public/photos/8418475/s/c44854e7fe4ecdd14617bb0fe2e99a30f0cedc15.jpeg</t>
  </si>
  <si>
    <t>Saerens</t>
  </si>
  <si>
    <t>Jack</t>
  </si>
  <si>
    <t>21/10/2016</t>
  </si>
  <si>
    <t>0472659326</t>
  </si>
  <si>
    <t>0498690042</t>
  </si>
  <si>
    <t>BE35 7506 7464 2337</t>
  </si>
  <si>
    <t>https://app.twizzit.com/public/photos/3475134/s/78bd944a9e8b36fe65d592312d1522f18bbf3e32.png</t>
  </si>
  <si>
    <t>Salembier</t>
  </si>
  <si>
    <t>17/03/2015</t>
  </si>
  <si>
    <t>0476700611</t>
  </si>
  <si>
    <t>Saveyn</t>
  </si>
  <si>
    <t>Elisabeth</t>
  </si>
  <si>
    <t>11/10/2012</t>
  </si>
  <si>
    <t>Pijkenherestraat</t>
  </si>
  <si>
    <t>moonvanneste@hotmail.com</t>
  </si>
  <si>
    <t>0496392369</t>
  </si>
  <si>
    <t>0472346327</t>
  </si>
  <si>
    <t>Schmitt</t>
  </si>
  <si>
    <t>alexander.schmitt@authority.biz</t>
  </si>
  <si>
    <t>Nona</t>
  </si>
  <si>
    <t>05/10/2012</t>
  </si>
  <si>
    <t>marie.boullart@hotmail.com</t>
  </si>
  <si>
    <t>0473761554</t>
  </si>
  <si>
    <t>0493241800</t>
  </si>
  <si>
    <t>Schoenmaekers</t>
  </si>
  <si>
    <t>Ziano</t>
  </si>
  <si>
    <t>19/07/2010</t>
  </si>
  <si>
    <t>pedro.schoenmaekers@hotmail.com</t>
  </si>
  <si>
    <t>0474765299</t>
  </si>
  <si>
    <t>https://app.twizzit.com/public/photos/2650796/s/806ce17769fd3d29fc435d865a5b302b6c25c6ca.png</t>
  </si>
  <si>
    <t>Serlippens</t>
  </si>
  <si>
    <t>19/10/1984</t>
  </si>
  <si>
    <t>84.10.19-082.18</t>
  </si>
  <si>
    <t>Simoens</t>
  </si>
  <si>
    <t>Liezelot</t>
  </si>
  <si>
    <t>06/07/1980</t>
  </si>
  <si>
    <t>80.07.06-164.27</t>
  </si>
  <si>
    <t>Tijs</t>
  </si>
  <si>
    <t>16/12/1992</t>
  </si>
  <si>
    <t>Blekerijstraat</t>
  </si>
  <si>
    <t>92.12.16-241.34</t>
  </si>
  <si>
    <t>Six</t>
  </si>
  <si>
    <t>20/12/2018</t>
  </si>
  <si>
    <t>Groenstraat</t>
  </si>
  <si>
    <t>0484846213</t>
  </si>
  <si>
    <t>Slembrouck</t>
  </si>
  <si>
    <t>Alba</t>
  </si>
  <si>
    <t>02/12/2021</t>
  </si>
  <si>
    <t>Winkelstraat</t>
  </si>
  <si>
    <t>alexandra-kemp@hotmail.com</t>
  </si>
  <si>
    <t>00472902002</t>
  </si>
  <si>
    <t>00498541065</t>
  </si>
  <si>
    <t>Romée</t>
  </si>
  <si>
    <t>15/02/2020</t>
  </si>
  <si>
    <t>0472902002</t>
  </si>
  <si>
    <t>0498541065</t>
  </si>
  <si>
    <t>20.02.15-002.11</t>
  </si>
  <si>
    <t>https://app.twizzit.com/public/photos/7328316/s/d832d97a4d222f65f11eb5051494f0f7bb0f899d.png</t>
  </si>
  <si>
    <t>Snauwaert</t>
  </si>
  <si>
    <t>filipodimarco@hotmail.com</t>
  </si>
  <si>
    <t>Zian</t>
  </si>
  <si>
    <t>22/01/2008</t>
  </si>
  <si>
    <t>Cornelis de Schepperestraat</t>
  </si>
  <si>
    <t>0473633638</t>
  </si>
  <si>
    <t>Spaens</t>
  </si>
  <si>
    <t>20/04/1992</t>
  </si>
  <si>
    <t>Vinkenweg</t>
  </si>
  <si>
    <t>0476359988</t>
  </si>
  <si>
    <t>92.04.20-115.81</t>
  </si>
  <si>
    <t>Spiessens</t>
  </si>
  <si>
    <t>Freya</t>
  </si>
  <si>
    <t>79.04.05-418.52</t>
  </si>
  <si>
    <t>https://app.twizzit.com/public/photos/4061488/s/f7edd2a5fa67fe1f3ca653726f4b897e5aed79a4.jpeg</t>
  </si>
  <si>
    <t>Cel communicatie (Verantwoordelijke cel)</t>
  </si>
  <si>
    <t>28/03/2013</t>
  </si>
  <si>
    <t>Jacob Lacopstraat</t>
  </si>
  <si>
    <t>Me@opcd.net</t>
  </si>
  <si>
    <t>0474655154</t>
  </si>
  <si>
    <t>0474761032</t>
  </si>
  <si>
    <t>BE54 1030 4444 8397</t>
  </si>
  <si>
    <t>13.03.28-048.17</t>
  </si>
  <si>
    <t>https://app.twizzit.com/public/photos/2183207/s/cd9fd40cf38cd1eb62df0198f102c2154c08c604.jpeg</t>
  </si>
  <si>
    <t>Spileers</t>
  </si>
  <si>
    <t>16/09/1964</t>
  </si>
  <si>
    <t>64.09.16-457.82</t>
  </si>
  <si>
    <t>Spiridon</t>
  </si>
  <si>
    <t>Antoaneta</t>
  </si>
  <si>
    <t>02/05/1982</t>
  </si>
  <si>
    <t>Bevrijdingsstraat</t>
  </si>
  <si>
    <t>82.05.02-490.43</t>
  </si>
  <si>
    <t>Elis</t>
  </si>
  <si>
    <t>06/12/2013</t>
  </si>
  <si>
    <t>13.12.06-409.88</t>
  </si>
  <si>
    <t>Stevens</t>
  </si>
  <si>
    <t>Magalie</t>
  </si>
  <si>
    <t>25/01/2017</t>
  </si>
  <si>
    <t>Wijmierstraat</t>
  </si>
  <si>
    <t>safadorote3@gmail.com</t>
  </si>
  <si>
    <t>0477968913</t>
  </si>
  <si>
    <t>0470044064</t>
  </si>
  <si>
    <t>Maiga</t>
  </si>
  <si>
    <t>Taelman</t>
  </si>
  <si>
    <t>Inne</t>
  </si>
  <si>
    <t>08/10/1979</t>
  </si>
  <si>
    <t>79.10.08-178.50</t>
  </si>
  <si>
    <t>Tant</t>
  </si>
  <si>
    <t>05/10/2009</t>
  </si>
  <si>
    <t>09.10.05-239.93</t>
  </si>
  <si>
    <t>21/09/1973</t>
  </si>
  <si>
    <t>73.09.21-099.91</t>
  </si>
  <si>
    <t>Teirlinck</t>
  </si>
  <si>
    <t>Maaike</t>
  </si>
  <si>
    <t>0476646787</t>
  </si>
  <si>
    <t>Temmerman</t>
  </si>
  <si>
    <t>Rafaël</t>
  </si>
  <si>
    <t>05/09/2002</t>
  </si>
  <si>
    <t>Loboslaan</t>
  </si>
  <si>
    <t>0470396307</t>
  </si>
  <si>
    <t>02.09.05-101.77</t>
  </si>
  <si>
    <t>Termonia</t>
  </si>
  <si>
    <t>23/03/1996</t>
  </si>
  <si>
    <t>96.03.23-416.58</t>
  </si>
  <si>
    <t>Termote</t>
  </si>
  <si>
    <t>08/12/2016</t>
  </si>
  <si>
    <t>Stationsstraat</t>
  </si>
  <si>
    <t>luciaderammelaere@hotmail.com</t>
  </si>
  <si>
    <t>saskiabeys@hotmail.be</t>
  </si>
  <si>
    <t>0494047205</t>
  </si>
  <si>
    <t>0493164021</t>
  </si>
  <si>
    <t>0475489364</t>
  </si>
  <si>
    <t>BE49 1431 1202 2371</t>
  </si>
  <si>
    <t>16.12.08-139.70</t>
  </si>
  <si>
    <t>https://app.twizzit.com/public/photos/10363174/s/49198d22b66317151eafa7e84d216b20e54ab7fe.jpeg</t>
  </si>
  <si>
    <t>Ternoot</t>
  </si>
  <si>
    <t>04/01/2013</t>
  </si>
  <si>
    <t>Camille Lemonnierlaan</t>
  </si>
  <si>
    <t>BE56001584368088</t>
  </si>
  <si>
    <t>13.01.04-277.09</t>
  </si>
  <si>
    <t>https://app.twizzit.com/public/photos/9499964/s/ff5f984b647838e4bd7563b356e5c206230b1763.jpeg</t>
  </si>
  <si>
    <t>Thas</t>
  </si>
  <si>
    <t>Maro</t>
  </si>
  <si>
    <t>23/05/2012</t>
  </si>
  <si>
    <t>Klaproosstraat</t>
  </si>
  <si>
    <t>0472433051</t>
  </si>
  <si>
    <t>0499607150</t>
  </si>
  <si>
    <t>12.05.23-035.76</t>
  </si>
  <si>
    <t>https://app.twizzit.com/public/photos/3451572/s/f7bd7e0dc5dd014e64108bf9fe43059bbb6a9a41.png</t>
  </si>
  <si>
    <t>Thomaes</t>
  </si>
  <si>
    <t>Connor</t>
  </si>
  <si>
    <t>28/01/2014</t>
  </si>
  <si>
    <t>Doornikse Heerweg</t>
  </si>
  <si>
    <t>kenith.thomaes@hotmail.com</t>
  </si>
  <si>
    <t>14.01.28-253.13</t>
  </si>
  <si>
    <t>https://app.twizzit.com/public/photos/2650895/s/8c88bbe29a6ba119edf2563b65cc739d6dc846de.png</t>
  </si>
  <si>
    <t>Quinn</t>
  </si>
  <si>
    <t>07/07/2015</t>
  </si>
  <si>
    <t>https://app.twizzit.com/public/photos/3518572/s/d7b2c59280b93aeff7d8194db7053ca94d3af63f.png</t>
  </si>
  <si>
    <t>Torrekens</t>
  </si>
  <si>
    <t>15/07/2020</t>
  </si>
  <si>
    <t>Ravensdal</t>
  </si>
  <si>
    <t>0491736700</t>
  </si>
  <si>
    <t>0497788333</t>
  </si>
  <si>
    <t>20.07.15-109.36</t>
  </si>
  <si>
    <t>https://app.twizzit.com/public/photos/10452742/s/6c5cf54cdc2121df9ea81aa430b2b5f8abe2c81a.jpeg</t>
  </si>
  <si>
    <t>Tranoy</t>
  </si>
  <si>
    <t>Cedrik</t>
  </si>
  <si>
    <t>Doorniksesteeneg</t>
  </si>
  <si>
    <t>cedrik.tranoy@geldof.com</t>
  </si>
  <si>
    <t>26/01/2010</t>
  </si>
  <si>
    <t>tranoynoah@gmail.com</t>
  </si>
  <si>
    <t>10.01.26-129.16</t>
  </si>
  <si>
    <t>Tytgat</t>
  </si>
  <si>
    <t>Van Assche</t>
  </si>
  <si>
    <t>Jena</t>
  </si>
  <si>
    <t>30/10/2009</t>
  </si>
  <si>
    <t>Spreeuwengoed</t>
  </si>
  <si>
    <t>jena.vanassche@outlook.be</t>
  </si>
  <si>
    <t>0497912121</t>
  </si>
  <si>
    <t>https://app.twizzit.com/public/photos/2183232/s/682c3391b2d7526a89f91553a66f8bf16c09dc4e.png</t>
  </si>
  <si>
    <t>21/04/1978</t>
  </si>
  <si>
    <t>78.04.21-107.56</t>
  </si>
  <si>
    <t>https://app.twizzit.com/public/photos/2183237/s/e1b953fc33ef5534ecc22b0a9058cbebd624fa20.png</t>
  </si>
  <si>
    <t>Mattis</t>
  </si>
  <si>
    <t>0498136875</t>
  </si>
  <si>
    <t>0451022949</t>
  </si>
  <si>
    <t>13.01.02-105.47</t>
  </si>
  <si>
    <t>https://app.twizzit.com/public/photos/2183242/s/024b94ee0589d7797c4da7bd2e98266bcdb2677a.png</t>
  </si>
  <si>
    <t>Van Caeneghem</t>
  </si>
  <si>
    <t>Anoek</t>
  </si>
  <si>
    <t>07/02/1992</t>
  </si>
  <si>
    <t>Cijnskouter</t>
  </si>
  <si>
    <t>0498086024</t>
  </si>
  <si>
    <t>BE73 0020 2079 7360</t>
  </si>
  <si>
    <t>https://app.twizzit.com/public/photos/11917018/s/e098521fbafba2a80a9ddb8d7c06f83cdbae52a9.png</t>
  </si>
  <si>
    <t>Van Cauwenberghe</t>
  </si>
  <si>
    <t>Aster</t>
  </si>
  <si>
    <t>09/01/2020</t>
  </si>
  <si>
    <t>Elisabeth De Saedeleerstraat</t>
  </si>
  <si>
    <t>0476529185</t>
  </si>
  <si>
    <t>20.01.09-039.50</t>
  </si>
  <si>
    <t>https://app.twizzit.com/public/photos/6080950/s/e37d4499e2422d263ca72ca5adc1adb614aa1f40.jpeg</t>
  </si>
  <si>
    <t>Van de Casteele</t>
  </si>
  <si>
    <t>Manu</t>
  </si>
  <si>
    <t>15/12/2018</t>
  </si>
  <si>
    <t>Jagerij</t>
  </si>
  <si>
    <t>pietervdc@gmail.com</t>
  </si>
  <si>
    <t>00472846382</t>
  </si>
  <si>
    <t>Van De Maele</t>
  </si>
  <si>
    <t>Lander</t>
  </si>
  <si>
    <t>26/09/2019</t>
  </si>
  <si>
    <t>Bosstraat</t>
  </si>
  <si>
    <t>jensvdmaele@gmail.com</t>
  </si>
  <si>
    <t>0479246218</t>
  </si>
  <si>
    <t>19.09.26-415.72</t>
  </si>
  <si>
    <t>https://app.twizzit.com/public/photos/10715682/s/9ac40a7d3bcb76b36d9290dcb9c3bcdc167e2add.jpeg</t>
  </si>
  <si>
    <t>Van de Populiere</t>
  </si>
  <si>
    <t>Loes</t>
  </si>
  <si>
    <t>29/09/2015</t>
  </si>
  <si>
    <t>biekemoone@hotmail.com</t>
  </si>
  <si>
    <t>15.09.29-010.12</t>
  </si>
  <si>
    <t>Maxim</t>
  </si>
  <si>
    <t>20/10/2017</t>
  </si>
  <si>
    <t>Pulmstraat</t>
  </si>
  <si>
    <t>Van De Velde</t>
  </si>
  <si>
    <t>Kristien</t>
  </si>
  <si>
    <t>28/02/1979</t>
  </si>
  <si>
    <t>79.02.28-058.96</t>
  </si>
  <si>
    <t>Van De Walle</t>
  </si>
  <si>
    <t>Ilaï</t>
  </si>
  <si>
    <t>29/07/2019</t>
  </si>
  <si>
    <t>Maelbekestraat</t>
  </si>
  <si>
    <t>0474818195</t>
  </si>
  <si>
    <t>Van de Weghe</t>
  </si>
  <si>
    <t>Edouard</t>
  </si>
  <si>
    <t>21/11/2013</t>
  </si>
  <si>
    <t>Rooigemstraat</t>
  </si>
  <si>
    <t>5A</t>
  </si>
  <si>
    <t>13.11.21-329.02</t>
  </si>
  <si>
    <t>Jerome</t>
  </si>
  <si>
    <t>10/11/2015</t>
  </si>
  <si>
    <t>pieter@combus.be</t>
  </si>
  <si>
    <t>0479793011</t>
  </si>
  <si>
    <t>Van de zande</t>
  </si>
  <si>
    <t>Ella</t>
  </si>
  <si>
    <t>08/04/2017</t>
  </si>
  <si>
    <t>'t jolleveld</t>
  </si>
  <si>
    <t>piekske007@yahoo.com</t>
  </si>
  <si>
    <t>0486372617</t>
  </si>
  <si>
    <t>17.04.08-018.59</t>
  </si>
  <si>
    <t>https://app.twizzit.com/public/photos/7665003/s/5ed58413208ebbb451d8f9179fc6141b44a190fa.png</t>
  </si>
  <si>
    <t>Van den Abeele</t>
  </si>
  <si>
    <t>30/11/2017</t>
  </si>
  <si>
    <t>Zénobe Grammestraat</t>
  </si>
  <si>
    <t>Van Den Abeele</t>
  </si>
  <si>
    <t>31/03/2015</t>
  </si>
  <si>
    <t>Van den Meersschaut</t>
  </si>
  <si>
    <t>Jolan</t>
  </si>
  <si>
    <t>28/07/1999</t>
  </si>
  <si>
    <t>Van der Elstraeten</t>
  </si>
  <si>
    <t>Kim</t>
  </si>
  <si>
    <t>15/10/1994</t>
  </si>
  <si>
    <t>René Dhuyvetterstraat</t>
  </si>
  <si>
    <t>94.10.15-302.31</t>
  </si>
  <si>
    <t>Van der Jeught</t>
  </si>
  <si>
    <t>27/12/2013</t>
  </si>
  <si>
    <t>Nederzwalmsesteenweg</t>
  </si>
  <si>
    <t>Kristof_vdj@hotmail.com</t>
  </si>
  <si>
    <t>0494190425</t>
  </si>
  <si>
    <t>0474248880</t>
  </si>
  <si>
    <t>0471773213</t>
  </si>
  <si>
    <t>Van Dorpe</t>
  </si>
  <si>
    <t>Ken</t>
  </si>
  <si>
    <t>16/08/1986</t>
  </si>
  <si>
    <t>Viermaartlaan</t>
  </si>
  <si>
    <t>86.08.16-047.74</t>
  </si>
  <si>
    <t>Kyan</t>
  </si>
  <si>
    <t>09/09/2009</t>
  </si>
  <si>
    <t>Mali-June</t>
  </si>
  <si>
    <t>06/06/2020</t>
  </si>
  <si>
    <t>Elzeelsesteenweg</t>
  </si>
  <si>
    <t>tracy.desmet@hotmail.com</t>
  </si>
  <si>
    <t>0485650671</t>
  </si>
  <si>
    <t>Seppe</t>
  </si>
  <si>
    <t>03/04/2017</t>
  </si>
  <si>
    <t>Omloop</t>
  </si>
  <si>
    <t>angelovandorpe@msn.com</t>
  </si>
  <si>
    <t>0499368402</t>
  </si>
  <si>
    <t>0476246042</t>
  </si>
  <si>
    <t>Van Glabeke</t>
  </si>
  <si>
    <t>Brecht</t>
  </si>
  <si>
    <t>21/04/2009</t>
  </si>
  <si>
    <t>Ronse Baan</t>
  </si>
  <si>
    <t>BE64 0637 6021 9852</t>
  </si>
  <si>
    <t>Van Handenhoven</t>
  </si>
  <si>
    <t>Jaden James</t>
  </si>
  <si>
    <t>02/10/2007</t>
  </si>
  <si>
    <t>Mollekens</t>
  </si>
  <si>
    <t>wendydv@telenet.be</t>
  </si>
  <si>
    <t>0484050702</t>
  </si>
  <si>
    <t>Van Herpe</t>
  </si>
  <si>
    <t>21/12/2016</t>
  </si>
  <si>
    <t>0494706960</t>
  </si>
  <si>
    <t>0479775361</t>
  </si>
  <si>
    <t>16.12.21-151.56</t>
  </si>
  <si>
    <t>Van Herreweghe</t>
  </si>
  <si>
    <t>Jessyca</t>
  </si>
  <si>
    <t>24/08/1989</t>
  </si>
  <si>
    <t xml:space="preserve">Doornikse Heerweg </t>
  </si>
  <si>
    <t>89.08.24-106.32</t>
  </si>
  <si>
    <t>Van hooland</t>
  </si>
  <si>
    <t>13/12/2014</t>
  </si>
  <si>
    <t>Kwadenbulk</t>
  </si>
  <si>
    <t>0499215817</t>
  </si>
  <si>
    <t>https://app.twizzit.com/public/photos/6094381/s/b596c752f25fd4d7188aa68de92c84f3998ed8c5.png</t>
  </si>
  <si>
    <t>Van Hove</t>
  </si>
  <si>
    <t>Heleen</t>
  </si>
  <si>
    <t>12/06/2000</t>
  </si>
  <si>
    <t>Lozerbosstraat</t>
  </si>
  <si>
    <t>00.06.12-088.11</t>
  </si>
  <si>
    <t>https://app.twizzit.com/public/photos/2655220/s/4f0cc0d0b4cada8fea0db6865926f5a1bbd5a209.png</t>
  </si>
  <si>
    <t>14/03/1996</t>
  </si>
  <si>
    <t>96.03.14-384.69</t>
  </si>
  <si>
    <t>Van Marcke</t>
  </si>
  <si>
    <t>Jaimie</t>
  </si>
  <si>
    <t>08/12/2010</t>
  </si>
  <si>
    <t>10.12.08-213.64</t>
  </si>
  <si>
    <t>https://app.twizzit.com/public/photos/4080394/s/a0a6f7a1f3c9650e7b60b7c90fcc741fdb018fb0.png</t>
  </si>
  <si>
    <t>Van Meenen</t>
  </si>
  <si>
    <t>Tristan</t>
  </si>
  <si>
    <t>18/05/2002</t>
  </si>
  <si>
    <t>Keuzelingsstraat</t>
  </si>
  <si>
    <t>jzvanmeenen@telenet.be</t>
  </si>
  <si>
    <t>0468153046</t>
  </si>
  <si>
    <t>02.05.18-039.12</t>
  </si>
  <si>
    <t>Zara</t>
  </si>
  <si>
    <t>19/10/2006</t>
  </si>
  <si>
    <t>Van Merhaeghe</t>
  </si>
  <si>
    <t>Giles</t>
  </si>
  <si>
    <t>26/05/2002</t>
  </si>
  <si>
    <t>02.05.26-107.92</t>
  </si>
  <si>
    <t>Van Moorleghem</t>
  </si>
  <si>
    <t>11/06/1986</t>
  </si>
  <si>
    <t>Schapendries</t>
  </si>
  <si>
    <t>charlotte.vanmoorleghem1@gmail.com</t>
  </si>
  <si>
    <t>BE75750688650551</t>
  </si>
  <si>
    <t>86.06.11-098.62</t>
  </si>
  <si>
    <t>Van Nieuwenhuyze</t>
  </si>
  <si>
    <t>Emma</t>
  </si>
  <si>
    <t>20/11/2016</t>
  </si>
  <si>
    <t>B</t>
  </si>
  <si>
    <t>pietervannieuwenhuyze1984@gmail.com</t>
  </si>
  <si>
    <t>maaikeschiettecatte@gmail.com</t>
  </si>
  <si>
    <t>0477259667</t>
  </si>
  <si>
    <t>0499272428</t>
  </si>
  <si>
    <t>16.11.20-014.22</t>
  </si>
  <si>
    <t>18/05/2019</t>
  </si>
  <si>
    <t>Van Nimmen</t>
  </si>
  <si>
    <t>Werner</t>
  </si>
  <si>
    <t>30/11/1969</t>
  </si>
  <si>
    <t>Van Ongevalle</t>
  </si>
  <si>
    <t>Benoit</t>
  </si>
  <si>
    <t>25/07/1972</t>
  </si>
  <si>
    <t>elke.de.boever@telenet.be</t>
  </si>
  <si>
    <t>72.07.25-115.17</t>
  </si>
  <si>
    <t>19/05/2008</t>
  </si>
  <si>
    <t>0478999985</t>
  </si>
  <si>
    <t>08.05.19-189.55</t>
  </si>
  <si>
    <t>https://app.twizzit.com/public/photos/2183322/s/9038b0da9e8a70a8b8e43647825a4e12c779a62c.png</t>
  </si>
  <si>
    <t>Van Overmeire</t>
  </si>
  <si>
    <t>Wout</t>
  </si>
  <si>
    <t>08/01/1998</t>
  </si>
  <si>
    <t>wout.vanovermeire@hotmail.com</t>
  </si>
  <si>
    <t>98.01.08-343.27</t>
  </si>
  <si>
    <t>https://app.twizzit.com/public/photos/2183327/s/c4bd2eb95cc81839b2acbb82001ab5c02815b510.png</t>
  </si>
  <si>
    <t>Van Rechem</t>
  </si>
  <si>
    <t>Karsten</t>
  </si>
  <si>
    <t>30/10/2002</t>
  </si>
  <si>
    <t>Wilgendreef</t>
  </si>
  <si>
    <t>02.10.30-051.63</t>
  </si>
  <si>
    <t>https://app.twizzit.com/public/photos/2183332/s/d6be3669617c8e0b5c9fa9c565fc0f52e9a1b458.png</t>
  </si>
  <si>
    <t>Van Sande</t>
  </si>
  <si>
    <t>15/11/2013</t>
  </si>
  <si>
    <t>Schorissestraat</t>
  </si>
  <si>
    <t>Sylvie.mincke@outlook.com</t>
  </si>
  <si>
    <t>13.11.15-263.54</t>
  </si>
  <si>
    <t>https://app.twizzit.com/public/photos/2650608/s/9cebeb89f0d68fff18c1faf3be6be5621d757adb.png</t>
  </si>
  <si>
    <t>Van Schoorisse</t>
  </si>
  <si>
    <t>Miro</t>
  </si>
  <si>
    <t>25/05/2009</t>
  </si>
  <si>
    <t>Rue du Garceau</t>
  </si>
  <si>
    <t>2A</t>
  </si>
  <si>
    <t>mirovanschoorisse@gmail.com</t>
  </si>
  <si>
    <t>vincentvanschoorisse@gmail.com</t>
  </si>
  <si>
    <t>Van Snick</t>
  </si>
  <si>
    <t>13/01/2013</t>
  </si>
  <si>
    <t>Van Welden</t>
  </si>
  <si>
    <t>03/05/1988</t>
  </si>
  <si>
    <t>Bredestraat</t>
  </si>
  <si>
    <t>88.05.03-139.05</t>
  </si>
  <si>
    <t>Van Wyngene</t>
  </si>
  <si>
    <t>Bram</t>
  </si>
  <si>
    <t>21/04/1983</t>
  </si>
  <si>
    <t>Lindebloesemlaan</t>
  </si>
  <si>
    <t>0477349575</t>
  </si>
  <si>
    <t>83.04.21-153.18</t>
  </si>
  <si>
    <t>Vanbutsele</t>
  </si>
  <si>
    <t>Olivia</t>
  </si>
  <si>
    <t>Hof te Fiennesstraat</t>
  </si>
  <si>
    <t>Mike.vb@telenet.be</t>
  </si>
  <si>
    <t>0479484158</t>
  </si>
  <si>
    <t>https://app.twizzit.com/public/photos/4292310/s/063d2ce017539cf8df316f28e3a639739d1c1148.jpeg</t>
  </si>
  <si>
    <t>Vandaele</t>
  </si>
  <si>
    <t>27/01/2012</t>
  </si>
  <si>
    <t>Molenkouter</t>
  </si>
  <si>
    <t>12.01.27-295.56</t>
  </si>
  <si>
    <t>Vande Kerckhove</t>
  </si>
  <si>
    <t>29/06/2009</t>
  </si>
  <si>
    <t>Leenstraat</t>
  </si>
  <si>
    <t>0498621224</t>
  </si>
  <si>
    <t>Vande Walle</t>
  </si>
  <si>
    <t>20/03/1989</t>
  </si>
  <si>
    <t>89.03.20-369.48</t>
  </si>
  <si>
    <t>Vandecappelle</t>
  </si>
  <si>
    <t>15/09/1994</t>
  </si>
  <si>
    <t>94.09.15-508.12</t>
  </si>
  <si>
    <t>Vandemaele</t>
  </si>
  <si>
    <t>Lukas</t>
  </si>
  <si>
    <t>08/07/2012</t>
  </si>
  <si>
    <t>Wimvandemaele@hotmail.com</t>
  </si>
  <si>
    <t>Mieke_dolphens@hotmail.com</t>
  </si>
  <si>
    <t>12.07.08-097.90</t>
  </si>
  <si>
    <t>14/12/1979</t>
  </si>
  <si>
    <t>79.12.14-145.14</t>
  </si>
  <si>
    <t>Vanden abeele</t>
  </si>
  <si>
    <t>28/09/2017</t>
  </si>
  <si>
    <t>vdbkatrien@gmail.com</t>
  </si>
  <si>
    <t>0468328900</t>
  </si>
  <si>
    <t>17.09.28-139.52</t>
  </si>
  <si>
    <t>https://app.twizzit.com/public/photos/4421928/s/e58d0247e8e789285dd7b82c95b7f26988445978.png</t>
  </si>
  <si>
    <t>Vanden Hautte</t>
  </si>
  <si>
    <t>26/01/2018</t>
  </si>
  <si>
    <t>Kevin.vdh@gmail.com</t>
  </si>
  <si>
    <t>0473448896</t>
  </si>
  <si>
    <t>18.01.26-179.37</t>
  </si>
  <si>
    <t>https://app.twizzit.com/public/photos/10733442/s/de71a0feaf3ea4a6afe343b706af319962bb20c0.jpeg</t>
  </si>
  <si>
    <t>Vandenbergh</t>
  </si>
  <si>
    <t>Mattia</t>
  </si>
  <si>
    <t>06/06/2014</t>
  </si>
  <si>
    <t>wouter_vandenbergh@hotmail.com</t>
  </si>
  <si>
    <t>0494260480</t>
  </si>
  <si>
    <t>0472445676</t>
  </si>
  <si>
    <t>https://app.twizzit.com/public/photos/4776399/s/74c8a08bc217c9da0cda8a4efd0768e59f31490f.png</t>
  </si>
  <si>
    <t>Vandenbossche</t>
  </si>
  <si>
    <t>Evelyne</t>
  </si>
  <si>
    <t>05/10/1979</t>
  </si>
  <si>
    <t>79.10.05-142.79</t>
  </si>
  <si>
    <t xml:space="preserve">Vandenbroucke </t>
  </si>
  <si>
    <t>12/05/1979</t>
  </si>
  <si>
    <t>Berkenstraat</t>
  </si>
  <si>
    <t>79.05.12-042.31</t>
  </si>
  <si>
    <t>Vandendaele</t>
  </si>
  <si>
    <t>29/12/1999</t>
  </si>
  <si>
    <t>Broektestraat 2</t>
  </si>
  <si>
    <t>0474061517</t>
  </si>
  <si>
    <t>99.12.29-289.34</t>
  </si>
  <si>
    <t>Vandendriessche</t>
  </si>
  <si>
    <t>Ona</t>
  </si>
  <si>
    <t>23/09/2018</t>
  </si>
  <si>
    <t>Ganzendries</t>
  </si>
  <si>
    <t>wovanden@microsoft.com</t>
  </si>
  <si>
    <t>0475594603</t>
  </si>
  <si>
    <t>Vandenhecke</t>
  </si>
  <si>
    <t>Arnaud</t>
  </si>
  <si>
    <t>07/04/2015</t>
  </si>
  <si>
    <t>Karmstraat</t>
  </si>
  <si>
    <t>Vander Beken</t>
  </si>
  <si>
    <t>Ilias</t>
  </si>
  <si>
    <t>Wijmierstraar</t>
  </si>
  <si>
    <t>joshua.vander.beken@gmail.com</t>
  </si>
  <si>
    <t>tine_de_smet90@hotmail.com</t>
  </si>
  <si>
    <t>hanne_cls@hotmail.com</t>
  </si>
  <si>
    <t>0468142508</t>
  </si>
  <si>
    <t>0474946901</t>
  </si>
  <si>
    <t>15.04.28-007.10</t>
  </si>
  <si>
    <t>https://app.twizzit.com/public/photos/9469457/s/eb40348dfb8a2c0c9b13e74dd04369019dbd2f32.jpeg</t>
  </si>
  <si>
    <t>Joshua</t>
  </si>
  <si>
    <t>Tiesj</t>
  </si>
  <si>
    <t>19/11/2019</t>
  </si>
  <si>
    <t>Keizer Karelstraat</t>
  </si>
  <si>
    <t>0496404704</t>
  </si>
  <si>
    <t>Vanderhaeghen</t>
  </si>
  <si>
    <t>Ellis</t>
  </si>
  <si>
    <t>28/10/2011</t>
  </si>
  <si>
    <t>Trekweg Rechterover</t>
  </si>
  <si>
    <t>tim.vanderhaeghen@gmail.com</t>
  </si>
  <si>
    <t>0477869469</t>
  </si>
  <si>
    <t>0477797513</t>
  </si>
  <si>
    <t>11.10.28-048.24</t>
  </si>
  <si>
    <t>https://app.twizzit.com/public/photos/2183362/s/b5eb277d00bfbe6732a1eb3ede2622df0624e276.png</t>
  </si>
  <si>
    <t>Vanderhelstraeten</t>
  </si>
  <si>
    <t>05/03/2007</t>
  </si>
  <si>
    <t>Minderbroederstraat</t>
  </si>
  <si>
    <t>emielvanderhelstraeten@gmail.com</t>
  </si>
  <si>
    <t>07.03.05-013.34</t>
  </si>
  <si>
    <t>Vanderschueren</t>
  </si>
  <si>
    <t>Auguste</t>
  </si>
  <si>
    <t>17/08/2019</t>
  </si>
  <si>
    <t>Vijflindendries</t>
  </si>
  <si>
    <t>olivier.vanderschueren@safetyjogger.com</t>
  </si>
  <si>
    <t>Vanderstraeten</t>
  </si>
  <si>
    <t>Elize</t>
  </si>
  <si>
    <t>27/05/2021</t>
  </si>
  <si>
    <t>Ommegangstraat</t>
  </si>
  <si>
    <t>66b</t>
  </si>
  <si>
    <t>0496654860</t>
  </si>
  <si>
    <t>05/07/2016</t>
  </si>
  <si>
    <t>16.07.05-189.75</t>
  </si>
  <si>
    <t>https://app.twizzit.com/public/photos/3447788/s/a21b510884c5e068d9fd07894f967e10ecef7568.png</t>
  </si>
  <si>
    <t>Vandervoort</t>
  </si>
  <si>
    <t>21/04/1997</t>
  </si>
  <si>
    <t>Oude Blekerijstraat</t>
  </si>
  <si>
    <t>97.04.21-531.31</t>
  </si>
  <si>
    <t>Vandevelde</t>
  </si>
  <si>
    <t>Marthe</t>
  </si>
  <si>
    <t>05/02/1946</t>
  </si>
  <si>
    <t>Smallendam</t>
  </si>
  <si>
    <t>49664.27.78</t>
  </si>
  <si>
    <t>46.02.05-150.01</t>
  </si>
  <si>
    <t>Vandewege</t>
  </si>
  <si>
    <t>Flo</t>
  </si>
  <si>
    <t>08/06/2020</t>
  </si>
  <si>
    <t>diedev@hotmail.com</t>
  </si>
  <si>
    <t>0496432106</t>
  </si>
  <si>
    <t>https://app.twizzit.com/public/photos/10452584/s/5f2777167147a40d5e0cdf16d10044b2680e0e8c.png</t>
  </si>
  <si>
    <t>Vandriessche</t>
  </si>
  <si>
    <t>Janne</t>
  </si>
  <si>
    <t>23/06/2008</t>
  </si>
  <si>
    <t>Steengat</t>
  </si>
  <si>
    <t>wout.vandriessche@telenet.be</t>
  </si>
  <si>
    <t>0474875556</t>
  </si>
  <si>
    <t>30/10/2010</t>
  </si>
  <si>
    <t>Vanhessche</t>
  </si>
  <si>
    <t>Anaïs</t>
  </si>
  <si>
    <t>miekevanderhaeghen@gmail.com</t>
  </si>
  <si>
    <t>0477741955</t>
  </si>
  <si>
    <t>0484478913</t>
  </si>
  <si>
    <t>12.06.12-040.20</t>
  </si>
  <si>
    <t>https://app.twizzit.com/public/photos/2183392/s/3035381a43296f702255c02c3c99c4303bd9ab17.png</t>
  </si>
  <si>
    <t>Césa</t>
  </si>
  <si>
    <t>09/09/2014</t>
  </si>
  <si>
    <t>14.09.09-175.38</t>
  </si>
  <si>
    <t>https://app.twizzit.com/public/photos/2650948/s/a23afe337ad3bd9422eefdb4bcdf28808a36cbc4.png</t>
  </si>
  <si>
    <t>31/07/1973</t>
  </si>
  <si>
    <t>73.07.31-227.37</t>
  </si>
  <si>
    <t>https://app.twizzit.com/public/photos/2655206/s/490553b505800ebdfa046bd5141a728af15526f1.jpeg</t>
  </si>
  <si>
    <t>Vanhoutte</t>
  </si>
  <si>
    <t>Alek</t>
  </si>
  <si>
    <t>10/11/2008</t>
  </si>
  <si>
    <t>0477684192</t>
  </si>
  <si>
    <t>08.11.10-115.53</t>
  </si>
  <si>
    <t>https://app.twizzit.com/public/photos/2183397/s/f8b8f62887383271a37c0f5f75612b98208e8772.jpeg</t>
  </si>
  <si>
    <t>06/12/1971</t>
  </si>
  <si>
    <t>jeugdcoordinator@haantjesoudenaarde.be</t>
  </si>
  <si>
    <t>71.12.06-098.36</t>
  </si>
  <si>
    <t>Piet</t>
  </si>
  <si>
    <t>17/04/1976</t>
  </si>
  <si>
    <t>76.04.17-007.40</t>
  </si>
  <si>
    <t>Vanneste</t>
  </si>
  <si>
    <t>Ronan</t>
  </si>
  <si>
    <t>03/06/2019</t>
  </si>
  <si>
    <t>Ten Hulle</t>
  </si>
  <si>
    <t>Koen.vanneste.k@gmail.com</t>
  </si>
  <si>
    <t>0476974657</t>
  </si>
  <si>
    <t>https://app.twizzit.com/public/photos/7992424/s/7741759047d554aed7aaac84a694a4ea4a62b085.jpeg</t>
  </si>
  <si>
    <t>Vannieuwenhuyze</t>
  </si>
  <si>
    <t>Joselien</t>
  </si>
  <si>
    <t>16/06/2016</t>
  </si>
  <si>
    <t>Elsegemplein</t>
  </si>
  <si>
    <t>elisabeth.vercammen@outlook.com</t>
  </si>
  <si>
    <t>BE24860107151838</t>
  </si>
  <si>
    <t>16.06.16-070.51</t>
  </si>
  <si>
    <t>https://app.twizzit.com/public/photos/7500726/s/2eff7ed0f6739149e998067c7d82dda70894fc63.png</t>
  </si>
  <si>
    <t>Vansteenbrugge</t>
  </si>
  <si>
    <t>28/01/1985</t>
  </si>
  <si>
    <t>Jules Lacroixstraat</t>
  </si>
  <si>
    <t>85.01.28-159.17</t>
  </si>
  <si>
    <t>Vanwynsberghe</t>
  </si>
  <si>
    <t>Aline</t>
  </si>
  <si>
    <t>26/01/2008</t>
  </si>
  <si>
    <t>Tweebekenstraat</t>
  </si>
  <si>
    <t>Velghe</t>
  </si>
  <si>
    <t>Lias</t>
  </si>
  <si>
    <t>11/02/2018</t>
  </si>
  <si>
    <t>Rijksweg</t>
  </si>
  <si>
    <t>natacham_davidv@hotmail.be</t>
  </si>
  <si>
    <t>0498593233</t>
  </si>
  <si>
    <t>https://app.twizzit.com/public/photos/3445768/s/4c884b157432a6deaaa18542df061bd432646fa3.png</t>
  </si>
  <si>
    <t>Verbruggen</t>
  </si>
  <si>
    <t>08/04/2013</t>
  </si>
  <si>
    <t>Kerkakkerstraat</t>
  </si>
  <si>
    <t>antonyv@gmail.com</t>
  </si>
  <si>
    <t>0485141313</t>
  </si>
  <si>
    <t>0470404300</t>
  </si>
  <si>
    <t>13.04.08-121.66</t>
  </si>
  <si>
    <t>Verbrugghe</t>
  </si>
  <si>
    <t>Basile</t>
  </si>
  <si>
    <t>11/06/2018</t>
  </si>
  <si>
    <t>Meldenstraat</t>
  </si>
  <si>
    <t>Chrisverbrugghe@hotmail.com</t>
  </si>
  <si>
    <t>Hera</t>
  </si>
  <si>
    <t>07/09/2016</t>
  </si>
  <si>
    <t>Verbuecken</t>
  </si>
  <si>
    <t>24/12/1985</t>
  </si>
  <si>
    <t>85.12.24-242.34</t>
  </si>
  <si>
    <t>https://app.twizzit.com/public/photos/4361675/s/a08074a8bbefa3a9e8675dc3435d5d8820bbaa97.png</t>
  </si>
  <si>
    <t>Vercammen</t>
  </si>
  <si>
    <t>https://app.twizzit.com/public/photos/7664134/s/e9cbd90d99267ce3a10b22cc957c02f11dc088ed.png</t>
  </si>
  <si>
    <t>Vercauteren Ackerman</t>
  </si>
  <si>
    <t>Fynn</t>
  </si>
  <si>
    <t>17/06/2017</t>
  </si>
  <si>
    <t>0484692806</t>
  </si>
  <si>
    <t>Verhaeghe</t>
  </si>
  <si>
    <t>Lente</t>
  </si>
  <si>
    <t>22/02/2010</t>
  </si>
  <si>
    <t>Kaankouter</t>
  </si>
  <si>
    <t>achiel.en.hector@hotmail.com</t>
  </si>
  <si>
    <t>verhaeghelente@gmail.com</t>
  </si>
  <si>
    <t>10.02.22-056.22</t>
  </si>
  <si>
    <t>https://app.twizzit.com/public/photos/3706826/s/7283d518f82547e0fb530790cddedb0edf0a5785.jpeg</t>
  </si>
  <si>
    <t>Verhelst</t>
  </si>
  <si>
    <t>Debbie</t>
  </si>
  <si>
    <t>18/12/1983</t>
  </si>
  <si>
    <t>0486260376</t>
  </si>
  <si>
    <t>83.12.18-030.93</t>
  </si>
  <si>
    <t>Verhoeyen</t>
  </si>
  <si>
    <t>Thys</t>
  </si>
  <si>
    <t>20/11/1987</t>
  </si>
  <si>
    <t>Schoolstraat</t>
  </si>
  <si>
    <t>87.11.20-217.20</t>
  </si>
  <si>
    <t>Viek</t>
  </si>
  <si>
    <t>29/11/2013</t>
  </si>
  <si>
    <t>Sint Amandusstraat</t>
  </si>
  <si>
    <t>0470229908</t>
  </si>
  <si>
    <t>13.11.29-029.62</t>
  </si>
  <si>
    <t>Verkest</t>
  </si>
  <si>
    <t>Thibo</t>
  </si>
  <si>
    <t>18/04/1993</t>
  </si>
  <si>
    <t>Ninoofsesteenweg</t>
  </si>
  <si>
    <t>93.04.18-145.35</t>
  </si>
  <si>
    <t>Verleyen</t>
  </si>
  <si>
    <t>07/01/2011</t>
  </si>
  <si>
    <t>Koestraat</t>
  </si>
  <si>
    <t>58D</t>
  </si>
  <si>
    <t>emma.verleyen094@gmail.com</t>
  </si>
  <si>
    <t>0479607716</t>
  </si>
  <si>
    <t>0496129595</t>
  </si>
  <si>
    <t>11.01.07-112.42</t>
  </si>
  <si>
    <t>Verlinden</t>
  </si>
  <si>
    <t>20/02/2009</t>
  </si>
  <si>
    <t>Elisabeth de Saedeleerstraat</t>
  </si>
  <si>
    <t>0478376691</t>
  </si>
  <si>
    <t>09.02.20-175.39</t>
  </si>
  <si>
    <t>Jelle</t>
  </si>
  <si>
    <t>05/10/1989</t>
  </si>
  <si>
    <t>Sint-Maartenslaan</t>
  </si>
  <si>
    <t>89.10.05-153.84</t>
  </si>
  <si>
    <t>24/02/2015</t>
  </si>
  <si>
    <t>Ankerstraat</t>
  </si>
  <si>
    <t>Vermassen</t>
  </si>
  <si>
    <t>24/03/2013</t>
  </si>
  <si>
    <t>Paelweg</t>
  </si>
  <si>
    <t>twizzit@kevinvermassen.be</t>
  </si>
  <si>
    <t>0485424067</t>
  </si>
  <si>
    <t>0474971531</t>
  </si>
  <si>
    <t>0498493330</t>
  </si>
  <si>
    <t>Vermeerschen</t>
  </si>
  <si>
    <t>Matz</t>
  </si>
  <si>
    <t>04/02/2014</t>
  </si>
  <si>
    <t>14.02.04-105.15</t>
  </si>
  <si>
    <t>Verschatse</t>
  </si>
  <si>
    <t>29/11/2015</t>
  </si>
  <si>
    <t>0468516883</t>
  </si>
  <si>
    <t>0473436280</t>
  </si>
  <si>
    <t>https://app.twizzit.com/public/photos/3557796/s/59f2bc8b383bb3e65d902c435f70a74103c4138d.png</t>
  </si>
  <si>
    <t>Lena</t>
  </si>
  <si>
    <t>23/11/2009</t>
  </si>
  <si>
    <t>09.11.23-232.52</t>
  </si>
  <si>
    <t>Verschueren</t>
  </si>
  <si>
    <t>27/06/1989</t>
  </si>
  <si>
    <t>89.06.27-274.51</t>
  </si>
  <si>
    <t>https://app.twizzit.com/public/photos/2183447/s/1f201bfdf86762e0642c70c1aa487baf5ab852bb.png</t>
  </si>
  <si>
    <t>Versmessen</t>
  </si>
  <si>
    <t>01/04/2017</t>
  </si>
  <si>
    <t>Terkerkenlaan</t>
  </si>
  <si>
    <t>veerle_coussement@hotmail.com</t>
  </si>
  <si>
    <t>https://app.twizzit.com/public/photos/3447367/s/f6e635bb7022dfc6607d762d0f4b7b25a59a85c4.png</t>
  </si>
  <si>
    <t>Verstraete</t>
  </si>
  <si>
    <t>Bogdan</t>
  </si>
  <si>
    <t>19/11/2008</t>
  </si>
  <si>
    <t>Stasegemsesteenweg</t>
  </si>
  <si>
    <t>wtbi.verstraete@gmail.com</t>
  </si>
  <si>
    <t>0486983966</t>
  </si>
  <si>
    <t>0468305290</t>
  </si>
  <si>
    <t>08.11.19-149.40</t>
  </si>
  <si>
    <t>Verstraeten</t>
  </si>
  <si>
    <t>07/12/2012</t>
  </si>
  <si>
    <t>Grimbergen</t>
  </si>
  <si>
    <t>Rens</t>
  </si>
  <si>
    <t>13/10/2014</t>
  </si>
  <si>
    <t>Vervaeck</t>
  </si>
  <si>
    <t>Baptiste</t>
  </si>
  <si>
    <t>07/07/2009</t>
  </si>
  <si>
    <t>Lamontstraat</t>
  </si>
  <si>
    <t>Dries.vervaeck@gmail.com</t>
  </si>
  <si>
    <t>0479970549</t>
  </si>
  <si>
    <t>Hongarije</t>
  </si>
  <si>
    <t>Ineke</t>
  </si>
  <si>
    <t>02/06/1984</t>
  </si>
  <si>
    <t>J.Lacopsstraat</t>
  </si>
  <si>
    <t>84.06.02-056.41</t>
  </si>
  <si>
    <t>Viaene</t>
  </si>
  <si>
    <t>07/10/2009</t>
  </si>
  <si>
    <t>0497313727</t>
  </si>
  <si>
    <t>0479523143</t>
  </si>
  <si>
    <t>09.10.07-043.35</t>
  </si>
  <si>
    <t>Vindevogel</t>
  </si>
  <si>
    <t>Christine</t>
  </si>
  <si>
    <t>19/09/1961</t>
  </si>
  <si>
    <t>Nederenamestraat</t>
  </si>
  <si>
    <t>48686.86.51</t>
  </si>
  <si>
    <t>61.09.19-166.26</t>
  </si>
  <si>
    <t>Vleurinck</t>
  </si>
  <si>
    <t>Guy</t>
  </si>
  <si>
    <t>03/09/1945</t>
  </si>
  <si>
    <t>Spinmolenplein</t>
  </si>
  <si>
    <t>0475584066</t>
  </si>
  <si>
    <t>45.09.03-145.94</t>
  </si>
  <si>
    <t>Volkaert</t>
  </si>
  <si>
    <t>Kenny</t>
  </si>
  <si>
    <t>14/03/2000</t>
  </si>
  <si>
    <t>Kleibergstraat</t>
  </si>
  <si>
    <t>00.03.14-269.40</t>
  </si>
  <si>
    <t>Vossen</t>
  </si>
  <si>
    <t>12/06/2019</t>
  </si>
  <si>
    <t>Sterrestraat</t>
  </si>
  <si>
    <t>pieterpaulvossen@hotmail.com</t>
  </si>
  <si>
    <t>0474575676</t>
  </si>
  <si>
    <t>0472546513</t>
  </si>
  <si>
    <t>Vrijens</t>
  </si>
  <si>
    <t>25/04/2010</t>
  </si>
  <si>
    <t>mathis.vrijens@outlook.com</t>
  </si>
  <si>
    <t>Be88377063360841</t>
  </si>
  <si>
    <t>10.04.25-101.95</t>
  </si>
  <si>
    <t>Vunck</t>
  </si>
  <si>
    <t>26/07/2018</t>
  </si>
  <si>
    <t>Misweg</t>
  </si>
  <si>
    <t>fam.vunck.demoor@outlook.com</t>
  </si>
  <si>
    <t>https://app.twizzit.com/public/photos/8418462/s/4cd851c617ea9849ca7ba85a62a0807b8b769b48.jpeg</t>
  </si>
  <si>
    <t>0473356747</t>
  </si>
  <si>
    <t>Waeghe</t>
  </si>
  <si>
    <t>Frank</t>
  </si>
  <si>
    <t>16/04/1974</t>
  </si>
  <si>
    <t>Esstraat</t>
  </si>
  <si>
    <t>frank.waeghe@telenet.be</t>
  </si>
  <si>
    <t>74.04.16-157.72</t>
  </si>
  <si>
    <t>Xander</t>
  </si>
  <si>
    <t>10/08/2003</t>
  </si>
  <si>
    <t>Waelkens</t>
  </si>
  <si>
    <t>Gaston</t>
  </si>
  <si>
    <t>26/12/2018</t>
  </si>
  <si>
    <t>18.12.26-041.58</t>
  </si>
  <si>
    <t>https://app.twizzit.com/public/photos/3437289/s/570cbbb3ba40336fabf43491384c678cfbbf4db4.png</t>
  </si>
  <si>
    <t>Jeanne</t>
  </si>
  <si>
    <t>14/03/2017</t>
  </si>
  <si>
    <t>17.03.14-607.27</t>
  </si>
  <si>
    <t>https://app.twizzit.com/public/photos/3437291/s/f3577d619164c0e4ca4ac15321e6e9e51e00ea9d.png</t>
  </si>
  <si>
    <t>Waterschoot</t>
  </si>
  <si>
    <t>Owen</t>
  </si>
  <si>
    <t>09/10/2000</t>
  </si>
  <si>
    <t>Lindenstraat</t>
  </si>
  <si>
    <t>0470821235</t>
  </si>
  <si>
    <t>00.10.09-139.78</t>
  </si>
  <si>
    <t>Wattenberghe</t>
  </si>
  <si>
    <t>Elio</t>
  </si>
  <si>
    <t>16/11/2007</t>
  </si>
  <si>
    <t>Ninovestraat</t>
  </si>
  <si>
    <t>Watteyn</t>
  </si>
  <si>
    <t>17/04/2004</t>
  </si>
  <si>
    <t>Morinnestraat</t>
  </si>
  <si>
    <t>0471244684</t>
  </si>
  <si>
    <t>04.04.17-069.47</t>
  </si>
  <si>
    <t>Werbrouck</t>
  </si>
  <si>
    <t>12/11/2008</t>
  </si>
  <si>
    <t>Wieme</t>
  </si>
  <si>
    <t>Keandro</t>
  </si>
  <si>
    <t>30/03/2011</t>
  </si>
  <si>
    <t>eddy.wieme@hotmail.com</t>
  </si>
  <si>
    <t>Wisbecq</t>
  </si>
  <si>
    <t>Océane</t>
  </si>
  <si>
    <t>26/08/2019</t>
  </si>
  <si>
    <t>jasper.wisbecq@hotmail.com</t>
  </si>
  <si>
    <t>0472459757</t>
  </si>
  <si>
    <t>Woestenborghs</t>
  </si>
  <si>
    <t>11/07/2011</t>
  </si>
  <si>
    <t>Yurtay</t>
  </si>
  <si>
    <t>Yasin</t>
  </si>
  <si>
    <t>05/01/2011</t>
  </si>
  <si>
    <t>Zekri</t>
  </si>
  <si>
    <t>Mehdi</t>
  </si>
  <si>
    <t>08/04/1997</t>
  </si>
  <si>
    <t>Armand Demeulemeesterstraat</t>
  </si>
  <si>
    <t>mehdi.zekri@outlook.be</t>
  </si>
  <si>
    <t>97.04.08-383.84</t>
  </si>
  <si>
    <t xml:space="preserve">  </t>
  </si>
  <si>
    <t>Email</t>
  </si>
  <si>
    <t>Mobiel</t>
  </si>
  <si>
    <t>Lidnummer</t>
  </si>
  <si>
    <t>Functie</t>
  </si>
  <si>
    <t>Ploeg</t>
  </si>
  <si>
    <t>TEAM</t>
  </si>
  <si>
    <t>Titel</t>
  </si>
  <si>
    <t>Email (prioriteit)</t>
  </si>
  <si>
    <t>Aantal leden zonder enige e-mail (E-mail 1/2/3 alle leeg)</t>
  </si>
  <si>
    <t>Totaal aantal leden (rijen)</t>
  </si>
  <si>
    <t>GSM (prioriteit)</t>
  </si>
  <si>
    <t>GSM</t>
  </si>
  <si>
    <t>Aantal GSM-nummers opgeslagen als getal (mogelijk fout formaat)</t>
  </si>
  <si>
    <t>Aantal GSM (AN kolom) die als getal tonen in Jeugdrefs-keten</t>
  </si>
  <si>
    <t>Aantal GSM met afwijkende lengte (mogelijk fout in brondata)</t>
  </si>
  <si>
    <t>GSM-nummer</t>
  </si>
  <si>
    <t>referee</t>
  </si>
  <si>
    <t>+32499214775</t>
  </si>
  <si>
    <t>ploeg</t>
  </si>
  <si>
    <t>+32 479 18 30 30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</si>
</sst>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b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1" fontId="0" fillId="0" borderId="0" xfId="0" applyNumberFormat="1"/>
    <xf numFmtId="49" fontId="0" fillId="0" borderId="0" xfId="0" applyNumberFormat="1"/>
    <xf numFmtId="0" fontId="2" fillId="2" borderId="0" xfId="0" applyFont="1" applyFill="1"/>
    <xf numFmtId="0" fontId="1" fillId="0" borderId="0" xfId="0" applyFont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tijn Huysman" id="{CB4A4CFC-EA56-4F2E-9237-E714ACFD92EB}" userId="S::stijn.huysman@mateco.eu::43cd8fdd-6e83-4c0e-a2e1-fc0c952b6c4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79" dT="2026-08-26T04:48:33.19" personId="{CB4A4CFC-EA56-4F2E-9237-E714ACFD92EB}" id="{189C46E6-4C7B-4A3A-868E-FFB8D8654AF3}">
    <text>Handmatig ingevoerd door gebruiker (was leeg in Twizzit-export)</text>
  </threadedComment>
  <threadedComment ref="V80" dT="2026-08-26T04:48:33.20" personId="{CB4A4CFC-EA56-4F2E-9237-E714ACFD92EB}" id="{EA4DF294-D8D2-4E7A-888A-47E31F58DC5F}">
    <text>Handmatig ingevoerd door gebruiker (was leeg in Twizzit-export)</text>
  </threadedComment>
  <threadedComment ref="V91" dT="2026-08-26T04:48:33.22" personId="{CB4A4CFC-EA56-4F2E-9237-E714ACFD92EB}" id="{9DC61BA5-D31C-4014-8B5F-79C77877DAAA}">
    <text>Handmatig ingevoerd door gebruiker (was leeg in Twizzit-export)</text>
  </threadedComment>
</ThreadedComments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  <wetp:taskpane dockstate="right" visibility="0" width="438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9A24540-454E-4A1F-B395-9EC1F91979A2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4efd9fe0-d384-4a68-b5e4-009a9bc0227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49797BC9-ACF6-4982-B732-F617C49004A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5d2c63e-00f3-4799-b8c4-ef9fac4a9e8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744"/>
  <sheetViews>
    <sheetView topLeftCell="P61" workbookViewId="0">
      <selection activeCell="V87" sqref="V87"/>
    </sheetView>
  </sheetViews>
  <sheetFormatPr defaultRowHeight="14.4" x14ac:dyDescent="0.3"/>
  <cols>
    <col min="7" max="7" width="25.33203125" customWidth="1"/>
    <col min="15" max="15" width="67.6640625" customWidth="1"/>
    <col min="16" max="16" width="39.88671875" customWidth="1"/>
    <col min="31" max="31" width="38.88671875" customWidth="1"/>
    <col min="36" max="36" width="32.5546875" customWidth="1"/>
    <col min="37" max="37" width="25.33203125" customWidth="1"/>
  </cols>
  <sheetData>
    <row r="1" spans="1:41" x14ac:dyDescent="0.3">
      <c r="A1" t="s">
        <v>0</v>
      </c>
      <c r="B1" t="s">
        <v>1</v>
      </c>
      <c r="C1" t="s">
        <v>2</v>
      </c>
      <c r="D1" t="s">
        <v>2879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2887</v>
      </c>
      <c r="AN1" t="s">
        <v>2890</v>
      </c>
      <c r="AO1" t="s">
        <v>2888</v>
      </c>
    </row>
    <row r="2" spans="1:41" x14ac:dyDescent="0.3">
      <c r="A2">
        <v>5559997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>
        <v>26</v>
      </c>
      <c r="J2">
        <v>9700</v>
      </c>
      <c r="K2" t="s">
        <v>43</v>
      </c>
      <c r="L2" t="s">
        <v>44</v>
      </c>
      <c r="M2" t="s">
        <v>45</v>
      </c>
      <c r="O2" t="s">
        <v>46</v>
      </c>
      <c r="P2" t="s">
        <v>47</v>
      </c>
      <c r="AF2">
        <v>1005559997</v>
      </c>
      <c r="AM2" t="str" cm="1">
        <f t="array" ref="AM2">_xlfn.IFS(OR(O2="Persoonlijk",O2="Zoon",O2="Dochter"),P2,OR(Q2="Persoonlijk",Q2="Zoon",Q2="Dochter"),R2,OR(S2="Persoonlijk",S2="Zoon",S2="Dochter"),T2,O2="Vader",P2,Q2="Vader",R2,S2="Vader",T2,O2="Moeder",P2,Q2="Moeder",R2,S2="Moeder",T2,TRUE,IF(P2&lt;&gt;"",P2,IF(R2&lt;&gt;"",R2,IF(T2&lt;&gt;"",T2,""))))</f>
        <v>koenadam78@gmail.com</v>
      </c>
      <c r="AN2" t="str" cm="1">
        <f t="array" ref="AN2">_xlfn.LET(_xlpm.raw,_xlfn.IFS(OR(U2="Persoonlijk",U2="Zoon",U2="Dochter"),V2,OR(W2="Persoonlijk",W2="Zoon",W2="Dochter"),X2,OR(Y2="Persoonlijk",Y2="Zoon",Y2="Dochter"),Z2,U2="Vader",V2,W2="Vader",X2,Y2="Vader",Z2,U2="Moeder",V2,W2="Moeder",X2,Y2="Moeder",Z2,TRUE,IF(V2&lt;&gt;"",V2,IF(X2&lt;&gt;"",X2,IF(Z2&lt;&gt;"",Z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  <c r="AO2" cm="1">
        <f t="array" ref="AO2">SUMPRODUCT((P2:P744="")*(R2:R744="")*(T2:T744=""))</f>
        <v>438</v>
      </c>
    </row>
    <row r="3" spans="1:41" x14ac:dyDescent="0.3">
      <c r="A3">
        <v>2182441</v>
      </c>
      <c r="B3" t="s">
        <v>37</v>
      </c>
      <c r="C3" t="s">
        <v>48</v>
      </c>
      <c r="D3" t="s">
        <v>39</v>
      </c>
      <c r="E3" t="s">
        <v>49</v>
      </c>
      <c r="F3" t="s">
        <v>50</v>
      </c>
      <c r="G3" t="s">
        <v>42</v>
      </c>
      <c r="H3">
        <v>26</v>
      </c>
      <c r="Q3" t="s">
        <v>51</v>
      </c>
      <c r="R3" t="s">
        <v>52</v>
      </c>
      <c r="S3" t="s">
        <v>53</v>
      </c>
      <c r="T3" t="s">
        <v>54</v>
      </c>
      <c r="V3" t="s">
        <v>55</v>
      </c>
      <c r="W3" t="s">
        <v>56</v>
      </c>
      <c r="X3" t="s">
        <v>57</v>
      </c>
      <c r="Y3" t="s">
        <v>51</v>
      </c>
      <c r="Z3" t="s">
        <v>57</v>
      </c>
      <c r="AC3" t="s">
        <v>58</v>
      </c>
      <c r="AE3" t="s">
        <v>59</v>
      </c>
      <c r="AF3">
        <v>1002182441</v>
      </c>
      <c r="AG3">
        <v>728412</v>
      </c>
      <c r="AJ3" t="s">
        <v>60</v>
      </c>
      <c r="AK3" t="s">
        <v>61</v>
      </c>
      <c r="AL3" t="s">
        <v>62</v>
      </c>
      <c r="AM3" t="str" cm="1">
        <f t="array" ref="AM3">_xlfn.IFS(OR(O3="Persoonlijk",O3="Zoon",O3="Dochter"),P3,OR(Q3="Persoonlijk",Q3="Zoon",Q3="Dochter"),R3,OR(S3="Persoonlijk",S3="Zoon",S3="Dochter"),T3,O3="Vader",P3,Q3="Vader",R3,S3="Vader",T3,O3="Moeder",P3,Q3="Moeder",R3,S3="Moeder",T3,TRUE,IF(P3&lt;&gt;"",P3,IF(R3&lt;&gt;"",R3,IF(T3&lt;&gt;"",T3,""))))</f>
        <v>Koenadam78@gmail.com</v>
      </c>
      <c r="AN3" t="str" cm="1">
        <f t="array" ref="AN3">_xlfn.LET(_xlpm.raw,_xlfn.IFS(OR(U3="Persoonlijk",U3="Zoon",U3="Dochter"),V3,OR(W3="Persoonlijk",W3="Zoon",W3="Dochter"),X3,OR(Y3="Persoonlijk",Y3="Zoon",Y3="Dochter"),Z3,U3="Vader",V3,W3="Vader",X3,Y3="Vader",Z3,U3="Moeder",V3,W3="Moeder",X3,Y3="Moeder",Z3,TRUE,IF(V3&lt;&gt;"",V3,IF(X3&lt;&gt;"",X3,IF(Z3&lt;&gt;"",Z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+32456558867</v>
      </c>
      <c r="AO3" t="s">
        <v>2889</v>
      </c>
    </row>
    <row r="4" spans="1:41" x14ac:dyDescent="0.3">
      <c r="A4">
        <v>2182441</v>
      </c>
      <c r="B4" t="s">
        <v>37</v>
      </c>
      <c r="C4" t="s">
        <v>48</v>
      </c>
      <c r="D4" t="s">
        <v>39</v>
      </c>
      <c r="E4" t="s">
        <v>49</v>
      </c>
      <c r="F4" t="s">
        <v>50</v>
      </c>
      <c r="G4" t="s">
        <v>42</v>
      </c>
      <c r="H4">
        <v>26</v>
      </c>
      <c r="Q4" t="s">
        <v>51</v>
      </c>
      <c r="R4" t="s">
        <v>52</v>
      </c>
      <c r="S4" t="s">
        <v>53</v>
      </c>
      <c r="T4" t="s">
        <v>54</v>
      </c>
      <c r="V4" t="s">
        <v>55</v>
      </c>
      <c r="W4" t="s">
        <v>56</v>
      </c>
      <c r="X4" t="s">
        <v>57</v>
      </c>
      <c r="Y4" t="s">
        <v>51</v>
      </c>
      <c r="Z4" t="s">
        <v>57</v>
      </c>
      <c r="AC4" t="s">
        <v>58</v>
      </c>
      <c r="AE4" t="s">
        <v>59</v>
      </c>
      <c r="AF4">
        <v>1002182441</v>
      </c>
      <c r="AG4">
        <v>728412</v>
      </c>
      <c r="AJ4" t="s">
        <v>63</v>
      </c>
      <c r="AK4" t="s">
        <v>61</v>
      </c>
      <c r="AL4" t="s">
        <v>62</v>
      </c>
      <c r="AM4" t="str" cm="1">
        <f t="array" ref="AM4">_xlfn.IFS(OR(O4="Persoonlijk",O4="Zoon",O4="Dochter"),P4,OR(Q4="Persoonlijk",Q4="Zoon",Q4="Dochter"),R4,OR(S4="Persoonlijk",S4="Zoon",S4="Dochter"),T4,O4="Vader",P4,Q4="Vader",R4,S4="Vader",T4,O4="Moeder",P4,Q4="Moeder",R4,S4="Moeder",T4,TRUE,IF(P4&lt;&gt;"",P4,IF(R4&lt;&gt;"",R4,IF(T4&lt;&gt;"",T4,""))))</f>
        <v>Koenadam78@gmail.com</v>
      </c>
      <c r="AN4" t="str" cm="1">
        <f t="array" ref="AN4">_xlfn.LET(_xlpm.raw,_xlfn.IFS(OR(U4="Persoonlijk",U4="Zoon",U4="Dochter"),V4,OR(W4="Persoonlijk",W4="Zoon",W4="Dochter"),X4,OR(Y4="Persoonlijk",Y4="Zoon",Y4="Dochter"),Z4,U4="Vader",V4,W4="Vader",X4,Y4="Vader",Z4,U4="Moeder",V4,W4="Moeder",X4,Y4="Moeder",Z4,TRUE,IF(V4&lt;&gt;"",V4,IF(X4&lt;&gt;"",X4,IF(Z4&lt;&gt;"",Z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+32456558867</v>
      </c>
      <c r="AO4">
        <f>COUNTA(A2:A744)</f>
        <v>743</v>
      </c>
    </row>
    <row r="5" spans="1:41" x14ac:dyDescent="0.3">
      <c r="A5">
        <v>2182441</v>
      </c>
      <c r="B5" t="s">
        <v>37</v>
      </c>
      <c r="C5" t="s">
        <v>48</v>
      </c>
      <c r="D5" t="s">
        <v>39</v>
      </c>
      <c r="E5" t="s">
        <v>49</v>
      </c>
      <c r="F5" t="s">
        <v>50</v>
      </c>
      <c r="G5" t="s">
        <v>42</v>
      </c>
      <c r="H5">
        <v>26</v>
      </c>
      <c r="Q5" t="s">
        <v>51</v>
      </c>
      <c r="R5" t="s">
        <v>52</v>
      </c>
      <c r="S5" t="s">
        <v>53</v>
      </c>
      <c r="T5" t="s">
        <v>54</v>
      </c>
      <c r="V5" t="s">
        <v>55</v>
      </c>
      <c r="W5" t="s">
        <v>56</v>
      </c>
      <c r="X5" t="s">
        <v>57</v>
      </c>
      <c r="Y5" t="s">
        <v>51</v>
      </c>
      <c r="Z5" t="s">
        <v>57</v>
      </c>
      <c r="AC5" t="s">
        <v>58</v>
      </c>
      <c r="AE5" t="s">
        <v>59</v>
      </c>
      <c r="AF5">
        <v>1002182441</v>
      </c>
      <c r="AG5">
        <v>728412</v>
      </c>
      <c r="AJ5" t="s">
        <v>64</v>
      </c>
      <c r="AK5" t="s">
        <v>65</v>
      </c>
      <c r="AL5" t="s">
        <v>62</v>
      </c>
      <c r="AM5" t="str" cm="1">
        <f t="array" ref="AM5">_xlfn.IFS(OR(O5="Persoonlijk",O5="Zoon",O5="Dochter"),P5,OR(Q5="Persoonlijk",Q5="Zoon",Q5="Dochter"),R5,OR(S5="Persoonlijk",S5="Zoon",S5="Dochter"),T5,O5="Vader",P5,Q5="Vader",R5,S5="Vader",T5,O5="Moeder",P5,Q5="Moeder",R5,S5="Moeder",T5,TRUE,IF(P5&lt;&gt;"",P5,IF(R5&lt;&gt;"",R5,IF(T5&lt;&gt;"",T5,""))))</f>
        <v>Koenadam78@gmail.com</v>
      </c>
      <c r="AN5" t="str" cm="1">
        <f t="array" ref="AN5">_xlfn.LET(_xlpm.raw,_xlfn.IFS(OR(U5="Persoonlijk",U5="Zoon",U5="Dochter"),V5,OR(W5="Persoonlijk",W5="Zoon",W5="Dochter"),X5,OR(Y5="Persoonlijk",Y5="Zoon",Y5="Dochter"),Z5,U5="Vader",V5,W5="Vader",X5,Y5="Vader",Z5,U5="Moeder",V5,W5="Moeder",X5,Y5="Moeder",Z5,TRUE,IF(V5&lt;&gt;"",V5,IF(X5&lt;&gt;"",X5,IF(Z5&lt;&gt;"",Z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+32456558867</v>
      </c>
    </row>
    <row r="6" spans="1:41" x14ac:dyDescent="0.3">
      <c r="A6">
        <v>5577896</v>
      </c>
      <c r="B6" t="s">
        <v>66</v>
      </c>
      <c r="C6" t="s">
        <v>67</v>
      </c>
      <c r="D6" t="s">
        <v>39</v>
      </c>
      <c r="E6" t="s">
        <v>49</v>
      </c>
      <c r="F6" t="s">
        <v>68</v>
      </c>
      <c r="G6" t="s">
        <v>69</v>
      </c>
      <c r="H6">
        <v>133</v>
      </c>
      <c r="R6" t="s">
        <v>70</v>
      </c>
      <c r="V6" t="s">
        <v>71</v>
      </c>
      <c r="X6">
        <v>0</v>
      </c>
      <c r="Z6">
        <v>0</v>
      </c>
      <c r="AA6">
        <v>0</v>
      </c>
      <c r="AF6">
        <v>1005577896</v>
      </c>
      <c r="AM6" t="str" cm="1">
        <f t="array" ref="AM6">_xlfn.IFS(OR(O6="Persoonlijk",O6="Zoon",O6="Dochter"),P6,OR(Q6="Persoonlijk",Q6="Zoon",Q6="Dochter"),R6,OR(S6="Persoonlijk",S6="Zoon",S6="Dochter"),T6,O6="Vader",P6,Q6="Vader",R6,S6="Vader",T6,O6="Moeder",P6,Q6="Moeder",R6,S6="Moeder",T6,TRUE,IF(P6&lt;&gt;"",P6,IF(R6&lt;&gt;"",R6,IF(T6&lt;&gt;"",T6,""))))</f>
        <v>elidona.eni@gmail.com</v>
      </c>
      <c r="AN6" t="str" cm="1">
        <f t="array" ref="AN6">_xlfn.LET(_xlpm.raw,_xlfn.IFS(OR(U6="Persoonlijk",U6="Zoon",U6="Dochter"),V6,OR(W6="Persoonlijk",W6="Zoon",W6="Dochter"),X6,OR(Y6="Persoonlijk",Y6="Zoon",Y6="Dochter"),Z6,U6="Vader",V6,W6="Vader",X6,Y6="Vader",Z6,U6="Moeder",V6,W6="Moeder",X6,Y6="Moeder",Z6,TRUE,IF(V6&lt;&gt;"",V6,IF(X6&lt;&gt;"",X6,IF(Z6&lt;&gt;"",Z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+32499284650</v>
      </c>
      <c r="AO6" t="s">
        <v>2892</v>
      </c>
    </row>
    <row r="7" spans="1:41" x14ac:dyDescent="0.3">
      <c r="A7">
        <v>2650601</v>
      </c>
      <c r="B7" t="s">
        <v>66</v>
      </c>
      <c r="C7" t="s">
        <v>72</v>
      </c>
      <c r="D7" t="s">
        <v>39</v>
      </c>
      <c r="E7" t="s">
        <v>40</v>
      </c>
      <c r="F7" t="s">
        <v>73</v>
      </c>
      <c r="G7" t="s">
        <v>69</v>
      </c>
      <c r="H7">
        <v>133</v>
      </c>
      <c r="U7" t="s">
        <v>51</v>
      </c>
      <c r="V7">
        <v>32499284650</v>
      </c>
      <c r="AE7" t="s">
        <v>74</v>
      </c>
      <c r="AF7">
        <v>1002650601</v>
      </c>
      <c r="AG7">
        <v>742334</v>
      </c>
      <c r="AJ7" t="s">
        <v>75</v>
      </c>
      <c r="AK7" t="s">
        <v>61</v>
      </c>
      <c r="AL7" t="s">
        <v>62</v>
      </c>
      <c r="AM7" t="str" cm="1">
        <f t="array" ref="AM7">_xlfn.IFS(OR(O7="Persoonlijk",O7="Zoon",O7="Dochter"),P7,OR(Q7="Persoonlijk",Q7="Zoon",Q7="Dochter"),R7,OR(S7="Persoonlijk",S7="Zoon",S7="Dochter"),T7,O7="Vader",P7,Q7="Vader",R7,S7="Vader",T7,O7="Moeder",P7,Q7="Moeder",R7,S7="Moeder",T7,TRUE,IF(P7&lt;&gt;"",P7,IF(R7&lt;&gt;"",R7,IF(T7&lt;&gt;"",T7,""))))</f>
        <v/>
      </c>
      <c r="AN7" t="str" cm="1">
        <f t="array" ref="AN7">_xlfn.LET(_xlpm.raw,_xlfn.IFS(OR(U7="Persoonlijk",U7="Zoon",U7="Dochter"),V7,OR(W7="Persoonlijk",W7="Zoon",W7="Dochter"),X7,OR(Y7="Persoonlijk",Y7="Zoon",Y7="Dochter"),Z7,U7="Vader",V7,W7="Vader",X7,Y7="Vader",Z7,U7="Moeder",V7,W7="Moeder",X7,Y7="Moeder",Z7,TRUE,IF(V7&lt;&gt;"",V7,IF(X7&lt;&gt;"",X7,IF(Z7&lt;&gt;"",Z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+32499284650</v>
      </c>
      <c r="AO7" cm="1">
        <f t="array" ref="AO7">SUMPRODUCT(ISNUMBER(V2:V744)*(V2:V744&lt;&gt;""))+SUMPRODUCT(ISNUMBER(X2:X744)*(X2:X744&lt;&gt;""))+SUMPRODUCT(ISNUMBER(Z2:Z744)*(Z2:Z744&lt;&gt;""))</f>
        <v>544</v>
      </c>
    </row>
    <row r="8" spans="1:41" x14ac:dyDescent="0.3">
      <c r="A8">
        <v>5511777</v>
      </c>
      <c r="B8" t="s">
        <v>76</v>
      </c>
      <c r="C8" t="s">
        <v>77</v>
      </c>
      <c r="D8" t="s">
        <v>39</v>
      </c>
      <c r="E8" t="s">
        <v>40</v>
      </c>
      <c r="F8" t="s">
        <v>78</v>
      </c>
      <c r="G8" t="s">
        <v>79</v>
      </c>
      <c r="H8">
        <v>3</v>
      </c>
      <c r="Q8" t="s">
        <v>51</v>
      </c>
      <c r="R8" t="s">
        <v>80</v>
      </c>
      <c r="V8" t="s">
        <v>81</v>
      </c>
      <c r="W8" t="s">
        <v>51</v>
      </c>
      <c r="X8">
        <v>32475950308</v>
      </c>
      <c r="AC8" t="s">
        <v>82</v>
      </c>
      <c r="AF8">
        <v>1005511777</v>
      </c>
      <c r="AJ8" t="s">
        <v>83</v>
      </c>
      <c r="AK8" t="s">
        <v>61</v>
      </c>
      <c r="AM8" t="str" cm="1">
        <f t="array" ref="AM8">_xlfn.IFS(OR(O8="Persoonlijk",O8="Zoon",O8="Dochter"),P8,OR(Q8="Persoonlijk",Q8="Zoon",Q8="Dochter"),R8,OR(S8="Persoonlijk",S8="Zoon",S8="Dochter"),T8,O8="Vader",P8,Q8="Vader",R8,S8="Vader",T8,O8="Moeder",P8,Q8="Moeder",R8,S8="Moeder",T8,TRUE,IF(P8&lt;&gt;"",P8,IF(R8&lt;&gt;"",R8,IF(T8&lt;&gt;"",T8,""))))</f>
        <v>David.altruy@outlook.be</v>
      </c>
      <c r="AN8" t="str" cm="1">
        <f t="array" ref="AN8">_xlfn.LET(_xlpm.raw,_xlfn.IFS(OR(U8="Persoonlijk",U8="Zoon",U8="Dochter"),V8,OR(W8="Persoonlijk",W8="Zoon",W8="Dochter"),X8,OR(Y8="Persoonlijk",Y8="Zoon",Y8="Dochter"),Z8,U8="Vader",V8,W8="Vader",X8,Y8="Vader",Z8,U8="Moeder",V8,W8="Moeder",X8,Y8="Moeder",Z8,TRUE,IF(V8&lt;&gt;"",V8,IF(X8&lt;&gt;"",X8,IF(Z8&lt;&gt;"",Z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+32475950308</v>
      </c>
    </row>
    <row r="9" spans="1:41" x14ac:dyDescent="0.3">
      <c r="A9">
        <v>4499004</v>
      </c>
      <c r="B9" t="s">
        <v>76</v>
      </c>
      <c r="C9" t="s">
        <v>84</v>
      </c>
      <c r="D9" t="s">
        <v>39</v>
      </c>
      <c r="E9" t="s">
        <v>40</v>
      </c>
      <c r="F9" t="s">
        <v>85</v>
      </c>
      <c r="G9" t="s">
        <v>79</v>
      </c>
      <c r="H9">
        <v>3</v>
      </c>
      <c r="Q9" t="s">
        <v>51</v>
      </c>
      <c r="R9" t="s">
        <v>80</v>
      </c>
      <c r="U9" t="s">
        <v>53</v>
      </c>
      <c r="V9" t="s">
        <v>81</v>
      </c>
      <c r="W9" t="s">
        <v>51</v>
      </c>
      <c r="X9">
        <v>32475950308</v>
      </c>
      <c r="AC9" t="s">
        <v>86</v>
      </c>
      <c r="AF9">
        <v>1004499004</v>
      </c>
      <c r="AJ9" t="s">
        <v>87</v>
      </c>
      <c r="AK9" t="s">
        <v>61</v>
      </c>
      <c r="AM9" t="str" cm="1">
        <f t="array" ref="AM9">_xlfn.IFS(OR(O9="Persoonlijk",O9="Zoon",O9="Dochter"),P9,OR(Q9="Persoonlijk",Q9="Zoon",Q9="Dochter"),R9,OR(S9="Persoonlijk",S9="Zoon",S9="Dochter"),T9,O9="Vader",P9,Q9="Vader",R9,S9="Vader",T9,O9="Moeder",P9,Q9="Moeder",R9,S9="Moeder",T9,TRUE,IF(P9&lt;&gt;"",P9,IF(R9&lt;&gt;"",R9,IF(T9&lt;&gt;"",T9,""))))</f>
        <v>David.altruy@outlook.be</v>
      </c>
      <c r="AN9" t="str" cm="1">
        <f t="array" ref="AN9">_xlfn.LET(_xlpm.raw,_xlfn.IFS(OR(U9="Persoonlijk",U9="Zoon",U9="Dochter"),V9,OR(W9="Persoonlijk",W9="Zoon",W9="Dochter"),X9,OR(Y9="Persoonlijk",Y9="Zoon",Y9="Dochter"),Z9,U9="Vader",V9,W9="Vader",X9,Y9="Vader",Z9,U9="Moeder",V9,W9="Moeder",X9,Y9="Moeder",Z9,TRUE,IF(V9&lt;&gt;"",V9,IF(X9&lt;&gt;"",X9,IF(Z9&lt;&gt;"",Z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+32475950308</v>
      </c>
      <c r="AO9" t="s">
        <v>2893</v>
      </c>
    </row>
    <row r="10" spans="1:41" x14ac:dyDescent="0.3">
      <c r="A10">
        <v>4499004</v>
      </c>
      <c r="B10" t="s">
        <v>76</v>
      </c>
      <c r="C10" t="s">
        <v>84</v>
      </c>
      <c r="D10" t="s">
        <v>39</v>
      </c>
      <c r="E10" t="s">
        <v>40</v>
      </c>
      <c r="F10" t="s">
        <v>85</v>
      </c>
      <c r="G10" t="s">
        <v>79</v>
      </c>
      <c r="H10">
        <v>3</v>
      </c>
      <c r="Q10" t="s">
        <v>51</v>
      </c>
      <c r="R10" t="s">
        <v>80</v>
      </c>
      <c r="U10" t="s">
        <v>53</v>
      </c>
      <c r="V10" t="s">
        <v>81</v>
      </c>
      <c r="W10" t="s">
        <v>51</v>
      </c>
      <c r="X10">
        <v>32475950308</v>
      </c>
      <c r="AC10" t="s">
        <v>86</v>
      </c>
      <c r="AF10">
        <v>1004499004</v>
      </c>
      <c r="AJ10" t="s">
        <v>88</v>
      </c>
      <c r="AK10" t="s">
        <v>61</v>
      </c>
      <c r="AM10" t="str" cm="1">
        <f t="array" ref="AM10">_xlfn.IFS(OR(O10="Persoonlijk",O10="Zoon",O10="Dochter"),P10,OR(Q10="Persoonlijk",Q10="Zoon",Q10="Dochter"),R10,OR(S10="Persoonlijk",S10="Zoon",S10="Dochter"),T10,O10="Vader",P10,Q10="Vader",R10,S10="Vader",T10,O10="Moeder",P10,Q10="Moeder",R10,S10="Moeder",T10,TRUE,IF(P10&lt;&gt;"",P10,IF(R10&lt;&gt;"",R10,IF(T10&lt;&gt;"",T10,""))))</f>
        <v>David.altruy@outlook.be</v>
      </c>
      <c r="AN10" t="str" cm="1">
        <f t="array" ref="AN10">_xlfn.LET(_xlpm.raw,_xlfn.IFS(OR(U10="Persoonlijk",U10="Zoon",U10="Dochter"),V10,OR(W10="Persoonlijk",W10="Zoon",W10="Dochter"),X10,OR(Y10="Persoonlijk",Y10="Zoon",Y10="Dochter"),Z10,U10="Vader",V10,W10="Vader",X10,Y10="Vader",Z10,U10="Moeder",V10,W10="Moeder",X10,Y10="Moeder",Z10,TRUE,IF(V10&lt;&gt;"",V10,IF(X10&lt;&gt;"",X10,IF(Z10&lt;&gt;"",Z10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+32475950308</v>
      </c>
      <c r="AO10" cm="1">
        <f t="array" ref="AO10">SUMPRODUCT(ISNUMBER(AN2:AN744)*(AN2:AN744&lt;&gt;""))</f>
        <v>0</v>
      </c>
    </row>
    <row r="11" spans="1:41" x14ac:dyDescent="0.3">
      <c r="A11">
        <v>5115343</v>
      </c>
      <c r="B11" t="s">
        <v>89</v>
      </c>
      <c r="C11" t="s">
        <v>90</v>
      </c>
      <c r="D11" t="s">
        <v>39</v>
      </c>
      <c r="E11" t="s">
        <v>49</v>
      </c>
      <c r="F11" t="s">
        <v>91</v>
      </c>
      <c r="G11" t="s">
        <v>92</v>
      </c>
      <c r="H11">
        <v>52</v>
      </c>
      <c r="R11" t="s">
        <v>93</v>
      </c>
      <c r="U11" t="s">
        <v>53</v>
      </c>
      <c r="V11" t="s">
        <v>94</v>
      </c>
      <c r="W11" t="s">
        <v>53</v>
      </c>
      <c r="X11" t="s">
        <v>95</v>
      </c>
      <c r="AE11" t="s">
        <v>96</v>
      </c>
      <c r="AF11">
        <v>1005115343</v>
      </c>
      <c r="AJ11" t="s">
        <v>97</v>
      </c>
      <c r="AK11" t="s">
        <v>61</v>
      </c>
      <c r="AM11" t="str" cm="1">
        <f t="array" ref="AM11">_xlfn.IFS(OR(O11="Persoonlijk",O11="Zoon",O11="Dochter"),P11,OR(Q11="Persoonlijk",Q11="Zoon",Q11="Dochter"),R11,OR(S11="Persoonlijk",S11="Zoon",S11="Dochter"),T11,O11="Vader",P11,Q11="Vader",R11,S11="Vader",T11,O11="Moeder",P11,Q11="Moeder",R11,S11="Moeder",T11,TRUE,IF(P11&lt;&gt;"",P11,IF(R11&lt;&gt;"",R11,IF(T11&lt;&gt;"",T11,""))))</f>
        <v>sofie.ameloot@huurland.be</v>
      </c>
      <c r="AN11" t="str" cm="1">
        <f t="array" ref="AN11">_xlfn.LET(_xlpm.raw,_xlfn.IFS(OR(U11="Persoonlijk",U11="Zoon",U11="Dochter"),V11,OR(W11="Persoonlijk",W11="Zoon",W11="Dochter"),X11,OR(Y11="Persoonlijk",Y11="Zoon",Y11="Dochter"),Z11,U11="Vader",V11,W11="Vader",X11,Y11="Vader",Z11,U11="Moeder",V11,W11="Moeder",X11,Y11="Moeder",Z11,TRUE,IF(V11&lt;&gt;"",V11,IF(X11&lt;&gt;"",X11,IF(Z11&lt;&gt;"",Z11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+32483203613</v>
      </c>
    </row>
    <row r="12" spans="1:41" x14ac:dyDescent="0.3">
      <c r="A12">
        <v>11272034</v>
      </c>
      <c r="B12" t="s">
        <v>98</v>
      </c>
      <c r="C12" t="s">
        <v>99</v>
      </c>
      <c r="D12" t="s">
        <v>39</v>
      </c>
      <c r="E12" t="s">
        <v>40</v>
      </c>
      <c r="F12" t="s">
        <v>100</v>
      </c>
      <c r="G12" t="s">
        <v>101</v>
      </c>
      <c r="H12">
        <v>203</v>
      </c>
      <c r="V12">
        <v>0</v>
      </c>
      <c r="X12">
        <v>0</v>
      </c>
      <c r="Z12">
        <v>0</v>
      </c>
      <c r="AA12">
        <v>0</v>
      </c>
      <c r="AC12" t="s">
        <v>102</v>
      </c>
      <c r="AE12" t="s">
        <v>103</v>
      </c>
      <c r="AF12">
        <v>1011272034</v>
      </c>
      <c r="AJ12" t="s">
        <v>104</v>
      </c>
      <c r="AK12" t="s">
        <v>61</v>
      </c>
      <c r="AM12" t="str" cm="1">
        <f t="array" ref="AM12">_xlfn.IFS(OR(O12="Persoonlijk",O12="Zoon",O12="Dochter"),P12,OR(Q12="Persoonlijk",Q12="Zoon",Q12="Dochter"),R12,OR(S12="Persoonlijk",S12="Zoon",S12="Dochter"),T12,O12="Vader",P12,Q12="Vader",R12,S12="Vader",T12,O12="Moeder",P12,Q12="Moeder",R12,S12="Moeder",T12,TRUE,IF(P12&lt;&gt;"",P12,IF(R12&lt;&gt;"",R12,IF(T12&lt;&gt;"",T12,""))))</f>
        <v/>
      </c>
      <c r="AN12" t="str" cm="1">
        <f t="array" ref="AN12">_xlfn.LET(_xlpm.raw,_xlfn.IFS(OR(U12="Persoonlijk",U12="Zoon",U12="Dochter"),V12,OR(W12="Persoonlijk",W12="Zoon",W12="Dochter"),X12,OR(Y12="Persoonlijk",Y12="Zoon",Y12="Dochter"),Z12,U12="Vader",V12,W12="Vader",X12,Y12="Vader",Z12,U12="Moeder",V12,W12="Moeder",X12,Y12="Moeder",Z12,TRUE,IF(V12&lt;&gt;"",V12,IF(X12&lt;&gt;"",X12,IF(Z12&lt;&gt;"",Z12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  <c r="AO12" t="s">
        <v>2894</v>
      </c>
    </row>
    <row r="13" spans="1:41" x14ac:dyDescent="0.3">
      <c r="A13">
        <v>11272030</v>
      </c>
      <c r="B13" t="s">
        <v>98</v>
      </c>
      <c r="C13" t="s">
        <v>105</v>
      </c>
      <c r="D13" t="s">
        <v>39</v>
      </c>
      <c r="E13" t="s">
        <v>40</v>
      </c>
      <c r="F13" t="s">
        <v>100</v>
      </c>
      <c r="G13" t="s">
        <v>101</v>
      </c>
      <c r="H13">
        <v>203</v>
      </c>
      <c r="AA13">
        <v>32495316150</v>
      </c>
      <c r="AC13" t="s">
        <v>106</v>
      </c>
      <c r="AE13" t="s">
        <v>107</v>
      </c>
      <c r="AF13">
        <v>1011272030</v>
      </c>
      <c r="AJ13" t="s">
        <v>104</v>
      </c>
      <c r="AK13" t="s">
        <v>61</v>
      </c>
      <c r="AM13" t="str" cm="1">
        <f t="array" ref="AM13">_xlfn.IFS(OR(O13="Persoonlijk",O13="Zoon",O13="Dochter"),P13,OR(Q13="Persoonlijk",Q13="Zoon",Q13="Dochter"),R13,OR(S13="Persoonlijk",S13="Zoon",S13="Dochter"),T13,O13="Vader",P13,Q13="Vader",R13,S13="Vader",T13,O13="Moeder",P13,Q13="Moeder",R13,S13="Moeder",T13,TRUE,IF(P13&lt;&gt;"",P13,IF(R13&lt;&gt;"",R13,IF(T13&lt;&gt;"",T13,""))))</f>
        <v/>
      </c>
      <c r="AN13" t="str" cm="1">
        <f t="array" ref="AN13">_xlfn.LET(_xlpm.raw,_xlfn.IFS(OR(U13="Persoonlijk",U13="Zoon",U13="Dochter"),V13,OR(W13="Persoonlijk",W13="Zoon",W13="Dochter"),X13,OR(Y13="Persoonlijk",Y13="Zoon",Y13="Dochter"),Z13,U13="Vader",V13,W13="Vader",X13,Y13="Vader",Z13,U13="Moeder",V13,W13="Moeder",X13,Y13="Moeder",Z13,TRUE,IF(V13&lt;&gt;"",V13,IF(X13&lt;&gt;"",X13,IF(Z13&lt;&gt;"",Z13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  <c r="AO13" cm="1">
        <f t="array" ref="AO13">SUMPRODUCT((AN2:AN744&lt;&gt;"")*(LEN(AN2:AN744)&lt;&gt;10))</f>
        <v>575</v>
      </c>
    </row>
    <row r="14" spans="1:41" x14ac:dyDescent="0.3">
      <c r="A14">
        <v>11272039</v>
      </c>
      <c r="B14" t="s">
        <v>98</v>
      </c>
      <c r="C14" t="s">
        <v>108</v>
      </c>
      <c r="D14" t="s">
        <v>39</v>
      </c>
      <c r="E14" t="s">
        <v>40</v>
      </c>
      <c r="F14" t="s">
        <v>100</v>
      </c>
      <c r="G14" t="s">
        <v>101</v>
      </c>
      <c r="H14">
        <v>203</v>
      </c>
      <c r="V14">
        <v>0</v>
      </c>
      <c r="X14">
        <v>0</v>
      </c>
      <c r="Z14">
        <v>0</v>
      </c>
      <c r="AA14">
        <v>0</v>
      </c>
      <c r="AC14" t="s">
        <v>109</v>
      </c>
      <c r="AE14" t="s">
        <v>110</v>
      </c>
      <c r="AF14">
        <v>1011272039</v>
      </c>
      <c r="AJ14" t="s">
        <v>104</v>
      </c>
      <c r="AK14" t="s">
        <v>61</v>
      </c>
      <c r="AM14" t="str" cm="1">
        <f t="array" ref="AM14">_xlfn.IFS(OR(O14="Persoonlijk",O14="Zoon",O14="Dochter"),P14,OR(Q14="Persoonlijk",Q14="Zoon",Q14="Dochter"),R14,OR(S14="Persoonlijk",S14="Zoon",S14="Dochter"),T14,O14="Vader",P14,Q14="Vader",R14,S14="Vader",T14,O14="Moeder",P14,Q14="Moeder",R14,S14="Moeder",T14,TRUE,IF(P14&lt;&gt;"",P14,IF(R14&lt;&gt;"",R14,IF(T14&lt;&gt;"",T14,""))))</f>
        <v/>
      </c>
      <c r="AN14" t="str" cm="1">
        <f t="array" ref="AN14">_xlfn.LET(_xlpm.raw,_xlfn.IFS(OR(U14="Persoonlijk",U14="Zoon",U14="Dochter"),V14,OR(W14="Persoonlijk",W14="Zoon",W14="Dochter"),X14,OR(Y14="Persoonlijk",Y14="Zoon",Y14="Dochter"),Z14,U14="Vader",V14,W14="Vader",X14,Y14="Vader",Z14,U14="Moeder",V14,W14="Moeder",X14,Y14="Moeder",Z14,TRUE,IF(V14&lt;&gt;"",V14,IF(X14&lt;&gt;"",X14,IF(Z14&lt;&gt;"",Z14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5" spans="1:41" x14ac:dyDescent="0.3">
      <c r="A15">
        <v>2182451</v>
      </c>
      <c r="B15" t="s">
        <v>111</v>
      </c>
      <c r="C15" t="s">
        <v>112</v>
      </c>
      <c r="D15" t="s">
        <v>39</v>
      </c>
      <c r="E15" t="s">
        <v>40</v>
      </c>
      <c r="F15" t="s">
        <v>113</v>
      </c>
      <c r="G15" t="s">
        <v>114</v>
      </c>
      <c r="H15">
        <v>62</v>
      </c>
      <c r="Q15" t="s">
        <v>116</v>
      </c>
      <c r="R15" t="s">
        <v>117</v>
      </c>
      <c r="U15" t="s">
        <v>53</v>
      </c>
      <c r="V15" t="s">
        <v>118</v>
      </c>
      <c r="X15" t="s">
        <v>119</v>
      </c>
      <c r="AD15">
        <v>10</v>
      </c>
      <c r="AE15" t="s">
        <v>120</v>
      </c>
      <c r="AF15">
        <v>1002182451</v>
      </c>
      <c r="AG15">
        <v>713666</v>
      </c>
      <c r="AJ15" t="s">
        <v>121</v>
      </c>
      <c r="AK15" t="s">
        <v>61</v>
      </c>
      <c r="AL15" t="s">
        <v>62</v>
      </c>
      <c r="AM15" t="str" cm="1">
        <f t="array" ref="AM15">_xlfn.IFS(OR(O15="Persoonlijk",O15="Zoon",O15="Dochter"),P15,OR(Q15="Persoonlijk",Q15="Zoon",Q15="Dochter"),R15,OR(S15="Persoonlijk",S15="Zoon",S15="Dochter"),T15,O15="Vader",P15,Q15="Vader",R15,S15="Vader",T15,O15="Moeder",P15,Q15="Moeder",R15,S15="Moeder",T15,TRUE,IF(P15&lt;&gt;"",P15,IF(R15&lt;&gt;"",R15,IF(T15&lt;&gt;"",T15,""))))</f>
        <v>bent.anseeuw@gmail.com</v>
      </c>
      <c r="AN15" t="str" cm="1">
        <f t="array" ref="AN15">_xlfn.LET(_xlpm.raw,_xlfn.IFS(OR(U15="Persoonlijk",U15="Zoon",U15="Dochter"),V15,OR(W15="Persoonlijk",W15="Zoon",W15="Dochter"),X15,OR(Y15="Persoonlijk",Y15="Zoon",Y15="Dochter"),Z15,U15="Vader",V15,W15="Vader",X15,Y15="Vader",Z15,U15="Moeder",V15,W15="Moeder",X15,Y15="Moeder",Z15,TRUE,IF(V15&lt;&gt;"",V15,IF(X15&lt;&gt;"",X15,IF(Z15&lt;&gt;"",Z15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+32497023380</v>
      </c>
    </row>
    <row r="16" spans="1:41" x14ac:dyDescent="0.3">
      <c r="A16">
        <v>2182451</v>
      </c>
      <c r="B16" t="s">
        <v>111</v>
      </c>
      <c r="C16" t="s">
        <v>112</v>
      </c>
      <c r="D16" t="s">
        <v>39</v>
      </c>
      <c r="E16" t="s">
        <v>40</v>
      </c>
      <c r="F16" t="s">
        <v>113</v>
      </c>
      <c r="G16" t="s">
        <v>114</v>
      </c>
      <c r="H16">
        <v>62</v>
      </c>
      <c r="Q16" t="s">
        <v>116</v>
      </c>
      <c r="R16" t="s">
        <v>117</v>
      </c>
      <c r="U16" t="s">
        <v>53</v>
      </c>
      <c r="V16" t="s">
        <v>118</v>
      </c>
      <c r="X16" t="s">
        <v>119</v>
      </c>
      <c r="AD16">
        <v>10</v>
      </c>
      <c r="AE16" t="s">
        <v>120</v>
      </c>
      <c r="AF16">
        <v>1002182451</v>
      </c>
      <c r="AG16">
        <v>713666</v>
      </c>
      <c r="AJ16" t="s">
        <v>63</v>
      </c>
      <c r="AK16" t="s">
        <v>61</v>
      </c>
      <c r="AL16" t="s">
        <v>62</v>
      </c>
      <c r="AM16" t="str" cm="1">
        <f t="array" ref="AM16">_xlfn.IFS(OR(O16="Persoonlijk",O16="Zoon",O16="Dochter"),P16,OR(Q16="Persoonlijk",Q16="Zoon",Q16="Dochter"),R16,OR(S16="Persoonlijk",S16="Zoon",S16="Dochter"),T16,O16="Vader",P16,Q16="Vader",R16,S16="Vader",T16,O16="Moeder",P16,Q16="Moeder",R16,S16="Moeder",T16,TRUE,IF(P16&lt;&gt;"",P16,IF(R16&lt;&gt;"",R16,IF(T16&lt;&gt;"",T16,""))))</f>
        <v>bent.anseeuw@gmail.com</v>
      </c>
      <c r="AN16" t="str" cm="1">
        <f t="array" ref="AN16">_xlfn.LET(_xlpm.raw,_xlfn.IFS(OR(U16="Persoonlijk",U16="Zoon",U16="Dochter"),V16,OR(W16="Persoonlijk",W16="Zoon",W16="Dochter"),X16,OR(Y16="Persoonlijk",Y16="Zoon",Y16="Dochter"),Z16,U16="Vader",V16,W16="Vader",X16,Y16="Vader",Z16,U16="Moeder",V16,W16="Moeder",X16,Y16="Moeder",Z16,TRUE,IF(V16&lt;&gt;"",V16,IF(X16&lt;&gt;"",X16,IF(Z16&lt;&gt;"",Z16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+32497023380</v>
      </c>
    </row>
    <row r="17" spans="1:40" x14ac:dyDescent="0.3">
      <c r="A17">
        <v>2182456</v>
      </c>
      <c r="B17" t="s">
        <v>111</v>
      </c>
      <c r="C17" t="s">
        <v>122</v>
      </c>
      <c r="D17" t="s">
        <v>39</v>
      </c>
      <c r="E17" t="s">
        <v>49</v>
      </c>
      <c r="F17" t="s">
        <v>123</v>
      </c>
      <c r="G17" t="s">
        <v>124</v>
      </c>
      <c r="H17">
        <v>62</v>
      </c>
      <c r="R17" t="s">
        <v>115</v>
      </c>
      <c r="V17">
        <v>497023380</v>
      </c>
      <c r="AC17" t="s">
        <v>125</v>
      </c>
      <c r="AE17" t="s">
        <v>126</v>
      </c>
      <c r="AF17">
        <v>1002182456</v>
      </c>
      <c r="AG17">
        <v>735071</v>
      </c>
      <c r="AJ17" t="s">
        <v>63</v>
      </c>
      <c r="AK17" t="s">
        <v>61</v>
      </c>
      <c r="AM17" t="str" cm="1">
        <f t="array" ref="AM17">_xlfn.IFS(OR(O17="Persoonlijk",O17="Zoon",O17="Dochter"),P17,OR(Q17="Persoonlijk",Q17="Zoon",Q17="Dochter"),R17,OR(S17="Persoonlijk",S17="Zoon",S17="Dochter"),T17,O17="Vader",P17,Q17="Vader",R17,S17="Vader",T17,O17="Moeder",P17,Q17="Moeder",R17,S17="Moeder",T17,TRUE,IF(P17&lt;&gt;"",P17,IF(R17&lt;&gt;"",R17,IF(T17&lt;&gt;"",T17,""))))</f>
        <v>matthias.anseeuw@telenet.be</v>
      </c>
      <c r="AN17" t="str" cm="1">
        <f t="array" ref="AN17">_xlfn.LET(_xlpm.raw,_xlfn.IFS(OR(U17="Persoonlijk",U17="Zoon",U17="Dochter"),V17,OR(W17="Persoonlijk",W17="Zoon",W17="Dochter"),X17,OR(Y17="Persoonlijk",Y17="Zoon",Y17="Dochter"),Z17,U17="Vader",V17,W17="Vader",X17,Y17="Vader",Z17,U17="Moeder",V17,W17="Moeder",X17,Y17="Moeder",Z17,TRUE,IF(V17&lt;&gt;"",V17,IF(X17&lt;&gt;"",X17,IF(Z17&lt;&gt;"",Z17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+32497023380</v>
      </c>
    </row>
    <row r="18" spans="1:40" x14ac:dyDescent="0.3">
      <c r="A18">
        <v>2182456</v>
      </c>
      <c r="B18" t="s">
        <v>111</v>
      </c>
      <c r="C18" t="s">
        <v>122</v>
      </c>
      <c r="D18" t="s">
        <v>39</v>
      </c>
      <c r="E18" t="s">
        <v>49</v>
      </c>
      <c r="F18" t="s">
        <v>123</v>
      </c>
      <c r="G18" t="s">
        <v>124</v>
      </c>
      <c r="H18">
        <v>62</v>
      </c>
      <c r="R18" t="s">
        <v>115</v>
      </c>
      <c r="V18">
        <v>497023380</v>
      </c>
      <c r="AC18" t="s">
        <v>125</v>
      </c>
      <c r="AE18" t="s">
        <v>126</v>
      </c>
      <c r="AF18">
        <v>1002182456</v>
      </c>
      <c r="AG18">
        <v>735071</v>
      </c>
      <c r="AJ18" t="s">
        <v>127</v>
      </c>
      <c r="AK18" t="s">
        <v>61</v>
      </c>
      <c r="AM18" t="str" cm="1">
        <f t="array" ref="AM18">_xlfn.IFS(OR(O18="Persoonlijk",O18="Zoon",O18="Dochter"),P18,OR(Q18="Persoonlijk",Q18="Zoon",Q18="Dochter"),R18,OR(S18="Persoonlijk",S18="Zoon",S18="Dochter"),T18,O18="Vader",P18,Q18="Vader",R18,S18="Vader",T18,O18="Moeder",P18,Q18="Moeder",R18,S18="Moeder",T18,TRUE,IF(P18&lt;&gt;"",P18,IF(R18&lt;&gt;"",R18,IF(T18&lt;&gt;"",T18,""))))</f>
        <v>matthias.anseeuw@telenet.be</v>
      </c>
      <c r="AN18" t="str" cm="1">
        <f t="array" ref="AN18">_xlfn.LET(_xlpm.raw,_xlfn.IFS(OR(U18="Persoonlijk",U18="Zoon",U18="Dochter"),V18,OR(W18="Persoonlijk",W18="Zoon",W18="Dochter"),X18,OR(Y18="Persoonlijk",Y18="Zoon",Y18="Dochter"),Z18,U18="Vader",V18,W18="Vader",X18,Y18="Vader",Z18,U18="Moeder",V18,W18="Moeder",X18,Y18="Moeder",Z18,TRUE,IF(V18&lt;&gt;"",V18,IF(X18&lt;&gt;"",X18,IF(Z18&lt;&gt;"",Z18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+32497023380</v>
      </c>
    </row>
    <row r="19" spans="1:40" x14ac:dyDescent="0.3">
      <c r="A19">
        <v>4421954</v>
      </c>
      <c r="B19" t="s">
        <v>111</v>
      </c>
      <c r="C19" t="s">
        <v>128</v>
      </c>
      <c r="D19" t="s">
        <v>39</v>
      </c>
      <c r="E19" t="s">
        <v>40</v>
      </c>
      <c r="F19" t="s">
        <v>129</v>
      </c>
      <c r="G19" t="s">
        <v>124</v>
      </c>
      <c r="H19">
        <v>62</v>
      </c>
      <c r="Q19" t="s">
        <v>51</v>
      </c>
      <c r="R19" t="s">
        <v>115</v>
      </c>
      <c r="V19" t="s">
        <v>118</v>
      </c>
      <c r="AE19" t="s">
        <v>130</v>
      </c>
      <c r="AF19">
        <v>1004421954</v>
      </c>
      <c r="AJ19" t="s">
        <v>131</v>
      </c>
      <c r="AK19" t="s">
        <v>61</v>
      </c>
      <c r="AM19" t="str" cm="1">
        <f t="array" ref="AM19">_xlfn.IFS(OR(O19="Persoonlijk",O19="Zoon",O19="Dochter"),P19,OR(Q19="Persoonlijk",Q19="Zoon",Q19="Dochter"),R19,OR(S19="Persoonlijk",S19="Zoon",S19="Dochter"),T19,O19="Vader",P19,Q19="Vader",R19,S19="Vader",T19,O19="Moeder",P19,Q19="Moeder",R19,S19="Moeder",T19,TRUE,IF(P19&lt;&gt;"",P19,IF(R19&lt;&gt;"",R19,IF(T19&lt;&gt;"",T19,""))))</f>
        <v>matthias.anseeuw@telenet.be</v>
      </c>
      <c r="AN19" t="str" cm="1">
        <f t="array" ref="AN19">_xlfn.LET(_xlpm.raw,_xlfn.IFS(OR(U19="Persoonlijk",U19="Zoon",U19="Dochter"),V19,OR(W19="Persoonlijk",W19="Zoon",W19="Dochter"),X19,OR(Y19="Persoonlijk",Y19="Zoon",Y19="Dochter"),Z19,U19="Vader",V19,W19="Vader",X19,Y19="Vader",Z19,U19="Moeder",V19,W19="Moeder",X19,Y19="Moeder",Z19,TRUE,IF(V19&lt;&gt;"",V19,IF(X19&lt;&gt;"",X19,IF(Z19&lt;&gt;"",Z19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+32497023380</v>
      </c>
    </row>
    <row r="20" spans="1:40" x14ac:dyDescent="0.3">
      <c r="A20">
        <v>4421954</v>
      </c>
      <c r="B20" t="s">
        <v>111</v>
      </c>
      <c r="C20" t="s">
        <v>128</v>
      </c>
      <c r="D20" t="s">
        <v>39</v>
      </c>
      <c r="E20" t="s">
        <v>40</v>
      </c>
      <c r="F20" t="s">
        <v>129</v>
      </c>
      <c r="G20" t="s">
        <v>124</v>
      </c>
      <c r="H20">
        <v>62</v>
      </c>
      <c r="Q20" t="s">
        <v>51</v>
      </c>
      <c r="R20" t="s">
        <v>115</v>
      </c>
      <c r="V20" t="s">
        <v>118</v>
      </c>
      <c r="AE20" t="s">
        <v>130</v>
      </c>
      <c r="AF20">
        <v>1004421954</v>
      </c>
      <c r="AJ20" t="s">
        <v>87</v>
      </c>
      <c r="AK20" t="s">
        <v>61</v>
      </c>
      <c r="AM20" t="str" cm="1">
        <f t="array" ref="AM20">_xlfn.IFS(OR(O20="Persoonlijk",O20="Zoon",O20="Dochter"),P20,OR(Q20="Persoonlijk",Q20="Zoon",Q20="Dochter"),R20,OR(S20="Persoonlijk",S20="Zoon",S20="Dochter"),T20,O20="Vader",P20,Q20="Vader",R20,S20="Vader",T20,O20="Moeder",P20,Q20="Moeder",R20,S20="Moeder",T20,TRUE,IF(P20&lt;&gt;"",P20,IF(R20&lt;&gt;"",R20,IF(T20&lt;&gt;"",T20,""))))</f>
        <v>matthias.anseeuw@telenet.be</v>
      </c>
      <c r="AN20" t="str" cm="1">
        <f t="array" ref="AN20">_xlfn.LET(_xlpm.raw,_xlfn.IFS(OR(U20="Persoonlijk",U20="Zoon",U20="Dochter"),V20,OR(W20="Persoonlijk",W20="Zoon",W20="Dochter"),X20,OR(Y20="Persoonlijk",Y20="Zoon",Y20="Dochter"),Z20,U20="Vader",V20,W20="Vader",X20,Y20="Vader",Z20,U20="Moeder",V20,W20="Moeder",X20,Y20="Moeder",Z20,TRUE,IF(V20&lt;&gt;"",V20,IF(X20&lt;&gt;"",X20,IF(Z20&lt;&gt;"",Z20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+32497023380</v>
      </c>
    </row>
    <row r="21" spans="1:40" x14ac:dyDescent="0.3">
      <c r="A21">
        <v>2182461</v>
      </c>
      <c r="B21" t="s">
        <v>132</v>
      </c>
      <c r="C21" t="s">
        <v>133</v>
      </c>
      <c r="D21" t="s">
        <v>39</v>
      </c>
      <c r="E21" t="s">
        <v>40</v>
      </c>
      <c r="F21" t="s">
        <v>134</v>
      </c>
      <c r="G21" t="s">
        <v>135</v>
      </c>
      <c r="H21">
        <v>42</v>
      </c>
      <c r="U21" t="s">
        <v>46</v>
      </c>
      <c r="V21">
        <v>493100390</v>
      </c>
      <c r="AC21" t="s">
        <v>137</v>
      </c>
      <c r="AF21">
        <v>1002182461</v>
      </c>
      <c r="AG21">
        <v>622980</v>
      </c>
      <c r="AM21" t="str" cm="1">
        <f t="array" ref="AM21">_xlfn.IFS(OR(O21="Persoonlijk",O21="Zoon",O21="Dochter"),P21,OR(Q21="Persoonlijk",Q21="Zoon",Q21="Dochter"),R21,OR(S21="Persoonlijk",S21="Zoon",S21="Dochter"),T21,O21="Vader",P21,Q21="Vader",R21,S21="Vader",T21,O21="Moeder",P21,Q21="Moeder",R21,S21="Moeder",T21,TRUE,IF(P21&lt;&gt;"",P21,IF(R21&lt;&gt;"",R21,IF(T21&lt;&gt;"",T21,""))))</f>
        <v/>
      </c>
      <c r="AN21" t="str" cm="1">
        <f t="array" ref="AN21">_xlfn.LET(_xlpm.raw,_xlfn.IFS(OR(U21="Persoonlijk",U21="Zoon",U21="Dochter"),V21,OR(W21="Persoonlijk",W21="Zoon",W21="Dochter"),X21,OR(Y21="Persoonlijk",Y21="Zoon",Y21="Dochter"),Z21,U21="Vader",V21,W21="Vader",X21,Y21="Vader",Z21,U21="Moeder",V21,W21="Moeder",X21,Y21="Moeder",Z21,TRUE,IF(V21&lt;&gt;"",V21,IF(X21&lt;&gt;"",X21,IF(Z21&lt;&gt;"",Z21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+32493100390</v>
      </c>
    </row>
    <row r="22" spans="1:40" x14ac:dyDescent="0.3">
      <c r="A22">
        <v>2650825</v>
      </c>
      <c r="B22" t="s">
        <v>138</v>
      </c>
      <c r="C22" t="s">
        <v>139</v>
      </c>
      <c r="D22" t="s">
        <v>39</v>
      </c>
      <c r="E22" t="s">
        <v>40</v>
      </c>
      <c r="F22" t="s">
        <v>140</v>
      </c>
      <c r="G22" t="s">
        <v>141</v>
      </c>
      <c r="H22">
        <v>124</v>
      </c>
      <c r="V22">
        <v>32489669827</v>
      </c>
      <c r="AC22" t="s">
        <v>142</v>
      </c>
      <c r="AF22">
        <v>1002650825</v>
      </c>
      <c r="AG22">
        <v>730038</v>
      </c>
      <c r="AJ22" t="s">
        <v>143</v>
      </c>
      <c r="AK22" t="s">
        <v>61</v>
      </c>
      <c r="AM22" t="str" cm="1">
        <f t="array" ref="AM22">_xlfn.IFS(OR(O22="Persoonlijk",O22="Zoon",O22="Dochter"),P22,OR(Q22="Persoonlijk",Q22="Zoon",Q22="Dochter"),R22,OR(S22="Persoonlijk",S22="Zoon",S22="Dochter"),T22,O22="Vader",P22,Q22="Vader",R22,S22="Vader",T22,O22="Moeder",P22,Q22="Moeder",R22,S22="Moeder",T22,TRUE,IF(P22&lt;&gt;"",P22,IF(R22&lt;&gt;"",R22,IF(T22&lt;&gt;"",T22,""))))</f>
        <v/>
      </c>
      <c r="AN22" t="str" cm="1">
        <f t="array" ref="AN22">_xlfn.LET(_xlpm.raw,_xlfn.IFS(OR(U22="Persoonlijk",U22="Zoon",U22="Dochter"),V22,OR(W22="Persoonlijk",W22="Zoon",W22="Dochter"),X22,OR(Y22="Persoonlijk",Y22="Zoon",Y22="Dochter"),Z22,U22="Vader",V22,W22="Vader",X22,Y22="Vader",Z22,U22="Moeder",V22,W22="Moeder",X22,Y22="Moeder",Z22,TRUE,IF(V22&lt;&gt;"",V22,IF(X22&lt;&gt;"",X22,IF(Z22&lt;&gt;"",Z22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+32489669827</v>
      </c>
    </row>
    <row r="23" spans="1:40" x14ac:dyDescent="0.3">
      <c r="A23">
        <v>2650780</v>
      </c>
      <c r="B23" t="s">
        <v>144</v>
      </c>
      <c r="C23" t="s">
        <v>145</v>
      </c>
      <c r="D23" t="s">
        <v>39</v>
      </c>
      <c r="E23" t="s">
        <v>40</v>
      </c>
      <c r="F23" t="s">
        <v>146</v>
      </c>
      <c r="G23" t="s">
        <v>147</v>
      </c>
      <c r="H23">
        <v>35</v>
      </c>
      <c r="Q23" t="s">
        <v>51</v>
      </c>
      <c r="R23" t="s">
        <v>148</v>
      </c>
      <c r="U23" t="s">
        <v>53</v>
      </c>
      <c r="V23">
        <v>486584984</v>
      </c>
      <c r="W23" t="s">
        <v>51</v>
      </c>
      <c r="X23">
        <v>473888092</v>
      </c>
      <c r="Y23" t="s">
        <v>46</v>
      </c>
      <c r="Z23">
        <v>32485376691</v>
      </c>
      <c r="AC23" t="s">
        <v>149</v>
      </c>
      <c r="AE23" t="s">
        <v>150</v>
      </c>
      <c r="AF23">
        <v>1002650780</v>
      </c>
      <c r="AG23">
        <v>736579</v>
      </c>
      <c r="AJ23" t="s">
        <v>143</v>
      </c>
      <c r="AK23" t="s">
        <v>61</v>
      </c>
      <c r="AM23" t="str" cm="1">
        <f t="array" ref="AM23">_xlfn.IFS(OR(O23="Persoonlijk",O23="Zoon",O23="Dochter"),P23,OR(Q23="Persoonlijk",Q23="Zoon",Q23="Dochter"),R23,OR(S23="Persoonlijk",S23="Zoon",S23="Dochter"),T23,O23="Vader",P23,Q23="Vader",R23,S23="Vader",T23,O23="Moeder",P23,Q23="Moeder",R23,S23="Moeder",T23,TRUE,IF(P23&lt;&gt;"",P23,IF(R23&lt;&gt;"",R23,IF(T23&lt;&gt;"",T23,""))))</f>
        <v>baert_stijn@hotmail.com</v>
      </c>
      <c r="AN23" t="str" cm="1">
        <f t="array" ref="AN23">_xlfn.LET(_xlpm.raw,_xlfn.IFS(OR(U23="Persoonlijk",U23="Zoon",U23="Dochter"),V23,OR(W23="Persoonlijk",W23="Zoon",W23="Dochter"),X23,OR(Y23="Persoonlijk",Y23="Zoon",Y23="Dochter"),Z23,U23="Vader",V23,W23="Vader",X23,Y23="Vader",Z23,U23="Moeder",V23,W23="Moeder",X23,Y23="Moeder",Z23,TRUE,IF(V23&lt;&gt;"",V23,IF(X23&lt;&gt;"",X23,IF(Z23&lt;&gt;"",Z23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+32485376691</v>
      </c>
    </row>
    <row r="24" spans="1:40" x14ac:dyDescent="0.3">
      <c r="A24">
        <v>6349669</v>
      </c>
      <c r="B24" t="s">
        <v>151</v>
      </c>
      <c r="C24" t="s">
        <v>152</v>
      </c>
      <c r="D24" t="s">
        <v>39</v>
      </c>
      <c r="E24" t="s">
        <v>40</v>
      </c>
      <c r="F24" t="s">
        <v>153</v>
      </c>
      <c r="U24" t="s">
        <v>46</v>
      </c>
      <c r="V24" t="s">
        <v>154</v>
      </c>
      <c r="AE24" t="s">
        <v>155</v>
      </c>
      <c r="AF24">
        <v>1006349669</v>
      </c>
      <c r="AG24">
        <v>608165</v>
      </c>
      <c r="AM24" t="str" cm="1">
        <f t="array" ref="AM24">_xlfn.IFS(OR(O24="Persoonlijk",O24="Zoon",O24="Dochter"),P24,OR(Q24="Persoonlijk",Q24="Zoon",Q24="Dochter"),R24,OR(S24="Persoonlijk",S24="Zoon",S24="Dochter"),T24,O24="Vader",P24,Q24="Vader",R24,S24="Vader",T24,O24="Moeder",P24,Q24="Moeder",R24,S24="Moeder",T24,TRUE,IF(P24&lt;&gt;"",P24,IF(R24&lt;&gt;"",R24,IF(T24&lt;&gt;"",T24,""))))</f>
        <v/>
      </c>
      <c r="AN24" t="str" cm="1">
        <f t="array" ref="AN24">_xlfn.LET(_xlpm.raw,_xlfn.IFS(OR(U24="Persoonlijk",U24="Zoon",U24="Dochter"),V24,OR(W24="Persoonlijk",W24="Zoon",W24="Dochter"),X24,OR(Y24="Persoonlijk",Y24="Zoon",Y24="Dochter"),Z24,U24="Vader",V24,W24="Vader",X24,Y24="Vader",Z24,U24="Moeder",V24,W24="Moeder",X24,Y24="Moeder",Z24,TRUE,IF(V24&lt;&gt;"",V24,IF(X24&lt;&gt;"",X24,IF(Z24&lt;&gt;"",Z24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+32474072810</v>
      </c>
    </row>
    <row r="25" spans="1:40" x14ac:dyDescent="0.3">
      <c r="A25">
        <v>3472864</v>
      </c>
      <c r="B25" t="s">
        <v>156</v>
      </c>
      <c r="C25" t="s">
        <v>157</v>
      </c>
      <c r="D25" t="s">
        <v>39</v>
      </c>
      <c r="E25" t="s">
        <v>49</v>
      </c>
      <c r="F25" t="s">
        <v>158</v>
      </c>
      <c r="G25" t="s">
        <v>159</v>
      </c>
      <c r="H25">
        <v>6</v>
      </c>
      <c r="Q25" t="s">
        <v>51</v>
      </c>
      <c r="R25" t="s">
        <v>160</v>
      </c>
      <c r="V25" t="s">
        <v>161</v>
      </c>
      <c r="AC25" t="s">
        <v>162</v>
      </c>
      <c r="AE25" t="s">
        <v>163</v>
      </c>
      <c r="AF25">
        <v>1003472864</v>
      </c>
      <c r="AJ25" t="s">
        <v>164</v>
      </c>
      <c r="AK25" t="s">
        <v>61</v>
      </c>
      <c r="AM25" t="str" cm="1">
        <f t="array" ref="AM25">_xlfn.IFS(OR(O25="Persoonlijk",O25="Zoon",O25="Dochter"),P25,OR(Q25="Persoonlijk",Q25="Zoon",Q25="Dochter"),R25,OR(S25="Persoonlijk",S25="Zoon",S25="Dochter"),T25,O25="Vader",P25,Q25="Vader",R25,S25="Vader",T25,O25="Moeder",P25,Q25="Moeder",R25,S25="Moeder",T25,TRUE,IF(P25&lt;&gt;"",P25,IF(R25&lt;&gt;"",R25,IF(T25&lt;&gt;"",T25,""))))</f>
        <v>Jurgenbauters@gmail.com</v>
      </c>
      <c r="AN25" t="str" cm="1">
        <f t="array" ref="AN25">_xlfn.LET(_xlpm.raw,_xlfn.IFS(OR(U25="Persoonlijk",U25="Zoon",U25="Dochter"),V25,OR(W25="Persoonlijk",W25="Zoon",W25="Dochter"),X25,OR(Y25="Persoonlijk",Y25="Zoon",Y25="Dochter"),Z25,U25="Vader",V25,W25="Vader",X25,Y25="Vader",Z25,U25="Moeder",V25,W25="Moeder",X25,Y25="Moeder",Z25,TRUE,IF(V25&lt;&gt;"",V25,IF(X25&lt;&gt;"",X25,IF(Z25&lt;&gt;"",Z25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+32497533520</v>
      </c>
    </row>
    <row r="26" spans="1:40" x14ac:dyDescent="0.3">
      <c r="A26">
        <v>2182476</v>
      </c>
      <c r="B26" t="s">
        <v>156</v>
      </c>
      <c r="C26" t="s">
        <v>165</v>
      </c>
      <c r="D26" t="s">
        <v>39</v>
      </c>
      <c r="E26" t="s">
        <v>49</v>
      </c>
      <c r="F26" t="s">
        <v>166</v>
      </c>
      <c r="G26" t="s">
        <v>167</v>
      </c>
      <c r="V26">
        <v>474344132</v>
      </c>
      <c r="AC26" t="s">
        <v>168</v>
      </c>
      <c r="AE26" t="s">
        <v>169</v>
      </c>
      <c r="AF26">
        <v>1002182476</v>
      </c>
      <c r="AG26">
        <v>280371</v>
      </c>
      <c r="AJ26" t="s">
        <v>60</v>
      </c>
      <c r="AK26" t="s">
        <v>61</v>
      </c>
      <c r="AM26" t="str" cm="1">
        <f t="array" ref="AM26">_xlfn.IFS(OR(O26="Persoonlijk",O26="Zoon",O26="Dochter"),P26,OR(Q26="Persoonlijk",Q26="Zoon",Q26="Dochter"),R26,OR(S26="Persoonlijk",S26="Zoon",S26="Dochter"),T26,O26="Vader",P26,Q26="Vader",R26,S26="Vader",T26,O26="Moeder",P26,Q26="Moeder",R26,S26="Moeder",T26,TRUE,IF(P26&lt;&gt;"",P26,IF(R26&lt;&gt;"",R26,IF(T26&lt;&gt;"",T26,""))))</f>
        <v/>
      </c>
      <c r="AN26" t="str" cm="1">
        <f t="array" ref="AN26">_xlfn.LET(_xlpm.raw,_xlfn.IFS(OR(U26="Persoonlijk",U26="Zoon",U26="Dochter"),V26,OR(W26="Persoonlijk",W26="Zoon",W26="Dochter"),X26,OR(Y26="Persoonlijk",Y26="Zoon",Y26="Dochter"),Z26,U26="Vader",V26,W26="Vader",X26,Y26="Vader",Z26,U26="Moeder",V26,W26="Moeder",X26,Y26="Moeder",Z26,TRUE,IF(V26&lt;&gt;"",V26,IF(X26&lt;&gt;"",X26,IF(Z26&lt;&gt;"",Z26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+32474344132</v>
      </c>
    </row>
    <row r="27" spans="1:40" x14ac:dyDescent="0.3">
      <c r="A27">
        <v>2182476</v>
      </c>
      <c r="B27" t="s">
        <v>156</v>
      </c>
      <c r="C27" t="s">
        <v>165</v>
      </c>
      <c r="D27" t="s">
        <v>39</v>
      </c>
      <c r="E27" t="s">
        <v>49</v>
      </c>
      <c r="F27" t="s">
        <v>166</v>
      </c>
      <c r="G27" t="s">
        <v>167</v>
      </c>
      <c r="V27">
        <v>474344132</v>
      </c>
      <c r="AC27" t="s">
        <v>168</v>
      </c>
      <c r="AE27" t="s">
        <v>169</v>
      </c>
      <c r="AF27">
        <v>1002182476</v>
      </c>
      <c r="AG27">
        <v>280371</v>
      </c>
      <c r="AJ27" t="s">
        <v>127</v>
      </c>
      <c r="AK27" t="s">
        <v>65</v>
      </c>
      <c r="AM27" t="str" cm="1">
        <f t="array" ref="AM27">_xlfn.IFS(OR(O27="Persoonlijk",O27="Zoon",O27="Dochter"),P27,OR(Q27="Persoonlijk",Q27="Zoon",Q27="Dochter"),R27,OR(S27="Persoonlijk",S27="Zoon",S27="Dochter"),T27,O27="Vader",P27,Q27="Vader",R27,S27="Vader",T27,O27="Moeder",P27,Q27="Moeder",R27,S27="Moeder",T27,TRUE,IF(P27&lt;&gt;"",P27,IF(R27&lt;&gt;"",R27,IF(T27&lt;&gt;"",T27,""))))</f>
        <v/>
      </c>
      <c r="AN27" t="str" cm="1">
        <f t="array" ref="AN27">_xlfn.LET(_xlpm.raw,_xlfn.IFS(OR(U27="Persoonlijk",U27="Zoon",U27="Dochter"),V27,OR(W27="Persoonlijk",W27="Zoon",W27="Dochter"),X27,OR(Y27="Persoonlijk",Y27="Zoon",Y27="Dochter"),Z27,U27="Vader",V27,W27="Vader",X27,Y27="Vader",Z27,U27="Moeder",V27,W27="Moeder",X27,Y27="Moeder",Z27,TRUE,IF(V27&lt;&gt;"",V27,IF(X27&lt;&gt;"",X27,IF(Z27&lt;&gt;"",Z27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+32474344132</v>
      </c>
    </row>
    <row r="28" spans="1:40" x14ac:dyDescent="0.3">
      <c r="A28">
        <v>11846410</v>
      </c>
      <c r="B28" t="s">
        <v>156</v>
      </c>
      <c r="C28" t="s">
        <v>170</v>
      </c>
      <c r="D28" t="s">
        <v>39</v>
      </c>
      <c r="E28" t="s">
        <v>49</v>
      </c>
      <c r="F28" t="s">
        <v>171</v>
      </c>
      <c r="G28" t="s">
        <v>159</v>
      </c>
      <c r="H28">
        <v>6</v>
      </c>
      <c r="Q28" t="s">
        <v>51</v>
      </c>
      <c r="R28" t="s">
        <v>160</v>
      </c>
      <c r="V28" t="s">
        <v>161</v>
      </c>
      <c r="AC28" t="s">
        <v>172</v>
      </c>
      <c r="AE28" t="s">
        <v>173</v>
      </c>
      <c r="AF28">
        <v>1011846410</v>
      </c>
      <c r="AJ28" t="s">
        <v>174</v>
      </c>
      <c r="AK28" t="s">
        <v>61</v>
      </c>
      <c r="AM28" t="str" cm="1">
        <f t="array" ref="AM28">_xlfn.IFS(OR(O28="Persoonlijk",O28="Zoon",O28="Dochter"),P28,OR(Q28="Persoonlijk",Q28="Zoon",Q28="Dochter"),R28,OR(S28="Persoonlijk",S28="Zoon",S28="Dochter"),T28,O28="Vader",P28,Q28="Vader",R28,S28="Vader",T28,O28="Moeder",P28,Q28="Moeder",R28,S28="Moeder",T28,TRUE,IF(P28&lt;&gt;"",P28,IF(R28&lt;&gt;"",R28,IF(T28&lt;&gt;"",T28,""))))</f>
        <v>Jurgenbauters@gmail.com</v>
      </c>
      <c r="AN28" t="str" cm="1">
        <f t="array" ref="AN28">_xlfn.LET(_xlpm.raw,_xlfn.IFS(OR(U28="Persoonlijk",U28="Zoon",U28="Dochter"),V28,OR(W28="Persoonlijk",W28="Zoon",W28="Dochter"),X28,OR(Y28="Persoonlijk",Y28="Zoon",Y28="Dochter"),Z28,U28="Vader",V28,W28="Vader",X28,Y28="Vader",Z28,U28="Moeder",V28,W28="Moeder",X28,Y28="Moeder",Z28,TRUE,IF(V28&lt;&gt;"",V28,IF(X28&lt;&gt;"",X28,IF(Z28&lt;&gt;"",Z28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+32497533520</v>
      </c>
    </row>
    <row r="29" spans="1:40" x14ac:dyDescent="0.3">
      <c r="A29">
        <v>3498747</v>
      </c>
      <c r="B29" t="s">
        <v>156</v>
      </c>
      <c r="C29" t="s">
        <v>175</v>
      </c>
      <c r="D29" t="s">
        <v>39</v>
      </c>
      <c r="E29" t="s">
        <v>40</v>
      </c>
      <c r="F29" t="s">
        <v>176</v>
      </c>
      <c r="G29" t="s">
        <v>177</v>
      </c>
      <c r="H29">
        <v>107</v>
      </c>
      <c r="U29" t="s">
        <v>53</v>
      </c>
      <c r="V29" t="s">
        <v>178</v>
      </c>
      <c r="AF29">
        <v>1003498747</v>
      </c>
      <c r="AJ29" t="s">
        <v>179</v>
      </c>
      <c r="AK29" t="s">
        <v>61</v>
      </c>
      <c r="AM29" t="str" cm="1">
        <f t="array" ref="AM29">_xlfn.IFS(OR(O29="Persoonlijk",O29="Zoon",O29="Dochter"),P29,OR(Q29="Persoonlijk",Q29="Zoon",Q29="Dochter"),R29,OR(S29="Persoonlijk",S29="Zoon",S29="Dochter"),T29,O29="Vader",P29,Q29="Vader",R29,S29="Vader",T29,O29="Moeder",P29,Q29="Moeder",R29,S29="Moeder",T29,TRUE,IF(P29&lt;&gt;"",P29,IF(R29&lt;&gt;"",R29,IF(T29&lt;&gt;"",T29,""))))</f>
        <v/>
      </c>
      <c r="AN29" t="str" cm="1">
        <f t="array" ref="AN29">_xlfn.LET(_xlpm.raw,_xlfn.IFS(OR(U29="Persoonlijk",U29="Zoon",U29="Dochter"),V29,OR(W29="Persoonlijk",W29="Zoon",W29="Dochter"),X29,OR(Y29="Persoonlijk",Y29="Zoon",Y29="Dochter"),Z29,U29="Vader",V29,W29="Vader",X29,Y29="Vader",Z29,U29="Moeder",V29,W29="Moeder",X29,Y29="Moeder",Z29,TRUE,IF(V29&lt;&gt;"",V29,IF(X29&lt;&gt;"",X29,IF(Z29&lt;&gt;"",Z29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+32497078444</v>
      </c>
    </row>
    <row r="30" spans="1:40" x14ac:dyDescent="0.3">
      <c r="A30">
        <v>3498747</v>
      </c>
      <c r="B30" t="s">
        <v>156</v>
      </c>
      <c r="C30" t="s">
        <v>175</v>
      </c>
      <c r="D30" t="s">
        <v>39</v>
      </c>
      <c r="E30" t="s">
        <v>40</v>
      </c>
      <c r="F30" t="s">
        <v>176</v>
      </c>
      <c r="G30" t="s">
        <v>177</v>
      </c>
      <c r="H30">
        <v>107</v>
      </c>
      <c r="U30" t="s">
        <v>53</v>
      </c>
      <c r="V30" t="s">
        <v>178</v>
      </c>
      <c r="AF30">
        <v>1003498747</v>
      </c>
      <c r="AJ30" t="s">
        <v>180</v>
      </c>
      <c r="AK30" t="s">
        <v>61</v>
      </c>
      <c r="AM30" t="str" cm="1">
        <f t="array" ref="AM30">_xlfn.IFS(OR(O30="Persoonlijk",O30="Zoon",O30="Dochter"),P30,OR(Q30="Persoonlijk",Q30="Zoon",Q30="Dochter"),R30,OR(S30="Persoonlijk",S30="Zoon",S30="Dochter"),T30,O30="Vader",P30,Q30="Vader",R30,S30="Vader",T30,O30="Moeder",P30,Q30="Moeder",R30,S30="Moeder",T30,TRUE,IF(P30&lt;&gt;"",P30,IF(R30&lt;&gt;"",R30,IF(T30&lt;&gt;"",T30,""))))</f>
        <v/>
      </c>
      <c r="AN30" t="str" cm="1">
        <f t="array" ref="AN30">_xlfn.LET(_xlpm.raw,_xlfn.IFS(OR(U30="Persoonlijk",U30="Zoon",U30="Dochter"),V30,OR(W30="Persoonlijk",W30="Zoon",W30="Dochter"),X30,OR(Y30="Persoonlijk",Y30="Zoon",Y30="Dochter"),Z30,U30="Vader",V30,W30="Vader",X30,Y30="Vader",Z30,U30="Moeder",V30,W30="Moeder",X30,Y30="Moeder",Z30,TRUE,IF(V30&lt;&gt;"",V30,IF(X30&lt;&gt;"",X30,IF(Z30&lt;&gt;"",Z30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+32497078444</v>
      </c>
    </row>
    <row r="31" spans="1:40" x14ac:dyDescent="0.3">
      <c r="A31">
        <v>2182481</v>
      </c>
      <c r="B31" t="s">
        <v>181</v>
      </c>
      <c r="C31" t="s">
        <v>182</v>
      </c>
      <c r="D31" t="s">
        <v>39</v>
      </c>
      <c r="E31" t="s">
        <v>49</v>
      </c>
      <c r="F31" t="s">
        <v>183</v>
      </c>
      <c r="G31" t="s">
        <v>184</v>
      </c>
      <c r="H31">
        <v>13</v>
      </c>
      <c r="AF31">
        <v>1002182481</v>
      </c>
      <c r="AM31" t="str" cm="1">
        <f t="array" ref="AM31">_xlfn.IFS(OR(O31="Persoonlijk",O31="Zoon",O31="Dochter"),P31,OR(Q31="Persoonlijk",Q31="Zoon",Q31="Dochter"),R31,OR(S31="Persoonlijk",S31="Zoon",S31="Dochter"),T31,O31="Vader",P31,Q31="Vader",R31,S31="Vader",T31,O31="Moeder",P31,Q31="Moeder",R31,S31="Moeder",T31,TRUE,IF(P31&lt;&gt;"",P31,IF(R31&lt;&gt;"",R31,IF(T31&lt;&gt;"",T31,""))))</f>
        <v/>
      </c>
      <c r="AN31" t="str" cm="1">
        <f t="array" ref="AN31">_xlfn.LET(_xlpm.raw,_xlfn.IFS(OR(U31="Persoonlijk",U31="Zoon",U31="Dochter"),V31,OR(W31="Persoonlijk",W31="Zoon",W31="Dochter"),X31,OR(Y31="Persoonlijk",Y31="Zoon",Y31="Dochter"),Z31,U31="Vader",V31,W31="Vader",X31,Y31="Vader",Z31,U31="Moeder",V31,W31="Moeder",X31,Y31="Moeder",Z31,TRUE,IF(V31&lt;&gt;"",V31,IF(X31&lt;&gt;"",X31,IF(Z31&lt;&gt;"",Z31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2" spans="1:40" x14ac:dyDescent="0.3">
      <c r="A32">
        <v>7329719</v>
      </c>
      <c r="B32" t="s">
        <v>185</v>
      </c>
      <c r="C32" t="s">
        <v>186</v>
      </c>
      <c r="D32" t="s">
        <v>39</v>
      </c>
      <c r="E32" t="s">
        <v>40</v>
      </c>
      <c r="F32" t="s">
        <v>187</v>
      </c>
      <c r="G32" t="s">
        <v>188</v>
      </c>
      <c r="H32">
        <v>10</v>
      </c>
      <c r="R32" t="s">
        <v>189</v>
      </c>
      <c r="V32" t="s">
        <v>190</v>
      </c>
      <c r="AE32" t="s">
        <v>191</v>
      </c>
      <c r="AF32">
        <v>1007329719</v>
      </c>
      <c r="AJ32" t="s">
        <v>192</v>
      </c>
      <c r="AK32" t="s">
        <v>61</v>
      </c>
      <c r="AM32" t="str" cm="1">
        <f t="array" ref="AM32">_xlfn.IFS(OR(O32="Persoonlijk",O32="Zoon",O32="Dochter"),P32,OR(Q32="Persoonlijk",Q32="Zoon",Q32="Dochter"),R32,OR(S32="Persoonlijk",S32="Zoon",S32="Dochter"),T32,O32="Vader",P32,Q32="Vader",R32,S32="Vader",T32,O32="Moeder",P32,Q32="Moeder",R32,S32="Moeder",T32,TRUE,IF(P32&lt;&gt;"",P32,IF(R32&lt;&gt;"",R32,IF(T32&lt;&gt;"",T32,""))))</f>
        <v>ppoitiez@hotmail.com</v>
      </c>
      <c r="AN32" t="str" cm="1">
        <f t="array" ref="AN32">_xlfn.LET(_xlpm.raw,_xlfn.IFS(OR(U32="Persoonlijk",U32="Zoon",U32="Dochter"),V32,OR(W32="Persoonlijk",W32="Zoon",W32="Dochter"),X32,OR(Y32="Persoonlijk",Y32="Zoon",Y32="Dochter"),Z32,U32="Vader",V32,W32="Vader",X32,Y32="Vader",Z32,U32="Moeder",V32,W32="Moeder",X32,Y32="Moeder",Z32,TRUE,IF(V32&lt;&gt;"",V32,IF(X32&lt;&gt;"",X32,IF(Z32&lt;&gt;"",Z32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+32486440775</v>
      </c>
    </row>
    <row r="33" spans="1:40" x14ac:dyDescent="0.3">
      <c r="A33">
        <v>2182486</v>
      </c>
      <c r="B33" t="s">
        <v>185</v>
      </c>
      <c r="C33" t="s">
        <v>193</v>
      </c>
      <c r="D33" t="s">
        <v>39</v>
      </c>
      <c r="E33" t="s">
        <v>49</v>
      </c>
      <c r="F33" t="s">
        <v>194</v>
      </c>
      <c r="G33" t="s">
        <v>195</v>
      </c>
      <c r="H33">
        <v>10</v>
      </c>
      <c r="AC33" t="s">
        <v>196</v>
      </c>
      <c r="AE33" t="s">
        <v>197</v>
      </c>
      <c r="AF33">
        <v>1002182486</v>
      </c>
      <c r="AG33">
        <v>721373</v>
      </c>
      <c r="AM33" t="str" cm="1">
        <f t="array" ref="AM33">_xlfn.IFS(OR(O33="Persoonlijk",O33="Zoon",O33="Dochter"),P33,OR(Q33="Persoonlijk",Q33="Zoon",Q33="Dochter"),R33,OR(S33="Persoonlijk",S33="Zoon",S33="Dochter"),T33,O33="Vader",P33,Q33="Vader",R33,S33="Vader",T33,O33="Moeder",P33,Q33="Moeder",R33,S33="Moeder",T33,TRUE,IF(P33&lt;&gt;"",P33,IF(R33&lt;&gt;"",R33,IF(T33&lt;&gt;"",T33,""))))</f>
        <v/>
      </c>
      <c r="AN33" t="str" cm="1">
        <f t="array" ref="AN33">_xlfn.LET(_xlpm.raw,_xlfn.IFS(OR(U33="Persoonlijk",U33="Zoon",U33="Dochter"),V33,OR(W33="Persoonlijk",W33="Zoon",W33="Dochter"),X33,OR(Y33="Persoonlijk",Y33="Zoon",Y33="Dochter"),Z33,U33="Vader",V33,W33="Vader",X33,Y33="Vader",Z33,U33="Moeder",V33,W33="Moeder",X33,Y33="Moeder",Z33,TRUE,IF(V33&lt;&gt;"",V33,IF(X33&lt;&gt;"",X33,IF(Z33&lt;&gt;"",Z33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4" spans="1:40" x14ac:dyDescent="0.3">
      <c r="A34">
        <v>2182491</v>
      </c>
      <c r="B34" t="s">
        <v>185</v>
      </c>
      <c r="C34" t="s">
        <v>198</v>
      </c>
      <c r="D34" t="s">
        <v>39</v>
      </c>
      <c r="E34" t="s">
        <v>40</v>
      </c>
      <c r="F34" t="s">
        <v>199</v>
      </c>
      <c r="G34" t="s">
        <v>188</v>
      </c>
      <c r="H34">
        <v>10</v>
      </c>
      <c r="V34">
        <v>486440775</v>
      </c>
      <c r="AC34" t="s">
        <v>200</v>
      </c>
      <c r="AE34" t="s">
        <v>201</v>
      </c>
      <c r="AF34">
        <v>1002182491</v>
      </c>
      <c r="AG34">
        <v>720212</v>
      </c>
      <c r="AJ34" t="s">
        <v>202</v>
      </c>
      <c r="AK34" t="s">
        <v>61</v>
      </c>
      <c r="AL34" t="s">
        <v>62</v>
      </c>
      <c r="AM34" t="str" cm="1">
        <f t="array" ref="AM34">_xlfn.IFS(OR(O34="Persoonlijk",O34="Zoon",O34="Dochter"),P34,OR(Q34="Persoonlijk",Q34="Zoon",Q34="Dochter"),R34,OR(S34="Persoonlijk",S34="Zoon",S34="Dochter"),T34,O34="Vader",P34,Q34="Vader",R34,S34="Vader",T34,O34="Moeder",P34,Q34="Moeder",R34,S34="Moeder",T34,TRUE,IF(P34&lt;&gt;"",P34,IF(R34&lt;&gt;"",R34,IF(T34&lt;&gt;"",T34,""))))</f>
        <v/>
      </c>
      <c r="AN34" t="str" cm="1">
        <f t="array" ref="AN34">_xlfn.LET(_xlpm.raw,_xlfn.IFS(OR(U34="Persoonlijk",U34="Zoon",U34="Dochter"),V34,OR(W34="Persoonlijk",W34="Zoon",W34="Dochter"),X34,OR(Y34="Persoonlijk",Y34="Zoon",Y34="Dochter"),Z34,U34="Vader",V34,W34="Vader",X34,Y34="Vader",Z34,U34="Moeder",V34,W34="Moeder",X34,Y34="Moeder",Z34,TRUE,IF(V34&lt;&gt;"",V34,IF(X34&lt;&gt;"",X34,IF(Z34&lt;&gt;"",Z34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+32486440775</v>
      </c>
    </row>
    <row r="35" spans="1:40" x14ac:dyDescent="0.3">
      <c r="A35">
        <v>2182491</v>
      </c>
      <c r="B35" t="s">
        <v>185</v>
      </c>
      <c r="C35" t="s">
        <v>198</v>
      </c>
      <c r="D35" t="s">
        <v>39</v>
      </c>
      <c r="E35" t="s">
        <v>40</v>
      </c>
      <c r="F35" t="s">
        <v>199</v>
      </c>
      <c r="G35" t="s">
        <v>188</v>
      </c>
      <c r="H35">
        <v>10</v>
      </c>
      <c r="V35">
        <v>486440775</v>
      </c>
      <c r="AC35" t="s">
        <v>200</v>
      </c>
      <c r="AE35" t="s">
        <v>201</v>
      </c>
      <c r="AF35">
        <v>1002182491</v>
      </c>
      <c r="AG35">
        <v>720212</v>
      </c>
      <c r="AL35" t="s">
        <v>62</v>
      </c>
      <c r="AM35" t="str" cm="1">
        <f t="array" ref="AM35">_xlfn.IFS(OR(O35="Persoonlijk",O35="Zoon",O35="Dochter"),P35,OR(Q35="Persoonlijk",Q35="Zoon",Q35="Dochter"),R35,OR(S35="Persoonlijk",S35="Zoon",S35="Dochter"),T35,O35="Vader",P35,Q35="Vader",R35,S35="Vader",T35,O35="Moeder",P35,Q35="Moeder",R35,S35="Moeder",T35,TRUE,IF(P35&lt;&gt;"",P35,IF(R35&lt;&gt;"",R35,IF(T35&lt;&gt;"",T35,""))))</f>
        <v/>
      </c>
      <c r="AN35" t="str" cm="1">
        <f t="array" ref="AN35">_xlfn.LET(_xlpm.raw,_xlfn.IFS(OR(U35="Persoonlijk",U35="Zoon",U35="Dochter"),V35,OR(W35="Persoonlijk",W35="Zoon",W35="Dochter"),X35,OR(Y35="Persoonlijk",Y35="Zoon",Y35="Dochter"),Z35,U35="Vader",V35,W35="Vader",X35,Y35="Vader",Z35,U35="Moeder",V35,W35="Moeder",X35,Y35="Moeder",Z35,TRUE,IF(V35&lt;&gt;"",V35,IF(X35&lt;&gt;"",X35,IF(Z35&lt;&gt;"",Z35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+32486440775</v>
      </c>
    </row>
    <row r="36" spans="1:40" x14ac:dyDescent="0.3">
      <c r="A36">
        <v>3239983</v>
      </c>
      <c r="B36" t="s">
        <v>203</v>
      </c>
      <c r="C36" t="s">
        <v>204</v>
      </c>
      <c r="D36" t="s">
        <v>39</v>
      </c>
      <c r="E36" t="s">
        <v>40</v>
      </c>
      <c r="G36" t="s">
        <v>205</v>
      </c>
      <c r="H36">
        <v>86</v>
      </c>
      <c r="V36" t="s">
        <v>206</v>
      </c>
      <c r="AC36" t="s">
        <v>207</v>
      </c>
      <c r="AF36">
        <v>1003239983</v>
      </c>
      <c r="AG36">
        <v>7328</v>
      </c>
      <c r="AM36" t="str" cm="1">
        <f t="array" ref="AM36">_xlfn.IFS(OR(O36="Persoonlijk",O36="Zoon",O36="Dochter"),P36,OR(Q36="Persoonlijk",Q36="Zoon",Q36="Dochter"),R36,OR(S36="Persoonlijk",S36="Zoon",S36="Dochter"),T36,O36="Vader",P36,Q36="Vader",R36,S36="Vader",T36,O36="Moeder",P36,Q36="Moeder",R36,S36="Moeder",T36,TRUE,IF(P36&lt;&gt;"",P36,IF(R36&lt;&gt;"",R36,IF(T36&lt;&gt;"",T36,""))))</f>
        <v/>
      </c>
      <c r="AN36" t="str" cm="1">
        <f t="array" ref="AN36">_xlfn.LET(_xlpm.raw,_xlfn.IFS(OR(U36="Persoonlijk",U36="Zoon",U36="Dochter"),V36,OR(W36="Persoonlijk",W36="Zoon",W36="Dochter"),X36,OR(Y36="Persoonlijk",Y36="Zoon",Y36="Dochter"),Z36,U36="Vader",V36,W36="Vader",X36,Y36="Vader",Z36,U36="Moeder",V36,W36="Moeder",X36,Y36="Moeder",Z36,TRUE,IF(V36&lt;&gt;"",V36,IF(X36&lt;&gt;"",X36,IF(Z36&lt;&gt;"",Z36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+32497271228</v>
      </c>
    </row>
    <row r="37" spans="1:40" x14ac:dyDescent="0.3">
      <c r="A37">
        <v>2182501</v>
      </c>
      <c r="B37" t="s">
        <v>208</v>
      </c>
      <c r="C37" t="s">
        <v>209</v>
      </c>
      <c r="D37" t="s">
        <v>39</v>
      </c>
      <c r="E37" t="s">
        <v>40</v>
      </c>
      <c r="F37" t="s">
        <v>210</v>
      </c>
      <c r="G37" t="s">
        <v>211</v>
      </c>
      <c r="H37">
        <v>95</v>
      </c>
      <c r="R37" t="s">
        <v>212</v>
      </c>
      <c r="V37" t="s">
        <v>213</v>
      </c>
      <c r="AC37" t="s">
        <v>214</v>
      </c>
      <c r="AD37">
        <v>6</v>
      </c>
      <c r="AE37" t="s">
        <v>215</v>
      </c>
      <c r="AF37">
        <v>1002182501</v>
      </c>
      <c r="AG37">
        <v>715506</v>
      </c>
      <c r="AJ37" t="s">
        <v>121</v>
      </c>
      <c r="AK37" t="s">
        <v>61</v>
      </c>
      <c r="AL37" t="s">
        <v>62</v>
      </c>
      <c r="AM37" t="str" cm="1">
        <f t="array" ref="AM37">_xlfn.IFS(OR(O37="Persoonlijk",O37="Zoon",O37="Dochter"),P37,OR(Q37="Persoonlijk",Q37="Zoon",Q37="Dochter"),R37,OR(S37="Persoonlijk",S37="Zoon",S37="Dochter"),T37,O37="Vader",P37,Q37="Vader",R37,S37="Vader",T37,O37="Moeder",P37,Q37="Moeder",R37,S37="Moeder",T37,TRUE,IF(P37&lt;&gt;"",P37,IF(R37&lt;&gt;"",R37,IF(T37&lt;&gt;"",T37,""))))</f>
        <v>wim.beke@telenet.be</v>
      </c>
      <c r="AN37" t="str" cm="1">
        <f t="array" ref="AN37">_xlfn.LET(_xlpm.raw,_xlfn.IFS(OR(U37="Persoonlijk",U37="Zoon",U37="Dochter"),V37,OR(W37="Persoonlijk",W37="Zoon",W37="Dochter"),X37,OR(Y37="Persoonlijk",Y37="Zoon",Y37="Dochter"),Z37,U37="Vader",V37,W37="Vader",X37,Y37="Vader",Z37,U37="Moeder",V37,W37="Moeder",X37,Y37="Moeder",Z37,TRUE,IF(V37&lt;&gt;"",V37,IF(X37&lt;&gt;"",X37,IF(Z37&lt;&gt;"",Z37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+32494534565</v>
      </c>
    </row>
    <row r="38" spans="1:40" x14ac:dyDescent="0.3">
      <c r="A38">
        <v>2182501</v>
      </c>
      <c r="B38" t="s">
        <v>208</v>
      </c>
      <c r="C38" t="s">
        <v>209</v>
      </c>
      <c r="D38" t="s">
        <v>39</v>
      </c>
      <c r="E38" t="s">
        <v>40</v>
      </c>
      <c r="F38" t="s">
        <v>210</v>
      </c>
      <c r="G38" t="s">
        <v>211</v>
      </c>
      <c r="H38">
        <v>95</v>
      </c>
      <c r="R38" t="s">
        <v>212</v>
      </c>
      <c r="V38" t="s">
        <v>213</v>
      </c>
      <c r="AC38" t="s">
        <v>214</v>
      </c>
      <c r="AD38">
        <v>6</v>
      </c>
      <c r="AE38" t="s">
        <v>215</v>
      </c>
      <c r="AF38">
        <v>1002182501</v>
      </c>
      <c r="AG38">
        <v>715506</v>
      </c>
      <c r="AJ38" t="s">
        <v>63</v>
      </c>
      <c r="AK38" t="s">
        <v>61</v>
      </c>
      <c r="AM38" t="str" cm="1">
        <f t="array" ref="AM38">_xlfn.IFS(OR(O38="Persoonlijk",O38="Zoon",O38="Dochter"),P38,OR(Q38="Persoonlijk",Q38="Zoon",Q38="Dochter"),R38,OR(S38="Persoonlijk",S38="Zoon",S38="Dochter"),T38,O38="Vader",P38,Q38="Vader",R38,S38="Vader",T38,O38="Moeder",P38,Q38="Moeder",R38,S38="Moeder",T38,TRUE,IF(P38&lt;&gt;"",P38,IF(R38&lt;&gt;"",R38,IF(T38&lt;&gt;"",T38,""))))</f>
        <v>wim.beke@telenet.be</v>
      </c>
      <c r="AN38" t="str" cm="1">
        <f t="array" ref="AN38">_xlfn.LET(_xlpm.raw,_xlfn.IFS(OR(U38="Persoonlijk",U38="Zoon",U38="Dochter"),V38,OR(W38="Persoonlijk",W38="Zoon",W38="Dochter"),X38,OR(Y38="Persoonlijk",Y38="Zoon",Y38="Dochter"),Z38,U38="Vader",V38,W38="Vader",X38,Y38="Vader",Z38,U38="Moeder",V38,W38="Moeder",X38,Y38="Moeder",Z38,TRUE,IF(V38&lt;&gt;"",V38,IF(X38&lt;&gt;"",X38,IF(Z38&lt;&gt;"",Z38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+32494534565</v>
      </c>
    </row>
    <row r="39" spans="1:40" x14ac:dyDescent="0.3">
      <c r="A39">
        <v>2713992</v>
      </c>
      <c r="B39" t="s">
        <v>216</v>
      </c>
      <c r="C39" t="s">
        <v>217</v>
      </c>
      <c r="D39" t="s">
        <v>39</v>
      </c>
      <c r="E39" t="s">
        <v>49</v>
      </c>
      <c r="F39" t="s">
        <v>218</v>
      </c>
      <c r="G39" t="s">
        <v>219</v>
      </c>
      <c r="H39">
        <v>18</v>
      </c>
      <c r="Q39" t="s">
        <v>220</v>
      </c>
      <c r="R39" t="s">
        <v>221</v>
      </c>
      <c r="S39" t="s">
        <v>116</v>
      </c>
      <c r="T39" t="s">
        <v>222</v>
      </c>
      <c r="U39" t="s">
        <v>46</v>
      </c>
      <c r="V39">
        <v>320497948892</v>
      </c>
      <c r="W39" t="s">
        <v>220</v>
      </c>
      <c r="X39">
        <v>320478766076</v>
      </c>
      <c r="Y39" t="s">
        <v>116</v>
      </c>
      <c r="Z39">
        <v>320495362023</v>
      </c>
      <c r="AB39" t="s">
        <v>223</v>
      </c>
      <c r="AC39" t="s">
        <v>224</v>
      </c>
      <c r="AF39">
        <v>1002713992</v>
      </c>
      <c r="AG39">
        <v>742180</v>
      </c>
      <c r="AL39" t="s">
        <v>62</v>
      </c>
      <c r="AM39" t="str" cm="1">
        <f t="array" ref="AM39">_xlfn.IFS(OR(O39="Persoonlijk",O39="Zoon",O39="Dochter"),P39,OR(Q39="Persoonlijk",Q39="Zoon",Q39="Dochter"),R39,OR(S39="Persoonlijk",S39="Zoon",S39="Dochter"),T39,O39="Vader",P39,Q39="Vader",R39,S39="Vader",T39,O39="Moeder",P39,Q39="Moeder",R39,S39="Moeder",T39,TRUE,IF(P39&lt;&gt;"",P39,IF(R39&lt;&gt;"",R39,IF(T39&lt;&gt;"",T39,""))))</f>
        <v>slimmerik.briek@gmail.com</v>
      </c>
      <c r="AN39" t="str" cm="1">
        <f t="array" ref="AN39">_xlfn.LET(_xlpm.raw,_xlfn.IFS(OR(U39="Persoonlijk",U39="Zoon",U39="Dochter"),V39,OR(W39="Persoonlijk",W39="Zoon",W39="Dochter"),X39,OR(Y39="Persoonlijk",Y39="Zoon",Y39="Dochter"),Z39,U39="Vader",V39,W39="Vader",X39,Y39="Vader",Z39,U39="Moeder",V39,W39="Moeder",X39,Y39="Moeder",Z39,TRUE,IF(V39&lt;&gt;"",V39,IF(X39&lt;&gt;"",X39,IF(Z39&lt;&gt;"",Z39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+32497948892</v>
      </c>
    </row>
    <row r="40" spans="1:40" x14ac:dyDescent="0.3">
      <c r="A40">
        <v>4080393</v>
      </c>
      <c r="B40" t="s">
        <v>225</v>
      </c>
      <c r="C40" t="s">
        <v>226</v>
      </c>
      <c r="D40" t="s">
        <v>39</v>
      </c>
      <c r="E40" t="s">
        <v>40</v>
      </c>
      <c r="F40" t="s">
        <v>227</v>
      </c>
      <c r="G40" t="s">
        <v>228</v>
      </c>
      <c r="H40">
        <v>66</v>
      </c>
      <c r="I40">
        <v>10</v>
      </c>
      <c r="Q40" t="s">
        <v>51</v>
      </c>
      <c r="R40" t="s">
        <v>229</v>
      </c>
      <c r="S40" t="s">
        <v>116</v>
      </c>
      <c r="T40" t="s">
        <v>230</v>
      </c>
      <c r="U40" t="s">
        <v>116</v>
      </c>
      <c r="V40" t="s">
        <v>231</v>
      </c>
      <c r="W40" t="s">
        <v>51</v>
      </c>
      <c r="X40" t="s">
        <v>232</v>
      </c>
      <c r="Y40" t="s">
        <v>46</v>
      </c>
      <c r="Z40" t="s">
        <v>233</v>
      </c>
      <c r="AA40">
        <v>32485287357</v>
      </c>
      <c r="AD40">
        <v>15</v>
      </c>
      <c r="AE40" t="s">
        <v>234</v>
      </c>
      <c r="AF40">
        <v>1004080393</v>
      </c>
      <c r="AG40">
        <v>753437</v>
      </c>
      <c r="AJ40" t="s">
        <v>121</v>
      </c>
      <c r="AK40" t="s">
        <v>61</v>
      </c>
      <c r="AL40" t="s">
        <v>62</v>
      </c>
      <c r="AM40" t="str" cm="1">
        <f t="array" ref="AM40">_xlfn.IFS(OR(O40="Persoonlijk",O40="Zoon",O40="Dochter"),P40,OR(Q40="Persoonlijk",Q40="Zoon",Q40="Dochter"),R40,OR(S40="Persoonlijk",S40="Zoon",S40="Dochter"),T40,O40="Vader",P40,Q40="Vader",R40,S40="Vader",T40,O40="Moeder",P40,Q40="Moeder",R40,S40="Moeder",T40,TRUE,IF(P40&lt;&gt;"",P40,IF(R40&lt;&gt;"",R40,IF(T40&lt;&gt;"",T40,""))))</f>
        <v>Quintenmaetha@gmail.com</v>
      </c>
      <c r="AN40" t="str" cm="1">
        <f t="array" ref="AN40">_xlfn.LET(_xlpm.raw,_xlfn.IFS(OR(U40="Persoonlijk",U40="Zoon",U40="Dochter"),V40,OR(W40="Persoonlijk",W40="Zoon",W40="Dochter"),X40,OR(Y40="Persoonlijk",Y40="Zoon",Y40="Dochter"),Z40,U40="Vader",V40,W40="Vader",X40,Y40="Vader",Z40,U40="Moeder",V40,W40="Moeder",X40,Y40="Moeder",Z40,TRUE,IF(V40&lt;&gt;"",V40,IF(X40&lt;&gt;"",X40,IF(Z40&lt;&gt;"",Z40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+32485287357</v>
      </c>
    </row>
    <row r="41" spans="1:40" x14ac:dyDescent="0.3">
      <c r="A41">
        <v>4080393</v>
      </c>
      <c r="B41" t="s">
        <v>225</v>
      </c>
      <c r="C41" t="s">
        <v>226</v>
      </c>
      <c r="D41" t="s">
        <v>39</v>
      </c>
      <c r="E41" t="s">
        <v>40</v>
      </c>
      <c r="F41" t="s">
        <v>227</v>
      </c>
      <c r="G41" t="s">
        <v>228</v>
      </c>
      <c r="H41">
        <v>66</v>
      </c>
      <c r="I41">
        <v>10</v>
      </c>
      <c r="Q41" t="s">
        <v>51</v>
      </c>
      <c r="R41" t="s">
        <v>229</v>
      </c>
      <c r="S41" t="s">
        <v>116</v>
      </c>
      <c r="T41" t="s">
        <v>230</v>
      </c>
      <c r="U41" t="s">
        <v>116</v>
      </c>
      <c r="V41" t="s">
        <v>231</v>
      </c>
      <c r="W41" t="s">
        <v>51</v>
      </c>
      <c r="X41" t="s">
        <v>232</v>
      </c>
      <c r="Y41" t="s">
        <v>46</v>
      </c>
      <c r="Z41" t="s">
        <v>233</v>
      </c>
      <c r="AA41">
        <v>32485287357</v>
      </c>
      <c r="AD41">
        <v>15</v>
      </c>
      <c r="AE41" t="s">
        <v>234</v>
      </c>
      <c r="AF41">
        <v>1004080393</v>
      </c>
      <c r="AG41">
        <v>753437</v>
      </c>
      <c r="AL41" t="s">
        <v>62</v>
      </c>
      <c r="AM41" t="str" cm="1">
        <f t="array" ref="AM41">_xlfn.IFS(OR(O41="Persoonlijk",O41="Zoon",O41="Dochter"),P41,OR(Q41="Persoonlijk",Q41="Zoon",Q41="Dochter"),R41,OR(S41="Persoonlijk",S41="Zoon",S41="Dochter"),T41,O41="Vader",P41,Q41="Vader",R41,S41="Vader",T41,O41="Moeder",P41,Q41="Moeder",R41,S41="Moeder",T41,TRUE,IF(P41&lt;&gt;"",P41,IF(R41&lt;&gt;"",R41,IF(T41&lt;&gt;"",T41,""))))</f>
        <v>Quintenmaetha@gmail.com</v>
      </c>
      <c r="AN41" t="str" cm="1">
        <f t="array" ref="AN41">_xlfn.LET(_xlpm.raw,_xlfn.IFS(OR(U41="Persoonlijk",U41="Zoon",U41="Dochter"),V41,OR(W41="Persoonlijk",W41="Zoon",W41="Dochter"),X41,OR(Y41="Persoonlijk",Y41="Zoon",Y41="Dochter"),Z41,U41="Vader",V41,W41="Vader",X41,Y41="Vader",Z41,U41="Moeder",V41,W41="Moeder",X41,Y41="Moeder",Z41,TRUE,IF(V41&lt;&gt;"",V41,IF(X41&lt;&gt;"",X41,IF(Z41&lt;&gt;"",Z41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+32485287357</v>
      </c>
    </row>
    <row r="42" spans="1:40" x14ac:dyDescent="0.3">
      <c r="A42">
        <v>2650778</v>
      </c>
      <c r="B42" t="s">
        <v>235</v>
      </c>
      <c r="C42" t="s">
        <v>236</v>
      </c>
      <c r="D42" t="s">
        <v>39</v>
      </c>
      <c r="E42" t="s">
        <v>40</v>
      </c>
      <c r="F42" t="s">
        <v>237</v>
      </c>
      <c r="G42" t="s">
        <v>238</v>
      </c>
      <c r="H42">
        <v>12</v>
      </c>
      <c r="U42" t="s">
        <v>53</v>
      </c>
      <c r="V42">
        <v>474613344</v>
      </c>
      <c r="AC42" t="s">
        <v>239</v>
      </c>
      <c r="AE42" t="s">
        <v>240</v>
      </c>
      <c r="AF42">
        <v>1002650778</v>
      </c>
      <c r="AG42">
        <v>739383</v>
      </c>
      <c r="AJ42" t="s">
        <v>143</v>
      </c>
      <c r="AK42" t="s">
        <v>61</v>
      </c>
      <c r="AM42" t="str" cm="1">
        <f t="array" ref="AM42">_xlfn.IFS(OR(O42="Persoonlijk",O42="Zoon",O42="Dochter"),P42,OR(Q42="Persoonlijk",Q42="Zoon",Q42="Dochter"),R42,OR(S42="Persoonlijk",S42="Zoon",S42="Dochter"),T42,O42="Vader",P42,Q42="Vader",R42,S42="Vader",T42,O42="Moeder",P42,Q42="Moeder",R42,S42="Moeder",T42,TRUE,IF(P42&lt;&gt;"",P42,IF(R42&lt;&gt;"",R42,IF(T42&lt;&gt;"",T42,""))))</f>
        <v/>
      </c>
      <c r="AN42" t="str" cm="1">
        <f t="array" ref="AN42">_xlfn.LET(_xlpm.raw,_xlfn.IFS(OR(U42="Persoonlijk",U42="Zoon",U42="Dochter"),V42,OR(W42="Persoonlijk",W42="Zoon",W42="Dochter"),X42,OR(Y42="Persoonlijk",Y42="Zoon",Y42="Dochter"),Z42,U42="Vader",V42,W42="Vader",X42,Y42="Vader",Z42,U42="Moeder",V42,W42="Moeder",X42,Y42="Moeder",Z42,TRUE,IF(V42&lt;&gt;"",V42,IF(X42&lt;&gt;"",X42,IF(Z42&lt;&gt;"",Z42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+32474613344</v>
      </c>
    </row>
    <row r="43" spans="1:40" x14ac:dyDescent="0.3">
      <c r="A43">
        <v>3457909</v>
      </c>
      <c r="B43" t="s">
        <v>241</v>
      </c>
      <c r="C43" t="s">
        <v>242</v>
      </c>
      <c r="D43" t="s">
        <v>39</v>
      </c>
      <c r="E43" t="s">
        <v>40</v>
      </c>
      <c r="F43" t="s">
        <v>243</v>
      </c>
      <c r="H43" t="s">
        <v>114</v>
      </c>
      <c r="I43">
        <v>9</v>
      </c>
      <c r="Q43" t="s">
        <v>46</v>
      </c>
      <c r="R43" t="s">
        <v>244</v>
      </c>
      <c r="S43" t="s">
        <v>51</v>
      </c>
      <c r="T43" t="s">
        <v>245</v>
      </c>
      <c r="U43" t="s">
        <v>53</v>
      </c>
      <c r="V43" t="s">
        <v>246</v>
      </c>
      <c r="W43" t="s">
        <v>46</v>
      </c>
      <c r="X43" t="s">
        <v>247</v>
      </c>
      <c r="Y43" t="s">
        <v>51</v>
      </c>
      <c r="Z43" t="s">
        <v>248</v>
      </c>
      <c r="AF43">
        <v>1003457909</v>
      </c>
      <c r="AG43">
        <v>749953</v>
      </c>
      <c r="AM43" t="str" cm="1">
        <f t="array" ref="AM43">_xlfn.IFS(OR(O43="Persoonlijk",O43="Zoon",O43="Dochter"),P43,OR(Q43="Persoonlijk",Q43="Zoon",Q43="Dochter"),R43,OR(S43="Persoonlijk",S43="Zoon",S43="Dochter"),T43,O43="Vader",P43,Q43="Vader",R43,S43="Vader",T43,O43="Moeder",P43,Q43="Moeder",R43,S43="Moeder",T43,TRUE,IF(P43&lt;&gt;"",P43,IF(R43&lt;&gt;"",R43,IF(T43&lt;&gt;"",T43,""))))</f>
        <v>bessemskas@gmail.com</v>
      </c>
      <c r="AN43" t="str" cm="1">
        <f t="array" ref="AN43">_xlfn.LET(_xlpm.raw,_xlfn.IFS(OR(U43="Persoonlijk",U43="Zoon",U43="Dochter"),V43,OR(W43="Persoonlijk",W43="Zoon",W43="Dochter"),X43,OR(Y43="Persoonlijk",Y43="Zoon",Y43="Dochter"),Z43,U43="Vader",V43,W43="Vader",X43,Y43="Vader",Z43,U43="Moeder",V43,W43="Moeder",X43,Y43="Moeder",Z43,TRUE,IF(V43&lt;&gt;"",V43,IF(X43&lt;&gt;"",X43,IF(Z43&lt;&gt;"",Z43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+32470059511</v>
      </c>
    </row>
    <row r="44" spans="1:40" x14ac:dyDescent="0.3">
      <c r="A44">
        <v>2670021</v>
      </c>
      <c r="B44" t="s">
        <v>249</v>
      </c>
      <c r="C44" t="s">
        <v>250</v>
      </c>
      <c r="D44" t="s">
        <v>39</v>
      </c>
      <c r="E44" t="s">
        <v>40</v>
      </c>
      <c r="F44" t="s">
        <v>251</v>
      </c>
      <c r="G44" t="s">
        <v>252</v>
      </c>
      <c r="H44">
        <v>24</v>
      </c>
      <c r="Q44" t="s">
        <v>116</v>
      </c>
      <c r="R44" t="s">
        <v>253</v>
      </c>
      <c r="AA44">
        <v>32468405740</v>
      </c>
      <c r="AF44">
        <v>1002670021</v>
      </c>
      <c r="AG44">
        <v>702949</v>
      </c>
      <c r="AM44" t="str" cm="1">
        <f t="array" ref="AM44">_xlfn.IFS(OR(O44="Persoonlijk",O44="Zoon",O44="Dochter"),P44,OR(Q44="Persoonlijk",Q44="Zoon",Q44="Dochter"),R44,OR(S44="Persoonlijk",S44="Zoon",S44="Dochter"),T44,O44="Vader",P44,Q44="Vader",R44,S44="Vader",T44,O44="Moeder",P44,Q44="Moeder",R44,S44="Moeder",T44,TRUE,IF(P44&lt;&gt;"",P44,IF(R44&lt;&gt;"",R44,IF(T44&lt;&gt;"",T44,""))))</f>
        <v>gbeutels07@gmail.com</v>
      </c>
      <c r="AN44" t="str" cm="1">
        <f t="array" ref="AN44">_xlfn.LET(_xlpm.raw,_xlfn.IFS(OR(U44="Persoonlijk",U44="Zoon",U44="Dochter"),V44,OR(W44="Persoonlijk",W44="Zoon",W44="Dochter"),X44,OR(Y44="Persoonlijk",Y44="Zoon",Y44="Dochter"),Z44,U44="Vader",V44,W44="Vader",X44,Y44="Vader",Z44,U44="Moeder",V44,W44="Moeder",X44,Y44="Moeder",Z44,TRUE,IF(V44&lt;&gt;"",V44,IF(X44&lt;&gt;"",X44,IF(Z44&lt;&gt;"",Z44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5" spans="1:40" x14ac:dyDescent="0.3">
      <c r="A45">
        <v>3500953</v>
      </c>
      <c r="B45" t="s">
        <v>254</v>
      </c>
      <c r="C45" t="s">
        <v>255</v>
      </c>
      <c r="D45" t="s">
        <v>39</v>
      </c>
      <c r="E45" t="s">
        <v>49</v>
      </c>
      <c r="F45" t="s">
        <v>256</v>
      </c>
      <c r="G45" t="s">
        <v>257</v>
      </c>
      <c r="H45">
        <v>76</v>
      </c>
      <c r="U45" t="s">
        <v>53</v>
      </c>
      <c r="V45">
        <v>478385011</v>
      </c>
      <c r="W45" t="s">
        <v>51</v>
      </c>
      <c r="X45">
        <v>473412540</v>
      </c>
      <c r="AD45">
        <v>5</v>
      </c>
      <c r="AE45" t="s">
        <v>258</v>
      </c>
      <c r="AF45">
        <v>1003500953</v>
      </c>
      <c r="AG45">
        <v>749419</v>
      </c>
      <c r="AJ45" t="s">
        <v>63</v>
      </c>
      <c r="AK45" t="s">
        <v>61</v>
      </c>
      <c r="AM45" t="str" cm="1">
        <f t="array" ref="AM45">_xlfn.IFS(OR(O45="Persoonlijk",O45="Zoon",O45="Dochter"),P45,OR(Q45="Persoonlijk",Q45="Zoon",Q45="Dochter"),R45,OR(S45="Persoonlijk",S45="Zoon",S45="Dochter"),T45,O45="Vader",P45,Q45="Vader",R45,S45="Vader",T45,O45="Moeder",P45,Q45="Moeder",R45,S45="Moeder",T45,TRUE,IF(P45&lt;&gt;"",P45,IF(R45&lt;&gt;"",R45,IF(T45&lt;&gt;"",T45,""))))</f>
        <v/>
      </c>
      <c r="AN45" t="str" cm="1">
        <f t="array" ref="AN45">_xlfn.LET(_xlpm.raw,_xlfn.IFS(OR(U45="Persoonlijk",U45="Zoon",U45="Dochter"),V45,OR(W45="Persoonlijk",W45="Zoon",W45="Dochter"),X45,OR(Y45="Persoonlijk",Y45="Zoon",Y45="Dochter"),Z45,U45="Vader",V45,W45="Vader",X45,Y45="Vader",Z45,U45="Moeder",V45,W45="Moeder",X45,Y45="Moeder",Z45,TRUE,IF(V45&lt;&gt;"",V45,IF(X45&lt;&gt;"",X45,IF(Z45&lt;&gt;"",Z45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+32473412540</v>
      </c>
    </row>
    <row r="46" spans="1:40" x14ac:dyDescent="0.3">
      <c r="A46">
        <v>3500953</v>
      </c>
      <c r="B46" t="s">
        <v>254</v>
      </c>
      <c r="C46" t="s">
        <v>255</v>
      </c>
      <c r="D46" t="s">
        <v>39</v>
      </c>
      <c r="E46" t="s">
        <v>49</v>
      </c>
      <c r="F46" t="s">
        <v>256</v>
      </c>
      <c r="G46" t="s">
        <v>257</v>
      </c>
      <c r="H46">
        <v>76</v>
      </c>
      <c r="U46" t="s">
        <v>53</v>
      </c>
      <c r="V46">
        <v>478385011</v>
      </c>
      <c r="W46" t="s">
        <v>51</v>
      </c>
      <c r="X46">
        <v>473412540</v>
      </c>
      <c r="AD46">
        <v>5</v>
      </c>
      <c r="AE46" t="s">
        <v>258</v>
      </c>
      <c r="AF46">
        <v>1003500953</v>
      </c>
      <c r="AG46">
        <v>749419</v>
      </c>
      <c r="AJ46" t="s">
        <v>127</v>
      </c>
      <c r="AK46" t="s">
        <v>61</v>
      </c>
      <c r="AM46" t="str" cm="1">
        <f t="array" ref="AM46">_xlfn.IFS(OR(O46="Persoonlijk",O46="Zoon",O46="Dochter"),P46,OR(Q46="Persoonlijk",Q46="Zoon",Q46="Dochter"),R46,OR(S46="Persoonlijk",S46="Zoon",S46="Dochter"),T46,O46="Vader",P46,Q46="Vader",R46,S46="Vader",T46,O46="Moeder",P46,Q46="Moeder",R46,S46="Moeder",T46,TRUE,IF(P46&lt;&gt;"",P46,IF(R46&lt;&gt;"",R46,IF(T46&lt;&gt;"",T46,""))))</f>
        <v/>
      </c>
      <c r="AN46" t="str" cm="1">
        <f t="array" ref="AN46">_xlfn.LET(_xlpm.raw,_xlfn.IFS(OR(U46="Persoonlijk",U46="Zoon",U46="Dochter"),V46,OR(W46="Persoonlijk",W46="Zoon",W46="Dochter"),X46,OR(Y46="Persoonlijk",Y46="Zoon",Y46="Dochter"),Z46,U46="Vader",V46,W46="Vader",X46,Y46="Vader",Z46,U46="Moeder",V46,W46="Moeder",X46,Y46="Moeder",Z46,TRUE,IF(V46&lt;&gt;"",V46,IF(X46&lt;&gt;"",X46,IF(Z46&lt;&gt;"",Z46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+32473412540</v>
      </c>
    </row>
    <row r="47" spans="1:40" x14ac:dyDescent="0.3">
      <c r="A47">
        <v>5568565</v>
      </c>
      <c r="B47" t="s">
        <v>254</v>
      </c>
      <c r="C47" t="s">
        <v>259</v>
      </c>
      <c r="D47" t="s">
        <v>39</v>
      </c>
      <c r="E47" t="s">
        <v>49</v>
      </c>
      <c r="F47" t="s">
        <v>260</v>
      </c>
      <c r="G47" t="s">
        <v>257</v>
      </c>
      <c r="H47">
        <v>76</v>
      </c>
      <c r="V47" t="s">
        <v>261</v>
      </c>
      <c r="X47" t="s">
        <v>262</v>
      </c>
      <c r="AC47" t="s">
        <v>263</v>
      </c>
      <c r="AD47">
        <v>5</v>
      </c>
      <c r="AE47" t="s">
        <v>264</v>
      </c>
      <c r="AF47">
        <v>1005568565</v>
      </c>
      <c r="AJ47" t="s">
        <v>97</v>
      </c>
      <c r="AK47" t="s">
        <v>61</v>
      </c>
      <c r="AM47" t="str" cm="1">
        <f t="array" ref="AM47">_xlfn.IFS(OR(O47="Persoonlijk",O47="Zoon",O47="Dochter"),P47,OR(Q47="Persoonlijk",Q47="Zoon",Q47="Dochter"),R47,OR(S47="Persoonlijk",S47="Zoon",S47="Dochter"),T47,O47="Vader",P47,Q47="Vader",R47,S47="Vader",T47,O47="Moeder",P47,Q47="Moeder",R47,S47="Moeder",T47,TRUE,IF(P47&lt;&gt;"",P47,IF(R47&lt;&gt;"",R47,IF(T47&lt;&gt;"",T47,""))))</f>
        <v/>
      </c>
      <c r="AN47" t="str" cm="1">
        <f t="array" ref="AN47">_xlfn.LET(_xlpm.raw,_xlfn.IFS(OR(U47="Persoonlijk",U47="Zoon",U47="Dochter"),V47,OR(W47="Persoonlijk",W47="Zoon",W47="Dochter"),X47,OR(Y47="Persoonlijk",Y47="Zoon",Y47="Dochter"),Z47,U47="Vader",V47,W47="Vader",X47,Y47="Vader",Z47,U47="Moeder",V47,W47="Moeder",X47,Y47="Moeder",Z47,TRUE,IF(V47&lt;&gt;"",V47,IF(X47&lt;&gt;"",X47,IF(Z47&lt;&gt;"",Z47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+32478385011</v>
      </c>
    </row>
    <row r="48" spans="1:40" x14ac:dyDescent="0.3">
      <c r="A48">
        <v>5568565</v>
      </c>
      <c r="B48" t="s">
        <v>254</v>
      </c>
      <c r="C48" t="s">
        <v>259</v>
      </c>
      <c r="D48" t="s">
        <v>39</v>
      </c>
      <c r="E48" t="s">
        <v>49</v>
      </c>
      <c r="F48" t="s">
        <v>260</v>
      </c>
      <c r="G48" t="s">
        <v>257</v>
      </c>
      <c r="H48">
        <v>76</v>
      </c>
      <c r="V48" t="s">
        <v>261</v>
      </c>
      <c r="X48" t="s">
        <v>262</v>
      </c>
      <c r="AC48" t="s">
        <v>263</v>
      </c>
      <c r="AD48">
        <v>5</v>
      </c>
      <c r="AE48" t="s">
        <v>264</v>
      </c>
      <c r="AF48">
        <v>1005568565</v>
      </c>
      <c r="AJ48" t="s">
        <v>63</v>
      </c>
      <c r="AK48" t="s">
        <v>61</v>
      </c>
      <c r="AM48" t="str" cm="1">
        <f t="array" ref="AM48">_xlfn.IFS(OR(O48="Persoonlijk",O48="Zoon",O48="Dochter"),P48,OR(Q48="Persoonlijk",Q48="Zoon",Q48="Dochter"),R48,OR(S48="Persoonlijk",S48="Zoon",S48="Dochter"),T48,O48="Vader",P48,Q48="Vader",R48,S48="Vader",T48,O48="Moeder",P48,Q48="Moeder",R48,S48="Moeder",T48,TRUE,IF(P48&lt;&gt;"",P48,IF(R48&lt;&gt;"",R48,IF(T48&lt;&gt;"",T48,""))))</f>
        <v/>
      </c>
      <c r="AN48" t="str" cm="1">
        <f t="array" ref="AN48">_xlfn.LET(_xlpm.raw,_xlfn.IFS(OR(U48="Persoonlijk",U48="Zoon",U48="Dochter"),V48,OR(W48="Persoonlijk",W48="Zoon",W48="Dochter"),X48,OR(Y48="Persoonlijk",Y48="Zoon",Y48="Dochter"),Z48,U48="Vader",V48,W48="Vader",X48,Y48="Vader",Z48,U48="Moeder",V48,W48="Moeder",X48,Y48="Moeder",Z48,TRUE,IF(V48&lt;&gt;"",V48,IF(X48&lt;&gt;"",X48,IF(Z48&lt;&gt;"",Z48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+32478385011</v>
      </c>
    </row>
    <row r="49" spans="1:40" x14ac:dyDescent="0.3">
      <c r="A49">
        <v>7328384</v>
      </c>
      <c r="B49" t="s">
        <v>265</v>
      </c>
      <c r="C49" t="s">
        <v>266</v>
      </c>
      <c r="D49" t="s">
        <v>39</v>
      </c>
      <c r="E49" t="s">
        <v>40</v>
      </c>
      <c r="F49" t="s">
        <v>267</v>
      </c>
      <c r="G49" t="s">
        <v>268</v>
      </c>
      <c r="H49">
        <v>47</v>
      </c>
      <c r="Q49" t="s">
        <v>51</v>
      </c>
      <c r="R49" t="s">
        <v>269</v>
      </c>
      <c r="U49" t="s">
        <v>53</v>
      </c>
      <c r="V49" t="s">
        <v>270</v>
      </c>
      <c r="W49" t="s">
        <v>51</v>
      </c>
      <c r="X49" t="s">
        <v>271</v>
      </c>
      <c r="AE49" t="s">
        <v>272</v>
      </c>
      <c r="AF49">
        <v>1007328384</v>
      </c>
      <c r="AJ49" t="s">
        <v>88</v>
      </c>
      <c r="AK49" t="s">
        <v>61</v>
      </c>
      <c r="AM49" t="str" cm="1">
        <f t="array" ref="AM49">_xlfn.IFS(OR(O49="Persoonlijk",O49="Zoon",O49="Dochter"),P49,OR(Q49="Persoonlijk",Q49="Zoon",Q49="Dochter"),R49,OR(S49="Persoonlijk",S49="Zoon",S49="Dochter"),T49,O49="Vader",P49,Q49="Vader",R49,S49="Vader",T49,O49="Moeder",P49,Q49="Moeder",R49,S49="Moeder",T49,TRUE,IF(P49&lt;&gt;"",P49,IF(R49&lt;&gt;"",R49,IF(T49&lt;&gt;"",T49,""))))</f>
        <v>jeroen.blommaert@gmail.com</v>
      </c>
      <c r="AN49" t="str" cm="1">
        <f t="array" ref="AN49">_xlfn.LET(_xlpm.raw,_xlfn.IFS(OR(U49="Persoonlijk",U49="Zoon",U49="Dochter"),V49,OR(W49="Persoonlijk",W49="Zoon",W49="Dochter"),X49,OR(Y49="Persoonlijk",Y49="Zoon",Y49="Dochter"),Z49,U49="Vader",V49,W49="Vader",X49,Y49="Vader",Z49,U49="Moeder",V49,W49="Moeder",X49,Y49="Moeder",Z49,TRUE,IF(V49&lt;&gt;"",V49,IF(X49&lt;&gt;"",X49,IF(Z49&lt;&gt;"",Z49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+32470067360</v>
      </c>
    </row>
    <row r="50" spans="1:40" x14ac:dyDescent="0.3">
      <c r="A50">
        <v>11912350</v>
      </c>
      <c r="B50" t="s">
        <v>273</v>
      </c>
      <c r="C50" t="s">
        <v>274</v>
      </c>
      <c r="D50" t="s">
        <v>39</v>
      </c>
      <c r="E50" t="s">
        <v>40</v>
      </c>
      <c r="F50" t="s">
        <v>275</v>
      </c>
      <c r="U50" t="s">
        <v>46</v>
      </c>
      <c r="V50" t="s">
        <v>276</v>
      </c>
      <c r="AF50">
        <v>1011912350</v>
      </c>
      <c r="AM50" t="str" cm="1">
        <f t="array" ref="AM50">_xlfn.IFS(OR(O50="Persoonlijk",O50="Zoon",O50="Dochter"),P50,OR(Q50="Persoonlijk",Q50="Zoon",Q50="Dochter"),R50,OR(S50="Persoonlijk",S50="Zoon",S50="Dochter"),T50,O50="Vader",P50,Q50="Vader",R50,S50="Vader",T50,O50="Moeder",P50,Q50="Moeder",R50,S50="Moeder",T50,TRUE,IF(P50&lt;&gt;"",P50,IF(R50&lt;&gt;"",R50,IF(T50&lt;&gt;"",T50,""))))</f>
        <v/>
      </c>
      <c r="AN50" t="str" cm="1">
        <f t="array" ref="AN50">_xlfn.LET(_xlpm.raw,_xlfn.IFS(OR(U50="Persoonlijk",U50="Zoon",U50="Dochter"),V50,OR(W50="Persoonlijk",W50="Zoon",W50="Dochter"),X50,OR(Y50="Persoonlijk",Y50="Zoon",Y50="Dochter"),Z50,U50="Vader",V50,W50="Vader",X50,Y50="Vader",Z50,U50="Moeder",V50,W50="Moeder",X50,Y50="Moeder",Z50,TRUE,IF(V50&lt;&gt;"",V50,IF(X50&lt;&gt;"",X50,IF(Z50&lt;&gt;"",Z50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+32473373966</v>
      </c>
    </row>
    <row r="51" spans="1:40" x14ac:dyDescent="0.3">
      <c r="A51">
        <v>2650830</v>
      </c>
      <c r="B51" t="s">
        <v>277</v>
      </c>
      <c r="C51" t="s">
        <v>278</v>
      </c>
      <c r="D51" t="s">
        <v>39</v>
      </c>
      <c r="E51" t="s">
        <v>40</v>
      </c>
      <c r="F51" t="s">
        <v>279</v>
      </c>
      <c r="G51" t="s">
        <v>280</v>
      </c>
      <c r="H51">
        <v>57</v>
      </c>
      <c r="Q51" t="s">
        <v>51</v>
      </c>
      <c r="R51" t="s">
        <v>281</v>
      </c>
      <c r="U51" t="s">
        <v>53</v>
      </c>
      <c r="V51" t="s">
        <v>282</v>
      </c>
      <c r="W51" t="s">
        <v>51</v>
      </c>
      <c r="X51" t="s">
        <v>283</v>
      </c>
      <c r="Y51" t="s">
        <v>46</v>
      </c>
      <c r="Z51" t="s">
        <v>284</v>
      </c>
      <c r="AC51" t="s">
        <v>285</v>
      </c>
      <c r="AF51">
        <v>1002650830</v>
      </c>
      <c r="AG51">
        <v>737616</v>
      </c>
      <c r="AJ51" t="s">
        <v>286</v>
      </c>
      <c r="AK51" t="s">
        <v>61</v>
      </c>
      <c r="AL51" t="s">
        <v>62</v>
      </c>
      <c r="AM51" t="str" cm="1">
        <f t="array" ref="AM51">_xlfn.IFS(OR(O51="Persoonlijk",O51="Zoon",O51="Dochter"),P51,OR(Q51="Persoonlijk",Q51="Zoon",Q51="Dochter"),R51,OR(S51="Persoonlijk",S51="Zoon",S51="Dochter"),T51,O51="Vader",P51,Q51="Vader",R51,S51="Vader",T51,O51="Moeder",P51,Q51="Moeder",R51,S51="Moeder",T51,TRUE,IF(P51&lt;&gt;"",P51,IF(R51&lt;&gt;"",R51,IF(T51&lt;&gt;"",T51,""))))</f>
        <v>mboogie800@hotmail.com</v>
      </c>
      <c r="AN51" t="str" cm="1">
        <f t="array" ref="AN51">_xlfn.LET(_xlpm.raw,_xlfn.IFS(OR(U51="Persoonlijk",U51="Zoon",U51="Dochter"),V51,OR(W51="Persoonlijk",W51="Zoon",W51="Dochter"),X51,OR(Y51="Persoonlijk",Y51="Zoon",Y51="Dochter"),Z51,U51="Vader",V51,W51="Vader",X51,Y51="Vader",Z51,U51="Moeder",V51,W51="Moeder",X51,Y51="Moeder",Z51,TRUE,IF(V51&lt;&gt;"",V51,IF(X51&lt;&gt;"",X51,IF(Z51&lt;&gt;"",Z51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+32465007097</v>
      </c>
    </row>
    <row r="52" spans="1:40" x14ac:dyDescent="0.3">
      <c r="A52">
        <v>2650830</v>
      </c>
      <c r="B52" t="s">
        <v>277</v>
      </c>
      <c r="C52" t="s">
        <v>278</v>
      </c>
      <c r="D52" t="s">
        <v>39</v>
      </c>
      <c r="E52" t="s">
        <v>40</v>
      </c>
      <c r="F52" t="s">
        <v>279</v>
      </c>
      <c r="G52" t="s">
        <v>280</v>
      </c>
      <c r="H52">
        <v>57</v>
      </c>
      <c r="Q52" t="s">
        <v>51</v>
      </c>
      <c r="R52" t="s">
        <v>281</v>
      </c>
      <c r="U52" t="s">
        <v>53</v>
      </c>
      <c r="V52" t="s">
        <v>282</v>
      </c>
      <c r="W52" t="s">
        <v>51</v>
      </c>
      <c r="X52" t="s">
        <v>283</v>
      </c>
      <c r="Y52" t="s">
        <v>46</v>
      </c>
      <c r="Z52" t="s">
        <v>284</v>
      </c>
      <c r="AC52" t="s">
        <v>285</v>
      </c>
      <c r="AF52">
        <v>1002650830</v>
      </c>
      <c r="AG52">
        <v>737616</v>
      </c>
      <c r="AJ52" t="s">
        <v>180</v>
      </c>
      <c r="AK52" t="s">
        <v>61</v>
      </c>
      <c r="AM52" t="str" cm="1">
        <f t="array" ref="AM52">_xlfn.IFS(OR(O52="Persoonlijk",O52="Zoon",O52="Dochter"),P52,OR(Q52="Persoonlijk",Q52="Zoon",Q52="Dochter"),R52,OR(S52="Persoonlijk",S52="Zoon",S52="Dochter"),T52,O52="Vader",P52,Q52="Vader",R52,S52="Vader",T52,O52="Moeder",P52,Q52="Moeder",R52,S52="Moeder",T52,TRUE,IF(P52&lt;&gt;"",P52,IF(R52&lt;&gt;"",R52,IF(T52&lt;&gt;"",T52,""))))</f>
        <v>mboogie800@hotmail.com</v>
      </c>
      <c r="AN52" t="str" cm="1">
        <f t="array" ref="AN52">_xlfn.LET(_xlpm.raw,_xlfn.IFS(OR(U52="Persoonlijk",U52="Zoon",U52="Dochter"),V52,OR(W52="Persoonlijk",W52="Zoon",W52="Dochter"),X52,OR(Y52="Persoonlijk",Y52="Zoon",Y52="Dochter"),Z52,U52="Vader",V52,W52="Vader",X52,Y52="Vader",Z52,U52="Moeder",V52,W52="Moeder",X52,Y52="Moeder",Z52,TRUE,IF(V52&lt;&gt;"",V52,IF(X52&lt;&gt;"",X52,IF(Z52&lt;&gt;"",Z52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+32465007097</v>
      </c>
    </row>
    <row r="53" spans="1:40" x14ac:dyDescent="0.3">
      <c r="A53">
        <v>9328155</v>
      </c>
      <c r="B53" t="s">
        <v>287</v>
      </c>
      <c r="C53" t="s">
        <v>288</v>
      </c>
      <c r="D53" t="s">
        <v>39</v>
      </c>
      <c r="E53" t="s">
        <v>40</v>
      </c>
      <c r="F53" t="s">
        <v>289</v>
      </c>
      <c r="G53" t="s">
        <v>290</v>
      </c>
      <c r="H53">
        <v>38</v>
      </c>
      <c r="Q53" t="s">
        <v>51</v>
      </c>
      <c r="R53" t="s">
        <v>291</v>
      </c>
      <c r="V53" t="s">
        <v>292</v>
      </c>
      <c r="AC53" t="s">
        <v>293</v>
      </c>
      <c r="AF53">
        <v>1009328155</v>
      </c>
      <c r="AJ53" t="s">
        <v>294</v>
      </c>
      <c r="AK53" t="s">
        <v>61</v>
      </c>
      <c r="AM53" t="str" cm="1">
        <f t="array" ref="AM53">_xlfn.IFS(OR(O53="Persoonlijk",O53="Zoon",O53="Dochter"),P53,OR(Q53="Persoonlijk",Q53="Zoon",Q53="Dochter"),R53,OR(S53="Persoonlijk",S53="Zoon",S53="Dochter"),T53,O53="Vader",P53,Q53="Vader",R53,S53="Vader",T53,O53="Moeder",P53,Q53="Moeder",R53,S53="Moeder",T53,TRUE,IF(P53&lt;&gt;"",P53,IF(R53&lt;&gt;"",R53,IF(T53&lt;&gt;"",T53,""))))</f>
        <v>reggyboonaert@outlook.be</v>
      </c>
      <c r="AN53" t="str" cm="1">
        <f t="array" ref="AN53">_xlfn.LET(_xlpm.raw,_xlfn.IFS(OR(U53="Persoonlijk",U53="Zoon",U53="Dochter"),V53,OR(W53="Persoonlijk",W53="Zoon",W53="Dochter"),X53,OR(Y53="Persoonlijk",Y53="Zoon",Y53="Dochter"),Z53,U53="Vader",V53,W53="Vader",X53,Y53="Vader",Z53,U53="Moeder",V53,W53="Moeder",X53,Y53="Moeder",Z53,TRUE,IF(V53&lt;&gt;"",V53,IF(X53&lt;&gt;"",X53,IF(Z53&lt;&gt;"",Z53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+32478731137</v>
      </c>
    </row>
    <row r="54" spans="1:40" x14ac:dyDescent="0.3">
      <c r="A54">
        <v>9328155</v>
      </c>
      <c r="B54" t="s">
        <v>287</v>
      </c>
      <c r="C54" t="s">
        <v>288</v>
      </c>
      <c r="D54" t="s">
        <v>39</v>
      </c>
      <c r="E54" t="s">
        <v>40</v>
      </c>
      <c r="F54" t="s">
        <v>289</v>
      </c>
      <c r="G54" t="s">
        <v>290</v>
      </c>
      <c r="H54">
        <v>38</v>
      </c>
      <c r="Q54" t="s">
        <v>51</v>
      </c>
      <c r="R54" t="s">
        <v>291</v>
      </c>
      <c r="V54" t="s">
        <v>292</v>
      </c>
      <c r="AC54" t="s">
        <v>293</v>
      </c>
      <c r="AF54">
        <v>1009328155</v>
      </c>
      <c r="AJ54" t="s">
        <v>295</v>
      </c>
      <c r="AK54" t="s">
        <v>61</v>
      </c>
      <c r="AM54" t="str" cm="1">
        <f t="array" ref="AM54">_xlfn.IFS(OR(O54="Persoonlijk",O54="Zoon",O54="Dochter"),P54,OR(Q54="Persoonlijk",Q54="Zoon",Q54="Dochter"),R54,OR(S54="Persoonlijk",S54="Zoon",S54="Dochter"),T54,O54="Vader",P54,Q54="Vader",R54,S54="Vader",T54,O54="Moeder",P54,Q54="Moeder",R54,S54="Moeder",T54,TRUE,IF(P54&lt;&gt;"",P54,IF(R54&lt;&gt;"",R54,IF(T54&lt;&gt;"",T54,""))))</f>
        <v>reggyboonaert@outlook.be</v>
      </c>
      <c r="AN54" t="str" cm="1">
        <f t="array" ref="AN54">_xlfn.LET(_xlpm.raw,_xlfn.IFS(OR(U54="Persoonlijk",U54="Zoon",U54="Dochter"),V54,OR(W54="Persoonlijk",W54="Zoon",W54="Dochter"),X54,OR(Y54="Persoonlijk",Y54="Zoon",Y54="Dochter"),Z54,U54="Vader",V54,W54="Vader",X54,Y54="Vader",Z54,U54="Moeder",V54,W54="Moeder",X54,Y54="Moeder",Z54,TRUE,IF(V54&lt;&gt;"",V54,IF(X54&lt;&gt;"",X54,IF(Z54&lt;&gt;"",Z54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+32478731137</v>
      </c>
    </row>
    <row r="55" spans="1:40" x14ac:dyDescent="0.3">
      <c r="A55">
        <v>9358677</v>
      </c>
      <c r="B55" t="s">
        <v>296</v>
      </c>
      <c r="C55" t="s">
        <v>297</v>
      </c>
      <c r="D55" t="s">
        <v>39</v>
      </c>
      <c r="E55" t="s">
        <v>40</v>
      </c>
      <c r="F55" t="s">
        <v>298</v>
      </c>
      <c r="G55" t="s">
        <v>159</v>
      </c>
      <c r="H55">
        <v>20</v>
      </c>
      <c r="Q55" t="s">
        <v>51</v>
      </c>
      <c r="R55" t="s">
        <v>299</v>
      </c>
      <c r="V55" t="s">
        <v>300</v>
      </c>
      <c r="X55" t="s">
        <v>301</v>
      </c>
      <c r="AF55">
        <v>1009358677</v>
      </c>
      <c r="AJ55" t="s">
        <v>192</v>
      </c>
      <c r="AK55" t="s">
        <v>61</v>
      </c>
      <c r="AM55" t="str" cm="1">
        <f t="array" ref="AM55">_xlfn.IFS(OR(O55="Persoonlijk",O55="Zoon",O55="Dochter"),P55,OR(Q55="Persoonlijk",Q55="Zoon",Q55="Dochter"),R55,OR(S55="Persoonlijk",S55="Zoon",S55="Dochter"),T55,O55="Vader",P55,Q55="Vader",R55,S55="Vader",T55,O55="Moeder",P55,Q55="Moeder",R55,S55="Moeder",T55,TRUE,IF(P55&lt;&gt;"",P55,IF(R55&lt;&gt;"",R55,IF(T55&lt;&gt;"",T55,""))))</f>
        <v>dieter.boone@telenet.be</v>
      </c>
      <c r="AN55" t="str" cm="1">
        <f t="array" ref="AN55">_xlfn.LET(_xlpm.raw,_xlfn.IFS(OR(U55="Persoonlijk",U55="Zoon",U55="Dochter"),V55,OR(W55="Persoonlijk",W55="Zoon",W55="Dochter"),X55,OR(Y55="Persoonlijk",Y55="Zoon",Y55="Dochter"),Z55,U55="Vader",V55,W55="Vader",X55,Y55="Vader",Z55,U55="Moeder",V55,W55="Moeder",X55,Y55="Moeder",Z55,TRUE,IF(V55&lt;&gt;"",V55,IF(X55&lt;&gt;"",X55,IF(Z55&lt;&gt;"",Z55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+32496024078</v>
      </c>
    </row>
    <row r="56" spans="1:40" x14ac:dyDescent="0.3">
      <c r="A56">
        <v>3463932</v>
      </c>
      <c r="B56" t="s">
        <v>302</v>
      </c>
      <c r="C56" t="s">
        <v>303</v>
      </c>
      <c r="D56" t="s">
        <v>39</v>
      </c>
      <c r="E56" t="s">
        <v>40</v>
      </c>
      <c r="F56" t="s">
        <v>304</v>
      </c>
      <c r="G56" t="s">
        <v>305</v>
      </c>
      <c r="H56">
        <v>201</v>
      </c>
      <c r="U56" t="s">
        <v>53</v>
      </c>
      <c r="V56">
        <v>32474611521</v>
      </c>
      <c r="X56">
        <v>0</v>
      </c>
      <c r="Z56">
        <v>0</v>
      </c>
      <c r="AA56">
        <v>0</v>
      </c>
      <c r="AF56">
        <v>1003463932</v>
      </c>
      <c r="AM56" t="str" cm="1">
        <f t="array" ref="AM56">_xlfn.IFS(OR(O56="Persoonlijk",O56="Zoon",O56="Dochter"),P56,OR(Q56="Persoonlijk",Q56="Zoon",Q56="Dochter"),R56,OR(S56="Persoonlijk",S56="Zoon",S56="Dochter"),T56,O56="Vader",P56,Q56="Vader",R56,S56="Vader",T56,O56="Moeder",P56,Q56="Moeder",R56,S56="Moeder",T56,TRUE,IF(P56&lt;&gt;"",P56,IF(R56&lt;&gt;"",R56,IF(T56&lt;&gt;"",T56,""))))</f>
        <v/>
      </c>
      <c r="AN56" t="str" cm="1">
        <f t="array" ref="AN56">_xlfn.LET(_xlpm.raw,_xlfn.IFS(OR(U56="Persoonlijk",U56="Zoon",U56="Dochter"),V56,OR(W56="Persoonlijk",W56="Zoon",W56="Dochter"),X56,OR(Y56="Persoonlijk",Y56="Zoon",Y56="Dochter"),Z56,U56="Vader",V56,W56="Vader",X56,Y56="Vader",Z56,U56="Moeder",V56,W56="Moeder",X56,Y56="Moeder",Z56,TRUE,IF(V56&lt;&gt;"",V56,IF(X56&lt;&gt;"",X56,IF(Z56&lt;&gt;"",Z56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+32474611521</v>
      </c>
    </row>
    <row r="57" spans="1:40" x14ac:dyDescent="0.3">
      <c r="A57">
        <v>2182506</v>
      </c>
      <c r="B57" t="s">
        <v>306</v>
      </c>
      <c r="C57" t="s">
        <v>307</v>
      </c>
      <c r="D57" t="s">
        <v>39</v>
      </c>
      <c r="E57" t="s">
        <v>40</v>
      </c>
      <c r="F57" t="s">
        <v>308</v>
      </c>
      <c r="G57" t="s">
        <v>309</v>
      </c>
      <c r="H57">
        <v>12</v>
      </c>
      <c r="AC57" t="s">
        <v>310</v>
      </c>
      <c r="AF57">
        <v>1002182506</v>
      </c>
      <c r="AG57">
        <v>732761</v>
      </c>
      <c r="AL57" t="s">
        <v>62</v>
      </c>
      <c r="AM57" t="str" cm="1">
        <f t="array" ref="AM57">_xlfn.IFS(OR(O57="Persoonlijk",O57="Zoon",O57="Dochter"),P57,OR(Q57="Persoonlijk",Q57="Zoon",Q57="Dochter"),R57,OR(S57="Persoonlijk",S57="Zoon",S57="Dochter"),T57,O57="Vader",P57,Q57="Vader",R57,S57="Vader",T57,O57="Moeder",P57,Q57="Moeder",R57,S57="Moeder",T57,TRUE,IF(P57&lt;&gt;"",P57,IF(R57&lt;&gt;"",R57,IF(T57&lt;&gt;"",T57,""))))</f>
        <v/>
      </c>
      <c r="AN57" t="str" cm="1">
        <f t="array" ref="AN57">_xlfn.LET(_xlpm.raw,_xlfn.IFS(OR(U57="Persoonlijk",U57="Zoon",U57="Dochter"),V57,OR(W57="Persoonlijk",W57="Zoon",W57="Dochter"),X57,OR(Y57="Persoonlijk",Y57="Zoon",Y57="Dochter"),Z57,U57="Vader",V57,W57="Vader",X57,Y57="Vader",Z57,U57="Moeder",V57,W57="Moeder",X57,Y57="Moeder",Z57,TRUE,IF(V57&lt;&gt;"",V57,IF(X57&lt;&gt;"",X57,IF(Z57&lt;&gt;"",Z57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8" spans="1:40" x14ac:dyDescent="0.3">
      <c r="A58">
        <v>2182511</v>
      </c>
      <c r="B58" t="s">
        <v>311</v>
      </c>
      <c r="C58" t="s">
        <v>312</v>
      </c>
      <c r="D58" t="s">
        <v>39</v>
      </c>
      <c r="E58" t="s">
        <v>49</v>
      </c>
      <c r="F58" t="s">
        <v>313</v>
      </c>
      <c r="G58" t="s">
        <v>314</v>
      </c>
      <c r="H58">
        <v>93</v>
      </c>
      <c r="Q58" t="s">
        <v>53</v>
      </c>
      <c r="R58" t="s">
        <v>315</v>
      </c>
      <c r="V58" t="s">
        <v>316</v>
      </c>
      <c r="AC58" t="s">
        <v>317</v>
      </c>
      <c r="AF58">
        <v>1002182511</v>
      </c>
      <c r="AG58">
        <v>733968</v>
      </c>
      <c r="AJ58" t="s">
        <v>97</v>
      </c>
      <c r="AK58" t="s">
        <v>61</v>
      </c>
      <c r="AM58" t="str" cm="1">
        <f t="array" ref="AM58">_xlfn.IFS(OR(O58="Persoonlijk",O58="Zoon",O58="Dochter"),P58,OR(Q58="Persoonlijk",Q58="Zoon",Q58="Dochter"),R58,OR(S58="Persoonlijk",S58="Zoon",S58="Dochter"),T58,O58="Vader",P58,Q58="Vader",R58,S58="Vader",T58,O58="Moeder",P58,Q58="Moeder",R58,S58="Moeder",T58,TRUE,IF(P58&lt;&gt;"",P58,IF(R58&lt;&gt;"",R58,IF(T58&lt;&gt;"",T58,""))))</f>
        <v>maggy.hombecq@hotmail.com</v>
      </c>
      <c r="AN58" t="str" cm="1">
        <f t="array" ref="AN58">_xlfn.LET(_xlpm.raw,_xlfn.IFS(OR(U58="Persoonlijk",U58="Zoon",U58="Dochter"),V58,OR(W58="Persoonlijk",W58="Zoon",W58="Dochter"),X58,OR(Y58="Persoonlijk",Y58="Zoon",Y58="Dochter"),Z58,U58="Vader",V58,W58="Vader",X58,Y58="Vader",Z58,U58="Moeder",V58,W58="Moeder",X58,Y58="Moeder",Z58,TRUE,IF(V58&lt;&gt;"",V58,IF(X58&lt;&gt;"",X58,IF(Z58&lt;&gt;"",Z58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+32475558448</v>
      </c>
    </row>
    <row r="59" spans="1:40" x14ac:dyDescent="0.3">
      <c r="A59">
        <v>2182511</v>
      </c>
      <c r="B59" t="s">
        <v>311</v>
      </c>
      <c r="C59" t="s">
        <v>312</v>
      </c>
      <c r="D59" t="s">
        <v>39</v>
      </c>
      <c r="E59" t="s">
        <v>49</v>
      </c>
      <c r="F59" t="s">
        <v>313</v>
      </c>
      <c r="G59" t="s">
        <v>314</v>
      </c>
      <c r="H59">
        <v>93</v>
      </c>
      <c r="Q59" t="s">
        <v>53</v>
      </c>
      <c r="R59" t="s">
        <v>315</v>
      </c>
      <c r="V59" t="s">
        <v>316</v>
      </c>
      <c r="AC59" t="s">
        <v>317</v>
      </c>
      <c r="AF59">
        <v>1002182511</v>
      </c>
      <c r="AG59">
        <v>733968</v>
      </c>
      <c r="AJ59" t="s">
        <v>63</v>
      </c>
      <c r="AK59" t="s">
        <v>61</v>
      </c>
      <c r="AM59" t="str" cm="1">
        <f t="array" ref="AM59">_xlfn.IFS(OR(O59="Persoonlijk",O59="Zoon",O59="Dochter"),P59,OR(Q59="Persoonlijk",Q59="Zoon",Q59="Dochter"),R59,OR(S59="Persoonlijk",S59="Zoon",S59="Dochter"),T59,O59="Vader",P59,Q59="Vader",R59,S59="Vader",T59,O59="Moeder",P59,Q59="Moeder",R59,S59="Moeder",T59,TRUE,IF(P59&lt;&gt;"",P59,IF(R59&lt;&gt;"",R59,IF(T59&lt;&gt;"",T59,""))))</f>
        <v>maggy.hombecq@hotmail.com</v>
      </c>
      <c r="AN59" t="str" cm="1">
        <f t="array" ref="AN59">_xlfn.LET(_xlpm.raw,_xlfn.IFS(OR(U59="Persoonlijk",U59="Zoon",U59="Dochter"),V59,OR(W59="Persoonlijk",W59="Zoon",W59="Dochter"),X59,OR(Y59="Persoonlijk",Y59="Zoon",Y59="Dochter"),Z59,U59="Vader",V59,W59="Vader",X59,Y59="Vader",Z59,U59="Moeder",V59,W59="Moeder",X59,Y59="Moeder",Z59,TRUE,IF(V59&lt;&gt;"",V59,IF(X59&lt;&gt;"",X59,IF(Z59&lt;&gt;"",Z59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+32475558448</v>
      </c>
    </row>
    <row r="60" spans="1:40" x14ac:dyDescent="0.3">
      <c r="A60">
        <v>2182516</v>
      </c>
      <c r="B60" t="s">
        <v>318</v>
      </c>
      <c r="C60" t="s">
        <v>319</v>
      </c>
      <c r="D60" t="s">
        <v>39</v>
      </c>
      <c r="E60" t="s">
        <v>49</v>
      </c>
      <c r="F60" t="s">
        <v>320</v>
      </c>
      <c r="G60" t="s">
        <v>305</v>
      </c>
      <c r="H60">
        <v>111</v>
      </c>
      <c r="U60" t="s">
        <v>51</v>
      </c>
      <c r="V60">
        <v>32572791</v>
      </c>
      <c r="W60" t="s">
        <v>53</v>
      </c>
      <c r="X60" t="s">
        <v>321</v>
      </c>
      <c r="AD60">
        <v>12</v>
      </c>
      <c r="AE60" t="s">
        <v>322</v>
      </c>
      <c r="AF60">
        <v>1002182516</v>
      </c>
      <c r="AG60">
        <v>714083</v>
      </c>
      <c r="AJ60" t="s">
        <v>60</v>
      </c>
      <c r="AK60" t="s">
        <v>61</v>
      </c>
      <c r="AM60" t="str" cm="1">
        <f t="array" ref="AM60">_xlfn.IFS(OR(O60="Persoonlijk",O60="Zoon",O60="Dochter"),P60,OR(Q60="Persoonlijk",Q60="Zoon",Q60="Dochter"),R60,OR(S60="Persoonlijk",S60="Zoon",S60="Dochter"),T60,O60="Vader",P60,Q60="Vader",R60,S60="Vader",T60,O60="Moeder",P60,Q60="Moeder",R60,S60="Moeder",T60,TRUE,IF(P60&lt;&gt;"",P60,IF(R60&lt;&gt;"",R60,IF(T60&lt;&gt;"",T60,""))))</f>
        <v/>
      </c>
      <c r="AN60" t="str" cm="1">
        <f t="array" ref="AN60">_xlfn.LET(_xlpm.raw,_xlfn.IFS(OR(U60="Persoonlijk",U60="Zoon",U60="Dochter"),V60,OR(W60="Persoonlijk",W60="Zoon",W60="Dochter"),X60,OR(Y60="Persoonlijk",Y60="Zoon",Y60="Dochter"),Z60,U60="Vader",V60,W60="Vader",X60,Y60="Vader",Z60,U60="Moeder",V60,W60="Moeder",X60,Y60="Moeder",Z60,TRUE,IF(V60&lt;&gt;"",V60,IF(X60&lt;&gt;"",X60,IF(Z60&lt;&gt;"",Z60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+32572791</v>
      </c>
    </row>
    <row r="61" spans="1:40" x14ac:dyDescent="0.3">
      <c r="A61">
        <v>2182516</v>
      </c>
      <c r="B61" t="s">
        <v>318</v>
      </c>
      <c r="C61" t="s">
        <v>319</v>
      </c>
      <c r="D61" t="s">
        <v>39</v>
      </c>
      <c r="E61" t="s">
        <v>49</v>
      </c>
      <c r="F61" t="s">
        <v>320</v>
      </c>
      <c r="G61" t="s">
        <v>305</v>
      </c>
      <c r="H61">
        <v>111</v>
      </c>
      <c r="U61" t="s">
        <v>51</v>
      </c>
      <c r="V61">
        <v>32572791</v>
      </c>
      <c r="W61" t="s">
        <v>53</v>
      </c>
      <c r="X61" t="s">
        <v>321</v>
      </c>
      <c r="AD61">
        <v>12</v>
      </c>
      <c r="AE61" t="s">
        <v>322</v>
      </c>
      <c r="AF61">
        <v>1002182516</v>
      </c>
      <c r="AG61">
        <v>714083</v>
      </c>
      <c r="AJ61" t="s">
        <v>63</v>
      </c>
      <c r="AK61" t="s">
        <v>61</v>
      </c>
      <c r="AM61" t="str" cm="1">
        <f t="array" ref="AM61">_xlfn.IFS(OR(O61="Persoonlijk",O61="Zoon",O61="Dochter"),P61,OR(Q61="Persoonlijk",Q61="Zoon",Q61="Dochter"),R61,OR(S61="Persoonlijk",S61="Zoon",S61="Dochter"),T61,O61="Vader",P61,Q61="Vader",R61,S61="Vader",T61,O61="Moeder",P61,Q61="Moeder",R61,S61="Moeder",T61,TRUE,IF(P61&lt;&gt;"",P61,IF(R61&lt;&gt;"",R61,IF(T61&lt;&gt;"",T61,""))))</f>
        <v/>
      </c>
      <c r="AN61" t="str" cm="1">
        <f t="array" ref="AN61">_xlfn.LET(_xlpm.raw,_xlfn.IFS(OR(U61="Persoonlijk",U61="Zoon",U61="Dochter"),V61,OR(W61="Persoonlijk",W61="Zoon",W61="Dochter"),X61,OR(Y61="Persoonlijk",Y61="Zoon",Y61="Dochter"),Z61,U61="Vader",V61,W61="Vader",X61,Y61="Vader",Z61,U61="Moeder",V61,W61="Moeder",X61,Y61="Moeder",Z61,TRUE,IF(V61&lt;&gt;"",V61,IF(X61&lt;&gt;"",X61,IF(Z61&lt;&gt;"",Z61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+32572791</v>
      </c>
    </row>
    <row r="62" spans="1:40" x14ac:dyDescent="0.3">
      <c r="A62">
        <v>2182516</v>
      </c>
      <c r="B62" t="s">
        <v>318</v>
      </c>
      <c r="C62" t="s">
        <v>319</v>
      </c>
      <c r="D62" t="s">
        <v>39</v>
      </c>
      <c r="E62" t="s">
        <v>49</v>
      </c>
      <c r="F62" t="s">
        <v>320</v>
      </c>
      <c r="G62" t="s">
        <v>305</v>
      </c>
      <c r="H62">
        <v>111</v>
      </c>
      <c r="U62" t="s">
        <v>51</v>
      </c>
      <c r="V62">
        <v>32572791</v>
      </c>
      <c r="W62" t="s">
        <v>53</v>
      </c>
      <c r="X62" t="s">
        <v>321</v>
      </c>
      <c r="AD62">
        <v>12</v>
      </c>
      <c r="AE62" t="s">
        <v>322</v>
      </c>
      <c r="AF62">
        <v>1002182516</v>
      </c>
      <c r="AG62">
        <v>714083</v>
      </c>
      <c r="AJ62" t="s">
        <v>323</v>
      </c>
      <c r="AK62" t="s">
        <v>61</v>
      </c>
      <c r="AM62" t="str" cm="1">
        <f t="array" ref="AM62">_xlfn.IFS(OR(O62="Persoonlijk",O62="Zoon",O62="Dochter"),P62,OR(Q62="Persoonlijk",Q62="Zoon",Q62="Dochter"),R62,OR(S62="Persoonlijk",S62="Zoon",S62="Dochter"),T62,O62="Vader",P62,Q62="Vader",R62,S62="Vader",T62,O62="Moeder",P62,Q62="Moeder",R62,S62="Moeder",T62,TRUE,IF(P62&lt;&gt;"",P62,IF(R62&lt;&gt;"",R62,IF(T62&lt;&gt;"",T62,""))))</f>
        <v/>
      </c>
      <c r="AN62" t="str" cm="1">
        <f t="array" ref="AN62">_xlfn.LET(_xlpm.raw,_xlfn.IFS(OR(U62="Persoonlijk",U62="Zoon",U62="Dochter"),V62,OR(W62="Persoonlijk",W62="Zoon",W62="Dochter"),X62,OR(Y62="Persoonlijk",Y62="Zoon",Y62="Dochter"),Z62,U62="Vader",V62,W62="Vader",X62,Y62="Vader",Z62,U62="Moeder",V62,W62="Moeder",X62,Y62="Moeder",Z62,TRUE,IF(V62&lt;&gt;"",V62,IF(X62&lt;&gt;"",X62,IF(Z62&lt;&gt;"",Z62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+32572791</v>
      </c>
    </row>
    <row r="63" spans="1:40" x14ac:dyDescent="0.3">
      <c r="A63">
        <v>11278079</v>
      </c>
      <c r="B63" t="s">
        <v>324</v>
      </c>
      <c r="C63" t="s">
        <v>325</v>
      </c>
      <c r="D63" t="s">
        <v>39</v>
      </c>
      <c r="E63" t="s">
        <v>40</v>
      </c>
      <c r="F63" t="s">
        <v>326</v>
      </c>
      <c r="U63" t="s">
        <v>46</v>
      </c>
      <c r="V63" t="s">
        <v>327</v>
      </c>
      <c r="W63" t="s">
        <v>51</v>
      </c>
      <c r="X63" t="s">
        <v>328</v>
      </c>
      <c r="Y63" t="s">
        <v>53</v>
      </c>
      <c r="Z63" t="s">
        <v>329</v>
      </c>
      <c r="AC63" t="s">
        <v>330</v>
      </c>
      <c r="AF63">
        <v>1011278079</v>
      </c>
      <c r="AJ63" t="s">
        <v>121</v>
      </c>
      <c r="AK63" t="s">
        <v>61</v>
      </c>
      <c r="AM63" t="str" cm="1">
        <f t="array" ref="AM63">_xlfn.IFS(OR(O63="Persoonlijk",O63="Zoon",O63="Dochter"),P63,OR(Q63="Persoonlijk",Q63="Zoon",Q63="Dochter"),R63,OR(S63="Persoonlijk",S63="Zoon",S63="Dochter"),T63,O63="Vader",P63,Q63="Vader",R63,S63="Vader",T63,O63="Moeder",P63,Q63="Moeder",R63,S63="Moeder",T63,TRUE,IF(P63&lt;&gt;"",P63,IF(R63&lt;&gt;"",R63,IF(T63&lt;&gt;"",T63,""))))</f>
        <v/>
      </c>
      <c r="AN63" t="str" cm="1">
        <f t="array" ref="AN63">_xlfn.LET(_xlpm.raw,_xlfn.IFS(OR(U63="Persoonlijk",U63="Zoon",U63="Dochter"),V63,OR(W63="Persoonlijk",W63="Zoon",W63="Dochter"),X63,OR(Y63="Persoonlijk",Y63="Zoon",Y63="Dochter"),Z63,U63="Vader",V63,W63="Vader",X63,Y63="Vader",Z63,U63="Moeder",V63,W63="Moeder",X63,Y63="Moeder",Z63,TRUE,IF(V63&lt;&gt;"",V63,IF(X63&lt;&gt;"",X63,IF(Z63&lt;&gt;"",Z63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+32471543824</v>
      </c>
    </row>
    <row r="64" spans="1:40" x14ac:dyDescent="0.3">
      <c r="A64">
        <v>2713996</v>
      </c>
      <c r="B64" t="s">
        <v>331</v>
      </c>
      <c r="C64" t="s">
        <v>332</v>
      </c>
      <c r="D64" t="s">
        <v>39</v>
      </c>
      <c r="E64" t="s">
        <v>40</v>
      </c>
      <c r="F64" t="s">
        <v>333</v>
      </c>
      <c r="G64" t="s">
        <v>69</v>
      </c>
      <c r="H64">
        <v>178</v>
      </c>
      <c r="V64">
        <v>0</v>
      </c>
      <c r="X64">
        <v>0</v>
      </c>
      <c r="Z64">
        <v>0</v>
      </c>
      <c r="AA64">
        <v>0</v>
      </c>
      <c r="AC64" t="s">
        <v>334</v>
      </c>
      <c r="AF64">
        <v>1002713996</v>
      </c>
      <c r="AM64" t="str" cm="1">
        <f t="array" ref="AM64">_xlfn.IFS(OR(O64="Persoonlijk",O64="Zoon",O64="Dochter"),P64,OR(Q64="Persoonlijk",Q64="Zoon",Q64="Dochter"),R64,OR(S64="Persoonlijk",S64="Zoon",S64="Dochter"),T64,O64="Vader",P64,Q64="Vader",R64,S64="Vader",T64,O64="Moeder",P64,Q64="Moeder",R64,S64="Moeder",T64,TRUE,IF(P64&lt;&gt;"",P64,IF(R64&lt;&gt;"",R64,IF(T64&lt;&gt;"",T64,""))))</f>
        <v/>
      </c>
      <c r="AN64" t="str" cm="1">
        <f t="array" ref="AN64">_xlfn.LET(_xlpm.raw,_xlfn.IFS(OR(U64="Persoonlijk",U64="Zoon",U64="Dochter"),V64,OR(W64="Persoonlijk",W64="Zoon",W64="Dochter"),X64,OR(Y64="Persoonlijk",Y64="Zoon",Y64="Dochter"),Z64,U64="Vader",V64,W64="Vader",X64,Y64="Vader",Z64,U64="Moeder",V64,W64="Moeder",X64,Y64="Moeder",Z64,TRUE,IF(V64&lt;&gt;"",V64,IF(X64&lt;&gt;"",X64,IF(Z64&lt;&gt;"",Z64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5" spans="1:40" x14ac:dyDescent="0.3">
      <c r="A65">
        <v>2182521</v>
      </c>
      <c r="B65" t="s">
        <v>331</v>
      </c>
      <c r="C65" t="s">
        <v>335</v>
      </c>
      <c r="D65" t="s">
        <v>39</v>
      </c>
      <c r="E65" t="s">
        <v>40</v>
      </c>
      <c r="F65" t="s">
        <v>336</v>
      </c>
      <c r="G65" t="s">
        <v>69</v>
      </c>
      <c r="H65">
        <v>178</v>
      </c>
      <c r="V65" t="s">
        <v>337</v>
      </c>
      <c r="AC65" t="s">
        <v>338</v>
      </c>
      <c r="AF65">
        <v>1002182521</v>
      </c>
      <c r="AG65">
        <v>731700</v>
      </c>
      <c r="AJ65" t="s">
        <v>121</v>
      </c>
      <c r="AK65" t="s">
        <v>61</v>
      </c>
      <c r="AL65" t="s">
        <v>62</v>
      </c>
      <c r="AM65" t="str" cm="1">
        <f t="array" ref="AM65">_xlfn.IFS(OR(O65="Persoonlijk",O65="Zoon",O65="Dochter"),P65,OR(Q65="Persoonlijk",Q65="Zoon",Q65="Dochter"),R65,OR(S65="Persoonlijk",S65="Zoon",S65="Dochter"),T65,O65="Vader",P65,Q65="Vader",R65,S65="Vader",T65,O65="Moeder",P65,Q65="Moeder",R65,S65="Moeder",T65,TRUE,IF(P65&lt;&gt;"",P65,IF(R65&lt;&gt;"",R65,IF(T65&lt;&gt;"",T65,""))))</f>
        <v/>
      </c>
      <c r="AN65" t="str" cm="1">
        <f t="array" ref="AN65">_xlfn.LET(_xlpm.raw,_xlfn.IFS(OR(U65="Persoonlijk",U65="Zoon",U65="Dochter"),V65,OR(W65="Persoonlijk",W65="Zoon",W65="Dochter"),X65,OR(Y65="Persoonlijk",Y65="Zoon",Y65="Dochter"),Z65,U65="Vader",V65,W65="Vader",X65,Y65="Vader",Z65,U65="Moeder",V65,W65="Moeder",X65,Y65="Moeder",Z65,TRUE,IF(V65&lt;&gt;"",V65,IF(X65&lt;&gt;"",X65,IF(Z65&lt;&gt;"",Z65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+32479888902</v>
      </c>
    </row>
    <row r="66" spans="1:40" x14ac:dyDescent="0.3">
      <c r="A66">
        <v>4361683</v>
      </c>
      <c r="B66" t="s">
        <v>339</v>
      </c>
      <c r="C66" t="s">
        <v>340</v>
      </c>
      <c r="D66" t="s">
        <v>39</v>
      </c>
      <c r="E66" t="s">
        <v>49</v>
      </c>
      <c r="F66" t="s">
        <v>341</v>
      </c>
      <c r="G66" t="s">
        <v>342</v>
      </c>
      <c r="H66">
        <v>110</v>
      </c>
      <c r="V66">
        <v>0</v>
      </c>
      <c r="X66">
        <v>0</v>
      </c>
      <c r="Z66">
        <v>0</v>
      </c>
      <c r="AA66">
        <v>0</v>
      </c>
      <c r="AC66" t="s">
        <v>343</v>
      </c>
      <c r="AF66">
        <v>1004361683</v>
      </c>
      <c r="AG66">
        <v>236495</v>
      </c>
      <c r="AM66" t="str" cm="1">
        <f t="array" ref="AM66">_xlfn.IFS(OR(O66="Persoonlijk",O66="Zoon",O66="Dochter"),P66,OR(Q66="Persoonlijk",Q66="Zoon",Q66="Dochter"),R66,OR(S66="Persoonlijk",S66="Zoon",S66="Dochter"),T66,O66="Vader",P66,Q66="Vader",R66,S66="Vader",T66,O66="Moeder",P66,Q66="Moeder",R66,S66="Moeder",T66,TRUE,IF(P66&lt;&gt;"",P66,IF(R66&lt;&gt;"",R66,IF(T66&lt;&gt;"",T66,""))))</f>
        <v/>
      </c>
      <c r="AN66" t="str" cm="1">
        <f t="array" ref="AN66">_xlfn.LET(_xlpm.raw,_xlfn.IFS(OR(U66="Persoonlijk",U66="Zoon",U66="Dochter"),V66,OR(W66="Persoonlijk",W66="Zoon",W66="Dochter"),X66,OR(Y66="Persoonlijk",Y66="Zoon",Y66="Dochter"),Z66,U66="Vader",V66,W66="Vader",X66,Y66="Vader",Z66,U66="Moeder",V66,W66="Moeder",X66,Y66="Moeder",Z66,TRUE,IF(V66&lt;&gt;"",V66,IF(X66&lt;&gt;"",X66,IF(Z66&lt;&gt;"",Z66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7" spans="1:40" x14ac:dyDescent="0.3">
      <c r="A67">
        <v>4196364</v>
      </c>
      <c r="B67" t="s">
        <v>339</v>
      </c>
      <c r="C67" t="s">
        <v>344</v>
      </c>
      <c r="D67" t="s">
        <v>39</v>
      </c>
      <c r="E67" t="s">
        <v>40</v>
      </c>
      <c r="F67" t="s">
        <v>345</v>
      </c>
      <c r="G67" t="s">
        <v>346</v>
      </c>
      <c r="H67">
        <v>472</v>
      </c>
      <c r="U67" t="s">
        <v>46</v>
      </c>
      <c r="V67">
        <v>320470203327</v>
      </c>
      <c r="X67">
        <v>0</v>
      </c>
      <c r="Z67">
        <v>0</v>
      </c>
      <c r="AA67">
        <v>0</v>
      </c>
      <c r="AC67" t="s">
        <v>347</v>
      </c>
      <c r="AF67">
        <v>1004196364</v>
      </c>
      <c r="AG67">
        <v>606718</v>
      </c>
      <c r="AM67" t="str" cm="1">
        <f t="array" ref="AM67">_xlfn.IFS(OR(O67="Persoonlijk",O67="Zoon",O67="Dochter"),P67,OR(Q67="Persoonlijk",Q67="Zoon",Q67="Dochter"),R67,OR(S67="Persoonlijk",S67="Zoon",S67="Dochter"),T67,O67="Vader",P67,Q67="Vader",R67,S67="Vader",T67,O67="Moeder",P67,Q67="Moeder",R67,S67="Moeder",T67,TRUE,IF(P67&lt;&gt;"",P67,IF(R67&lt;&gt;"",R67,IF(T67&lt;&gt;"",T67,""))))</f>
        <v/>
      </c>
      <c r="AN67" t="str" cm="1">
        <f t="array" ref="AN67">_xlfn.LET(_xlpm.raw,_xlfn.IFS(OR(U67="Persoonlijk",U67="Zoon",U67="Dochter"),V67,OR(W67="Persoonlijk",W67="Zoon",W67="Dochter"),X67,OR(Y67="Persoonlijk",Y67="Zoon",Y67="Dochter"),Z67,U67="Vader",V67,W67="Vader",X67,Y67="Vader",Z67,U67="Moeder",V67,W67="Moeder",X67,Y67="Moeder",Z67,TRUE,IF(V67&lt;&gt;"",V67,IF(X67&lt;&gt;"",X67,IF(Z67&lt;&gt;"",Z67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+32470203327</v>
      </c>
    </row>
    <row r="68" spans="1:40" x14ac:dyDescent="0.3">
      <c r="A68">
        <v>4454574</v>
      </c>
      <c r="B68" t="s">
        <v>348</v>
      </c>
      <c r="C68" t="s">
        <v>349</v>
      </c>
      <c r="D68" t="s">
        <v>39</v>
      </c>
      <c r="E68" t="s">
        <v>40</v>
      </c>
      <c r="F68" t="s">
        <v>350</v>
      </c>
      <c r="G68" t="s">
        <v>314</v>
      </c>
      <c r="H68">
        <v>36</v>
      </c>
      <c r="Q68" t="s">
        <v>46</v>
      </c>
      <c r="V68">
        <v>0</v>
      </c>
      <c r="X68">
        <v>0</v>
      </c>
      <c r="Z68">
        <v>0</v>
      </c>
      <c r="AA68">
        <v>0</v>
      </c>
      <c r="AF68">
        <v>1004454574</v>
      </c>
      <c r="AG68" t="s">
        <v>352</v>
      </c>
      <c r="AM68" cm="1">
        <f t="array" ref="AM68">_xlfn.IFS(OR(O68="Persoonlijk",O68="Zoon",O68="Dochter"),P68,OR(Q68="Persoonlijk",Q68="Zoon",Q68="Dochter"),R68,OR(S68="Persoonlijk",S68="Zoon",S68="Dochter"),T68,O68="Vader",P68,Q68="Vader",R68,S68="Vader",T68,O68="Moeder",P68,Q68="Moeder",R68,S68="Moeder",T68,TRUE,IF(P68&lt;&gt;"",P68,IF(R68&lt;&gt;"",R68,IF(T68&lt;&gt;"",T68,""))))</f>
        <v>0</v>
      </c>
      <c r="AN68" t="str" cm="1">
        <f t="array" ref="AN68">_xlfn.LET(_xlpm.raw,_xlfn.IFS(OR(U68="Persoonlijk",U68="Zoon",U68="Dochter"),V68,OR(W68="Persoonlijk",W68="Zoon",W68="Dochter"),X68,OR(Y68="Persoonlijk",Y68="Zoon",Y68="Dochter"),Z68,U68="Vader",V68,W68="Vader",X68,Y68="Vader",Z68,U68="Moeder",V68,W68="Moeder",X68,Y68="Moeder",Z68,TRUE,IF(V68&lt;&gt;"",V68,IF(X68&lt;&gt;"",X68,IF(Z68&lt;&gt;"",Z68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9" spans="1:40" x14ac:dyDescent="0.3">
      <c r="A69">
        <v>2182526</v>
      </c>
      <c r="B69" t="s">
        <v>348</v>
      </c>
      <c r="C69" t="s">
        <v>353</v>
      </c>
      <c r="D69" t="s">
        <v>39</v>
      </c>
      <c r="E69" t="s">
        <v>49</v>
      </c>
      <c r="F69" t="s">
        <v>354</v>
      </c>
      <c r="G69" t="s">
        <v>314</v>
      </c>
      <c r="H69">
        <v>36</v>
      </c>
      <c r="Q69" t="s">
        <v>51</v>
      </c>
      <c r="R69" t="s">
        <v>351</v>
      </c>
      <c r="S69" t="s">
        <v>46</v>
      </c>
      <c r="T69" t="s">
        <v>355</v>
      </c>
      <c r="AE69" t="s">
        <v>356</v>
      </c>
      <c r="AF69">
        <v>1002182526</v>
      </c>
      <c r="AG69">
        <v>706640</v>
      </c>
      <c r="AJ69" t="s">
        <v>63</v>
      </c>
      <c r="AK69" t="s">
        <v>61</v>
      </c>
      <c r="AL69" t="s">
        <v>62</v>
      </c>
      <c r="AM69" t="str" cm="1">
        <f t="array" ref="AM69">_xlfn.IFS(OR(O69="Persoonlijk",O69="Zoon",O69="Dochter"),P69,OR(Q69="Persoonlijk",Q69="Zoon",Q69="Dochter"),R69,OR(S69="Persoonlijk",S69="Zoon",S69="Dochter"),T69,O69="Vader",P69,Q69="Vader",R69,S69="Vader",T69,O69="Moeder",P69,Q69="Moeder",R69,S69="Moeder",T69,TRUE,IF(P69&lt;&gt;"",P69,IF(R69&lt;&gt;"",R69,IF(T69&lt;&gt;"",T69,""))))</f>
        <v>Braem.lise@gmail.com</v>
      </c>
      <c r="AN69" t="str" cm="1">
        <f t="array" ref="AN69">_xlfn.LET(_xlpm.raw,_xlfn.IFS(OR(U69="Persoonlijk",U69="Zoon",U69="Dochter"),V69,OR(W69="Persoonlijk",W69="Zoon",W69="Dochter"),X69,OR(Y69="Persoonlijk",Y69="Zoon",Y69="Dochter"),Z69,U69="Vader",V69,W69="Vader",X69,Y69="Vader",Z69,U69="Moeder",V69,W69="Moeder",X69,Y69="Moeder",Z69,TRUE,IF(V69&lt;&gt;"",V69,IF(X69&lt;&gt;"",X69,IF(Z69&lt;&gt;"",Z69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0" spans="1:40" x14ac:dyDescent="0.3">
      <c r="A70">
        <v>2182526</v>
      </c>
      <c r="B70" t="s">
        <v>348</v>
      </c>
      <c r="C70" t="s">
        <v>353</v>
      </c>
      <c r="D70" t="s">
        <v>39</v>
      </c>
      <c r="E70" t="s">
        <v>49</v>
      </c>
      <c r="F70" t="s">
        <v>354</v>
      </c>
      <c r="G70" t="s">
        <v>314</v>
      </c>
      <c r="H70">
        <v>36</v>
      </c>
      <c r="Q70" t="s">
        <v>51</v>
      </c>
      <c r="R70" t="s">
        <v>351</v>
      </c>
      <c r="S70" t="s">
        <v>46</v>
      </c>
      <c r="T70" t="s">
        <v>355</v>
      </c>
      <c r="AE70" t="s">
        <v>356</v>
      </c>
      <c r="AF70">
        <v>1002182526</v>
      </c>
      <c r="AG70">
        <v>706640</v>
      </c>
      <c r="AJ70" t="s">
        <v>323</v>
      </c>
      <c r="AK70" t="s">
        <v>61</v>
      </c>
      <c r="AM70" t="str" cm="1">
        <f t="array" ref="AM70">_xlfn.IFS(OR(O70="Persoonlijk",O70="Zoon",O70="Dochter"),P70,OR(Q70="Persoonlijk",Q70="Zoon",Q70="Dochter"),R70,OR(S70="Persoonlijk",S70="Zoon",S70="Dochter"),T70,O70="Vader",P70,Q70="Vader",R70,S70="Vader",T70,O70="Moeder",P70,Q70="Moeder",R70,S70="Moeder",T70,TRUE,IF(P70&lt;&gt;"",P70,IF(R70&lt;&gt;"",R70,IF(T70&lt;&gt;"",T70,""))))</f>
        <v>Braem.lise@gmail.com</v>
      </c>
      <c r="AN70" t="str" cm="1">
        <f t="array" ref="AN70">_xlfn.LET(_xlpm.raw,_xlfn.IFS(OR(U70="Persoonlijk",U70="Zoon",U70="Dochter"),V70,OR(W70="Persoonlijk",W70="Zoon",W70="Dochter"),X70,OR(Y70="Persoonlijk",Y70="Zoon",Y70="Dochter"),Z70,U70="Vader",V70,W70="Vader",X70,Y70="Vader",Z70,U70="Moeder",V70,W70="Moeder",X70,Y70="Moeder",Z70,TRUE,IF(V70&lt;&gt;"",V70,IF(X70&lt;&gt;"",X70,IF(Z70&lt;&gt;"",Z70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1" spans="1:40" x14ac:dyDescent="0.3">
      <c r="A71">
        <v>2182531</v>
      </c>
      <c r="B71" t="s">
        <v>357</v>
      </c>
      <c r="C71" t="s">
        <v>358</v>
      </c>
      <c r="D71" t="s">
        <v>39</v>
      </c>
      <c r="E71" t="s">
        <v>40</v>
      </c>
      <c r="F71" t="s">
        <v>359</v>
      </c>
      <c r="G71" t="s">
        <v>360</v>
      </c>
      <c r="H71">
        <v>71</v>
      </c>
      <c r="U71" t="s">
        <v>51</v>
      </c>
      <c r="V71" t="s">
        <v>361</v>
      </c>
      <c r="AB71" t="s">
        <v>362</v>
      </c>
      <c r="AC71" t="s">
        <v>363</v>
      </c>
      <c r="AE71" t="s">
        <v>364</v>
      </c>
      <c r="AF71">
        <v>1002182531</v>
      </c>
      <c r="AG71">
        <v>733505</v>
      </c>
      <c r="AM71" t="str" cm="1">
        <f t="array" ref="AM71">_xlfn.IFS(OR(O71="Persoonlijk",O71="Zoon",O71="Dochter"),P71,OR(Q71="Persoonlijk",Q71="Zoon",Q71="Dochter"),R71,OR(S71="Persoonlijk",S71="Zoon",S71="Dochter"),T71,O71="Vader",P71,Q71="Vader",R71,S71="Vader",T71,O71="Moeder",P71,Q71="Moeder",R71,S71="Moeder",T71,TRUE,IF(P71&lt;&gt;"",P71,IF(R71&lt;&gt;"",R71,IF(T71&lt;&gt;"",T71,""))))</f>
        <v/>
      </c>
      <c r="AN71" t="str" cm="1">
        <f t="array" ref="AN71">_xlfn.LET(_xlpm.raw,_xlfn.IFS(OR(U71="Persoonlijk",U71="Zoon",U71="Dochter"),V71,OR(W71="Persoonlijk",W71="Zoon",W71="Dochter"),X71,OR(Y71="Persoonlijk",Y71="Zoon",Y71="Dochter"),Z71,U71="Vader",V71,W71="Vader",X71,Y71="Vader",Z71,U71="Moeder",V71,W71="Moeder",X71,Y71="Moeder",Z71,TRUE,IF(V71&lt;&gt;"",V71,IF(X71&lt;&gt;"",X71,IF(Z71&lt;&gt;"",Z71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+32476263407</v>
      </c>
    </row>
    <row r="72" spans="1:40" x14ac:dyDescent="0.3">
      <c r="A72">
        <v>4383077</v>
      </c>
      <c r="B72" t="s">
        <v>365</v>
      </c>
      <c r="C72" t="s">
        <v>335</v>
      </c>
      <c r="D72" t="s">
        <v>39</v>
      </c>
      <c r="E72" t="s">
        <v>40</v>
      </c>
      <c r="F72" t="s">
        <v>366</v>
      </c>
      <c r="G72" t="s">
        <v>367</v>
      </c>
      <c r="H72">
        <v>57</v>
      </c>
      <c r="Q72" t="s">
        <v>51</v>
      </c>
      <c r="R72" t="s">
        <v>368</v>
      </c>
      <c r="U72" t="s">
        <v>53</v>
      </c>
      <c r="V72" t="s">
        <v>369</v>
      </c>
      <c r="W72" t="s">
        <v>51</v>
      </c>
      <c r="X72" t="s">
        <v>370</v>
      </c>
      <c r="AF72">
        <v>1004383077</v>
      </c>
      <c r="AG72">
        <v>758520</v>
      </c>
      <c r="AM72" t="str" cm="1">
        <f t="array" ref="AM72">_xlfn.IFS(OR(O72="Persoonlijk",O72="Zoon",O72="Dochter"),P72,OR(Q72="Persoonlijk",Q72="Zoon",Q72="Dochter"),R72,OR(S72="Persoonlijk",S72="Zoon",S72="Dochter"),T72,O72="Vader",P72,Q72="Vader",R72,S72="Vader",T72,O72="Moeder",P72,Q72="Moeder",R72,S72="Moeder",T72,TRUE,IF(P72&lt;&gt;"",P72,IF(R72&lt;&gt;"",R72,IF(T72&lt;&gt;"",T72,""))))</f>
        <v>brambruyneel@gmail.com</v>
      </c>
      <c r="AN72" t="str" cm="1">
        <f t="array" ref="AN72">_xlfn.LET(_xlpm.raw,_xlfn.IFS(OR(U72="Persoonlijk",U72="Zoon",U72="Dochter"),V72,OR(W72="Persoonlijk",W72="Zoon",W72="Dochter"),X72,OR(Y72="Persoonlijk",Y72="Zoon",Y72="Dochter"),Z72,U72="Vader",V72,W72="Vader",X72,Y72="Vader",Z72,U72="Moeder",V72,W72="Moeder",X72,Y72="Moeder",Z72,TRUE,IF(V72&lt;&gt;"",V72,IF(X72&lt;&gt;"",X72,IF(Z72&lt;&gt;"",Z72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+32477986896</v>
      </c>
    </row>
    <row r="73" spans="1:40" x14ac:dyDescent="0.3">
      <c r="A73">
        <v>10769910</v>
      </c>
      <c r="B73" t="s">
        <v>371</v>
      </c>
      <c r="C73" t="s">
        <v>372</v>
      </c>
      <c r="D73" t="s">
        <v>39</v>
      </c>
      <c r="E73" t="s">
        <v>49</v>
      </c>
      <c r="F73" t="s">
        <v>373</v>
      </c>
      <c r="G73" t="s">
        <v>374</v>
      </c>
      <c r="H73">
        <v>13</v>
      </c>
      <c r="U73" t="s">
        <v>46</v>
      </c>
      <c r="V73" t="s">
        <v>375</v>
      </c>
      <c r="AC73" t="s">
        <v>376</v>
      </c>
      <c r="AF73">
        <v>1010769910</v>
      </c>
      <c r="AJ73" t="s">
        <v>60</v>
      </c>
      <c r="AK73" t="s">
        <v>61</v>
      </c>
      <c r="AM73" t="str" cm="1">
        <f t="array" ref="AM73">_xlfn.IFS(OR(O73="Persoonlijk",O73="Zoon",O73="Dochter"),P73,OR(Q73="Persoonlijk",Q73="Zoon",Q73="Dochter"),R73,OR(S73="Persoonlijk",S73="Zoon",S73="Dochter"),T73,O73="Vader",P73,Q73="Vader",R73,S73="Vader",T73,O73="Moeder",P73,Q73="Moeder",R73,S73="Moeder",T73,TRUE,IF(P73&lt;&gt;"",P73,IF(R73&lt;&gt;"",R73,IF(T73&lt;&gt;"",T73,""))))</f>
        <v/>
      </c>
      <c r="AN73" t="str" cm="1">
        <f t="array" ref="AN73">_xlfn.LET(_xlpm.raw,_xlfn.IFS(OR(U73="Persoonlijk",U73="Zoon",U73="Dochter"),V73,OR(W73="Persoonlijk",W73="Zoon",W73="Dochter"),X73,OR(Y73="Persoonlijk",Y73="Zoon",Y73="Dochter"),Z73,U73="Vader",V73,W73="Vader",X73,Y73="Vader",Z73,U73="Moeder",V73,W73="Moeder",X73,Y73="Moeder",Z73,TRUE,IF(V73&lt;&gt;"",V73,IF(X73&lt;&gt;"",X73,IF(Z73&lt;&gt;"",Z73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+32496745543</v>
      </c>
    </row>
    <row r="74" spans="1:40" x14ac:dyDescent="0.3">
      <c r="A74">
        <v>5579116</v>
      </c>
      <c r="B74" t="s">
        <v>377</v>
      </c>
      <c r="C74" t="s">
        <v>378</v>
      </c>
      <c r="D74" t="s">
        <v>39</v>
      </c>
      <c r="E74" t="s">
        <v>49</v>
      </c>
      <c r="V74">
        <v>0</v>
      </c>
      <c r="X74">
        <v>0</v>
      </c>
      <c r="Z74">
        <v>0</v>
      </c>
      <c r="AA74">
        <v>0</v>
      </c>
      <c r="AF74">
        <v>1005579116</v>
      </c>
      <c r="AM74" t="str" cm="1">
        <f t="array" ref="AM74">_xlfn.IFS(OR(O74="Persoonlijk",O74="Zoon",O74="Dochter"),P74,OR(Q74="Persoonlijk",Q74="Zoon",Q74="Dochter"),R74,OR(S74="Persoonlijk",S74="Zoon",S74="Dochter"),T74,O74="Vader",P74,Q74="Vader",R74,S74="Vader",T74,O74="Moeder",P74,Q74="Moeder",R74,S74="Moeder",T74,TRUE,IF(P74&lt;&gt;"",P74,IF(R74&lt;&gt;"",R74,IF(T74&lt;&gt;"",T74,""))))</f>
        <v/>
      </c>
      <c r="AN74" t="str" cm="1">
        <f t="array" ref="AN74">_xlfn.LET(_xlpm.raw,_xlfn.IFS(OR(U74="Persoonlijk",U74="Zoon",U74="Dochter"),V74,OR(W74="Persoonlijk",W74="Zoon",W74="Dochter"),X74,OR(Y74="Persoonlijk",Y74="Zoon",Y74="Dochter"),Z74,U74="Vader",V74,W74="Vader",X74,Y74="Vader",Z74,U74="Moeder",V74,W74="Moeder",X74,Y74="Moeder",Z74,TRUE,IF(V74&lt;&gt;"",V74,IF(X74&lt;&gt;"",X74,IF(Z74&lt;&gt;"",Z74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5" spans="1:40" x14ac:dyDescent="0.3">
      <c r="A75">
        <v>7666112</v>
      </c>
      <c r="B75" t="s">
        <v>379</v>
      </c>
      <c r="C75" t="s">
        <v>380</v>
      </c>
      <c r="D75" t="s">
        <v>39</v>
      </c>
      <c r="E75" t="s">
        <v>40</v>
      </c>
      <c r="F75" t="s">
        <v>381</v>
      </c>
      <c r="G75" t="s">
        <v>382</v>
      </c>
      <c r="H75">
        <v>1</v>
      </c>
      <c r="U75" t="s">
        <v>53</v>
      </c>
      <c r="V75" t="s">
        <v>383</v>
      </c>
      <c r="W75" t="s">
        <v>51</v>
      </c>
      <c r="X75">
        <v>320474023778</v>
      </c>
      <c r="Y75" t="s">
        <v>46</v>
      </c>
      <c r="Z75">
        <v>320490467800</v>
      </c>
      <c r="AC75" t="s">
        <v>384</v>
      </c>
      <c r="AE75" t="s">
        <v>385</v>
      </c>
      <c r="AF75">
        <v>1007666112</v>
      </c>
      <c r="AJ75" t="s">
        <v>83</v>
      </c>
      <c r="AK75" t="s">
        <v>61</v>
      </c>
      <c r="AM75" t="str" cm="1">
        <f t="array" ref="AM75">_xlfn.IFS(OR(O75="Persoonlijk",O75="Zoon",O75="Dochter"),P75,OR(Q75="Persoonlijk",Q75="Zoon",Q75="Dochter"),R75,OR(S75="Persoonlijk",S75="Zoon",S75="Dochter"),T75,O75="Vader",P75,Q75="Vader",R75,S75="Vader",T75,O75="Moeder",P75,Q75="Moeder",R75,S75="Moeder",T75,TRUE,IF(P75&lt;&gt;"",P75,IF(R75&lt;&gt;"",R75,IF(T75&lt;&gt;"",T75,""))))</f>
        <v/>
      </c>
      <c r="AN75" t="str" cm="1">
        <f t="array" ref="AN75">_xlfn.LET(_xlpm.raw,_xlfn.IFS(OR(U75="Persoonlijk",U75="Zoon",U75="Dochter"),V75,OR(W75="Persoonlijk",W75="Zoon",W75="Dochter"),X75,OR(Y75="Persoonlijk",Y75="Zoon",Y75="Dochter"),Z75,U75="Vader",V75,W75="Vader",X75,Y75="Vader",Z75,U75="Moeder",V75,W75="Moeder",X75,Y75="Moeder",Z75,TRUE,IF(V75&lt;&gt;"",V75,IF(X75&lt;&gt;"",X75,IF(Z75&lt;&gt;"",Z75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+32490467800</v>
      </c>
    </row>
    <row r="76" spans="1:40" x14ac:dyDescent="0.3">
      <c r="A76">
        <v>9522539</v>
      </c>
      <c r="B76" t="s">
        <v>386</v>
      </c>
      <c r="C76" t="s">
        <v>387</v>
      </c>
      <c r="D76" t="s">
        <v>39</v>
      </c>
      <c r="E76" t="s">
        <v>40</v>
      </c>
      <c r="F76" t="s">
        <v>388</v>
      </c>
      <c r="G76" t="s">
        <v>389</v>
      </c>
      <c r="H76">
        <v>35</v>
      </c>
      <c r="U76" t="s">
        <v>46</v>
      </c>
      <c r="V76" t="s">
        <v>390</v>
      </c>
      <c r="AB76" t="s">
        <v>391</v>
      </c>
      <c r="AC76" t="s">
        <v>392</v>
      </c>
      <c r="AF76">
        <v>1009522539</v>
      </c>
      <c r="AG76">
        <v>638804</v>
      </c>
      <c r="AJ76" t="s">
        <v>121</v>
      </c>
      <c r="AK76" t="s">
        <v>65</v>
      </c>
      <c r="AM76" t="str" cm="1">
        <f t="array" ref="AM76">_xlfn.IFS(OR(O76="Persoonlijk",O76="Zoon",O76="Dochter"),P76,OR(Q76="Persoonlijk",Q76="Zoon",Q76="Dochter"),R76,OR(S76="Persoonlijk",S76="Zoon",S76="Dochter"),T76,O76="Vader",P76,Q76="Vader",R76,S76="Vader",T76,O76="Moeder",P76,Q76="Moeder",R76,S76="Moeder",T76,TRUE,IF(P76&lt;&gt;"",P76,IF(R76&lt;&gt;"",R76,IF(T76&lt;&gt;"",T76,""))))</f>
        <v/>
      </c>
      <c r="AN76" t="str" cm="1">
        <f t="array" ref="AN76">_xlfn.LET(_xlpm.raw,_xlfn.IFS(OR(U76="Persoonlijk",U76="Zoon",U76="Dochter"),V76,OR(W76="Persoonlijk",W76="Zoon",W76="Dochter"),X76,OR(Y76="Persoonlijk",Y76="Zoon",Y76="Dochter"),Z76,U76="Vader",V76,W76="Vader",X76,Y76="Vader",Z76,U76="Moeder",V76,W76="Moeder",X76,Y76="Moeder",Z76,TRUE,IF(V76&lt;&gt;"",V76,IF(X76&lt;&gt;"",X76,IF(Z76&lt;&gt;"",Z76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+32493561486</v>
      </c>
    </row>
    <row r="77" spans="1:40" x14ac:dyDescent="0.3">
      <c r="A77">
        <v>9522539</v>
      </c>
      <c r="B77" t="s">
        <v>386</v>
      </c>
      <c r="C77" t="s">
        <v>387</v>
      </c>
      <c r="D77" t="s">
        <v>39</v>
      </c>
      <c r="E77" t="s">
        <v>40</v>
      </c>
      <c r="F77" t="s">
        <v>388</v>
      </c>
      <c r="G77" t="s">
        <v>389</v>
      </c>
      <c r="H77">
        <v>35</v>
      </c>
      <c r="U77" t="s">
        <v>46</v>
      </c>
      <c r="V77" t="s">
        <v>390</v>
      </c>
      <c r="AB77" t="s">
        <v>391</v>
      </c>
      <c r="AC77" t="s">
        <v>392</v>
      </c>
      <c r="AF77">
        <v>1009522539</v>
      </c>
      <c r="AG77">
        <v>638804</v>
      </c>
      <c r="AJ77" t="s">
        <v>180</v>
      </c>
      <c r="AK77" t="s">
        <v>61</v>
      </c>
      <c r="AM77" t="str" cm="1">
        <f t="array" ref="AM77">_xlfn.IFS(OR(O77="Persoonlijk",O77="Zoon",O77="Dochter"),P77,OR(Q77="Persoonlijk",Q77="Zoon",Q77="Dochter"),R77,OR(S77="Persoonlijk",S77="Zoon",S77="Dochter"),T77,O77="Vader",P77,Q77="Vader",R77,S77="Vader",T77,O77="Moeder",P77,Q77="Moeder",R77,S77="Moeder",T77,TRUE,IF(P77&lt;&gt;"",P77,IF(R77&lt;&gt;"",R77,IF(T77&lt;&gt;"",T77,""))))</f>
        <v/>
      </c>
      <c r="AN77" t="str" cm="1">
        <f t="array" ref="AN77">_xlfn.LET(_xlpm.raw,_xlfn.IFS(OR(U77="Persoonlijk",U77="Zoon",U77="Dochter"),V77,OR(W77="Persoonlijk",W77="Zoon",W77="Dochter"),X77,OR(Y77="Persoonlijk",Y77="Zoon",Y77="Dochter"),Z77,U77="Vader",V77,W77="Vader",X77,Y77="Vader",Z77,U77="Moeder",V77,W77="Moeder",X77,Y77="Moeder",Z77,TRUE,IF(V77&lt;&gt;"",V77,IF(X77&lt;&gt;"",X77,IF(Z77&lt;&gt;"",Z77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+32493561486</v>
      </c>
    </row>
    <row r="78" spans="1:40" x14ac:dyDescent="0.3">
      <c r="A78">
        <v>9522527</v>
      </c>
      <c r="B78" t="s">
        <v>386</v>
      </c>
      <c r="C78" t="s">
        <v>325</v>
      </c>
      <c r="D78" t="s">
        <v>39</v>
      </c>
      <c r="E78" t="s">
        <v>40</v>
      </c>
      <c r="F78" t="s">
        <v>393</v>
      </c>
      <c r="G78" t="s">
        <v>394</v>
      </c>
      <c r="H78">
        <v>89</v>
      </c>
      <c r="Q78" t="s">
        <v>53</v>
      </c>
      <c r="R78" t="s">
        <v>395</v>
      </c>
      <c r="AF78">
        <v>1009522527</v>
      </c>
      <c r="AG78">
        <v>740183</v>
      </c>
      <c r="AJ78" t="s">
        <v>202</v>
      </c>
      <c r="AK78" t="s">
        <v>61</v>
      </c>
      <c r="AM78" t="str" cm="1">
        <f t="array" ref="AM78">_xlfn.IFS(OR(O78="Persoonlijk",O78="Zoon",O78="Dochter"),P78,OR(Q78="Persoonlijk",Q78="Zoon",Q78="Dochter"),R78,OR(S78="Persoonlijk",S78="Zoon",S78="Dochter"),T78,O78="Vader",P78,Q78="Vader",R78,S78="Vader",T78,O78="Moeder",P78,Q78="Moeder",R78,S78="Moeder",T78,TRUE,IF(P78&lt;&gt;"",P78,IF(R78&lt;&gt;"",R78,IF(T78&lt;&gt;"",T78,""))))</f>
        <v>vanbael_ijlie@hotmail.com</v>
      </c>
      <c r="AN78" t="str" cm="1">
        <f t="array" ref="AN78">_xlfn.LET(_xlpm.raw,_xlfn.IFS(OR(U78="Persoonlijk",U78="Zoon",U78="Dochter"),V78,OR(W78="Persoonlijk",W78="Zoon",W78="Dochter"),X78,OR(Y78="Persoonlijk",Y78="Zoon",Y78="Dochter"),Z78,U78="Vader",V78,W78="Vader",X78,Y78="Vader",Z78,U78="Moeder",V78,W78="Moeder",X78,Y78="Moeder",Z78,TRUE,IF(V78&lt;&gt;"",V78,IF(X78&lt;&gt;"",X78,IF(Z78&lt;&gt;"",Z78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9" spans="1:40" x14ac:dyDescent="0.3">
      <c r="A79">
        <v>2182536</v>
      </c>
      <c r="B79" t="s">
        <v>396</v>
      </c>
      <c r="C79" t="s">
        <v>397</v>
      </c>
      <c r="D79" t="s">
        <v>39</v>
      </c>
      <c r="E79" t="s">
        <v>49</v>
      </c>
      <c r="F79" t="s">
        <v>398</v>
      </c>
      <c r="G79" t="s">
        <v>399</v>
      </c>
      <c r="H79">
        <v>90</v>
      </c>
      <c r="U79" t="s">
        <v>46</v>
      </c>
      <c r="V79">
        <v>479373164</v>
      </c>
      <c r="AC79" t="s">
        <v>400</v>
      </c>
      <c r="AF79">
        <v>1002182536</v>
      </c>
      <c r="AG79">
        <v>622248</v>
      </c>
      <c r="AJ79" t="s">
        <v>60</v>
      </c>
      <c r="AK79" t="s">
        <v>61</v>
      </c>
      <c r="AM79" t="str" cm="1">
        <f t="array" ref="AM79">_xlfn.IFS(OR(O79="Persoonlijk",O79="Zoon",O79="Dochter"),P79,OR(Q79="Persoonlijk",Q79="Zoon",Q79="Dochter"),R79,OR(S79="Persoonlijk",S79="Zoon",S79="Dochter"),T79,O79="Vader",P79,Q79="Vader",R79,S79="Vader",T79,O79="Moeder",P79,Q79="Moeder",R79,S79="Moeder",T79,TRUE,IF(P79&lt;&gt;"",P79,IF(R79&lt;&gt;"",R79,IF(T79&lt;&gt;"",T79,""))))</f>
        <v/>
      </c>
      <c r="AN79" t="str" cm="1">
        <f t="array" ref="AN79">_xlfn.LET(_xlpm.raw,_xlfn.IFS(OR(U79="Persoonlijk",U79="Zoon",U79="Dochter"),V79,OR(W79="Persoonlijk",W79="Zoon",W79="Dochter"),X79,OR(Y79="Persoonlijk",Y79="Zoon",Y79="Dochter"),Z79,U79="Vader",V79,W79="Vader",X79,Y79="Vader",Z79,U79="Moeder",V79,W79="Moeder",X79,Y79="Moeder",Z79,TRUE,IF(V79&lt;&gt;"",V79,IF(X79&lt;&gt;"",X79,IF(Z79&lt;&gt;"",Z79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+32479373164</v>
      </c>
    </row>
    <row r="80" spans="1:40" x14ac:dyDescent="0.3">
      <c r="A80">
        <v>2182536</v>
      </c>
      <c r="B80" t="s">
        <v>396</v>
      </c>
      <c r="C80" t="s">
        <v>397</v>
      </c>
      <c r="D80" t="s">
        <v>39</v>
      </c>
      <c r="E80" t="s">
        <v>49</v>
      </c>
      <c r="F80" t="s">
        <v>398</v>
      </c>
      <c r="G80" t="s">
        <v>399</v>
      </c>
      <c r="H80">
        <v>90</v>
      </c>
      <c r="U80" t="s">
        <v>46</v>
      </c>
      <c r="V80">
        <v>479373164</v>
      </c>
      <c r="AC80" t="s">
        <v>400</v>
      </c>
      <c r="AF80">
        <v>1002182536</v>
      </c>
      <c r="AG80">
        <v>622248</v>
      </c>
      <c r="AJ80" t="s">
        <v>174</v>
      </c>
      <c r="AK80" t="s">
        <v>65</v>
      </c>
      <c r="AM80" t="str" cm="1">
        <f t="array" ref="AM80">_xlfn.IFS(OR(O80="Persoonlijk",O80="Zoon",O80="Dochter"),P80,OR(Q80="Persoonlijk",Q80="Zoon",Q80="Dochter"),R80,OR(S80="Persoonlijk",S80="Zoon",S80="Dochter"),T80,O80="Vader",P80,Q80="Vader",R80,S80="Vader",T80,O80="Moeder",P80,Q80="Moeder",R80,S80="Moeder",T80,TRUE,IF(P80&lt;&gt;"",P80,IF(R80&lt;&gt;"",R80,IF(T80&lt;&gt;"",T80,""))))</f>
        <v/>
      </c>
      <c r="AN80" t="str" cm="1">
        <f t="array" ref="AN80">_xlfn.LET(_xlpm.raw,_xlfn.IFS(OR(U80="Persoonlijk",U80="Zoon",U80="Dochter"),V80,OR(W80="Persoonlijk",W80="Zoon",W80="Dochter"),X80,OR(Y80="Persoonlijk",Y80="Zoon",Y80="Dochter"),Z80,U80="Vader",V80,W80="Vader",X80,Y80="Vader",Z80,U80="Moeder",V80,W80="Moeder",X80,Y80="Moeder",Z80,TRUE,IF(V80&lt;&gt;"",V80,IF(X80&lt;&gt;"",X80,IF(Z80&lt;&gt;"",Z80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+32479373164</v>
      </c>
    </row>
    <row r="81" spans="1:40" x14ac:dyDescent="0.3">
      <c r="A81">
        <v>7500746</v>
      </c>
      <c r="B81" t="s">
        <v>401</v>
      </c>
      <c r="C81" t="s">
        <v>402</v>
      </c>
      <c r="D81" t="s">
        <v>39</v>
      </c>
      <c r="E81" t="s">
        <v>49</v>
      </c>
      <c r="F81" t="s">
        <v>403</v>
      </c>
      <c r="G81" t="s">
        <v>404</v>
      </c>
      <c r="H81">
        <v>80</v>
      </c>
      <c r="Q81" t="s">
        <v>51</v>
      </c>
      <c r="R81" t="s">
        <v>405</v>
      </c>
      <c r="U81" t="s">
        <v>53</v>
      </c>
      <c r="V81" t="s">
        <v>406</v>
      </c>
      <c r="AC81" t="s">
        <v>407</v>
      </c>
      <c r="AF81">
        <v>1007500746</v>
      </c>
      <c r="AM81" t="str" cm="1">
        <f t="array" ref="AM81">_xlfn.IFS(OR(O81="Persoonlijk",O81="Zoon",O81="Dochter"),P81,OR(Q81="Persoonlijk",Q81="Zoon",Q81="Dochter"),R81,OR(S81="Persoonlijk",S81="Zoon",S81="Dochter"),T81,O81="Vader",P81,Q81="Vader",R81,S81="Vader",T81,O81="Moeder",P81,Q81="Moeder",R81,S81="Moeder",T81,TRUE,IF(P81&lt;&gt;"",P81,IF(R81&lt;&gt;"",R81,IF(T81&lt;&gt;"",T81,""))))</f>
        <v>koencallens@msn.com</v>
      </c>
      <c r="AN81" t="str" cm="1">
        <f t="array" ref="AN81">_xlfn.LET(_xlpm.raw,_xlfn.IFS(OR(U81="Persoonlijk",U81="Zoon",U81="Dochter"),V81,OR(W81="Persoonlijk",W81="Zoon",W81="Dochter"),X81,OR(Y81="Persoonlijk",Y81="Zoon",Y81="Dochter"),Z81,U81="Vader",V81,W81="Vader",X81,Y81="Vader",Z81,U81="Moeder",V81,W81="Moeder",X81,Y81="Moeder",Z81,TRUE,IF(V81&lt;&gt;"",V81,IF(X81&lt;&gt;"",X81,IF(Z81&lt;&gt;"",Z81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+32478885199</v>
      </c>
    </row>
    <row r="82" spans="1:40" x14ac:dyDescent="0.3">
      <c r="A82">
        <v>2650656</v>
      </c>
      <c r="B82" t="s">
        <v>408</v>
      </c>
      <c r="C82" t="s">
        <v>409</v>
      </c>
      <c r="D82" t="s">
        <v>39</v>
      </c>
      <c r="E82" t="s">
        <v>40</v>
      </c>
      <c r="F82" t="s">
        <v>410</v>
      </c>
      <c r="G82" t="s">
        <v>411</v>
      </c>
      <c r="H82">
        <v>14</v>
      </c>
      <c r="V82">
        <v>475821346</v>
      </c>
      <c r="X82">
        <v>472114536</v>
      </c>
      <c r="Z82">
        <v>0</v>
      </c>
      <c r="AA82">
        <v>0</v>
      </c>
      <c r="AF82">
        <v>1002650656</v>
      </c>
      <c r="AM82" t="str" cm="1">
        <f t="array" ref="AM82">_xlfn.IFS(OR(O82="Persoonlijk",O82="Zoon",O82="Dochter"),P82,OR(Q82="Persoonlijk",Q82="Zoon",Q82="Dochter"),R82,OR(S82="Persoonlijk",S82="Zoon",S82="Dochter"),T82,O82="Vader",P82,Q82="Vader",R82,S82="Vader",T82,O82="Moeder",P82,Q82="Moeder",R82,S82="Moeder",T82,TRUE,IF(P82&lt;&gt;"",P82,IF(R82&lt;&gt;"",R82,IF(T82&lt;&gt;"",T82,""))))</f>
        <v/>
      </c>
      <c r="AN82" t="str" cm="1">
        <f t="array" ref="AN82">_xlfn.LET(_xlpm.raw,_xlfn.IFS(OR(U82="Persoonlijk",U82="Zoon",U82="Dochter"),V82,OR(W82="Persoonlijk",W82="Zoon",W82="Dochter"),X82,OR(Y82="Persoonlijk",Y82="Zoon",Y82="Dochter"),Z82,U82="Vader",V82,W82="Vader",X82,Y82="Vader",Z82,U82="Moeder",V82,W82="Moeder",X82,Y82="Moeder",Z82,TRUE,IF(V82&lt;&gt;"",V82,IF(X82&lt;&gt;"",X82,IF(Z82&lt;&gt;"",Z82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+32475821346</v>
      </c>
    </row>
    <row r="83" spans="1:40" x14ac:dyDescent="0.3">
      <c r="A83">
        <v>2182541</v>
      </c>
      <c r="B83" t="s">
        <v>412</v>
      </c>
      <c r="C83" t="s">
        <v>413</v>
      </c>
      <c r="D83" t="s">
        <v>39</v>
      </c>
      <c r="E83" t="s">
        <v>40</v>
      </c>
      <c r="F83" t="s">
        <v>414</v>
      </c>
      <c r="G83" t="s">
        <v>211</v>
      </c>
      <c r="H83">
        <v>9</v>
      </c>
      <c r="AC83" t="s">
        <v>415</v>
      </c>
      <c r="AE83" t="s">
        <v>416</v>
      </c>
      <c r="AF83">
        <v>1002182541</v>
      </c>
      <c r="AG83">
        <v>726667</v>
      </c>
      <c r="AM83" t="str" cm="1">
        <f t="array" ref="AM83">_xlfn.IFS(OR(O83="Persoonlijk",O83="Zoon",O83="Dochter"),P83,OR(Q83="Persoonlijk",Q83="Zoon",Q83="Dochter"),R83,OR(S83="Persoonlijk",S83="Zoon",S83="Dochter"),T83,O83="Vader",P83,Q83="Vader",R83,S83="Vader",T83,O83="Moeder",P83,Q83="Moeder",R83,S83="Moeder",T83,TRUE,IF(P83&lt;&gt;"",P83,IF(R83&lt;&gt;"",R83,IF(T83&lt;&gt;"",T83,""))))</f>
        <v/>
      </c>
      <c r="AN83" t="str" cm="1">
        <f t="array" ref="AN83">_xlfn.LET(_xlpm.raw,_xlfn.IFS(OR(U83="Persoonlijk",U83="Zoon",U83="Dochter"),V83,OR(W83="Persoonlijk",W83="Zoon",W83="Dochter"),X83,OR(Y83="Persoonlijk",Y83="Zoon",Y83="Dochter"),Z83,U83="Vader",V83,W83="Vader",X83,Y83="Vader",Z83,U83="Moeder",V83,W83="Moeder",X83,Y83="Moeder",Z83,TRUE,IF(V83&lt;&gt;"",V83,IF(X83&lt;&gt;"",X83,IF(Z83&lt;&gt;"",Z83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84" spans="1:40" x14ac:dyDescent="0.3">
      <c r="A84">
        <v>2655001</v>
      </c>
      <c r="B84" t="s">
        <v>417</v>
      </c>
      <c r="C84" t="s">
        <v>418</v>
      </c>
      <c r="D84" t="s">
        <v>39</v>
      </c>
      <c r="E84" t="s">
        <v>49</v>
      </c>
      <c r="F84" t="s">
        <v>419</v>
      </c>
      <c r="G84" t="s">
        <v>420</v>
      </c>
      <c r="H84">
        <v>17</v>
      </c>
      <c r="V84" t="s">
        <v>421</v>
      </c>
      <c r="AC84" t="s">
        <v>422</v>
      </c>
      <c r="AF84">
        <v>1002655001</v>
      </c>
      <c r="AG84">
        <v>739375</v>
      </c>
      <c r="AM84" t="str" cm="1">
        <f t="array" ref="AM84">_xlfn.IFS(OR(O84="Persoonlijk",O84="Zoon",O84="Dochter"),P84,OR(Q84="Persoonlijk",Q84="Zoon",Q84="Dochter"),R84,OR(S84="Persoonlijk",S84="Zoon",S84="Dochter"),T84,O84="Vader",P84,Q84="Vader",R84,S84="Vader",T84,O84="Moeder",P84,Q84="Moeder",R84,S84="Moeder",T84,TRUE,IF(P84&lt;&gt;"",P84,IF(R84&lt;&gt;"",R84,IF(T84&lt;&gt;"",T84,""))))</f>
        <v/>
      </c>
      <c r="AN84" t="str" cm="1">
        <f t="array" ref="AN84">_xlfn.LET(_xlpm.raw,_xlfn.IFS(OR(U84="Persoonlijk",U84="Zoon",U84="Dochter"),V84,OR(W84="Persoonlijk",W84="Zoon",W84="Dochter"),X84,OR(Y84="Persoonlijk",Y84="Zoon",Y84="Dochter"),Z84,U84="Vader",V84,W84="Vader",X84,Y84="Vader",Z84,U84="Moeder",V84,W84="Moeder",X84,Y84="Moeder",Z84,TRUE,IF(V84&lt;&gt;"",V84,IF(X84&lt;&gt;"",X84,IF(Z84&lt;&gt;"",Z84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+32499418414</v>
      </c>
    </row>
    <row r="85" spans="1:40" x14ac:dyDescent="0.3">
      <c r="A85">
        <v>2182546</v>
      </c>
      <c r="B85" t="s">
        <v>417</v>
      </c>
      <c r="C85" t="s">
        <v>423</v>
      </c>
      <c r="D85" t="s">
        <v>39</v>
      </c>
      <c r="E85" t="s">
        <v>49</v>
      </c>
      <c r="F85" t="s">
        <v>424</v>
      </c>
      <c r="G85" t="s">
        <v>420</v>
      </c>
      <c r="H85">
        <v>17</v>
      </c>
      <c r="V85" t="s">
        <v>421</v>
      </c>
      <c r="AC85" t="s">
        <v>425</v>
      </c>
      <c r="AE85" t="s">
        <v>426</v>
      </c>
      <c r="AF85">
        <v>1002182546</v>
      </c>
      <c r="AG85">
        <v>730457</v>
      </c>
      <c r="AM85" t="str" cm="1">
        <f t="array" ref="AM85">_xlfn.IFS(OR(O85="Persoonlijk",O85="Zoon",O85="Dochter"),P85,OR(Q85="Persoonlijk",Q85="Zoon",Q85="Dochter"),R85,OR(S85="Persoonlijk",S85="Zoon",S85="Dochter"),T85,O85="Vader",P85,Q85="Vader",R85,S85="Vader",T85,O85="Moeder",P85,Q85="Moeder",R85,S85="Moeder",T85,TRUE,IF(P85&lt;&gt;"",P85,IF(R85&lt;&gt;"",R85,IF(T85&lt;&gt;"",T85,""))))</f>
        <v/>
      </c>
      <c r="AN85" t="str" cm="1">
        <f t="array" ref="AN85">_xlfn.LET(_xlpm.raw,_xlfn.IFS(OR(U85="Persoonlijk",U85="Zoon",U85="Dochter"),V85,OR(W85="Persoonlijk",W85="Zoon",W85="Dochter"),X85,OR(Y85="Persoonlijk",Y85="Zoon",Y85="Dochter"),Z85,U85="Vader",V85,W85="Vader",X85,Y85="Vader",Z85,U85="Moeder",V85,W85="Moeder",X85,Y85="Moeder",Z85,TRUE,IF(V85&lt;&gt;"",V85,IF(X85&lt;&gt;"",X85,IF(Z85&lt;&gt;"",Z85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+32499418414</v>
      </c>
    </row>
    <row r="86" spans="1:40" x14ac:dyDescent="0.3">
      <c r="A86">
        <v>4076852</v>
      </c>
      <c r="B86" t="s">
        <v>417</v>
      </c>
      <c r="C86" t="s">
        <v>427</v>
      </c>
      <c r="D86" t="s">
        <v>39</v>
      </c>
      <c r="E86" t="s">
        <v>40</v>
      </c>
      <c r="F86" t="s">
        <v>428</v>
      </c>
      <c r="G86" t="s">
        <v>429</v>
      </c>
      <c r="H86">
        <v>32</v>
      </c>
      <c r="Q86" t="s">
        <v>430</v>
      </c>
      <c r="U86" t="s">
        <v>46</v>
      </c>
      <c r="V86">
        <v>32495228616</v>
      </c>
      <c r="AB86" t="s">
        <v>431</v>
      </c>
      <c r="AC86" t="s">
        <v>432</v>
      </c>
      <c r="AD86">
        <v>10</v>
      </c>
      <c r="AE86" t="s">
        <v>433</v>
      </c>
      <c r="AF86">
        <v>1004076852</v>
      </c>
      <c r="AG86">
        <v>222444</v>
      </c>
      <c r="AM86" t="str" cm="1">
        <f t="array" ref="AM86">_xlfn.IFS(OR(O86="Persoonlijk",O86="Zoon",O86="Dochter"),P86,OR(Q86="Persoonlijk",Q86="Zoon",Q86="Dochter"),R86,OR(S86="Persoonlijk",S86="Zoon",S86="Dochter"),T86,O86="Vader",P86,Q86="Vader",R86,S86="Vader",T86,O86="Moeder",P86,Q86="Moeder",R86,S86="Moeder",T86,TRUE,IF(P86&lt;&gt;"",P86,IF(R86&lt;&gt;"",R86,IF(T86&lt;&gt;"",T86,""))))</f>
        <v/>
      </c>
      <c r="AN86" t="str" cm="1">
        <f t="array" ref="AN86">_xlfn.LET(_xlpm.raw,_xlfn.IFS(OR(U86="Persoonlijk",U86="Zoon",U86="Dochter"),V86,OR(W86="Persoonlijk",W86="Zoon",W86="Dochter"),X86,OR(Y86="Persoonlijk",Y86="Zoon",Y86="Dochter"),Z86,U86="Vader",V86,W86="Vader",X86,Y86="Vader",Z86,U86="Moeder",V86,W86="Moeder",X86,Y86="Moeder",Z86,TRUE,IF(V86&lt;&gt;"",V86,IF(X86&lt;&gt;"",X86,IF(Z86&lt;&gt;"",Z86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+32495228616</v>
      </c>
    </row>
    <row r="87" spans="1:40" x14ac:dyDescent="0.3">
      <c r="A87">
        <v>3486565</v>
      </c>
      <c r="B87" t="s">
        <v>417</v>
      </c>
      <c r="C87" t="s">
        <v>297</v>
      </c>
      <c r="D87" t="s">
        <v>39</v>
      </c>
      <c r="E87" t="s">
        <v>40</v>
      </c>
      <c r="F87" t="s">
        <v>434</v>
      </c>
      <c r="G87" t="s">
        <v>429</v>
      </c>
      <c r="H87">
        <v>32</v>
      </c>
      <c r="U87" t="s">
        <v>51</v>
      </c>
      <c r="V87">
        <v>32495228616</v>
      </c>
      <c r="AC87" t="s">
        <v>435</v>
      </c>
      <c r="AD87">
        <v>10</v>
      </c>
      <c r="AE87" t="s">
        <v>436</v>
      </c>
      <c r="AF87">
        <v>1003486565</v>
      </c>
      <c r="AG87" t="s">
        <v>437</v>
      </c>
      <c r="AJ87" t="s">
        <v>88</v>
      </c>
      <c r="AK87" t="s">
        <v>61</v>
      </c>
      <c r="AM87" t="str" cm="1">
        <f t="array" ref="AM87">_xlfn.IFS(OR(O87="Persoonlijk",O87="Zoon",O87="Dochter"),P87,OR(Q87="Persoonlijk",Q87="Zoon",Q87="Dochter"),R87,OR(S87="Persoonlijk",S87="Zoon",S87="Dochter"),T87,O87="Vader",P87,Q87="Vader",R87,S87="Vader",T87,O87="Moeder",P87,Q87="Moeder",R87,S87="Moeder",T87,TRUE,IF(P87&lt;&gt;"",P87,IF(R87&lt;&gt;"",R87,IF(T87&lt;&gt;"",T87,""))))</f>
        <v/>
      </c>
      <c r="AN87" t="str" cm="1">
        <f t="array" ref="AN87">_xlfn.LET(_xlpm.raw,_xlfn.IFS(OR(U87="Persoonlijk",U87="Zoon",U87="Dochter"),V87,OR(W87="Persoonlijk",W87="Zoon",W87="Dochter"),X87,OR(Y87="Persoonlijk",Y87="Zoon",Y87="Dochter"),Z87,U87="Vader",V87,W87="Vader",X87,Y87="Vader",Z87,U87="Moeder",V87,W87="Moeder",X87,Y87="Moeder",Z87,TRUE,IF(V87&lt;&gt;"",V87,IF(X87&lt;&gt;"",X87,IF(Z87&lt;&gt;"",Z87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+32495228616</v>
      </c>
    </row>
    <row r="88" spans="1:40" x14ac:dyDescent="0.3">
      <c r="A88">
        <v>3486565</v>
      </c>
      <c r="B88" t="s">
        <v>417</v>
      </c>
      <c r="C88" t="s">
        <v>297</v>
      </c>
      <c r="D88" t="s">
        <v>39</v>
      </c>
      <c r="E88" t="s">
        <v>40</v>
      </c>
      <c r="F88" t="s">
        <v>434</v>
      </c>
      <c r="G88" t="s">
        <v>429</v>
      </c>
      <c r="H88">
        <v>32</v>
      </c>
      <c r="U88" t="s">
        <v>51</v>
      </c>
      <c r="V88">
        <v>32495228616</v>
      </c>
      <c r="AC88" t="s">
        <v>435</v>
      </c>
      <c r="AD88">
        <v>10</v>
      </c>
      <c r="AE88" t="s">
        <v>436</v>
      </c>
      <c r="AF88">
        <v>1003486565</v>
      </c>
      <c r="AG88" t="s">
        <v>437</v>
      </c>
      <c r="AJ88" t="s">
        <v>87</v>
      </c>
      <c r="AK88" t="s">
        <v>61</v>
      </c>
      <c r="AM88" t="str" cm="1">
        <f t="array" ref="AM88">_xlfn.IFS(OR(O88="Persoonlijk",O88="Zoon",O88="Dochter"),P88,OR(Q88="Persoonlijk",Q88="Zoon",Q88="Dochter"),R88,OR(S88="Persoonlijk",S88="Zoon",S88="Dochter"),T88,O88="Vader",P88,Q88="Vader",R88,S88="Vader",T88,O88="Moeder",P88,Q88="Moeder",R88,S88="Moeder",T88,TRUE,IF(P88&lt;&gt;"",P88,IF(R88&lt;&gt;"",R88,IF(T88&lt;&gt;"",T88,""))))</f>
        <v/>
      </c>
      <c r="AN88" t="str" cm="1">
        <f t="array" ref="AN88">_xlfn.LET(_xlpm.raw,_xlfn.IFS(OR(U88="Persoonlijk",U88="Zoon",U88="Dochter"),V88,OR(W88="Persoonlijk",W88="Zoon",W88="Dochter"),X88,OR(Y88="Persoonlijk",Y88="Zoon",Y88="Dochter"),Z88,U88="Vader",V88,W88="Vader",X88,Y88="Vader",Z88,U88="Moeder",V88,W88="Moeder",X88,Y88="Moeder",Z88,TRUE,IF(V88&lt;&gt;"",V88,IF(X88&lt;&gt;"",X88,IF(Z88&lt;&gt;"",Z88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+32495228616</v>
      </c>
    </row>
    <row r="89" spans="1:40" x14ac:dyDescent="0.3">
      <c r="A89">
        <v>10452690</v>
      </c>
      <c r="B89" t="s">
        <v>417</v>
      </c>
      <c r="C89" t="s">
        <v>438</v>
      </c>
      <c r="D89" t="s">
        <v>39</v>
      </c>
      <c r="E89" t="s">
        <v>49</v>
      </c>
      <c r="F89" t="s">
        <v>439</v>
      </c>
      <c r="G89" t="s">
        <v>429</v>
      </c>
      <c r="H89">
        <v>32</v>
      </c>
      <c r="R89" t="s">
        <v>440</v>
      </c>
      <c r="V89">
        <v>32495228616</v>
      </c>
      <c r="AC89" t="s">
        <v>441</v>
      </c>
      <c r="AF89">
        <v>1010452690</v>
      </c>
      <c r="AJ89" t="s">
        <v>442</v>
      </c>
      <c r="AK89" t="s">
        <v>61</v>
      </c>
      <c r="AM89" t="str" cm="1">
        <f t="array" ref="AM89">_xlfn.IFS(OR(O89="Persoonlijk",O89="Zoon",O89="Dochter"),P89,OR(Q89="Persoonlijk",Q89="Zoon",Q89="Dochter"),R89,OR(S89="Persoonlijk",S89="Zoon",S89="Dochter"),T89,O89="Vader",P89,Q89="Vader",R89,S89="Vader",T89,O89="Moeder",P89,Q89="Moeder",R89,S89="Moeder",T89,TRUE,IF(P89&lt;&gt;"",P89,IF(R89&lt;&gt;"",R89,IF(T89&lt;&gt;"",T89,""))))</f>
        <v>evelyn.demesel@hotmail.be</v>
      </c>
      <c r="AN89" t="str" cm="1">
        <f t="array" ref="AN89">_xlfn.LET(_xlpm.raw,_xlfn.IFS(OR(U89="Persoonlijk",U89="Zoon",U89="Dochter"),V89,OR(W89="Persoonlijk",W89="Zoon",W89="Dochter"),X89,OR(Y89="Persoonlijk",Y89="Zoon",Y89="Dochter"),Z89,U89="Vader",V89,W89="Vader",X89,Y89="Vader",Z89,U89="Moeder",V89,W89="Moeder",X89,Y89="Moeder",Z89,TRUE,IF(V89&lt;&gt;"",V89,IF(X89&lt;&gt;"",X89,IF(Z89&lt;&gt;"",Z89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+32495228616</v>
      </c>
    </row>
    <row r="90" spans="1:40" x14ac:dyDescent="0.3">
      <c r="A90">
        <v>5544335</v>
      </c>
      <c r="B90" t="s">
        <v>417</v>
      </c>
      <c r="C90" t="s">
        <v>443</v>
      </c>
      <c r="D90" t="s">
        <v>39</v>
      </c>
      <c r="E90" t="s">
        <v>40</v>
      </c>
      <c r="F90" t="s">
        <v>444</v>
      </c>
      <c r="G90" t="s">
        <v>420</v>
      </c>
      <c r="H90">
        <v>17</v>
      </c>
      <c r="V90">
        <v>0</v>
      </c>
      <c r="X90">
        <v>0</v>
      </c>
      <c r="Z90">
        <v>0</v>
      </c>
      <c r="AA90">
        <v>0</v>
      </c>
      <c r="AC90" t="s">
        <v>445</v>
      </c>
      <c r="AF90">
        <v>1005544335</v>
      </c>
      <c r="AG90">
        <v>20587</v>
      </c>
      <c r="AM90" t="str" cm="1">
        <f t="array" ref="AM90">_xlfn.IFS(OR(O90="Persoonlijk",O90="Zoon",O90="Dochter"),P90,OR(Q90="Persoonlijk",Q90="Zoon",Q90="Dochter"),R90,OR(S90="Persoonlijk",S90="Zoon",S90="Dochter"),T90,O90="Vader",P90,Q90="Vader",R90,S90="Vader",T90,O90="Moeder",P90,Q90="Moeder",R90,S90="Moeder",T90,TRUE,IF(P90&lt;&gt;"",P90,IF(R90&lt;&gt;"",R90,IF(T90&lt;&gt;"",T90,""))))</f>
        <v/>
      </c>
      <c r="AN90" t="str" cm="1">
        <f t="array" ref="AN90">_xlfn.LET(_xlpm.raw,_xlfn.IFS(OR(U90="Persoonlijk",U90="Zoon",U90="Dochter"),V90,OR(W90="Persoonlijk",W90="Zoon",W90="Dochter"),X90,OR(Y90="Persoonlijk",Y90="Zoon",Y90="Dochter"),Z90,U90="Vader",V90,W90="Vader",X90,Y90="Vader",Z90,U90="Moeder",V90,W90="Moeder",X90,Y90="Moeder",Z90,TRUE,IF(V90&lt;&gt;"",V90,IF(X90&lt;&gt;"",X90,IF(Z90&lt;&gt;"",Z90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91" spans="1:40" x14ac:dyDescent="0.3">
      <c r="A91">
        <v>6344187</v>
      </c>
      <c r="B91" t="s">
        <v>446</v>
      </c>
      <c r="C91" t="s">
        <v>274</v>
      </c>
      <c r="D91" t="s">
        <v>39</v>
      </c>
      <c r="E91" t="s">
        <v>40</v>
      </c>
      <c r="F91" t="s">
        <v>447</v>
      </c>
      <c r="G91" t="s">
        <v>448</v>
      </c>
      <c r="H91">
        <v>25</v>
      </c>
      <c r="U91" t="s">
        <v>46</v>
      </c>
      <c r="V91">
        <v>499214775</v>
      </c>
      <c r="AC91" t="s">
        <v>449</v>
      </c>
      <c r="AF91">
        <v>1006344187</v>
      </c>
      <c r="AG91">
        <v>20854</v>
      </c>
      <c r="AJ91" t="s">
        <v>60</v>
      </c>
      <c r="AK91" t="s">
        <v>65</v>
      </c>
      <c r="AM91" t="str" cm="1">
        <f t="array" ref="AM91">_xlfn.IFS(OR(O91="Persoonlijk",O91="Zoon",O91="Dochter"),P91,OR(Q91="Persoonlijk",Q91="Zoon",Q91="Dochter"),R91,OR(S91="Persoonlijk",S91="Zoon",S91="Dochter"),T91,O91="Vader",P91,Q91="Vader",R91,S91="Vader",T91,O91="Moeder",P91,Q91="Moeder",R91,S91="Moeder",T91,TRUE,IF(P91&lt;&gt;"",P91,IF(R91&lt;&gt;"",R91,IF(T91&lt;&gt;"",T91,""))))</f>
        <v/>
      </c>
      <c r="AN91" t="str" cm="1">
        <f t="array" ref="AN91">_xlfn.LET(_xlpm.raw,_xlfn.IFS(OR(U91="Persoonlijk",U91="Zoon",U91="Dochter"),V91,OR(W91="Persoonlijk",W91="Zoon",W91="Dochter"),X91,OR(Y91="Persoonlijk",Y91="Zoon",Y91="Dochter"),Z91,U91="Vader",V91,W91="Vader",X91,Y91="Vader",Z91,U91="Moeder",V91,W91="Moeder",X91,Y91="Moeder",Z91,TRUE,IF(V91&lt;&gt;"",V91,IF(X91&lt;&gt;"",X91,IF(Z91&lt;&gt;"",Z91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+32499214775</v>
      </c>
    </row>
    <row r="92" spans="1:40" x14ac:dyDescent="0.3">
      <c r="A92">
        <v>6344189</v>
      </c>
      <c r="B92" t="s">
        <v>446</v>
      </c>
      <c r="C92" t="s">
        <v>450</v>
      </c>
      <c r="D92" t="s">
        <v>39</v>
      </c>
      <c r="E92" t="s">
        <v>40</v>
      </c>
      <c r="F92" t="s">
        <v>451</v>
      </c>
      <c r="G92" t="s">
        <v>448</v>
      </c>
      <c r="H92">
        <v>25</v>
      </c>
      <c r="AC92" t="s">
        <v>452</v>
      </c>
      <c r="AF92">
        <v>1006344189</v>
      </c>
      <c r="AJ92" t="s">
        <v>192</v>
      </c>
      <c r="AK92" t="s">
        <v>65</v>
      </c>
      <c r="AM92" t="str" cm="1">
        <f t="array" ref="AM92">_xlfn.IFS(OR(O92="Persoonlijk",O92="Zoon",O92="Dochter"),P92,OR(Q92="Persoonlijk",Q92="Zoon",Q92="Dochter"),R92,OR(S92="Persoonlijk",S92="Zoon",S92="Dochter"),T92,O92="Vader",P92,Q92="Vader",R92,S92="Vader",T92,O92="Moeder",P92,Q92="Moeder",R92,S92="Moeder",T92,TRUE,IF(P92&lt;&gt;"",P92,IF(R92&lt;&gt;"",R92,IF(T92&lt;&gt;"",T92,""))))</f>
        <v/>
      </c>
      <c r="AN92" t="str" cm="1">
        <f t="array" ref="AN92">_xlfn.LET(_xlpm.raw,_xlfn.IFS(OR(U92="Persoonlijk",U92="Zoon",U92="Dochter"),V92,OR(W92="Persoonlijk",W92="Zoon",W92="Dochter"),X92,OR(Y92="Persoonlijk",Y92="Zoon",Y92="Dochter"),Z92,U92="Vader",V92,W92="Vader",X92,Y92="Vader",Z92,U92="Moeder",V92,W92="Moeder",X92,Y92="Moeder",Z92,TRUE,IF(V92&lt;&gt;"",V92,IF(X92&lt;&gt;"",X92,IF(Z92&lt;&gt;"",Z92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93" spans="1:40" x14ac:dyDescent="0.3">
      <c r="A93">
        <v>6344189</v>
      </c>
      <c r="B93" t="s">
        <v>446</v>
      </c>
      <c r="C93" t="s">
        <v>450</v>
      </c>
      <c r="D93" t="s">
        <v>39</v>
      </c>
      <c r="E93" t="s">
        <v>40</v>
      </c>
      <c r="F93" t="s">
        <v>451</v>
      </c>
      <c r="G93" t="s">
        <v>448</v>
      </c>
      <c r="H93">
        <v>25</v>
      </c>
      <c r="AC93" t="s">
        <v>452</v>
      </c>
      <c r="AF93">
        <v>1006344189</v>
      </c>
      <c r="AJ93" t="s">
        <v>202</v>
      </c>
      <c r="AK93" t="s">
        <v>61</v>
      </c>
      <c r="AM93" t="str" cm="1">
        <f t="array" ref="AM93">_xlfn.IFS(OR(O93="Persoonlijk",O93="Zoon",O93="Dochter"),P93,OR(Q93="Persoonlijk",Q93="Zoon",Q93="Dochter"),R93,OR(S93="Persoonlijk",S93="Zoon",S93="Dochter"),T93,O93="Vader",P93,Q93="Vader",R93,S93="Vader",T93,O93="Moeder",P93,Q93="Moeder",R93,S93="Moeder",T93,TRUE,IF(P93&lt;&gt;"",P93,IF(R93&lt;&gt;"",R93,IF(T93&lt;&gt;"",T93,""))))</f>
        <v/>
      </c>
      <c r="AN93" t="str" cm="1">
        <f t="array" ref="AN93">_xlfn.LET(_xlpm.raw,_xlfn.IFS(OR(U93="Persoonlijk",U93="Zoon",U93="Dochter"),V93,OR(W93="Persoonlijk",W93="Zoon",W93="Dochter"),X93,OR(Y93="Persoonlijk",Y93="Zoon",Y93="Dochter"),Z93,U93="Vader",V93,W93="Vader",X93,Y93="Vader",Z93,U93="Moeder",V93,W93="Moeder",X93,Y93="Moeder",Z93,TRUE,IF(V93&lt;&gt;"",V93,IF(X93&lt;&gt;"",X93,IF(Z93&lt;&gt;"",Z93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94" spans="1:40" x14ac:dyDescent="0.3">
      <c r="A94">
        <v>6344189</v>
      </c>
      <c r="B94" t="s">
        <v>446</v>
      </c>
      <c r="C94" t="s">
        <v>450</v>
      </c>
      <c r="D94" t="s">
        <v>39</v>
      </c>
      <c r="E94" t="s">
        <v>40</v>
      </c>
      <c r="F94" t="s">
        <v>451</v>
      </c>
      <c r="G94" t="s">
        <v>448</v>
      </c>
      <c r="H94">
        <v>25</v>
      </c>
      <c r="AC94" t="s">
        <v>452</v>
      </c>
      <c r="AF94">
        <v>1006344189</v>
      </c>
      <c r="AJ94" t="s">
        <v>63</v>
      </c>
      <c r="AK94" t="s">
        <v>61</v>
      </c>
      <c r="AM94" t="str" cm="1">
        <f t="array" ref="AM94">_xlfn.IFS(OR(O94="Persoonlijk",O94="Zoon",O94="Dochter"),P94,OR(Q94="Persoonlijk",Q94="Zoon",Q94="Dochter"),R94,OR(S94="Persoonlijk",S94="Zoon",S94="Dochter"),T94,O94="Vader",P94,Q94="Vader",R94,S94="Vader",T94,O94="Moeder",P94,Q94="Moeder",R94,S94="Moeder",T94,TRUE,IF(P94&lt;&gt;"",P94,IF(R94&lt;&gt;"",R94,IF(T94&lt;&gt;"",T94,""))))</f>
        <v/>
      </c>
      <c r="AN94" t="str" cm="1">
        <f t="array" ref="AN94">_xlfn.LET(_xlpm.raw,_xlfn.IFS(OR(U94="Persoonlijk",U94="Zoon",U94="Dochter"),V94,OR(W94="Persoonlijk",W94="Zoon",W94="Dochter"),X94,OR(Y94="Persoonlijk",Y94="Zoon",Y94="Dochter"),Z94,U94="Vader",V94,W94="Vader",X94,Y94="Vader",Z94,U94="Moeder",V94,W94="Moeder",X94,Y94="Moeder",Z94,TRUE,IF(V94&lt;&gt;"",V94,IF(X94&lt;&gt;"",X94,IF(Z94&lt;&gt;"",Z94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95" spans="1:40" x14ac:dyDescent="0.3">
      <c r="A95">
        <v>9522553</v>
      </c>
      <c r="B95" t="s">
        <v>446</v>
      </c>
      <c r="C95" t="s">
        <v>453</v>
      </c>
      <c r="D95" t="s">
        <v>39</v>
      </c>
      <c r="E95" t="s">
        <v>40</v>
      </c>
      <c r="F95" t="s">
        <v>454</v>
      </c>
      <c r="G95" t="s">
        <v>448</v>
      </c>
      <c r="H95">
        <v>25</v>
      </c>
      <c r="AC95" t="s">
        <v>455</v>
      </c>
      <c r="AE95" t="s">
        <v>456</v>
      </c>
      <c r="AF95">
        <v>1009522553</v>
      </c>
      <c r="AJ95" t="s">
        <v>192</v>
      </c>
      <c r="AK95" t="s">
        <v>61</v>
      </c>
      <c r="AM95" t="str" cm="1">
        <f t="array" ref="AM95">_xlfn.IFS(OR(O95="Persoonlijk",O95="Zoon",O95="Dochter"),P95,OR(Q95="Persoonlijk",Q95="Zoon",Q95="Dochter"),R95,OR(S95="Persoonlijk",S95="Zoon",S95="Dochter"),T95,O95="Vader",P95,Q95="Vader",R95,S95="Vader",T95,O95="Moeder",P95,Q95="Moeder",R95,S95="Moeder",T95,TRUE,IF(P95&lt;&gt;"",P95,IF(R95&lt;&gt;"",R95,IF(T95&lt;&gt;"",T95,""))))</f>
        <v/>
      </c>
      <c r="AN95" t="str" cm="1">
        <f t="array" ref="AN95">_xlfn.LET(_xlpm.raw,_xlfn.IFS(OR(U95="Persoonlijk",U95="Zoon",U95="Dochter"),V95,OR(W95="Persoonlijk",W95="Zoon",W95="Dochter"),X95,OR(Y95="Persoonlijk",Y95="Zoon",Y95="Dochter"),Z95,U95="Vader",V95,W95="Vader",X95,Y95="Vader",Z95,U95="Moeder",V95,W95="Moeder",X95,Y95="Moeder",Z95,TRUE,IF(V95&lt;&gt;"",V95,IF(X95&lt;&gt;"",X95,IF(Z95&lt;&gt;"",Z95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96" spans="1:40" x14ac:dyDescent="0.3">
      <c r="A96">
        <v>9522553</v>
      </c>
      <c r="B96" t="s">
        <v>446</v>
      </c>
      <c r="C96" t="s">
        <v>453</v>
      </c>
      <c r="D96" t="s">
        <v>39</v>
      </c>
      <c r="E96" t="s">
        <v>40</v>
      </c>
      <c r="F96" t="s">
        <v>454</v>
      </c>
      <c r="G96" t="s">
        <v>448</v>
      </c>
      <c r="H96">
        <v>25</v>
      </c>
      <c r="AC96" t="s">
        <v>455</v>
      </c>
      <c r="AE96" t="s">
        <v>456</v>
      </c>
      <c r="AF96">
        <v>1009522553</v>
      </c>
      <c r="AJ96" t="s">
        <v>295</v>
      </c>
      <c r="AK96" t="s">
        <v>61</v>
      </c>
      <c r="AM96" t="str" cm="1">
        <f t="array" ref="AM96">_xlfn.IFS(OR(O96="Persoonlijk",O96="Zoon",O96="Dochter"),P96,OR(Q96="Persoonlijk",Q96="Zoon",Q96="Dochter"),R96,OR(S96="Persoonlijk",S96="Zoon",S96="Dochter"),T96,O96="Vader",P96,Q96="Vader",R96,S96="Vader",T96,O96="Moeder",P96,Q96="Moeder",R96,S96="Moeder",T96,TRUE,IF(P96&lt;&gt;"",P96,IF(R96&lt;&gt;"",R96,IF(T96&lt;&gt;"",T96,""))))</f>
        <v/>
      </c>
      <c r="AN96" t="str" cm="1">
        <f t="array" ref="AN96">_xlfn.LET(_xlpm.raw,_xlfn.IFS(OR(U96="Persoonlijk",U96="Zoon",U96="Dochter"),V96,OR(W96="Persoonlijk",W96="Zoon",W96="Dochter"),X96,OR(Y96="Persoonlijk",Y96="Zoon",Y96="Dochter"),Z96,U96="Vader",V96,W96="Vader",X96,Y96="Vader",Z96,U96="Moeder",V96,W96="Moeder",X96,Y96="Moeder",Z96,TRUE,IF(V96&lt;&gt;"",V96,IF(X96&lt;&gt;"",X96,IF(Z96&lt;&gt;"",Z96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97" spans="1:40" x14ac:dyDescent="0.3">
      <c r="A97">
        <v>4196373</v>
      </c>
      <c r="B97" t="s">
        <v>457</v>
      </c>
      <c r="C97" t="s">
        <v>458</v>
      </c>
      <c r="D97" t="s">
        <v>39</v>
      </c>
      <c r="E97" t="s">
        <v>40</v>
      </c>
      <c r="F97" t="s">
        <v>459</v>
      </c>
      <c r="G97" t="s">
        <v>460</v>
      </c>
      <c r="H97">
        <v>174</v>
      </c>
      <c r="U97" t="s">
        <v>46</v>
      </c>
      <c r="V97">
        <v>320498674854</v>
      </c>
      <c r="X97">
        <v>0</v>
      </c>
      <c r="Z97">
        <v>0</v>
      </c>
      <c r="AA97">
        <v>0</v>
      </c>
      <c r="AC97" t="s">
        <v>461</v>
      </c>
      <c r="AF97">
        <v>1004196373</v>
      </c>
      <c r="AG97">
        <v>618749</v>
      </c>
      <c r="AM97" t="str" cm="1">
        <f t="array" ref="AM97">_xlfn.IFS(OR(O97="Persoonlijk",O97="Zoon",O97="Dochter"),P97,OR(Q97="Persoonlijk",Q97="Zoon",Q97="Dochter"),R97,OR(S97="Persoonlijk",S97="Zoon",S97="Dochter"),T97,O97="Vader",P97,Q97="Vader",R97,S97="Vader",T97,O97="Moeder",P97,Q97="Moeder",R97,S97="Moeder",T97,TRUE,IF(P97&lt;&gt;"",P97,IF(R97&lt;&gt;"",R97,IF(T97&lt;&gt;"",T97,""))))</f>
        <v/>
      </c>
      <c r="AN97" t="str" cm="1">
        <f t="array" ref="AN97">_xlfn.LET(_xlpm.raw,_xlfn.IFS(OR(U97="Persoonlijk",U97="Zoon",U97="Dochter"),V97,OR(W97="Persoonlijk",W97="Zoon",W97="Dochter"),X97,OR(Y97="Persoonlijk",Y97="Zoon",Y97="Dochter"),Z97,U97="Vader",V97,W97="Vader",X97,Y97="Vader",Z97,U97="Moeder",V97,W97="Moeder",X97,Y97="Moeder",Z97,TRUE,IF(V97&lt;&gt;"",V97,IF(X97&lt;&gt;"",X97,IF(Z97&lt;&gt;"",Z97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+32498674854</v>
      </c>
    </row>
    <row r="98" spans="1:40" x14ac:dyDescent="0.3">
      <c r="A98">
        <v>6352973</v>
      </c>
      <c r="B98" t="s">
        <v>462</v>
      </c>
      <c r="C98" t="s">
        <v>312</v>
      </c>
      <c r="D98" t="s">
        <v>39</v>
      </c>
      <c r="E98" t="s">
        <v>40</v>
      </c>
      <c r="F98" t="s">
        <v>463</v>
      </c>
      <c r="G98" t="s">
        <v>360</v>
      </c>
      <c r="H98">
        <v>40</v>
      </c>
      <c r="Q98" t="s">
        <v>51</v>
      </c>
      <c r="R98" t="s">
        <v>464</v>
      </c>
      <c r="U98" t="s">
        <v>53</v>
      </c>
      <c r="V98">
        <v>32486926070</v>
      </c>
      <c r="W98" t="s">
        <v>51</v>
      </c>
      <c r="X98">
        <v>32475832685</v>
      </c>
      <c r="AC98" t="s">
        <v>465</v>
      </c>
      <c r="AD98">
        <v>4</v>
      </c>
      <c r="AE98" t="s">
        <v>466</v>
      </c>
      <c r="AF98">
        <v>1006352973</v>
      </c>
      <c r="AG98">
        <v>736728</v>
      </c>
      <c r="AL98" t="s">
        <v>62</v>
      </c>
      <c r="AM98" t="str" cm="1">
        <f t="array" ref="AM98">_xlfn.IFS(OR(O98="Persoonlijk",O98="Zoon",O98="Dochter"),P98,OR(Q98="Persoonlijk",Q98="Zoon",Q98="Dochter"),R98,OR(S98="Persoonlijk",S98="Zoon",S98="Dochter"),T98,O98="Vader",P98,Q98="Vader",R98,S98="Vader",T98,O98="Moeder",P98,Q98="Moeder",R98,S98="Moeder",T98,TRUE,IF(P98&lt;&gt;"",P98,IF(R98&lt;&gt;"",R98,IF(T98&lt;&gt;"",T98,""))))</f>
        <v>Christiaens.jan@skynet.be</v>
      </c>
      <c r="AN98" t="str" cm="1">
        <f t="array" ref="AN98">_xlfn.LET(_xlpm.raw,_xlfn.IFS(OR(U98="Persoonlijk",U98="Zoon",U98="Dochter"),V98,OR(W98="Persoonlijk",W98="Zoon",W98="Dochter"),X98,OR(Y98="Persoonlijk",Y98="Zoon",Y98="Dochter"),Z98,U98="Vader",V98,W98="Vader",X98,Y98="Vader",Z98,U98="Moeder",V98,W98="Moeder",X98,Y98="Moeder",Z98,TRUE,IF(V98&lt;&gt;"",V98,IF(X98&lt;&gt;"",X98,IF(Z98&lt;&gt;"",Z98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+32475832685</v>
      </c>
    </row>
    <row r="99" spans="1:40" x14ac:dyDescent="0.3">
      <c r="A99">
        <v>6169424</v>
      </c>
      <c r="B99" t="s">
        <v>467</v>
      </c>
      <c r="C99" t="s">
        <v>468</v>
      </c>
      <c r="D99" t="s">
        <v>39</v>
      </c>
      <c r="E99" t="s">
        <v>40</v>
      </c>
      <c r="F99" t="s">
        <v>469</v>
      </c>
      <c r="G99" t="s">
        <v>470</v>
      </c>
      <c r="H99">
        <v>51</v>
      </c>
      <c r="AC99" t="s">
        <v>471</v>
      </c>
      <c r="AF99">
        <v>1006169424</v>
      </c>
      <c r="AG99">
        <v>652122</v>
      </c>
      <c r="AM99" t="str" cm="1">
        <f t="array" ref="AM99">_xlfn.IFS(OR(O99="Persoonlijk",O99="Zoon",O99="Dochter"),P99,OR(Q99="Persoonlijk",Q99="Zoon",Q99="Dochter"),R99,OR(S99="Persoonlijk",S99="Zoon",S99="Dochter"),T99,O99="Vader",P99,Q99="Vader",R99,S99="Vader",T99,O99="Moeder",P99,Q99="Moeder",R99,S99="Moeder",T99,TRUE,IF(P99&lt;&gt;"",P99,IF(R99&lt;&gt;"",R99,IF(T99&lt;&gt;"",T99,""))))</f>
        <v/>
      </c>
      <c r="AN99" t="str" cm="1">
        <f t="array" ref="AN99">_xlfn.LET(_xlpm.raw,_xlfn.IFS(OR(U99="Persoonlijk",U99="Zoon",U99="Dochter"),V99,OR(W99="Persoonlijk",W99="Zoon",W99="Dochter"),X99,OR(Y99="Persoonlijk",Y99="Zoon",Y99="Dochter"),Z99,U99="Vader",V99,W99="Vader",X99,Y99="Vader",Z99,U99="Moeder",V99,W99="Moeder",X99,Y99="Moeder",Z99,TRUE,IF(V99&lt;&gt;"",V99,IF(X99&lt;&gt;"",X99,IF(Z99&lt;&gt;"",Z99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00" spans="1:40" x14ac:dyDescent="0.3">
      <c r="A100">
        <v>2182551</v>
      </c>
      <c r="B100" t="s">
        <v>472</v>
      </c>
      <c r="C100" t="s">
        <v>473</v>
      </c>
      <c r="D100" t="s">
        <v>39</v>
      </c>
      <c r="E100" t="s">
        <v>49</v>
      </c>
      <c r="F100" t="s">
        <v>474</v>
      </c>
      <c r="G100" t="s">
        <v>69</v>
      </c>
      <c r="H100">
        <v>104</v>
      </c>
      <c r="R100" t="s">
        <v>475</v>
      </c>
      <c r="V100" t="s">
        <v>476</v>
      </c>
      <c r="AC100" t="s">
        <v>477</v>
      </c>
      <c r="AF100">
        <v>1002182551</v>
      </c>
      <c r="AG100">
        <v>669074</v>
      </c>
      <c r="AJ100" t="s">
        <v>60</v>
      </c>
      <c r="AK100" t="s">
        <v>61</v>
      </c>
      <c r="AM100" t="str" cm="1">
        <f t="array" ref="AM100">_xlfn.IFS(OR(O100="Persoonlijk",O100="Zoon",O100="Dochter"),P100,OR(Q100="Persoonlijk",Q100="Zoon",Q100="Dochter"),R100,OR(S100="Persoonlijk",S100="Zoon",S100="Dochter"),T100,O100="Vader",P100,Q100="Vader",R100,S100="Vader",T100,O100="Moeder",P100,Q100="Moeder",R100,S100="Moeder",T100,TRUE,IF(P100&lt;&gt;"",P100,IF(R100&lt;&gt;"",R100,IF(T100&lt;&gt;"",T100,""))))</f>
        <v>sofie.pattyn@telenet.be</v>
      </c>
      <c r="AN100" t="str" cm="1">
        <f t="array" ref="AN100">_xlfn.LET(_xlpm.raw,_xlfn.IFS(OR(U100="Persoonlijk",U100="Zoon",U100="Dochter"),V100,OR(W100="Persoonlijk",W100="Zoon",W100="Dochter"),X100,OR(Y100="Persoonlijk",Y100="Zoon",Y100="Dochter"),Z100,U100="Vader",V100,W100="Vader",X100,Y100="Vader",Z100,U100="Moeder",V100,W100="Moeder",X100,Y100="Moeder",Z100,TRUE,IF(V100&lt;&gt;"",V100,IF(X100&lt;&gt;"",X100,IF(Z100&lt;&gt;"",Z100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+32477681738</v>
      </c>
    </row>
    <row r="101" spans="1:40" x14ac:dyDescent="0.3">
      <c r="A101">
        <v>2182551</v>
      </c>
      <c r="B101" t="s">
        <v>472</v>
      </c>
      <c r="C101" t="s">
        <v>473</v>
      </c>
      <c r="D101" t="s">
        <v>39</v>
      </c>
      <c r="E101" t="s">
        <v>49</v>
      </c>
      <c r="F101" t="s">
        <v>474</v>
      </c>
      <c r="G101" t="s">
        <v>69</v>
      </c>
      <c r="H101">
        <v>104</v>
      </c>
      <c r="R101" t="s">
        <v>475</v>
      </c>
      <c r="V101" t="s">
        <v>476</v>
      </c>
      <c r="AC101" t="s">
        <v>477</v>
      </c>
      <c r="AF101">
        <v>1002182551</v>
      </c>
      <c r="AG101">
        <v>669074</v>
      </c>
      <c r="AJ101" t="s">
        <v>63</v>
      </c>
      <c r="AK101" t="s">
        <v>61</v>
      </c>
      <c r="AM101" t="str" cm="1">
        <f t="array" ref="AM101">_xlfn.IFS(OR(O101="Persoonlijk",O101="Zoon",O101="Dochter"),P101,OR(Q101="Persoonlijk",Q101="Zoon",Q101="Dochter"),R101,OR(S101="Persoonlijk",S101="Zoon",S101="Dochter"),T101,O101="Vader",P101,Q101="Vader",R101,S101="Vader",T101,O101="Moeder",P101,Q101="Moeder",R101,S101="Moeder",T101,TRUE,IF(P101&lt;&gt;"",P101,IF(R101&lt;&gt;"",R101,IF(T101&lt;&gt;"",T101,""))))</f>
        <v>sofie.pattyn@telenet.be</v>
      </c>
      <c r="AN101" t="str" cm="1">
        <f t="array" ref="AN101">_xlfn.LET(_xlpm.raw,_xlfn.IFS(OR(U101="Persoonlijk",U101="Zoon",U101="Dochter"),V101,OR(W101="Persoonlijk",W101="Zoon",W101="Dochter"),X101,OR(Y101="Persoonlijk",Y101="Zoon",Y101="Dochter"),Z101,U101="Vader",V101,W101="Vader",X101,Y101="Vader",Z101,U101="Moeder",V101,W101="Moeder",X101,Y101="Moeder",Z101,TRUE,IF(V101&lt;&gt;"",V101,IF(X101&lt;&gt;"",X101,IF(Z101&lt;&gt;"",Z101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+32477681738</v>
      </c>
    </row>
    <row r="102" spans="1:40" x14ac:dyDescent="0.3">
      <c r="A102">
        <v>2182551</v>
      </c>
      <c r="B102" t="s">
        <v>472</v>
      </c>
      <c r="C102" t="s">
        <v>473</v>
      </c>
      <c r="D102" t="s">
        <v>39</v>
      </c>
      <c r="E102" t="s">
        <v>49</v>
      </c>
      <c r="F102" t="s">
        <v>474</v>
      </c>
      <c r="G102" t="s">
        <v>69</v>
      </c>
      <c r="H102">
        <v>104</v>
      </c>
      <c r="R102" t="s">
        <v>475</v>
      </c>
      <c r="V102" t="s">
        <v>476</v>
      </c>
      <c r="AC102" t="s">
        <v>477</v>
      </c>
      <c r="AF102">
        <v>1002182551</v>
      </c>
      <c r="AG102">
        <v>669074</v>
      </c>
      <c r="AJ102" t="s">
        <v>323</v>
      </c>
      <c r="AK102" t="s">
        <v>61</v>
      </c>
      <c r="AM102" t="str" cm="1">
        <f t="array" ref="AM102">_xlfn.IFS(OR(O102="Persoonlijk",O102="Zoon",O102="Dochter"),P102,OR(Q102="Persoonlijk",Q102="Zoon",Q102="Dochter"),R102,OR(S102="Persoonlijk",S102="Zoon",S102="Dochter"),T102,O102="Vader",P102,Q102="Vader",R102,S102="Vader",T102,O102="Moeder",P102,Q102="Moeder",R102,S102="Moeder",T102,TRUE,IF(P102&lt;&gt;"",P102,IF(R102&lt;&gt;"",R102,IF(T102&lt;&gt;"",T102,""))))</f>
        <v>sofie.pattyn@telenet.be</v>
      </c>
      <c r="AN102" t="str" cm="1">
        <f t="array" ref="AN102">_xlfn.LET(_xlpm.raw,_xlfn.IFS(OR(U102="Persoonlijk",U102="Zoon",U102="Dochter"),V102,OR(W102="Persoonlijk",W102="Zoon",W102="Dochter"),X102,OR(Y102="Persoonlijk",Y102="Zoon",Y102="Dochter"),Z102,U102="Vader",V102,W102="Vader",X102,Y102="Vader",Z102,U102="Moeder",V102,W102="Moeder",X102,Y102="Moeder",Z102,TRUE,IF(V102&lt;&gt;"",V102,IF(X102&lt;&gt;"",X102,IF(Z102&lt;&gt;"",Z102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+32477681738</v>
      </c>
    </row>
    <row r="103" spans="1:40" x14ac:dyDescent="0.3">
      <c r="A103">
        <v>2182556</v>
      </c>
      <c r="B103" t="s">
        <v>472</v>
      </c>
      <c r="C103" t="s">
        <v>478</v>
      </c>
      <c r="D103" t="s">
        <v>39</v>
      </c>
      <c r="E103" t="s">
        <v>40</v>
      </c>
      <c r="F103" t="s">
        <v>479</v>
      </c>
      <c r="G103" t="s">
        <v>69</v>
      </c>
      <c r="H103">
        <v>104</v>
      </c>
      <c r="AC103" t="s">
        <v>480</v>
      </c>
      <c r="AF103">
        <v>1002182556</v>
      </c>
      <c r="AG103">
        <v>669072</v>
      </c>
      <c r="AM103" t="str" cm="1">
        <f t="array" ref="AM103">_xlfn.IFS(OR(O103="Persoonlijk",O103="Zoon",O103="Dochter"),P103,OR(Q103="Persoonlijk",Q103="Zoon",Q103="Dochter"),R103,OR(S103="Persoonlijk",S103="Zoon",S103="Dochter"),T103,O103="Vader",P103,Q103="Vader",R103,S103="Vader",T103,O103="Moeder",P103,Q103="Moeder",R103,S103="Moeder",T103,TRUE,IF(P103&lt;&gt;"",P103,IF(R103&lt;&gt;"",R103,IF(T103&lt;&gt;"",T103,""))))</f>
        <v/>
      </c>
      <c r="AN103" t="str" cm="1">
        <f t="array" ref="AN103">_xlfn.LET(_xlpm.raw,_xlfn.IFS(OR(U103="Persoonlijk",U103="Zoon",U103="Dochter"),V103,OR(W103="Persoonlijk",W103="Zoon",W103="Dochter"),X103,OR(Y103="Persoonlijk",Y103="Zoon",Y103="Dochter"),Z103,U103="Vader",V103,W103="Vader",X103,Y103="Vader",Z103,U103="Moeder",V103,W103="Moeder",X103,Y103="Moeder",Z103,TRUE,IF(V103&lt;&gt;"",V103,IF(X103&lt;&gt;"",X103,IF(Z103&lt;&gt;"",Z103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04" spans="1:40" x14ac:dyDescent="0.3">
      <c r="A104">
        <v>4216839</v>
      </c>
      <c r="B104" t="s">
        <v>472</v>
      </c>
      <c r="C104" t="s">
        <v>481</v>
      </c>
      <c r="D104" t="s">
        <v>39</v>
      </c>
      <c r="E104" t="s">
        <v>40</v>
      </c>
      <c r="F104" t="s">
        <v>482</v>
      </c>
      <c r="G104" t="s">
        <v>69</v>
      </c>
      <c r="H104">
        <v>104</v>
      </c>
      <c r="U104" t="s">
        <v>51</v>
      </c>
      <c r="V104">
        <v>320477681738</v>
      </c>
      <c r="X104">
        <v>0</v>
      </c>
      <c r="Z104">
        <v>0</v>
      </c>
      <c r="AA104">
        <v>0</v>
      </c>
      <c r="AF104">
        <v>1004216839</v>
      </c>
      <c r="AJ104" t="s">
        <v>483</v>
      </c>
      <c r="AK104" t="s">
        <v>61</v>
      </c>
      <c r="AM104" t="str" cm="1">
        <f t="array" ref="AM104">_xlfn.IFS(OR(O104="Persoonlijk",O104="Zoon",O104="Dochter"),P104,OR(Q104="Persoonlijk",Q104="Zoon",Q104="Dochter"),R104,OR(S104="Persoonlijk",S104="Zoon",S104="Dochter"),T104,O104="Vader",P104,Q104="Vader",R104,S104="Vader",T104,O104="Moeder",P104,Q104="Moeder",R104,S104="Moeder",T104,TRUE,IF(P104&lt;&gt;"",P104,IF(R104&lt;&gt;"",R104,IF(T104&lt;&gt;"",T104,""))))</f>
        <v/>
      </c>
      <c r="AN104" t="str" cm="1">
        <f t="array" ref="AN104">_xlfn.LET(_xlpm.raw,_xlfn.IFS(OR(U104="Persoonlijk",U104="Zoon",U104="Dochter"),V104,OR(W104="Persoonlijk",W104="Zoon",W104="Dochter"),X104,OR(Y104="Persoonlijk",Y104="Zoon",Y104="Dochter"),Z104,U104="Vader",V104,W104="Vader",X104,Y104="Vader",Z104,U104="Moeder",V104,W104="Moeder",X104,Y104="Moeder",Z104,TRUE,IF(V104&lt;&gt;"",V104,IF(X104&lt;&gt;"",X104,IF(Z104&lt;&gt;"",Z104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+32477681738</v>
      </c>
    </row>
    <row r="105" spans="1:40" x14ac:dyDescent="0.3">
      <c r="A105">
        <v>4499039</v>
      </c>
      <c r="B105" t="s">
        <v>484</v>
      </c>
      <c r="C105" t="s">
        <v>485</v>
      </c>
      <c r="D105" t="s">
        <v>39</v>
      </c>
      <c r="E105" t="s">
        <v>40</v>
      </c>
      <c r="F105" t="s">
        <v>486</v>
      </c>
      <c r="G105" t="s">
        <v>487</v>
      </c>
      <c r="H105">
        <v>27</v>
      </c>
      <c r="Q105" t="s">
        <v>51</v>
      </c>
      <c r="R105" t="s">
        <v>488</v>
      </c>
      <c r="U105" t="s">
        <v>53</v>
      </c>
      <c r="V105" t="s">
        <v>489</v>
      </c>
      <c r="AF105">
        <v>1004499039</v>
      </c>
      <c r="AJ105" t="s">
        <v>88</v>
      </c>
      <c r="AK105" t="s">
        <v>61</v>
      </c>
      <c r="AM105" t="str" cm="1">
        <f t="array" ref="AM105">_xlfn.IFS(OR(O105="Persoonlijk",O105="Zoon",O105="Dochter"),P105,OR(Q105="Persoonlijk",Q105="Zoon",Q105="Dochter"),R105,OR(S105="Persoonlijk",S105="Zoon",S105="Dochter"),T105,O105="Vader",P105,Q105="Vader",R105,S105="Vader",T105,O105="Moeder",P105,Q105="Moeder",R105,S105="Moeder",T105,TRUE,IF(P105&lt;&gt;"",P105,IF(R105&lt;&gt;"",R105,IF(T105&lt;&gt;"",T105,""))))</f>
        <v>stijn.colpaert@telenet.be</v>
      </c>
      <c r="AN105" t="str" cm="1">
        <f t="array" ref="AN105">_xlfn.LET(_xlpm.raw,_xlfn.IFS(OR(U105="Persoonlijk",U105="Zoon",U105="Dochter"),V105,OR(W105="Persoonlijk",W105="Zoon",W105="Dochter"),X105,OR(Y105="Persoonlijk",Y105="Zoon",Y105="Dochter"),Z105,U105="Vader",V105,W105="Vader",X105,Y105="Vader",Z105,U105="Moeder",V105,W105="Moeder",X105,Y105="Moeder",Z105,TRUE,IF(V105&lt;&gt;"",V105,IF(X105&lt;&gt;"",X105,IF(Z105&lt;&gt;"",Z105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+32497216213</v>
      </c>
    </row>
    <row r="106" spans="1:40" x14ac:dyDescent="0.3">
      <c r="A106">
        <v>2714000</v>
      </c>
      <c r="B106" t="s">
        <v>484</v>
      </c>
      <c r="C106" t="s">
        <v>490</v>
      </c>
      <c r="D106" t="s">
        <v>39</v>
      </c>
      <c r="E106" t="s">
        <v>49</v>
      </c>
      <c r="F106" t="s">
        <v>491</v>
      </c>
      <c r="G106" t="s">
        <v>492</v>
      </c>
      <c r="H106">
        <v>55</v>
      </c>
      <c r="V106" t="s">
        <v>493</v>
      </c>
      <c r="AC106" t="s">
        <v>494</v>
      </c>
      <c r="AF106">
        <v>1002714000</v>
      </c>
      <c r="AL106" t="s">
        <v>62</v>
      </c>
      <c r="AM106" t="str" cm="1">
        <f t="array" ref="AM106">_xlfn.IFS(OR(O106="Persoonlijk",O106="Zoon",O106="Dochter"),P106,OR(Q106="Persoonlijk",Q106="Zoon",Q106="Dochter"),R106,OR(S106="Persoonlijk",S106="Zoon",S106="Dochter"),T106,O106="Vader",P106,Q106="Vader",R106,S106="Vader",T106,O106="Moeder",P106,Q106="Moeder",R106,S106="Moeder",T106,TRUE,IF(P106&lt;&gt;"",P106,IF(R106&lt;&gt;"",R106,IF(T106&lt;&gt;"",T106,""))))</f>
        <v/>
      </c>
      <c r="AN106" t="str" cm="1">
        <f t="array" ref="AN106">_xlfn.LET(_xlpm.raw,_xlfn.IFS(OR(U106="Persoonlijk",U106="Zoon",U106="Dochter"),V106,OR(W106="Persoonlijk",W106="Zoon",W106="Dochter"),X106,OR(Y106="Persoonlijk",Y106="Zoon",Y106="Dochter"),Z106,U106="Vader",V106,W106="Vader",X106,Y106="Vader",Z106,U106="Moeder",V106,W106="Moeder",X106,Y106="Moeder",Z106,TRUE,IF(V106&lt;&gt;"",V106,IF(X106&lt;&gt;"",X106,IF(Z106&lt;&gt;"",Z106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+32476935877</v>
      </c>
    </row>
    <row r="107" spans="1:40" x14ac:dyDescent="0.3">
      <c r="A107">
        <v>3463911</v>
      </c>
      <c r="B107" t="s">
        <v>495</v>
      </c>
      <c r="C107" t="s">
        <v>496</v>
      </c>
      <c r="D107" t="s">
        <v>39</v>
      </c>
      <c r="E107" t="s">
        <v>49</v>
      </c>
      <c r="F107" t="s">
        <v>497</v>
      </c>
      <c r="G107" t="s">
        <v>498</v>
      </c>
      <c r="H107">
        <v>12</v>
      </c>
      <c r="U107" t="s">
        <v>51</v>
      </c>
      <c r="V107" t="s">
        <v>499</v>
      </c>
      <c r="AF107">
        <v>1003463911</v>
      </c>
      <c r="AG107">
        <v>749623</v>
      </c>
      <c r="AM107" t="str" cm="1">
        <f t="array" ref="AM107">_xlfn.IFS(OR(O107="Persoonlijk",O107="Zoon",O107="Dochter"),P107,OR(Q107="Persoonlijk",Q107="Zoon",Q107="Dochter"),R107,OR(S107="Persoonlijk",S107="Zoon",S107="Dochter"),T107,O107="Vader",P107,Q107="Vader",R107,S107="Vader",T107,O107="Moeder",P107,Q107="Moeder",R107,S107="Moeder",T107,TRUE,IF(P107&lt;&gt;"",P107,IF(R107&lt;&gt;"",R107,IF(T107&lt;&gt;"",T107,""))))</f>
        <v/>
      </c>
      <c r="AN107" t="str" cm="1">
        <f t="array" ref="AN107">_xlfn.LET(_xlpm.raw,_xlfn.IFS(OR(U107="Persoonlijk",U107="Zoon",U107="Dochter"),V107,OR(W107="Persoonlijk",W107="Zoon",W107="Dochter"),X107,OR(Y107="Persoonlijk",Y107="Zoon",Y107="Dochter"),Z107,U107="Vader",V107,W107="Vader",X107,Y107="Vader",Z107,U107="Moeder",V107,W107="Moeder",X107,Y107="Moeder",Z107,TRUE,IF(V107&lt;&gt;"",V107,IF(X107&lt;&gt;"",X107,IF(Z107&lt;&gt;"",Z107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+32477081887</v>
      </c>
    </row>
    <row r="108" spans="1:40" x14ac:dyDescent="0.3">
      <c r="A108">
        <v>2182571</v>
      </c>
      <c r="B108" t="s">
        <v>500</v>
      </c>
      <c r="C108" t="s">
        <v>501</v>
      </c>
      <c r="D108" t="s">
        <v>39</v>
      </c>
      <c r="E108" t="s">
        <v>40</v>
      </c>
      <c r="F108" t="s">
        <v>502</v>
      </c>
      <c r="G108" t="s">
        <v>503</v>
      </c>
      <c r="H108">
        <v>31</v>
      </c>
      <c r="AC108" t="s">
        <v>504</v>
      </c>
      <c r="AF108">
        <v>1002182571</v>
      </c>
      <c r="AM108" t="str" cm="1">
        <f t="array" ref="AM108">_xlfn.IFS(OR(O108="Persoonlijk",O108="Zoon",O108="Dochter"),P108,OR(Q108="Persoonlijk",Q108="Zoon",Q108="Dochter"),R108,OR(S108="Persoonlijk",S108="Zoon",S108="Dochter"),T108,O108="Vader",P108,Q108="Vader",R108,S108="Vader",T108,O108="Moeder",P108,Q108="Moeder",R108,S108="Moeder",T108,TRUE,IF(P108&lt;&gt;"",P108,IF(R108&lt;&gt;"",R108,IF(T108&lt;&gt;"",T108,""))))</f>
        <v/>
      </c>
      <c r="AN108" t="str" cm="1">
        <f t="array" ref="AN108">_xlfn.LET(_xlpm.raw,_xlfn.IFS(OR(U108="Persoonlijk",U108="Zoon",U108="Dochter"),V108,OR(W108="Persoonlijk",W108="Zoon",W108="Dochter"),X108,OR(Y108="Persoonlijk",Y108="Zoon",Y108="Dochter"),Z108,U108="Vader",V108,W108="Vader",X108,Y108="Vader",Z108,U108="Moeder",V108,W108="Moeder",X108,Y108="Moeder",Z108,TRUE,IF(V108&lt;&gt;"",V108,IF(X108&lt;&gt;"",X108,IF(Z108&lt;&gt;"",Z108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09" spans="1:40" x14ac:dyDescent="0.3">
      <c r="A109">
        <v>2669951</v>
      </c>
      <c r="B109" t="s">
        <v>505</v>
      </c>
      <c r="C109" t="s">
        <v>506</v>
      </c>
      <c r="D109" t="s">
        <v>39</v>
      </c>
      <c r="E109" t="s">
        <v>40</v>
      </c>
      <c r="F109" t="s">
        <v>507</v>
      </c>
      <c r="V109">
        <v>0</v>
      </c>
      <c r="X109">
        <v>0</v>
      </c>
      <c r="Z109">
        <v>0</v>
      </c>
      <c r="AA109">
        <v>0</v>
      </c>
      <c r="AC109" t="s">
        <v>508</v>
      </c>
      <c r="AE109" t="s">
        <v>509</v>
      </c>
      <c r="AF109">
        <v>1002669951</v>
      </c>
      <c r="AG109">
        <v>26737</v>
      </c>
      <c r="AM109" t="str" cm="1">
        <f t="array" ref="AM109">_xlfn.IFS(OR(O109="Persoonlijk",O109="Zoon",O109="Dochter"),P109,OR(Q109="Persoonlijk",Q109="Zoon",Q109="Dochter"),R109,OR(S109="Persoonlijk",S109="Zoon",S109="Dochter"),T109,O109="Vader",P109,Q109="Vader",R109,S109="Vader",T109,O109="Moeder",P109,Q109="Moeder",R109,S109="Moeder",T109,TRUE,IF(P109&lt;&gt;"",P109,IF(R109&lt;&gt;"",R109,IF(T109&lt;&gt;"",T109,""))))</f>
        <v/>
      </c>
      <c r="AN109" t="str" cm="1">
        <f t="array" ref="AN109">_xlfn.LET(_xlpm.raw,_xlfn.IFS(OR(U109="Persoonlijk",U109="Zoon",U109="Dochter"),V109,OR(W109="Persoonlijk",W109="Zoon",W109="Dochter"),X109,OR(Y109="Persoonlijk",Y109="Zoon",Y109="Dochter"),Z109,U109="Vader",V109,W109="Vader",X109,Y109="Vader",Z109,U109="Moeder",V109,W109="Moeder",X109,Y109="Moeder",Z109,TRUE,IF(V109&lt;&gt;"",V109,IF(X109&lt;&gt;"",X109,IF(Z109&lt;&gt;"",Z109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10" spans="1:40" x14ac:dyDescent="0.3">
      <c r="A110">
        <v>11852341</v>
      </c>
      <c r="B110" t="s">
        <v>510</v>
      </c>
      <c r="C110" t="s">
        <v>511</v>
      </c>
      <c r="D110" t="s">
        <v>39</v>
      </c>
      <c r="E110" t="s">
        <v>40</v>
      </c>
      <c r="F110" t="s">
        <v>512</v>
      </c>
      <c r="G110" t="s">
        <v>513</v>
      </c>
      <c r="H110">
        <v>41</v>
      </c>
      <c r="Q110" t="s">
        <v>51</v>
      </c>
      <c r="R110" t="s">
        <v>514</v>
      </c>
      <c r="S110" t="s">
        <v>46</v>
      </c>
      <c r="T110" t="s">
        <v>515</v>
      </c>
      <c r="U110" t="s">
        <v>46</v>
      </c>
      <c r="V110" t="s">
        <v>516</v>
      </c>
      <c r="AC110" t="s">
        <v>517</v>
      </c>
      <c r="AF110">
        <v>1011852341</v>
      </c>
      <c r="AG110">
        <v>724313</v>
      </c>
      <c r="AJ110" t="s">
        <v>179</v>
      </c>
      <c r="AK110" t="s">
        <v>61</v>
      </c>
      <c r="AM110" t="str" cm="1">
        <f t="array" ref="AM110">_xlfn.IFS(OR(O110="Persoonlijk",O110="Zoon",O110="Dochter"),P110,OR(Q110="Persoonlijk",Q110="Zoon",Q110="Dochter"),R110,OR(S110="Persoonlijk",S110="Zoon",S110="Dochter"),T110,O110="Vader",P110,Q110="Vader",R110,S110="Vader",T110,O110="Moeder",P110,Q110="Moeder",R110,S110="Moeder",T110,TRUE,IF(P110&lt;&gt;"",P110,IF(R110&lt;&gt;"",R110,IF(T110&lt;&gt;"",T110,""))))</f>
        <v>luka.coryn@gmail.com</v>
      </c>
      <c r="AN110" t="str" cm="1">
        <f t="array" ref="AN110">_xlfn.LET(_xlpm.raw,_xlfn.IFS(OR(U110="Persoonlijk",U110="Zoon",U110="Dochter"),V110,OR(W110="Persoonlijk",W110="Zoon",W110="Dochter"),X110,OR(Y110="Persoonlijk",Y110="Zoon",Y110="Dochter"),Z110,U110="Vader",V110,W110="Vader",X110,Y110="Vader",Z110,U110="Moeder",V110,W110="Moeder",X110,Y110="Moeder",Z110,TRUE,IF(V110&lt;&gt;"",V110,IF(X110&lt;&gt;"",X110,IF(Z110&lt;&gt;"",Z110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+32471737015</v>
      </c>
    </row>
    <row r="111" spans="1:40" x14ac:dyDescent="0.3">
      <c r="A111">
        <v>4523737</v>
      </c>
      <c r="B111" t="s">
        <v>518</v>
      </c>
      <c r="C111" t="s">
        <v>519</v>
      </c>
      <c r="D111" t="s">
        <v>39</v>
      </c>
      <c r="E111" t="s">
        <v>49</v>
      </c>
      <c r="F111" t="s">
        <v>520</v>
      </c>
      <c r="G111" t="s">
        <v>167</v>
      </c>
      <c r="H111">
        <v>73</v>
      </c>
      <c r="V111" t="s">
        <v>521</v>
      </c>
      <c r="AF111">
        <v>1004523737</v>
      </c>
      <c r="AM111" t="str" cm="1">
        <f t="array" ref="AM111">_xlfn.IFS(OR(O111="Persoonlijk",O111="Zoon",O111="Dochter"),P111,OR(Q111="Persoonlijk",Q111="Zoon",Q111="Dochter"),R111,OR(S111="Persoonlijk",S111="Zoon",S111="Dochter"),T111,O111="Vader",P111,Q111="Vader",R111,S111="Vader",T111,O111="Moeder",P111,Q111="Moeder",R111,S111="Moeder",T111,TRUE,IF(P111&lt;&gt;"",P111,IF(R111&lt;&gt;"",R111,IF(T111&lt;&gt;"",T111,""))))</f>
        <v/>
      </c>
      <c r="AN111" t="str" cm="1">
        <f t="array" ref="AN111">_xlfn.LET(_xlpm.raw,_xlfn.IFS(OR(U111="Persoonlijk",U111="Zoon",U111="Dochter"),V111,OR(W111="Persoonlijk",W111="Zoon",W111="Dochter"),X111,OR(Y111="Persoonlijk",Y111="Zoon",Y111="Dochter"),Z111,U111="Vader",V111,W111="Vader",X111,Y111="Vader",Z111,U111="Moeder",V111,W111="Moeder",X111,Y111="Moeder",Z111,TRUE,IF(V111&lt;&gt;"",V111,IF(X111&lt;&gt;"",X111,IF(Z111&lt;&gt;"",Z111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+32494445513</v>
      </c>
    </row>
    <row r="112" spans="1:40" x14ac:dyDescent="0.3">
      <c r="A112">
        <v>2182576</v>
      </c>
      <c r="B112" t="s">
        <v>518</v>
      </c>
      <c r="C112" t="s">
        <v>522</v>
      </c>
      <c r="D112" t="s">
        <v>39</v>
      </c>
      <c r="E112" t="s">
        <v>40</v>
      </c>
      <c r="F112" t="s">
        <v>523</v>
      </c>
      <c r="G112" t="s">
        <v>524</v>
      </c>
      <c r="H112">
        <v>54</v>
      </c>
      <c r="AC112" t="s">
        <v>525</v>
      </c>
      <c r="AF112">
        <v>1002182576</v>
      </c>
      <c r="AM112" t="str" cm="1">
        <f t="array" ref="AM112">_xlfn.IFS(OR(O112="Persoonlijk",O112="Zoon",O112="Dochter"),P112,OR(Q112="Persoonlijk",Q112="Zoon",Q112="Dochter"),R112,OR(S112="Persoonlijk",S112="Zoon",S112="Dochter"),T112,O112="Vader",P112,Q112="Vader",R112,S112="Vader",T112,O112="Moeder",P112,Q112="Moeder",R112,S112="Moeder",T112,TRUE,IF(P112&lt;&gt;"",P112,IF(R112&lt;&gt;"",R112,IF(T112&lt;&gt;"",T112,""))))</f>
        <v/>
      </c>
      <c r="AN112" t="str" cm="1">
        <f t="array" ref="AN112">_xlfn.LET(_xlpm.raw,_xlfn.IFS(OR(U112="Persoonlijk",U112="Zoon",U112="Dochter"),V112,OR(W112="Persoonlijk",W112="Zoon",W112="Dochter"),X112,OR(Y112="Persoonlijk",Y112="Zoon",Y112="Dochter"),Z112,U112="Vader",V112,W112="Vader",X112,Y112="Vader",Z112,U112="Moeder",V112,W112="Moeder",X112,Y112="Moeder",Z112,TRUE,IF(V112&lt;&gt;"",V112,IF(X112&lt;&gt;"",X112,IF(Z112&lt;&gt;"",Z112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13" spans="1:40" x14ac:dyDescent="0.3">
      <c r="A113">
        <v>3472564</v>
      </c>
      <c r="B113" t="s">
        <v>518</v>
      </c>
      <c r="C113" t="s">
        <v>526</v>
      </c>
      <c r="D113" t="s">
        <v>39</v>
      </c>
      <c r="E113" t="s">
        <v>49</v>
      </c>
      <c r="F113" t="s">
        <v>527</v>
      </c>
      <c r="G113" t="s">
        <v>167</v>
      </c>
      <c r="H113">
        <v>73</v>
      </c>
      <c r="U113" t="s">
        <v>53</v>
      </c>
      <c r="V113">
        <v>320494445513</v>
      </c>
      <c r="X113">
        <v>0</v>
      </c>
      <c r="Z113">
        <v>0</v>
      </c>
      <c r="AA113">
        <v>0</v>
      </c>
      <c r="AF113">
        <v>1003472564</v>
      </c>
      <c r="AM113" t="str" cm="1">
        <f t="array" ref="AM113">_xlfn.IFS(OR(O113="Persoonlijk",O113="Zoon",O113="Dochter"),P113,OR(Q113="Persoonlijk",Q113="Zoon",Q113="Dochter"),R113,OR(S113="Persoonlijk",S113="Zoon",S113="Dochter"),T113,O113="Vader",P113,Q113="Vader",R113,S113="Vader",T113,O113="Moeder",P113,Q113="Moeder",R113,S113="Moeder",T113,TRUE,IF(P113&lt;&gt;"",P113,IF(R113&lt;&gt;"",R113,IF(T113&lt;&gt;"",T113,""))))</f>
        <v/>
      </c>
      <c r="AN113" t="str" cm="1">
        <f t="array" ref="AN113">_xlfn.LET(_xlpm.raw,_xlfn.IFS(OR(U113="Persoonlijk",U113="Zoon",U113="Dochter"),V113,OR(W113="Persoonlijk",W113="Zoon",W113="Dochter"),X113,OR(Y113="Persoonlijk",Y113="Zoon",Y113="Dochter"),Z113,U113="Vader",V113,W113="Vader",X113,Y113="Vader",Z113,U113="Moeder",V113,W113="Moeder",X113,Y113="Moeder",Z113,TRUE,IF(V113&lt;&gt;"",V113,IF(X113&lt;&gt;"",X113,IF(Z113&lt;&gt;"",Z113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+32494445513</v>
      </c>
    </row>
    <row r="114" spans="1:40" x14ac:dyDescent="0.3">
      <c r="A114">
        <v>11970927</v>
      </c>
      <c r="B114" t="s">
        <v>528</v>
      </c>
      <c r="C114" t="s">
        <v>529</v>
      </c>
      <c r="D114" t="s">
        <v>39</v>
      </c>
      <c r="E114" t="s">
        <v>40</v>
      </c>
      <c r="G114" t="s">
        <v>530</v>
      </c>
      <c r="H114">
        <v>51</v>
      </c>
      <c r="Q114" t="s">
        <v>51</v>
      </c>
      <c r="U114" t="s">
        <v>46</v>
      </c>
      <c r="V114" t="s">
        <v>532</v>
      </c>
      <c r="X114">
        <v>0</v>
      </c>
      <c r="Z114">
        <v>0</v>
      </c>
      <c r="AA114">
        <v>0</v>
      </c>
      <c r="AF114">
        <v>1011970927</v>
      </c>
      <c r="AM114" cm="1">
        <f t="array" ref="AM114">_xlfn.IFS(OR(O114="Persoonlijk",O114="Zoon",O114="Dochter"),P114,OR(Q114="Persoonlijk",Q114="Zoon",Q114="Dochter"),R114,OR(S114="Persoonlijk",S114="Zoon",S114="Dochter"),T114,O114="Vader",P114,Q114="Vader",R114,S114="Vader",T114,O114="Moeder",P114,Q114="Moeder",R114,S114="Moeder",T114,TRUE,IF(P114&lt;&gt;"",P114,IF(R114&lt;&gt;"",R114,IF(T114&lt;&gt;"",T114,""))))</f>
        <v>0</v>
      </c>
      <c r="AN114" t="str" cm="1">
        <f t="array" ref="AN114">_xlfn.LET(_xlpm.raw,_xlfn.IFS(OR(U114="Persoonlijk",U114="Zoon",U114="Dochter"),V114,OR(W114="Persoonlijk",W114="Zoon",W114="Dochter"),X114,OR(Y114="Persoonlijk",Y114="Zoon",Y114="Dochter"),Z114,U114="Vader",V114,W114="Vader",X114,Y114="Vader",Z114,U114="Moeder",V114,W114="Moeder",X114,Y114="Moeder",Z114,TRUE,IF(V114&lt;&gt;"",V114,IF(X114&lt;&gt;"",X114,IF(Z114&lt;&gt;"",Z114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+32497249349</v>
      </c>
    </row>
    <row r="115" spans="1:40" x14ac:dyDescent="0.3">
      <c r="A115">
        <v>2182581</v>
      </c>
      <c r="B115" t="s">
        <v>528</v>
      </c>
      <c r="C115" t="s">
        <v>533</v>
      </c>
      <c r="D115" t="s">
        <v>39</v>
      </c>
      <c r="E115" t="s">
        <v>40</v>
      </c>
      <c r="F115" t="s">
        <v>534</v>
      </c>
      <c r="G115" t="s">
        <v>535</v>
      </c>
      <c r="H115">
        <v>76</v>
      </c>
      <c r="V115">
        <v>496211659</v>
      </c>
      <c r="AC115" t="s">
        <v>536</v>
      </c>
      <c r="AF115">
        <v>1002182581</v>
      </c>
      <c r="AG115">
        <v>734418</v>
      </c>
      <c r="AJ115" t="s">
        <v>83</v>
      </c>
      <c r="AK115" t="s">
        <v>61</v>
      </c>
      <c r="AM115" t="str" cm="1">
        <f t="array" ref="AM115">_xlfn.IFS(OR(O115="Persoonlijk",O115="Zoon",O115="Dochter"),P115,OR(Q115="Persoonlijk",Q115="Zoon",Q115="Dochter"),R115,OR(S115="Persoonlijk",S115="Zoon",S115="Dochter"),T115,O115="Vader",P115,Q115="Vader",R115,S115="Vader",T115,O115="Moeder",P115,Q115="Moeder",R115,S115="Moeder",T115,TRUE,IF(P115&lt;&gt;"",P115,IF(R115&lt;&gt;"",R115,IF(T115&lt;&gt;"",T115,""))))</f>
        <v/>
      </c>
      <c r="AN115" t="str" cm="1">
        <f t="array" ref="AN115">_xlfn.LET(_xlpm.raw,_xlfn.IFS(OR(U115="Persoonlijk",U115="Zoon",U115="Dochter"),V115,OR(W115="Persoonlijk",W115="Zoon",W115="Dochter"),X115,OR(Y115="Persoonlijk",Y115="Zoon",Y115="Dochter"),Z115,U115="Vader",V115,W115="Vader",X115,Y115="Vader",Z115,U115="Moeder",V115,W115="Moeder",X115,Y115="Moeder",Z115,TRUE,IF(V115&lt;&gt;"",V115,IF(X115&lt;&gt;"",X115,IF(Z115&lt;&gt;"",Z115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+32496211659</v>
      </c>
    </row>
    <row r="116" spans="1:40" x14ac:dyDescent="0.3">
      <c r="A116">
        <v>11852355</v>
      </c>
      <c r="B116" t="s">
        <v>528</v>
      </c>
      <c r="C116" t="s">
        <v>537</v>
      </c>
      <c r="D116" t="s">
        <v>39</v>
      </c>
      <c r="E116" t="s">
        <v>40</v>
      </c>
      <c r="F116" t="s">
        <v>538</v>
      </c>
      <c r="G116" t="s">
        <v>530</v>
      </c>
      <c r="H116">
        <v>51</v>
      </c>
      <c r="Q116" t="s">
        <v>51</v>
      </c>
      <c r="R116" t="s">
        <v>531</v>
      </c>
      <c r="U116" t="s">
        <v>46</v>
      </c>
      <c r="V116" t="s">
        <v>539</v>
      </c>
      <c r="W116" t="s">
        <v>53</v>
      </c>
      <c r="X116" t="s">
        <v>540</v>
      </c>
      <c r="AF116">
        <v>1011852355</v>
      </c>
      <c r="AG116">
        <v>737982</v>
      </c>
      <c r="AJ116" t="s">
        <v>179</v>
      </c>
      <c r="AK116" t="s">
        <v>61</v>
      </c>
      <c r="AM116" t="str" cm="1">
        <f t="array" ref="AM116">_xlfn.IFS(OR(O116="Persoonlijk",O116="Zoon",O116="Dochter"),P116,OR(Q116="Persoonlijk",Q116="Zoon",Q116="Dochter"),R116,OR(S116="Persoonlijk",S116="Zoon",S116="Dochter"),T116,O116="Vader",P116,Q116="Vader",R116,S116="Vader",T116,O116="Moeder",P116,Q116="Moeder",R116,S116="Moeder",T116,TRUE,IF(P116&lt;&gt;"",P116,IF(R116&lt;&gt;"",R116,IF(T116&lt;&gt;"",T116,""))))</f>
        <v>david@credelec.be</v>
      </c>
      <c r="AN116" t="str" cm="1">
        <f t="array" ref="AN116">_xlfn.LET(_xlpm.raw,_xlfn.IFS(OR(U116="Persoonlijk",U116="Zoon",U116="Dochter"),V116,OR(W116="Persoonlijk",W116="Zoon",W116="Dochter"),X116,OR(Y116="Persoonlijk",Y116="Zoon",Y116="Dochter"),Z116,U116="Vader",V116,W116="Vader",X116,Y116="Vader",Z116,U116="Moeder",V116,W116="Moeder",X116,Y116="Moeder",Z116,TRUE,IF(V116&lt;&gt;"",V116,IF(X116&lt;&gt;"",X116,IF(Z116&lt;&gt;"",Z116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+32470535338</v>
      </c>
    </row>
    <row r="117" spans="1:40" x14ac:dyDescent="0.3">
      <c r="A117">
        <v>7501921</v>
      </c>
      <c r="B117" t="s">
        <v>541</v>
      </c>
      <c r="C117" t="s">
        <v>542</v>
      </c>
      <c r="D117" t="s">
        <v>39</v>
      </c>
      <c r="E117" t="s">
        <v>40</v>
      </c>
      <c r="F117" t="s">
        <v>543</v>
      </c>
      <c r="G117" t="s">
        <v>544</v>
      </c>
      <c r="H117" t="s">
        <v>545</v>
      </c>
      <c r="U117" t="s">
        <v>53</v>
      </c>
      <c r="V117" t="s">
        <v>546</v>
      </c>
      <c r="AE117" t="s">
        <v>547</v>
      </c>
      <c r="AF117">
        <v>1007501921</v>
      </c>
      <c r="AJ117" t="s">
        <v>131</v>
      </c>
      <c r="AK117" t="s">
        <v>61</v>
      </c>
      <c r="AM117" t="str" cm="1">
        <f t="array" ref="AM117">_xlfn.IFS(OR(O117="Persoonlijk",O117="Zoon",O117="Dochter"),P117,OR(Q117="Persoonlijk",Q117="Zoon",Q117="Dochter"),R117,OR(S117="Persoonlijk",S117="Zoon",S117="Dochter"),T117,O117="Vader",P117,Q117="Vader",R117,S117="Vader",T117,O117="Moeder",P117,Q117="Moeder",R117,S117="Moeder",T117,TRUE,IF(P117&lt;&gt;"",P117,IF(R117&lt;&gt;"",R117,IF(T117&lt;&gt;"",T117,""))))</f>
        <v/>
      </c>
      <c r="AN117" t="str" cm="1">
        <f t="array" ref="AN117">_xlfn.LET(_xlpm.raw,_xlfn.IFS(OR(U117="Persoonlijk",U117="Zoon",U117="Dochter"),V117,OR(W117="Persoonlijk",W117="Zoon",W117="Dochter"),X117,OR(Y117="Persoonlijk",Y117="Zoon",Y117="Dochter"),Z117,U117="Vader",V117,W117="Vader",X117,Y117="Vader",Z117,U117="Moeder",V117,W117="Moeder",X117,Y117="Moeder",Z117,TRUE,IF(V117&lt;&gt;"",V117,IF(X117&lt;&gt;"",X117,IF(Z117&lt;&gt;"",Z117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+32478792675</v>
      </c>
    </row>
    <row r="118" spans="1:40" x14ac:dyDescent="0.3">
      <c r="A118">
        <v>11917016</v>
      </c>
      <c r="B118" t="s">
        <v>541</v>
      </c>
      <c r="C118" t="s">
        <v>548</v>
      </c>
      <c r="D118" t="s">
        <v>39</v>
      </c>
      <c r="E118" t="s">
        <v>49</v>
      </c>
      <c r="F118" t="s">
        <v>549</v>
      </c>
      <c r="G118" t="s">
        <v>544</v>
      </c>
      <c r="H118" t="s">
        <v>545</v>
      </c>
      <c r="Q118" t="s">
        <v>51</v>
      </c>
      <c r="R118" t="s">
        <v>550</v>
      </c>
      <c r="U118" t="s">
        <v>53</v>
      </c>
      <c r="V118" t="s">
        <v>551</v>
      </c>
      <c r="W118" t="s">
        <v>51</v>
      </c>
      <c r="X118" t="s">
        <v>552</v>
      </c>
      <c r="Z118">
        <v>0</v>
      </c>
      <c r="AA118">
        <v>0</v>
      </c>
      <c r="AF118">
        <v>1011917016</v>
      </c>
      <c r="AJ118" t="s">
        <v>127</v>
      </c>
      <c r="AK118" t="s">
        <v>61</v>
      </c>
      <c r="AM118" t="str" cm="1">
        <f t="array" ref="AM118">_xlfn.IFS(OR(O118="Persoonlijk",O118="Zoon",O118="Dochter"),P118,OR(Q118="Persoonlijk",Q118="Zoon",Q118="Dochter"),R118,OR(S118="Persoonlijk",S118="Zoon",S118="Dochter"),T118,O118="Vader",P118,Q118="Vader",R118,S118="Vader",T118,O118="Moeder",P118,Q118="Moeder",R118,S118="Moeder",T118,TRUE,IF(P118&lt;&gt;"",P118,IF(R118&lt;&gt;"",R118,IF(T118&lt;&gt;"",T118,""))))</f>
        <v>Tom.crombez@gmail.com</v>
      </c>
      <c r="AN118" t="str" cm="1">
        <f t="array" ref="AN118">_xlfn.LET(_xlpm.raw,_xlfn.IFS(OR(U118="Persoonlijk",U118="Zoon",U118="Dochter"),V118,OR(W118="Persoonlijk",W118="Zoon",W118="Dochter"),X118,OR(Y118="Persoonlijk",Y118="Zoon",Y118="Dochter"),Z118,U118="Vader",V118,W118="Vader",X118,Y118="Vader",Z118,U118="Moeder",V118,W118="Moeder",X118,Y118="Moeder",Z118,TRUE,IF(V118&lt;&gt;"",V118,IF(X118&lt;&gt;"",X118,IF(Z118&lt;&gt;"",Z118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+32474828659</v>
      </c>
    </row>
    <row r="119" spans="1:40" x14ac:dyDescent="0.3">
      <c r="A119">
        <v>8483037</v>
      </c>
      <c r="B119" t="s">
        <v>541</v>
      </c>
      <c r="C119" t="s">
        <v>553</v>
      </c>
      <c r="D119" t="s">
        <v>39</v>
      </c>
      <c r="E119" t="s">
        <v>40</v>
      </c>
      <c r="F119" t="s">
        <v>554</v>
      </c>
      <c r="G119" t="s">
        <v>555</v>
      </c>
      <c r="H119">
        <v>21</v>
      </c>
      <c r="U119" t="s">
        <v>51</v>
      </c>
      <c r="V119" t="s">
        <v>556</v>
      </c>
      <c r="AA119" t="s">
        <v>556</v>
      </c>
      <c r="AF119">
        <v>1008483037</v>
      </c>
      <c r="AM119" t="str" cm="1">
        <f t="array" ref="AM119">_xlfn.IFS(OR(O119="Persoonlijk",O119="Zoon",O119="Dochter"),P119,OR(Q119="Persoonlijk",Q119="Zoon",Q119="Dochter"),R119,OR(S119="Persoonlijk",S119="Zoon",S119="Dochter"),T119,O119="Vader",P119,Q119="Vader",R119,S119="Vader",T119,O119="Moeder",P119,Q119="Moeder",R119,S119="Moeder",T119,TRUE,IF(P119&lt;&gt;"",P119,IF(R119&lt;&gt;"",R119,IF(T119&lt;&gt;"",T119,""))))</f>
        <v/>
      </c>
      <c r="AN119" t="str" cm="1">
        <f t="array" ref="AN119">_xlfn.LET(_xlpm.raw,_xlfn.IFS(OR(U119="Persoonlijk",U119="Zoon",U119="Dochter"),V119,OR(W119="Persoonlijk",W119="Zoon",W119="Dochter"),X119,OR(Y119="Persoonlijk",Y119="Zoon",Y119="Dochter"),Z119,U119="Vader",V119,W119="Vader",X119,Y119="Vader",Z119,U119="Moeder",V119,W119="Moeder",X119,Y119="Moeder",Z119,TRUE,IF(V119&lt;&gt;"",V119,IF(X119&lt;&gt;"",X119,IF(Z119&lt;&gt;"",Z119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+32474828659</v>
      </c>
    </row>
    <row r="120" spans="1:40" x14ac:dyDescent="0.3">
      <c r="A120">
        <v>9500028</v>
      </c>
      <c r="B120" t="s">
        <v>557</v>
      </c>
      <c r="C120" t="s">
        <v>558</v>
      </c>
      <c r="D120" t="s">
        <v>39</v>
      </c>
      <c r="E120" t="s">
        <v>40</v>
      </c>
      <c r="F120" t="s">
        <v>559</v>
      </c>
      <c r="G120" t="s">
        <v>560</v>
      </c>
      <c r="H120">
        <v>31</v>
      </c>
      <c r="V120">
        <v>0</v>
      </c>
      <c r="X120">
        <v>0</v>
      </c>
      <c r="Z120">
        <v>0</v>
      </c>
      <c r="AA120">
        <v>0</v>
      </c>
      <c r="AF120">
        <v>1009500028</v>
      </c>
      <c r="AG120">
        <v>715872</v>
      </c>
      <c r="AJ120" t="s">
        <v>121</v>
      </c>
      <c r="AK120" t="s">
        <v>61</v>
      </c>
      <c r="AM120" t="str" cm="1">
        <f t="array" ref="AM120">_xlfn.IFS(OR(O120="Persoonlijk",O120="Zoon",O120="Dochter"),P120,OR(Q120="Persoonlijk",Q120="Zoon",Q120="Dochter"),R120,OR(S120="Persoonlijk",S120="Zoon",S120="Dochter"),T120,O120="Vader",P120,Q120="Vader",R120,S120="Vader",T120,O120="Moeder",P120,Q120="Moeder",R120,S120="Moeder",T120,TRUE,IF(P120&lt;&gt;"",P120,IF(R120&lt;&gt;"",R120,IF(T120&lt;&gt;"",T120,""))))</f>
        <v/>
      </c>
      <c r="AN120" t="str" cm="1">
        <f t="array" ref="AN120">_xlfn.LET(_xlpm.raw,_xlfn.IFS(OR(U120="Persoonlijk",U120="Zoon",U120="Dochter"),V120,OR(W120="Persoonlijk",W120="Zoon",W120="Dochter"),X120,OR(Y120="Persoonlijk",Y120="Zoon",Y120="Dochter"),Z120,U120="Vader",V120,W120="Vader",X120,Y120="Vader",Z120,U120="Moeder",V120,W120="Moeder",X120,Y120="Moeder",Z120,TRUE,IF(V120&lt;&gt;"",V120,IF(X120&lt;&gt;"",X120,IF(Z120&lt;&gt;"",Z120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21" spans="1:40" x14ac:dyDescent="0.3">
      <c r="A121">
        <v>7663421</v>
      </c>
      <c r="B121" t="s">
        <v>561</v>
      </c>
      <c r="C121" t="s">
        <v>562</v>
      </c>
      <c r="D121" t="s">
        <v>39</v>
      </c>
      <c r="E121" t="s">
        <v>40</v>
      </c>
      <c r="F121" t="s">
        <v>563</v>
      </c>
      <c r="G121" t="s">
        <v>564</v>
      </c>
      <c r="H121">
        <v>12</v>
      </c>
      <c r="Q121" t="s">
        <v>53</v>
      </c>
      <c r="R121" t="s">
        <v>565</v>
      </c>
      <c r="U121" t="s">
        <v>51</v>
      </c>
      <c r="V121" t="s">
        <v>566</v>
      </c>
      <c r="W121" t="s">
        <v>53</v>
      </c>
      <c r="X121" t="s">
        <v>567</v>
      </c>
      <c r="AC121" t="s">
        <v>568</v>
      </c>
      <c r="AF121">
        <v>1007663421</v>
      </c>
      <c r="AM121" t="str" cm="1">
        <f t="array" ref="AM121">_xlfn.IFS(OR(O121="Persoonlijk",O121="Zoon",O121="Dochter"),P121,OR(Q121="Persoonlijk",Q121="Zoon",Q121="Dochter"),R121,OR(S121="Persoonlijk",S121="Zoon",S121="Dochter"),T121,O121="Vader",P121,Q121="Vader",R121,S121="Vader",T121,O121="Moeder",P121,Q121="Moeder",R121,S121="Moeder",T121,TRUE,IF(P121&lt;&gt;"",P121,IF(R121&lt;&gt;"",R121,IF(T121&lt;&gt;"",T121,""))))</f>
        <v>hanne.platteeuw@gmail.com</v>
      </c>
      <c r="AN121" t="str" cm="1">
        <f t="array" ref="AN121">_xlfn.LET(_xlpm.raw,_xlfn.IFS(OR(U121="Persoonlijk",U121="Zoon",U121="Dochter"),V121,OR(W121="Persoonlijk",W121="Zoon",W121="Dochter"),X121,OR(Y121="Persoonlijk",Y121="Zoon",Y121="Dochter"),Z121,U121="Vader",V121,W121="Vader",X121,Y121="Vader",Z121,U121="Moeder",V121,W121="Moeder",X121,Y121="Moeder",Z121,TRUE,IF(V121&lt;&gt;"",V121,IF(X121&lt;&gt;"",X121,IF(Z121&lt;&gt;"",Z121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+32477254581</v>
      </c>
    </row>
    <row r="122" spans="1:40" x14ac:dyDescent="0.3">
      <c r="A122">
        <v>6125991</v>
      </c>
      <c r="B122" t="s">
        <v>569</v>
      </c>
      <c r="C122" t="s">
        <v>570</v>
      </c>
      <c r="D122" t="s">
        <v>39</v>
      </c>
      <c r="E122" t="s">
        <v>40</v>
      </c>
      <c r="F122" t="s">
        <v>571</v>
      </c>
      <c r="G122" t="s">
        <v>572</v>
      </c>
      <c r="H122">
        <v>22</v>
      </c>
      <c r="AC122" t="s">
        <v>573</v>
      </c>
      <c r="AF122">
        <v>1006125991</v>
      </c>
      <c r="AJ122" t="s">
        <v>286</v>
      </c>
      <c r="AK122" t="s">
        <v>61</v>
      </c>
      <c r="AM122" t="str" cm="1">
        <f t="array" ref="AM122">_xlfn.IFS(OR(O122="Persoonlijk",O122="Zoon",O122="Dochter"),P122,OR(Q122="Persoonlijk",Q122="Zoon",Q122="Dochter"),R122,OR(S122="Persoonlijk",S122="Zoon",S122="Dochter"),T122,O122="Vader",P122,Q122="Vader",R122,S122="Vader",T122,O122="Moeder",P122,Q122="Moeder",R122,S122="Moeder",T122,TRUE,IF(P122&lt;&gt;"",P122,IF(R122&lt;&gt;"",R122,IF(T122&lt;&gt;"",T122,""))))</f>
        <v/>
      </c>
      <c r="AN122" t="str" cm="1">
        <f t="array" ref="AN122">_xlfn.LET(_xlpm.raw,_xlfn.IFS(OR(U122="Persoonlijk",U122="Zoon",U122="Dochter"),V122,OR(W122="Persoonlijk",W122="Zoon",W122="Dochter"),X122,OR(Y122="Persoonlijk",Y122="Zoon",Y122="Dochter"),Z122,U122="Vader",V122,W122="Vader",X122,Y122="Vader",Z122,U122="Moeder",V122,W122="Moeder",X122,Y122="Moeder",Z122,TRUE,IF(V122&lt;&gt;"",V122,IF(X122&lt;&gt;"",X122,IF(Z122&lt;&gt;"",Z122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23" spans="1:40" x14ac:dyDescent="0.3">
      <c r="A123">
        <v>6125991</v>
      </c>
      <c r="B123" t="s">
        <v>569</v>
      </c>
      <c r="C123" t="s">
        <v>570</v>
      </c>
      <c r="D123" t="s">
        <v>39</v>
      </c>
      <c r="E123" t="s">
        <v>40</v>
      </c>
      <c r="F123" t="s">
        <v>571</v>
      </c>
      <c r="G123" t="s">
        <v>572</v>
      </c>
      <c r="H123">
        <v>22</v>
      </c>
      <c r="AC123" t="s">
        <v>573</v>
      </c>
      <c r="AF123">
        <v>1006125991</v>
      </c>
      <c r="AJ123" t="s">
        <v>63</v>
      </c>
      <c r="AK123" t="s">
        <v>61</v>
      </c>
      <c r="AM123" t="str" cm="1">
        <f t="array" ref="AM123">_xlfn.IFS(OR(O123="Persoonlijk",O123="Zoon",O123="Dochter"),P123,OR(Q123="Persoonlijk",Q123="Zoon",Q123="Dochter"),R123,OR(S123="Persoonlijk",S123="Zoon",S123="Dochter"),T123,O123="Vader",P123,Q123="Vader",R123,S123="Vader",T123,O123="Moeder",P123,Q123="Moeder",R123,S123="Moeder",T123,TRUE,IF(P123&lt;&gt;"",P123,IF(R123&lt;&gt;"",R123,IF(T123&lt;&gt;"",T123,""))))</f>
        <v/>
      </c>
      <c r="AN123" t="str" cm="1">
        <f t="array" ref="AN123">_xlfn.LET(_xlpm.raw,_xlfn.IFS(OR(U123="Persoonlijk",U123="Zoon",U123="Dochter"),V123,OR(W123="Persoonlijk",W123="Zoon",W123="Dochter"),X123,OR(Y123="Persoonlijk",Y123="Zoon",Y123="Dochter"),Z123,U123="Vader",V123,W123="Vader",X123,Y123="Vader",Z123,U123="Moeder",V123,W123="Moeder",X123,Y123="Moeder",Z123,TRUE,IF(V123&lt;&gt;"",V123,IF(X123&lt;&gt;"",X123,IF(Z123&lt;&gt;"",Z123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24" spans="1:40" x14ac:dyDescent="0.3">
      <c r="A124">
        <v>6125991</v>
      </c>
      <c r="B124" t="s">
        <v>569</v>
      </c>
      <c r="C124" t="s">
        <v>570</v>
      </c>
      <c r="D124" t="s">
        <v>39</v>
      </c>
      <c r="E124" t="s">
        <v>40</v>
      </c>
      <c r="F124" t="s">
        <v>571</v>
      </c>
      <c r="G124" t="s">
        <v>572</v>
      </c>
      <c r="H124">
        <v>22</v>
      </c>
      <c r="AC124" t="s">
        <v>573</v>
      </c>
      <c r="AF124">
        <v>1006125991</v>
      </c>
      <c r="AJ124" t="s">
        <v>180</v>
      </c>
      <c r="AK124" t="s">
        <v>61</v>
      </c>
      <c r="AM124" t="str" cm="1">
        <f t="array" ref="AM124">_xlfn.IFS(OR(O124="Persoonlijk",O124="Zoon",O124="Dochter"),P124,OR(Q124="Persoonlijk",Q124="Zoon",Q124="Dochter"),R124,OR(S124="Persoonlijk",S124="Zoon",S124="Dochter"),T124,O124="Vader",P124,Q124="Vader",R124,S124="Vader",T124,O124="Moeder",P124,Q124="Moeder",R124,S124="Moeder",T124,TRUE,IF(P124&lt;&gt;"",P124,IF(R124&lt;&gt;"",R124,IF(T124&lt;&gt;"",T124,""))))</f>
        <v/>
      </c>
      <c r="AN124" t="str" cm="1">
        <f t="array" ref="AN124">_xlfn.LET(_xlpm.raw,_xlfn.IFS(OR(U124="Persoonlijk",U124="Zoon",U124="Dochter"),V124,OR(W124="Persoonlijk",W124="Zoon",W124="Dochter"),X124,OR(Y124="Persoonlijk",Y124="Zoon",Y124="Dochter"),Z124,U124="Vader",V124,W124="Vader",X124,Y124="Vader",Z124,U124="Moeder",V124,W124="Moeder",X124,Y124="Moeder",Z124,TRUE,IF(V124&lt;&gt;"",V124,IF(X124&lt;&gt;"",X124,IF(Z124&lt;&gt;"",Z124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25" spans="1:40" x14ac:dyDescent="0.3">
      <c r="A125">
        <v>9522520</v>
      </c>
      <c r="B125" t="s">
        <v>569</v>
      </c>
      <c r="C125" t="s">
        <v>574</v>
      </c>
      <c r="D125" t="s">
        <v>39</v>
      </c>
      <c r="E125" t="s">
        <v>40</v>
      </c>
      <c r="F125" t="s">
        <v>575</v>
      </c>
      <c r="G125" t="s">
        <v>572</v>
      </c>
      <c r="H125">
        <v>22</v>
      </c>
      <c r="AF125">
        <v>1009522520</v>
      </c>
      <c r="AJ125" t="s">
        <v>286</v>
      </c>
      <c r="AK125" t="s">
        <v>61</v>
      </c>
      <c r="AM125" t="str" cm="1">
        <f t="array" ref="AM125">_xlfn.IFS(OR(O125="Persoonlijk",O125="Zoon",O125="Dochter"),P125,OR(Q125="Persoonlijk",Q125="Zoon",Q125="Dochter"),R125,OR(S125="Persoonlijk",S125="Zoon",S125="Dochter"),T125,O125="Vader",P125,Q125="Vader",R125,S125="Vader",T125,O125="Moeder",P125,Q125="Moeder",R125,S125="Moeder",T125,TRUE,IF(P125&lt;&gt;"",P125,IF(R125&lt;&gt;"",R125,IF(T125&lt;&gt;"",T125,""))))</f>
        <v/>
      </c>
      <c r="AN125" t="str" cm="1">
        <f t="array" ref="AN125">_xlfn.LET(_xlpm.raw,_xlfn.IFS(OR(U125="Persoonlijk",U125="Zoon",U125="Dochter"),V125,OR(W125="Persoonlijk",W125="Zoon",W125="Dochter"),X125,OR(Y125="Persoonlijk",Y125="Zoon",Y125="Dochter"),Z125,U125="Vader",V125,W125="Vader",X125,Y125="Vader",Z125,U125="Moeder",V125,W125="Moeder",X125,Y125="Moeder",Z125,TRUE,IF(V125&lt;&gt;"",V125,IF(X125&lt;&gt;"",X125,IF(Z125&lt;&gt;"",Z125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26" spans="1:40" x14ac:dyDescent="0.3">
      <c r="A126">
        <v>9522520</v>
      </c>
      <c r="B126" t="s">
        <v>569</v>
      </c>
      <c r="C126" t="s">
        <v>574</v>
      </c>
      <c r="D126" t="s">
        <v>39</v>
      </c>
      <c r="E126" t="s">
        <v>40</v>
      </c>
      <c r="F126" t="s">
        <v>575</v>
      </c>
      <c r="G126" t="s">
        <v>572</v>
      </c>
      <c r="H126">
        <v>22</v>
      </c>
      <c r="AF126">
        <v>1009522520</v>
      </c>
      <c r="AJ126" t="s">
        <v>63</v>
      </c>
      <c r="AK126" t="s">
        <v>61</v>
      </c>
      <c r="AM126" t="str" cm="1">
        <f t="array" ref="AM126">_xlfn.IFS(OR(O126="Persoonlijk",O126="Zoon",O126="Dochter"),P126,OR(Q126="Persoonlijk",Q126="Zoon",Q126="Dochter"),R126,OR(S126="Persoonlijk",S126="Zoon",S126="Dochter"),T126,O126="Vader",P126,Q126="Vader",R126,S126="Vader",T126,O126="Moeder",P126,Q126="Moeder",R126,S126="Moeder",T126,TRUE,IF(P126&lt;&gt;"",P126,IF(R126&lt;&gt;"",R126,IF(T126&lt;&gt;"",T126,""))))</f>
        <v/>
      </c>
      <c r="AN126" t="str" cm="1">
        <f t="array" ref="AN126">_xlfn.LET(_xlpm.raw,_xlfn.IFS(OR(U126="Persoonlijk",U126="Zoon",U126="Dochter"),V126,OR(W126="Persoonlijk",W126="Zoon",W126="Dochter"),X126,OR(Y126="Persoonlijk",Y126="Zoon",Y126="Dochter"),Z126,U126="Vader",V126,W126="Vader",X126,Y126="Vader",Z126,U126="Moeder",V126,W126="Moeder",X126,Y126="Moeder",Z126,TRUE,IF(V126&lt;&gt;"",V126,IF(X126&lt;&gt;"",X126,IF(Z126&lt;&gt;"",Z126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27" spans="1:40" x14ac:dyDescent="0.3">
      <c r="A127">
        <v>2934250</v>
      </c>
      <c r="B127" t="s">
        <v>576</v>
      </c>
      <c r="C127" t="s">
        <v>307</v>
      </c>
      <c r="D127" t="s">
        <v>39</v>
      </c>
      <c r="E127" t="s">
        <v>40</v>
      </c>
      <c r="F127" t="s">
        <v>577</v>
      </c>
      <c r="AF127">
        <v>1002934250</v>
      </c>
      <c r="AG127">
        <v>720215</v>
      </c>
      <c r="AM127" t="str" cm="1">
        <f t="array" ref="AM127">_xlfn.IFS(OR(O127="Persoonlijk",O127="Zoon",O127="Dochter"),P127,OR(Q127="Persoonlijk",Q127="Zoon",Q127="Dochter"),R127,OR(S127="Persoonlijk",S127="Zoon",S127="Dochter"),T127,O127="Vader",P127,Q127="Vader",R127,S127="Vader",T127,O127="Moeder",P127,Q127="Moeder",R127,S127="Moeder",T127,TRUE,IF(P127&lt;&gt;"",P127,IF(R127&lt;&gt;"",R127,IF(T127&lt;&gt;"",T127,""))))</f>
        <v/>
      </c>
      <c r="AN127" t="str" cm="1">
        <f t="array" ref="AN127">_xlfn.LET(_xlpm.raw,_xlfn.IFS(OR(U127="Persoonlijk",U127="Zoon",U127="Dochter"),V127,OR(W127="Persoonlijk",W127="Zoon",W127="Dochter"),X127,OR(Y127="Persoonlijk",Y127="Zoon",Y127="Dochter"),Z127,U127="Vader",V127,W127="Vader",X127,Y127="Vader",Z127,U127="Moeder",V127,W127="Moeder",X127,Y127="Moeder",Z127,TRUE,IF(V127&lt;&gt;"",V127,IF(X127&lt;&gt;"",X127,IF(Z127&lt;&gt;"",Z127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28" spans="1:40" x14ac:dyDescent="0.3">
      <c r="A128">
        <v>2182586</v>
      </c>
      <c r="B128" t="s">
        <v>578</v>
      </c>
      <c r="C128" t="s">
        <v>579</v>
      </c>
      <c r="D128" t="s">
        <v>39</v>
      </c>
      <c r="E128" t="s">
        <v>49</v>
      </c>
      <c r="F128" t="s">
        <v>580</v>
      </c>
      <c r="G128" t="s">
        <v>581</v>
      </c>
      <c r="H128">
        <v>47</v>
      </c>
      <c r="V128">
        <v>320494698322</v>
      </c>
      <c r="AC128" t="s">
        <v>582</v>
      </c>
      <c r="AE128" t="s">
        <v>583</v>
      </c>
      <c r="AF128">
        <v>1002182586</v>
      </c>
      <c r="AG128">
        <v>220520</v>
      </c>
      <c r="AJ128" t="s">
        <v>60</v>
      </c>
      <c r="AK128" t="s">
        <v>61</v>
      </c>
      <c r="AM128" t="str" cm="1">
        <f t="array" ref="AM128">_xlfn.IFS(OR(O128="Persoonlijk",O128="Zoon",O128="Dochter"),P128,OR(Q128="Persoonlijk",Q128="Zoon",Q128="Dochter"),R128,OR(S128="Persoonlijk",S128="Zoon",S128="Dochter"),T128,O128="Vader",P128,Q128="Vader",R128,S128="Vader",T128,O128="Moeder",P128,Q128="Moeder",R128,S128="Moeder",T128,TRUE,IF(P128&lt;&gt;"",P128,IF(R128&lt;&gt;"",R128,IF(T128&lt;&gt;"",T128,""))))</f>
        <v/>
      </c>
      <c r="AN128" t="str" cm="1">
        <f t="array" ref="AN128">_xlfn.LET(_xlpm.raw,_xlfn.IFS(OR(U128="Persoonlijk",U128="Zoon",U128="Dochter"),V128,OR(W128="Persoonlijk",W128="Zoon",W128="Dochter"),X128,OR(Y128="Persoonlijk",Y128="Zoon",Y128="Dochter"),Z128,U128="Vader",V128,W128="Vader",X128,Y128="Vader",Z128,U128="Moeder",V128,W128="Moeder",X128,Y128="Moeder",Z128,TRUE,IF(V128&lt;&gt;"",V128,IF(X128&lt;&gt;"",X128,IF(Z128&lt;&gt;"",Z128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+32494698322</v>
      </c>
    </row>
    <row r="129" spans="1:40" x14ac:dyDescent="0.3">
      <c r="A129">
        <v>2182586</v>
      </c>
      <c r="B129" t="s">
        <v>578</v>
      </c>
      <c r="C129" t="s">
        <v>579</v>
      </c>
      <c r="D129" t="s">
        <v>39</v>
      </c>
      <c r="E129" t="s">
        <v>49</v>
      </c>
      <c r="F129" t="s">
        <v>580</v>
      </c>
      <c r="G129" t="s">
        <v>581</v>
      </c>
      <c r="H129">
        <v>47</v>
      </c>
      <c r="V129">
        <v>320494698322</v>
      </c>
      <c r="AC129" t="s">
        <v>582</v>
      </c>
      <c r="AE129" t="s">
        <v>583</v>
      </c>
      <c r="AF129">
        <v>1002182586</v>
      </c>
      <c r="AG129">
        <v>220520</v>
      </c>
      <c r="AJ129" t="s">
        <v>164</v>
      </c>
      <c r="AK129" t="s">
        <v>65</v>
      </c>
      <c r="AM129" t="str" cm="1">
        <f t="array" ref="AM129">_xlfn.IFS(OR(O129="Persoonlijk",O129="Zoon",O129="Dochter"),P129,OR(Q129="Persoonlijk",Q129="Zoon",Q129="Dochter"),R129,OR(S129="Persoonlijk",S129="Zoon",S129="Dochter"),T129,O129="Vader",P129,Q129="Vader",R129,S129="Vader",T129,O129="Moeder",P129,Q129="Moeder",R129,S129="Moeder",T129,TRUE,IF(P129&lt;&gt;"",P129,IF(R129&lt;&gt;"",R129,IF(T129&lt;&gt;"",T129,""))))</f>
        <v/>
      </c>
      <c r="AN129" t="str" cm="1">
        <f t="array" ref="AN129">_xlfn.LET(_xlpm.raw,_xlfn.IFS(OR(U129="Persoonlijk",U129="Zoon",U129="Dochter"),V129,OR(W129="Persoonlijk",W129="Zoon",W129="Dochter"),X129,OR(Y129="Persoonlijk",Y129="Zoon",Y129="Dochter"),Z129,U129="Vader",V129,W129="Vader",X129,Y129="Vader",Z129,U129="Moeder",V129,W129="Moeder",X129,Y129="Moeder",Z129,TRUE,IF(V129&lt;&gt;"",V129,IF(X129&lt;&gt;"",X129,IF(Z129&lt;&gt;"",Z129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+32494698322</v>
      </c>
    </row>
    <row r="130" spans="1:40" x14ac:dyDescent="0.3">
      <c r="A130">
        <v>3490862</v>
      </c>
      <c r="B130" t="s">
        <v>584</v>
      </c>
      <c r="C130" t="s">
        <v>307</v>
      </c>
      <c r="D130" t="s">
        <v>39</v>
      </c>
      <c r="E130" t="s">
        <v>40</v>
      </c>
      <c r="F130" t="s">
        <v>534</v>
      </c>
      <c r="G130" t="s">
        <v>101</v>
      </c>
      <c r="H130">
        <v>167</v>
      </c>
      <c r="Q130" t="s">
        <v>51</v>
      </c>
      <c r="R130" t="s">
        <v>585</v>
      </c>
      <c r="U130" t="s">
        <v>53</v>
      </c>
      <c r="V130">
        <v>473806201</v>
      </c>
      <c r="W130" t="s">
        <v>51</v>
      </c>
      <c r="X130">
        <v>473628241</v>
      </c>
      <c r="AF130">
        <v>1003490862</v>
      </c>
      <c r="AJ130" t="s">
        <v>83</v>
      </c>
      <c r="AK130" t="s">
        <v>61</v>
      </c>
      <c r="AM130" t="str" cm="1">
        <f t="array" ref="AM130">_xlfn.IFS(OR(O130="Persoonlijk",O130="Zoon",O130="Dochter"),P130,OR(Q130="Persoonlijk",Q130="Zoon",Q130="Dochter"),R130,OR(S130="Persoonlijk",S130="Zoon",S130="Dochter"),T130,O130="Vader",P130,Q130="Vader",R130,S130="Vader",T130,O130="Moeder",P130,Q130="Moeder",R130,S130="Moeder",T130,TRUE,IF(P130&lt;&gt;"",P130,IF(R130&lt;&gt;"",R130,IF(T130&lt;&gt;"",T130,""))))</f>
        <v>Ben_darragas@hotmail.com</v>
      </c>
      <c r="AN130" t="str" cm="1">
        <f t="array" ref="AN130">_xlfn.LET(_xlpm.raw,_xlfn.IFS(OR(U130="Persoonlijk",U130="Zoon",U130="Dochter"),V130,OR(W130="Persoonlijk",W130="Zoon",W130="Dochter"),X130,OR(Y130="Persoonlijk",Y130="Zoon",Y130="Dochter"),Z130,U130="Vader",V130,W130="Vader",X130,Y130="Vader",Z130,U130="Moeder",V130,W130="Moeder",X130,Y130="Moeder",Z130,TRUE,IF(V130&lt;&gt;"",V130,IF(X130&lt;&gt;"",X130,IF(Z130&lt;&gt;"",Z130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+32473628241</v>
      </c>
    </row>
    <row r="131" spans="1:40" x14ac:dyDescent="0.3">
      <c r="A131">
        <v>3361777</v>
      </c>
      <c r="B131" t="s">
        <v>586</v>
      </c>
      <c r="C131" t="s">
        <v>587</v>
      </c>
      <c r="D131" t="s">
        <v>39</v>
      </c>
      <c r="E131" t="s">
        <v>49</v>
      </c>
      <c r="F131" t="s">
        <v>588</v>
      </c>
      <c r="G131" t="s">
        <v>589</v>
      </c>
      <c r="H131">
        <v>57</v>
      </c>
      <c r="V131" t="s">
        <v>590</v>
      </c>
      <c r="AC131" t="s">
        <v>591</v>
      </c>
      <c r="AF131">
        <v>1003361777</v>
      </c>
      <c r="AG131">
        <v>745355</v>
      </c>
      <c r="AJ131" t="s">
        <v>97</v>
      </c>
      <c r="AK131" t="s">
        <v>61</v>
      </c>
      <c r="AM131" t="str" cm="1">
        <f t="array" ref="AM131">_xlfn.IFS(OR(O131="Persoonlijk",O131="Zoon",O131="Dochter"),P131,OR(Q131="Persoonlijk",Q131="Zoon",Q131="Dochter"),R131,OR(S131="Persoonlijk",S131="Zoon",S131="Dochter"),T131,O131="Vader",P131,Q131="Vader",R131,S131="Vader",T131,O131="Moeder",P131,Q131="Moeder",R131,S131="Moeder",T131,TRUE,IF(P131&lt;&gt;"",P131,IF(R131&lt;&gt;"",R131,IF(T131&lt;&gt;"",T131,""))))</f>
        <v/>
      </c>
      <c r="AN131" t="str" cm="1">
        <f t="array" ref="AN131">_xlfn.LET(_xlpm.raw,_xlfn.IFS(OR(U131="Persoonlijk",U131="Zoon",U131="Dochter"),V131,OR(W131="Persoonlijk",W131="Zoon",W131="Dochter"),X131,OR(Y131="Persoonlijk",Y131="Zoon",Y131="Dochter"),Z131,U131="Vader",V131,W131="Vader",X131,Y131="Vader",Z131,U131="Moeder",V131,W131="Moeder",X131,Y131="Moeder",Z131,TRUE,IF(V131&lt;&gt;"",V131,IF(X131&lt;&gt;"",X131,IF(Z131&lt;&gt;"",Z131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+32473746819</v>
      </c>
    </row>
    <row r="132" spans="1:40" x14ac:dyDescent="0.3">
      <c r="A132">
        <v>3361777</v>
      </c>
      <c r="B132" t="s">
        <v>586</v>
      </c>
      <c r="C132" t="s">
        <v>587</v>
      </c>
      <c r="D132" t="s">
        <v>39</v>
      </c>
      <c r="E132" t="s">
        <v>49</v>
      </c>
      <c r="F132" t="s">
        <v>588</v>
      </c>
      <c r="G132" t="s">
        <v>589</v>
      </c>
      <c r="H132">
        <v>57</v>
      </c>
      <c r="V132" t="s">
        <v>590</v>
      </c>
      <c r="AC132" t="s">
        <v>591</v>
      </c>
      <c r="AF132">
        <v>1003361777</v>
      </c>
      <c r="AG132">
        <v>745355</v>
      </c>
      <c r="AJ132" t="s">
        <v>63</v>
      </c>
      <c r="AK132" t="s">
        <v>61</v>
      </c>
      <c r="AM132" t="str" cm="1">
        <f t="array" ref="AM132">_xlfn.IFS(OR(O132="Persoonlijk",O132="Zoon",O132="Dochter"),P132,OR(Q132="Persoonlijk",Q132="Zoon",Q132="Dochter"),R132,OR(S132="Persoonlijk",S132="Zoon",S132="Dochter"),T132,O132="Vader",P132,Q132="Vader",R132,S132="Vader",T132,O132="Moeder",P132,Q132="Moeder",R132,S132="Moeder",T132,TRUE,IF(P132&lt;&gt;"",P132,IF(R132&lt;&gt;"",R132,IF(T132&lt;&gt;"",T132,""))))</f>
        <v/>
      </c>
      <c r="AN132" t="str" cm="1">
        <f t="array" ref="AN132">_xlfn.LET(_xlpm.raw,_xlfn.IFS(OR(U132="Persoonlijk",U132="Zoon",U132="Dochter"),V132,OR(W132="Persoonlijk",W132="Zoon",W132="Dochter"),X132,OR(Y132="Persoonlijk",Y132="Zoon",Y132="Dochter"),Z132,U132="Vader",V132,W132="Vader",X132,Y132="Vader",Z132,U132="Moeder",V132,W132="Moeder",X132,Y132="Moeder",Z132,TRUE,IF(V132&lt;&gt;"",V132,IF(X132&lt;&gt;"",X132,IF(Z132&lt;&gt;"",Z132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+32473746819</v>
      </c>
    </row>
    <row r="133" spans="1:40" x14ac:dyDescent="0.3">
      <c r="A133">
        <v>4358432</v>
      </c>
      <c r="B133" t="s">
        <v>586</v>
      </c>
      <c r="C133" t="s">
        <v>553</v>
      </c>
      <c r="D133" t="s">
        <v>39</v>
      </c>
      <c r="E133" t="s">
        <v>40</v>
      </c>
      <c r="G133" t="s">
        <v>589</v>
      </c>
      <c r="H133">
        <v>51</v>
      </c>
      <c r="V133" t="s">
        <v>592</v>
      </c>
      <c r="AF133">
        <v>1004358432</v>
      </c>
      <c r="AL133" t="s">
        <v>593</v>
      </c>
      <c r="AM133" t="str" cm="1">
        <f t="array" ref="AM133">_xlfn.IFS(OR(O133="Persoonlijk",O133="Zoon",O133="Dochter"),P133,OR(Q133="Persoonlijk",Q133="Zoon",Q133="Dochter"),R133,OR(S133="Persoonlijk",S133="Zoon",S133="Dochter"),T133,O133="Vader",P133,Q133="Vader",R133,S133="Vader",T133,O133="Moeder",P133,Q133="Moeder",R133,S133="Moeder",T133,TRUE,IF(P133&lt;&gt;"",P133,IF(R133&lt;&gt;"",R133,IF(T133&lt;&gt;"",T133,""))))</f>
        <v/>
      </c>
      <c r="AN133" t="str" cm="1">
        <f t="array" ref="AN133">_xlfn.LET(_xlpm.raw,_xlfn.IFS(OR(U133="Persoonlijk",U133="Zoon",U133="Dochter"),V133,OR(W133="Persoonlijk",W133="Zoon",W133="Dochter"),X133,OR(Y133="Persoonlijk",Y133="Zoon",Y133="Dochter"),Z133,U133="Vader",V133,W133="Vader",X133,Y133="Vader",Z133,U133="Moeder",V133,W133="Moeder",X133,Y133="Moeder",Z133,TRUE,IF(V133&lt;&gt;"",V133,IF(X133&lt;&gt;"",X133,IF(Z133&lt;&gt;"",Z133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+32496273638</v>
      </c>
    </row>
    <row r="134" spans="1:40" x14ac:dyDescent="0.3">
      <c r="A134">
        <v>4358432</v>
      </c>
      <c r="B134" t="s">
        <v>586</v>
      </c>
      <c r="C134" t="s">
        <v>553</v>
      </c>
      <c r="D134" t="s">
        <v>39</v>
      </c>
      <c r="E134" t="s">
        <v>40</v>
      </c>
      <c r="G134" t="s">
        <v>589</v>
      </c>
      <c r="H134">
        <v>51</v>
      </c>
      <c r="V134" t="s">
        <v>592</v>
      </c>
      <c r="AF134">
        <v>1004358432</v>
      </c>
      <c r="AL134" t="s">
        <v>62</v>
      </c>
      <c r="AM134" t="str" cm="1">
        <f t="array" ref="AM134">_xlfn.IFS(OR(O134="Persoonlijk",O134="Zoon",O134="Dochter"),P134,OR(Q134="Persoonlijk",Q134="Zoon",Q134="Dochter"),R134,OR(S134="Persoonlijk",S134="Zoon",S134="Dochter"),T134,O134="Vader",P134,Q134="Vader",R134,S134="Vader",T134,O134="Moeder",P134,Q134="Moeder",R134,S134="Moeder",T134,TRUE,IF(P134&lt;&gt;"",P134,IF(R134&lt;&gt;"",R134,IF(T134&lt;&gt;"",T134,""))))</f>
        <v/>
      </c>
      <c r="AN134" t="str" cm="1">
        <f t="array" ref="AN134">_xlfn.LET(_xlpm.raw,_xlfn.IFS(OR(U134="Persoonlijk",U134="Zoon",U134="Dochter"),V134,OR(W134="Persoonlijk",W134="Zoon",W134="Dochter"),X134,OR(Y134="Persoonlijk",Y134="Zoon",Y134="Dochter"),Z134,U134="Vader",V134,W134="Vader",X134,Y134="Vader",Z134,U134="Moeder",V134,W134="Moeder",X134,Y134="Moeder",Z134,TRUE,IF(V134&lt;&gt;"",V134,IF(X134&lt;&gt;"",X134,IF(Z134&lt;&gt;"",Z134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+32496273638</v>
      </c>
    </row>
    <row r="135" spans="1:40" x14ac:dyDescent="0.3">
      <c r="A135">
        <v>6352976</v>
      </c>
      <c r="B135" t="s">
        <v>594</v>
      </c>
      <c r="C135" t="s">
        <v>595</v>
      </c>
      <c r="D135" t="s">
        <v>39</v>
      </c>
      <c r="E135" t="s">
        <v>40</v>
      </c>
      <c r="F135" t="s">
        <v>596</v>
      </c>
      <c r="G135" t="s">
        <v>597</v>
      </c>
      <c r="H135">
        <v>45</v>
      </c>
      <c r="U135" t="s">
        <v>46</v>
      </c>
      <c r="V135" t="s">
        <v>598</v>
      </c>
      <c r="AC135" t="s">
        <v>599</v>
      </c>
      <c r="AF135">
        <v>1006352976</v>
      </c>
      <c r="AJ135" t="s">
        <v>483</v>
      </c>
      <c r="AK135" t="s">
        <v>61</v>
      </c>
      <c r="AM135" t="str" cm="1">
        <f t="array" ref="AM135">_xlfn.IFS(OR(O135="Persoonlijk",O135="Zoon",O135="Dochter"),P135,OR(Q135="Persoonlijk",Q135="Zoon",Q135="Dochter"),R135,OR(S135="Persoonlijk",S135="Zoon",S135="Dochter"),T135,O135="Vader",P135,Q135="Vader",R135,S135="Vader",T135,O135="Moeder",P135,Q135="Moeder",R135,S135="Moeder",T135,TRUE,IF(P135&lt;&gt;"",P135,IF(R135&lt;&gt;"",R135,IF(T135&lt;&gt;"",T135,""))))</f>
        <v/>
      </c>
      <c r="AN135" t="str" cm="1">
        <f t="array" ref="AN135">_xlfn.LET(_xlpm.raw,_xlfn.IFS(OR(U135="Persoonlijk",U135="Zoon",U135="Dochter"),V135,OR(W135="Persoonlijk",W135="Zoon",W135="Dochter"),X135,OR(Y135="Persoonlijk",Y135="Zoon",Y135="Dochter"),Z135,U135="Vader",V135,W135="Vader",X135,Y135="Vader",Z135,U135="Moeder",V135,W135="Moeder",X135,Y135="Moeder",Z135,TRUE,IF(V135&lt;&gt;"",V135,IF(X135&lt;&gt;"",X135,IF(Z135&lt;&gt;"",Z135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+32491029558</v>
      </c>
    </row>
    <row r="136" spans="1:40" x14ac:dyDescent="0.3">
      <c r="A136">
        <v>2182596</v>
      </c>
      <c r="B136" t="s">
        <v>600</v>
      </c>
      <c r="C136" t="s">
        <v>601</v>
      </c>
      <c r="D136" t="s">
        <v>39</v>
      </c>
      <c r="E136" t="s">
        <v>49</v>
      </c>
      <c r="F136" t="s">
        <v>602</v>
      </c>
      <c r="G136" t="s">
        <v>603</v>
      </c>
      <c r="H136">
        <v>6</v>
      </c>
      <c r="I136">
        <v>202</v>
      </c>
      <c r="AA136">
        <v>0</v>
      </c>
      <c r="AF136">
        <v>1002182596</v>
      </c>
      <c r="AG136">
        <v>609483</v>
      </c>
      <c r="AM136" t="str" cm="1">
        <f t="array" ref="AM136">_xlfn.IFS(OR(O136="Persoonlijk",O136="Zoon",O136="Dochter"),P136,OR(Q136="Persoonlijk",Q136="Zoon",Q136="Dochter"),R136,OR(S136="Persoonlijk",S136="Zoon",S136="Dochter"),T136,O136="Vader",P136,Q136="Vader",R136,S136="Vader",T136,O136="Moeder",P136,Q136="Moeder",R136,S136="Moeder",T136,TRUE,IF(P136&lt;&gt;"",P136,IF(R136&lt;&gt;"",R136,IF(T136&lt;&gt;"",T136,""))))</f>
        <v/>
      </c>
      <c r="AN136" t="str" cm="1">
        <f t="array" ref="AN136">_xlfn.LET(_xlpm.raw,_xlfn.IFS(OR(U136="Persoonlijk",U136="Zoon",U136="Dochter"),V136,OR(W136="Persoonlijk",W136="Zoon",W136="Dochter"),X136,OR(Y136="Persoonlijk",Y136="Zoon",Y136="Dochter"),Z136,U136="Vader",V136,W136="Vader",X136,Y136="Vader",Z136,U136="Moeder",V136,W136="Moeder",X136,Y136="Moeder",Z136,TRUE,IF(V136&lt;&gt;"",V136,IF(X136&lt;&gt;"",X136,IF(Z136&lt;&gt;"",Z136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37" spans="1:40" x14ac:dyDescent="0.3">
      <c r="A137">
        <v>9365355</v>
      </c>
      <c r="B137" t="s">
        <v>604</v>
      </c>
      <c r="C137" t="s">
        <v>605</v>
      </c>
      <c r="D137" t="s">
        <v>39</v>
      </c>
      <c r="E137" t="s">
        <v>49</v>
      </c>
      <c r="G137" t="s">
        <v>606</v>
      </c>
      <c r="H137">
        <v>94</v>
      </c>
      <c r="V137">
        <v>0</v>
      </c>
      <c r="X137">
        <v>0</v>
      </c>
      <c r="Z137">
        <v>0</v>
      </c>
      <c r="AA137">
        <v>0</v>
      </c>
      <c r="AF137">
        <v>1009365355</v>
      </c>
      <c r="AM137" t="str" cm="1">
        <f t="array" ref="AM137">_xlfn.IFS(OR(O137="Persoonlijk",O137="Zoon",O137="Dochter"),P137,OR(Q137="Persoonlijk",Q137="Zoon",Q137="Dochter"),R137,OR(S137="Persoonlijk",S137="Zoon",S137="Dochter"),T137,O137="Vader",P137,Q137="Vader",R137,S137="Vader",T137,O137="Moeder",P137,Q137="Moeder",R137,S137="Moeder",T137,TRUE,IF(P137&lt;&gt;"",P137,IF(R137&lt;&gt;"",R137,IF(T137&lt;&gt;"",T137,""))))</f>
        <v/>
      </c>
      <c r="AN137" t="str" cm="1">
        <f t="array" ref="AN137">_xlfn.LET(_xlpm.raw,_xlfn.IFS(OR(U137="Persoonlijk",U137="Zoon",U137="Dochter"),V137,OR(W137="Persoonlijk",W137="Zoon",W137="Dochter"),X137,OR(Y137="Persoonlijk",Y137="Zoon",Y137="Dochter"),Z137,U137="Vader",V137,W137="Vader",X137,Y137="Vader",Z137,U137="Moeder",V137,W137="Moeder",X137,Y137="Moeder",Z137,TRUE,IF(V137&lt;&gt;"",V137,IF(X137&lt;&gt;"",X137,IF(Z137&lt;&gt;"",Z137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38" spans="1:40" x14ac:dyDescent="0.3">
      <c r="A138">
        <v>2182601</v>
      </c>
      <c r="B138" t="s">
        <v>608</v>
      </c>
      <c r="C138" t="s">
        <v>609</v>
      </c>
      <c r="D138" t="s">
        <v>39</v>
      </c>
      <c r="E138" t="s">
        <v>49</v>
      </c>
      <c r="F138" t="s">
        <v>610</v>
      </c>
      <c r="G138" t="s">
        <v>611</v>
      </c>
      <c r="H138">
        <v>2</v>
      </c>
      <c r="U138" t="s">
        <v>46</v>
      </c>
      <c r="V138">
        <v>32496034315</v>
      </c>
      <c r="AC138" t="s">
        <v>612</v>
      </c>
      <c r="AF138">
        <v>1002182601</v>
      </c>
      <c r="AG138">
        <v>661059</v>
      </c>
      <c r="AM138" t="str" cm="1">
        <f t="array" ref="AM138">_xlfn.IFS(OR(O138="Persoonlijk",O138="Zoon",O138="Dochter"),P138,OR(Q138="Persoonlijk",Q138="Zoon",Q138="Dochter"),R138,OR(S138="Persoonlijk",S138="Zoon",S138="Dochter"),T138,O138="Vader",P138,Q138="Vader",R138,S138="Vader",T138,O138="Moeder",P138,Q138="Moeder",R138,S138="Moeder",T138,TRUE,IF(P138&lt;&gt;"",P138,IF(R138&lt;&gt;"",R138,IF(T138&lt;&gt;"",T138,""))))</f>
        <v/>
      </c>
      <c r="AN138" t="str" cm="1">
        <f t="array" ref="AN138">_xlfn.LET(_xlpm.raw,_xlfn.IFS(OR(U138="Persoonlijk",U138="Zoon",U138="Dochter"),V138,OR(W138="Persoonlijk",W138="Zoon",W138="Dochter"),X138,OR(Y138="Persoonlijk",Y138="Zoon",Y138="Dochter"),Z138,U138="Vader",V138,W138="Vader",X138,Y138="Vader",Z138,U138="Moeder",V138,W138="Moeder",X138,Y138="Moeder",Z138,TRUE,IF(V138&lt;&gt;"",V138,IF(X138&lt;&gt;"",X138,IF(Z138&lt;&gt;"",Z138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+32496034315</v>
      </c>
    </row>
    <row r="139" spans="1:40" x14ac:dyDescent="0.3">
      <c r="A139">
        <v>4024795</v>
      </c>
      <c r="B139" t="s">
        <v>613</v>
      </c>
      <c r="C139" t="s">
        <v>529</v>
      </c>
      <c r="D139" t="s">
        <v>39</v>
      </c>
      <c r="E139" t="s">
        <v>40</v>
      </c>
      <c r="F139" t="s">
        <v>614</v>
      </c>
      <c r="G139" t="s">
        <v>382</v>
      </c>
      <c r="H139" t="s">
        <v>615</v>
      </c>
      <c r="U139" t="s">
        <v>46</v>
      </c>
      <c r="V139" t="s">
        <v>617</v>
      </c>
      <c r="AC139" t="s">
        <v>618</v>
      </c>
      <c r="AE139" t="s">
        <v>619</v>
      </c>
      <c r="AF139">
        <v>1004024795</v>
      </c>
      <c r="AG139">
        <v>32746</v>
      </c>
      <c r="AJ139" t="s">
        <v>179</v>
      </c>
      <c r="AK139" t="s">
        <v>65</v>
      </c>
      <c r="AL139" t="s">
        <v>620</v>
      </c>
      <c r="AM139" t="str" cm="1">
        <f t="array" ref="AM139">_xlfn.IFS(OR(O139="Persoonlijk",O139="Zoon",O139="Dochter"),P139,OR(Q139="Persoonlijk",Q139="Zoon",Q139="Dochter"),R139,OR(S139="Persoonlijk",S139="Zoon",S139="Dochter"),T139,O139="Vader",P139,Q139="Vader",R139,S139="Vader",T139,O139="Moeder",P139,Q139="Moeder",R139,S139="Moeder",T139,TRUE,IF(P139&lt;&gt;"",P139,IF(R139&lt;&gt;"",R139,IF(T139&lt;&gt;"",T139,""))))</f>
        <v/>
      </c>
      <c r="AN139" t="str" cm="1">
        <f t="array" ref="AN139">_xlfn.LET(_xlpm.raw,_xlfn.IFS(OR(U139="Persoonlijk",U139="Zoon",U139="Dochter"),V139,OR(W139="Persoonlijk",W139="Zoon",W139="Dochter"),X139,OR(Y139="Persoonlijk",Y139="Zoon",Y139="Dochter"),Z139,U139="Vader",V139,W139="Vader",X139,Y139="Vader",Z139,U139="Moeder",V139,W139="Moeder",X139,Y139="Moeder",Z139,TRUE,IF(V139&lt;&gt;"",V139,IF(X139&lt;&gt;"",X139,IF(Z139&lt;&gt;"",Z139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+32478251758</v>
      </c>
    </row>
    <row r="140" spans="1:40" x14ac:dyDescent="0.3">
      <c r="A140">
        <v>4024795</v>
      </c>
      <c r="B140" t="s">
        <v>613</v>
      </c>
      <c r="C140" t="s">
        <v>529</v>
      </c>
      <c r="D140" t="s">
        <v>39</v>
      </c>
      <c r="E140" t="s">
        <v>40</v>
      </c>
      <c r="F140" t="s">
        <v>614</v>
      </c>
      <c r="G140" t="s">
        <v>382</v>
      </c>
      <c r="H140" t="s">
        <v>615</v>
      </c>
      <c r="U140" t="s">
        <v>46</v>
      </c>
      <c r="V140" t="s">
        <v>617</v>
      </c>
      <c r="AC140" t="s">
        <v>618</v>
      </c>
      <c r="AE140" t="s">
        <v>619</v>
      </c>
      <c r="AF140">
        <v>1004024795</v>
      </c>
      <c r="AG140">
        <v>32746</v>
      </c>
      <c r="AJ140" t="s">
        <v>63</v>
      </c>
      <c r="AK140" t="s">
        <v>65</v>
      </c>
      <c r="AL140" t="s">
        <v>621</v>
      </c>
      <c r="AM140" t="str" cm="1">
        <f t="array" ref="AM140">_xlfn.IFS(OR(O140="Persoonlijk",O140="Zoon",O140="Dochter"),P140,OR(Q140="Persoonlijk",Q140="Zoon",Q140="Dochter"),R140,OR(S140="Persoonlijk",S140="Zoon",S140="Dochter"),T140,O140="Vader",P140,Q140="Vader",R140,S140="Vader",T140,O140="Moeder",P140,Q140="Moeder",R140,S140="Moeder",T140,TRUE,IF(P140&lt;&gt;"",P140,IF(R140&lt;&gt;"",R140,IF(T140&lt;&gt;"",T140,""))))</f>
        <v/>
      </c>
      <c r="AN140" t="str" cm="1">
        <f t="array" ref="AN140">_xlfn.LET(_xlpm.raw,_xlfn.IFS(OR(U140="Persoonlijk",U140="Zoon",U140="Dochter"),V140,OR(W140="Persoonlijk",W140="Zoon",W140="Dochter"),X140,OR(Y140="Persoonlijk",Y140="Zoon",Y140="Dochter"),Z140,U140="Vader",V140,W140="Vader",X140,Y140="Vader",Z140,U140="Moeder",V140,W140="Moeder",X140,Y140="Moeder",Z140,TRUE,IF(V140&lt;&gt;"",V140,IF(X140&lt;&gt;"",X140,IF(Z140&lt;&gt;"",Z140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+32478251758</v>
      </c>
    </row>
    <row r="141" spans="1:40" x14ac:dyDescent="0.3">
      <c r="A141">
        <v>4024795</v>
      </c>
      <c r="B141" t="s">
        <v>613</v>
      </c>
      <c r="C141" t="s">
        <v>529</v>
      </c>
      <c r="D141" t="s">
        <v>39</v>
      </c>
      <c r="E141" t="s">
        <v>40</v>
      </c>
      <c r="F141" t="s">
        <v>614</v>
      </c>
      <c r="G141" t="s">
        <v>382</v>
      </c>
      <c r="H141" t="s">
        <v>615</v>
      </c>
      <c r="U141" t="s">
        <v>46</v>
      </c>
      <c r="V141" t="s">
        <v>617</v>
      </c>
      <c r="AC141" t="s">
        <v>618</v>
      </c>
      <c r="AE141" t="s">
        <v>619</v>
      </c>
      <c r="AF141">
        <v>1004024795</v>
      </c>
      <c r="AG141">
        <v>32746</v>
      </c>
      <c r="AJ141" t="s">
        <v>180</v>
      </c>
      <c r="AK141" t="s">
        <v>65</v>
      </c>
      <c r="AM141" t="str" cm="1">
        <f t="array" ref="AM141">_xlfn.IFS(OR(O141="Persoonlijk",O141="Zoon",O141="Dochter"),P141,OR(Q141="Persoonlijk",Q141="Zoon",Q141="Dochter"),R141,OR(S141="Persoonlijk",S141="Zoon",S141="Dochter"),T141,O141="Vader",P141,Q141="Vader",R141,S141="Vader",T141,O141="Moeder",P141,Q141="Moeder",R141,S141="Moeder",T141,TRUE,IF(P141&lt;&gt;"",P141,IF(R141&lt;&gt;"",R141,IF(T141&lt;&gt;"",T141,""))))</f>
        <v/>
      </c>
      <c r="AN141" t="str" cm="1">
        <f t="array" ref="AN141">_xlfn.LET(_xlpm.raw,_xlfn.IFS(OR(U141="Persoonlijk",U141="Zoon",U141="Dochter"),V141,OR(W141="Persoonlijk",W141="Zoon",W141="Dochter"),X141,OR(Y141="Persoonlijk",Y141="Zoon",Y141="Dochter"),Z141,U141="Vader",V141,W141="Vader",X141,Y141="Vader",Z141,U141="Moeder",V141,W141="Moeder",X141,Y141="Moeder",Z141,TRUE,IF(V141&lt;&gt;"",V141,IF(X141&lt;&gt;"",X141,IF(Z141&lt;&gt;"",Z141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+32478251758</v>
      </c>
    </row>
    <row r="142" spans="1:40" x14ac:dyDescent="0.3">
      <c r="A142">
        <v>4024795</v>
      </c>
      <c r="B142" t="s">
        <v>613</v>
      </c>
      <c r="C142" t="s">
        <v>529</v>
      </c>
      <c r="D142" t="s">
        <v>39</v>
      </c>
      <c r="E142" t="s">
        <v>40</v>
      </c>
      <c r="F142" t="s">
        <v>614</v>
      </c>
      <c r="G142" t="s">
        <v>382</v>
      </c>
      <c r="H142" t="s">
        <v>615</v>
      </c>
      <c r="U142" t="s">
        <v>46</v>
      </c>
      <c r="V142" t="s">
        <v>617</v>
      </c>
      <c r="AC142" t="s">
        <v>618</v>
      </c>
      <c r="AE142" t="s">
        <v>619</v>
      </c>
      <c r="AF142">
        <v>1004024795</v>
      </c>
      <c r="AG142">
        <v>32746</v>
      </c>
      <c r="AJ142" t="s">
        <v>286</v>
      </c>
      <c r="AK142" t="s">
        <v>65</v>
      </c>
      <c r="AM142" t="str" cm="1">
        <f t="array" ref="AM142">_xlfn.IFS(OR(O142="Persoonlijk",O142="Zoon",O142="Dochter"),P142,OR(Q142="Persoonlijk",Q142="Zoon",Q142="Dochter"),R142,OR(S142="Persoonlijk",S142="Zoon",S142="Dochter"),T142,O142="Vader",P142,Q142="Vader",R142,S142="Vader",T142,O142="Moeder",P142,Q142="Moeder",R142,S142="Moeder",T142,TRUE,IF(P142&lt;&gt;"",P142,IF(R142&lt;&gt;"",R142,IF(T142&lt;&gt;"",T142,""))))</f>
        <v/>
      </c>
      <c r="AN142" t="str" cm="1">
        <f t="array" ref="AN142">_xlfn.LET(_xlpm.raw,_xlfn.IFS(OR(U142="Persoonlijk",U142="Zoon",U142="Dochter"),V142,OR(W142="Persoonlijk",W142="Zoon",W142="Dochter"),X142,OR(Y142="Persoonlijk",Y142="Zoon",Y142="Dochter"),Z142,U142="Vader",V142,W142="Vader",X142,Y142="Vader",Z142,U142="Moeder",V142,W142="Moeder",X142,Y142="Moeder",Z142,TRUE,IF(V142&lt;&gt;"",V142,IF(X142&lt;&gt;"",X142,IF(Z142&lt;&gt;"",Z142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+32478251758</v>
      </c>
    </row>
    <row r="143" spans="1:40" x14ac:dyDescent="0.3">
      <c r="A143">
        <v>3519915</v>
      </c>
      <c r="B143" t="s">
        <v>613</v>
      </c>
      <c r="C143" t="s">
        <v>622</v>
      </c>
      <c r="D143" t="s">
        <v>39</v>
      </c>
      <c r="E143" t="s">
        <v>40</v>
      </c>
      <c r="F143" t="s">
        <v>623</v>
      </c>
      <c r="G143" t="s">
        <v>382</v>
      </c>
      <c r="H143">
        <v>117</v>
      </c>
      <c r="I143" t="s">
        <v>624</v>
      </c>
      <c r="Q143" t="s">
        <v>53</v>
      </c>
      <c r="R143" t="s">
        <v>625</v>
      </c>
      <c r="S143" t="s">
        <v>51</v>
      </c>
      <c r="T143" t="s">
        <v>616</v>
      </c>
      <c r="U143" t="s">
        <v>53</v>
      </c>
      <c r="V143" t="s">
        <v>626</v>
      </c>
      <c r="W143" t="s">
        <v>51</v>
      </c>
      <c r="X143" t="s">
        <v>617</v>
      </c>
      <c r="Y143" t="s">
        <v>116</v>
      </c>
      <c r="Z143" t="s">
        <v>627</v>
      </c>
      <c r="AC143" t="s">
        <v>628</v>
      </c>
      <c r="AD143">
        <v>14</v>
      </c>
      <c r="AE143" t="s">
        <v>629</v>
      </c>
      <c r="AF143">
        <v>1003519915</v>
      </c>
      <c r="AG143">
        <v>748910</v>
      </c>
      <c r="AJ143" t="s">
        <v>286</v>
      </c>
      <c r="AK143" t="s">
        <v>61</v>
      </c>
      <c r="AL143" t="s">
        <v>62</v>
      </c>
      <c r="AM143" t="str" cm="1">
        <f t="array" ref="AM143">_xlfn.IFS(OR(O143="Persoonlijk",O143="Zoon",O143="Dochter"),P143,OR(Q143="Persoonlijk",Q143="Zoon",Q143="Dochter"),R143,OR(S143="Persoonlijk",S143="Zoon",S143="Dochter"),T143,O143="Vader",P143,Q143="Vader",R143,S143="Vader",T143,O143="Moeder",P143,Q143="Moeder",R143,S143="Moeder",T143,TRUE,IF(P143&lt;&gt;"",P143,IF(R143&lt;&gt;"",R143,IF(T143&lt;&gt;"",T143,""))))</f>
        <v>de.brabander.david@telenet.be</v>
      </c>
      <c r="AN143" t="str" cm="1">
        <f t="array" ref="AN143">_xlfn.LET(_xlpm.raw,_xlfn.IFS(OR(U143="Persoonlijk",U143="Zoon",U143="Dochter"),V143,OR(W143="Persoonlijk",W143="Zoon",W143="Dochter"),X143,OR(Y143="Persoonlijk",Y143="Zoon",Y143="Dochter"),Z143,U143="Vader",V143,W143="Vader",X143,Y143="Vader",Z143,U143="Moeder",V143,W143="Moeder",X143,Y143="Moeder",Z143,TRUE,IF(V143&lt;&gt;"",V143,IF(X143&lt;&gt;"",X143,IF(Z143&lt;&gt;"",Z143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+32468348603</v>
      </c>
    </row>
    <row r="144" spans="1:40" x14ac:dyDescent="0.3">
      <c r="A144">
        <v>3519915</v>
      </c>
      <c r="B144" t="s">
        <v>613</v>
      </c>
      <c r="C144" t="s">
        <v>622</v>
      </c>
      <c r="D144" t="s">
        <v>39</v>
      </c>
      <c r="E144" t="s">
        <v>40</v>
      </c>
      <c r="F144" t="s">
        <v>623</v>
      </c>
      <c r="G144" t="s">
        <v>382</v>
      </c>
      <c r="H144">
        <v>117</v>
      </c>
      <c r="I144" t="s">
        <v>624</v>
      </c>
      <c r="Q144" t="s">
        <v>53</v>
      </c>
      <c r="R144" t="s">
        <v>625</v>
      </c>
      <c r="S144" t="s">
        <v>51</v>
      </c>
      <c r="T144" t="s">
        <v>616</v>
      </c>
      <c r="U144" t="s">
        <v>53</v>
      </c>
      <c r="V144" t="s">
        <v>626</v>
      </c>
      <c r="W144" t="s">
        <v>51</v>
      </c>
      <c r="X144" t="s">
        <v>617</v>
      </c>
      <c r="Y144" t="s">
        <v>116</v>
      </c>
      <c r="Z144" t="s">
        <v>627</v>
      </c>
      <c r="AC144" t="s">
        <v>628</v>
      </c>
      <c r="AD144">
        <v>14</v>
      </c>
      <c r="AE144" t="s">
        <v>629</v>
      </c>
      <c r="AF144">
        <v>1003519915</v>
      </c>
      <c r="AG144">
        <v>748910</v>
      </c>
      <c r="AJ144" t="s">
        <v>180</v>
      </c>
      <c r="AK144" t="s">
        <v>61</v>
      </c>
      <c r="AM144" t="str" cm="1">
        <f t="array" ref="AM144">_xlfn.IFS(OR(O144="Persoonlijk",O144="Zoon",O144="Dochter"),P144,OR(Q144="Persoonlijk",Q144="Zoon",Q144="Dochter"),R144,OR(S144="Persoonlijk",S144="Zoon",S144="Dochter"),T144,O144="Vader",P144,Q144="Vader",R144,S144="Vader",T144,O144="Moeder",P144,Q144="Moeder",R144,S144="Moeder",T144,TRUE,IF(P144&lt;&gt;"",P144,IF(R144&lt;&gt;"",R144,IF(T144&lt;&gt;"",T144,""))))</f>
        <v>de.brabander.david@telenet.be</v>
      </c>
      <c r="AN144" t="str" cm="1">
        <f t="array" ref="AN144">_xlfn.LET(_xlpm.raw,_xlfn.IFS(OR(U144="Persoonlijk",U144="Zoon",U144="Dochter"),V144,OR(W144="Persoonlijk",W144="Zoon",W144="Dochter"),X144,OR(Y144="Persoonlijk",Y144="Zoon",Y144="Dochter"),Z144,U144="Vader",V144,W144="Vader",X144,Y144="Vader",Z144,U144="Moeder",V144,W144="Moeder",X144,Y144="Moeder",Z144,TRUE,IF(V144&lt;&gt;"",V144,IF(X144&lt;&gt;"",X144,IF(Z144&lt;&gt;"",Z144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+32468348603</v>
      </c>
    </row>
    <row r="145" spans="1:40" x14ac:dyDescent="0.3">
      <c r="A145">
        <v>5748747</v>
      </c>
      <c r="B145" t="s">
        <v>630</v>
      </c>
      <c r="C145" t="s">
        <v>631</v>
      </c>
      <c r="D145" t="s">
        <v>39</v>
      </c>
      <c r="E145" t="s">
        <v>49</v>
      </c>
      <c r="F145" t="s">
        <v>632</v>
      </c>
      <c r="G145" t="s">
        <v>633</v>
      </c>
      <c r="H145">
        <v>24</v>
      </c>
      <c r="Q145" t="s">
        <v>51</v>
      </c>
      <c r="R145" t="s">
        <v>634</v>
      </c>
      <c r="U145" t="s">
        <v>53</v>
      </c>
      <c r="V145" t="s">
        <v>635</v>
      </c>
      <c r="X145">
        <v>0</v>
      </c>
      <c r="Z145">
        <v>0</v>
      </c>
      <c r="AA145">
        <v>0</v>
      </c>
      <c r="AF145">
        <v>1005748747</v>
      </c>
      <c r="AM145" t="str" cm="1">
        <f t="array" ref="AM145">_xlfn.IFS(OR(O145="Persoonlijk",O145="Zoon",O145="Dochter"),P145,OR(Q145="Persoonlijk",Q145="Zoon",Q145="Dochter"),R145,OR(S145="Persoonlijk",S145="Zoon",S145="Dochter"),T145,O145="Vader",P145,Q145="Vader",R145,S145="Vader",T145,O145="Moeder",P145,Q145="Moeder",R145,S145="Moeder",T145,TRUE,IF(P145&lt;&gt;"",P145,IF(R145&lt;&gt;"",R145,IF(T145&lt;&gt;"",T145,""))))</f>
        <v>thomasdecauwer@msn.com</v>
      </c>
      <c r="AN145" t="str" cm="1">
        <f t="array" ref="AN145">_xlfn.LET(_xlpm.raw,_xlfn.IFS(OR(U145="Persoonlijk",U145="Zoon",U145="Dochter"),V145,OR(W145="Persoonlijk",W145="Zoon",W145="Dochter"),X145,OR(Y145="Persoonlijk",Y145="Zoon",Y145="Dochter"),Z145,U145="Vader",V145,W145="Vader",X145,Y145="Vader",Z145,U145="Moeder",V145,W145="Moeder",X145,Y145="Moeder",Z145,TRUE,IF(V145&lt;&gt;"",V145,IF(X145&lt;&gt;"",X145,IF(Z145&lt;&gt;"",Z145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+32499380833</v>
      </c>
    </row>
    <row r="146" spans="1:40" x14ac:dyDescent="0.3">
      <c r="A146">
        <v>11270367</v>
      </c>
      <c r="B146" t="s">
        <v>636</v>
      </c>
      <c r="C146" t="s">
        <v>637</v>
      </c>
      <c r="D146" t="s">
        <v>39</v>
      </c>
      <c r="E146" t="s">
        <v>40</v>
      </c>
      <c r="F146" t="s">
        <v>638</v>
      </c>
      <c r="G146" t="s">
        <v>611</v>
      </c>
      <c r="H146">
        <v>22</v>
      </c>
      <c r="U146" t="s">
        <v>46</v>
      </c>
      <c r="V146" t="s">
        <v>639</v>
      </c>
      <c r="X146">
        <v>0</v>
      </c>
      <c r="Z146">
        <v>0</v>
      </c>
      <c r="AA146">
        <v>0</v>
      </c>
      <c r="AF146">
        <v>1011270367</v>
      </c>
      <c r="AJ146" t="s">
        <v>483</v>
      </c>
      <c r="AK146" t="s">
        <v>61</v>
      </c>
      <c r="AM146" t="str" cm="1">
        <f t="array" ref="AM146">_xlfn.IFS(OR(O146="Persoonlijk",O146="Zoon",O146="Dochter"),P146,OR(Q146="Persoonlijk",Q146="Zoon",Q146="Dochter"),R146,OR(S146="Persoonlijk",S146="Zoon",S146="Dochter"),T146,O146="Vader",P146,Q146="Vader",R146,S146="Vader",T146,O146="Moeder",P146,Q146="Moeder",R146,S146="Moeder",T146,TRUE,IF(P146&lt;&gt;"",P146,IF(R146&lt;&gt;"",R146,IF(T146&lt;&gt;"",T146,""))))</f>
        <v/>
      </c>
      <c r="AN146" t="str" cm="1">
        <f t="array" ref="AN146">_xlfn.LET(_xlpm.raw,_xlfn.IFS(OR(U146="Persoonlijk",U146="Zoon",U146="Dochter"),V146,OR(W146="Persoonlijk",W146="Zoon",W146="Dochter"),X146,OR(Y146="Persoonlijk",Y146="Zoon",Y146="Dochter"),Z146,U146="Vader",V146,W146="Vader",X146,Y146="Vader",Z146,U146="Moeder",V146,W146="Moeder",X146,Y146="Moeder",Z146,TRUE,IF(V146&lt;&gt;"",V146,IF(X146&lt;&gt;"",X146,IF(Z146&lt;&gt;"",Z146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+32499129081</v>
      </c>
    </row>
    <row r="147" spans="1:40" x14ac:dyDescent="0.3">
      <c r="A147">
        <v>2182611</v>
      </c>
      <c r="B147" t="s">
        <v>640</v>
      </c>
      <c r="C147" t="s">
        <v>641</v>
      </c>
      <c r="D147" t="s">
        <v>39</v>
      </c>
      <c r="E147" t="s">
        <v>40</v>
      </c>
      <c r="F147" t="s">
        <v>642</v>
      </c>
      <c r="G147" t="s">
        <v>643</v>
      </c>
      <c r="H147">
        <v>17</v>
      </c>
      <c r="AC147" t="s">
        <v>644</v>
      </c>
      <c r="AF147">
        <v>1002182611</v>
      </c>
      <c r="AM147" t="str" cm="1">
        <f t="array" ref="AM147">_xlfn.IFS(OR(O147="Persoonlijk",O147="Zoon",O147="Dochter"),P147,OR(Q147="Persoonlijk",Q147="Zoon",Q147="Dochter"),R147,OR(S147="Persoonlijk",S147="Zoon",S147="Dochter"),T147,O147="Vader",P147,Q147="Vader",R147,S147="Vader",T147,O147="Moeder",P147,Q147="Moeder",R147,S147="Moeder",T147,TRUE,IF(P147&lt;&gt;"",P147,IF(R147&lt;&gt;"",R147,IF(T147&lt;&gt;"",T147,""))))</f>
        <v/>
      </c>
      <c r="AN147" t="str" cm="1">
        <f t="array" ref="AN147">_xlfn.LET(_xlpm.raw,_xlfn.IFS(OR(U147="Persoonlijk",U147="Zoon",U147="Dochter"),V147,OR(W147="Persoonlijk",W147="Zoon",W147="Dochter"),X147,OR(Y147="Persoonlijk",Y147="Zoon",Y147="Dochter"),Z147,U147="Vader",V147,W147="Vader",X147,Y147="Vader",Z147,U147="Moeder",V147,W147="Moeder",X147,Y147="Moeder",Z147,TRUE,IF(V147&lt;&gt;"",V147,IF(X147&lt;&gt;"",X147,IF(Z147&lt;&gt;"",Z147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48" spans="1:40" x14ac:dyDescent="0.3">
      <c r="A148">
        <v>2182626</v>
      </c>
      <c r="B148" t="s">
        <v>640</v>
      </c>
      <c r="C148" t="s">
        <v>344</v>
      </c>
      <c r="D148" t="s">
        <v>39</v>
      </c>
      <c r="E148" t="s">
        <v>40</v>
      </c>
      <c r="F148" t="s">
        <v>645</v>
      </c>
      <c r="G148" t="s">
        <v>581</v>
      </c>
      <c r="H148">
        <v>189</v>
      </c>
      <c r="U148" t="s">
        <v>46</v>
      </c>
      <c r="V148" t="s">
        <v>646</v>
      </c>
      <c r="AC148" t="s">
        <v>647</v>
      </c>
      <c r="AF148">
        <v>1002182626</v>
      </c>
      <c r="AG148">
        <v>600191</v>
      </c>
      <c r="AJ148" t="s">
        <v>180</v>
      </c>
      <c r="AK148" t="s">
        <v>61</v>
      </c>
      <c r="AM148" t="str" cm="1">
        <f t="array" ref="AM148">_xlfn.IFS(OR(O148="Persoonlijk",O148="Zoon",O148="Dochter"),P148,OR(Q148="Persoonlijk",Q148="Zoon",Q148="Dochter"),R148,OR(S148="Persoonlijk",S148="Zoon",S148="Dochter"),T148,O148="Vader",P148,Q148="Vader",R148,S148="Vader",T148,O148="Moeder",P148,Q148="Moeder",R148,S148="Moeder",T148,TRUE,IF(P148&lt;&gt;"",P148,IF(R148&lt;&gt;"",R148,IF(T148&lt;&gt;"",T148,""))))</f>
        <v/>
      </c>
      <c r="AN148" t="str" cm="1">
        <f t="array" ref="AN148">_xlfn.LET(_xlpm.raw,_xlfn.IFS(OR(U148="Persoonlijk",U148="Zoon",U148="Dochter"),V148,OR(W148="Persoonlijk",W148="Zoon",W148="Dochter"),X148,OR(Y148="Persoonlijk",Y148="Zoon",Y148="Dochter"),Z148,U148="Vader",V148,W148="Vader",X148,Y148="Vader",Z148,U148="Moeder",V148,W148="Moeder",X148,Y148="Moeder",Z148,TRUE,IF(V148&lt;&gt;"",V148,IF(X148&lt;&gt;"",X148,IF(Z148&lt;&gt;"",Z148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+32495786491</v>
      </c>
    </row>
    <row r="149" spans="1:40" x14ac:dyDescent="0.3">
      <c r="A149">
        <v>2668135</v>
      </c>
      <c r="B149" t="s">
        <v>640</v>
      </c>
      <c r="C149" t="s">
        <v>648</v>
      </c>
      <c r="D149" t="s">
        <v>39</v>
      </c>
      <c r="E149" t="s">
        <v>40</v>
      </c>
      <c r="F149" t="s">
        <v>649</v>
      </c>
      <c r="G149" t="s">
        <v>650</v>
      </c>
      <c r="H149">
        <v>31</v>
      </c>
      <c r="AC149" t="s">
        <v>651</v>
      </c>
      <c r="AF149">
        <v>1002668135</v>
      </c>
      <c r="AG149">
        <v>631328</v>
      </c>
      <c r="AJ149" t="s">
        <v>483</v>
      </c>
      <c r="AK149" t="s">
        <v>61</v>
      </c>
      <c r="AM149" t="str" cm="1">
        <f t="array" ref="AM149">_xlfn.IFS(OR(O149="Persoonlijk",O149="Zoon",O149="Dochter"),P149,OR(Q149="Persoonlijk",Q149="Zoon",Q149="Dochter"),R149,OR(S149="Persoonlijk",S149="Zoon",S149="Dochter"),T149,O149="Vader",P149,Q149="Vader",R149,S149="Vader",T149,O149="Moeder",P149,Q149="Moeder",R149,S149="Moeder",T149,TRUE,IF(P149&lt;&gt;"",P149,IF(R149&lt;&gt;"",R149,IF(T149&lt;&gt;"",T149,""))))</f>
        <v/>
      </c>
      <c r="AN149" t="str" cm="1">
        <f t="array" ref="AN149">_xlfn.LET(_xlpm.raw,_xlfn.IFS(OR(U149="Persoonlijk",U149="Zoon",U149="Dochter"),V149,OR(W149="Persoonlijk",W149="Zoon",W149="Dochter"),X149,OR(Y149="Persoonlijk",Y149="Zoon",Y149="Dochter"),Z149,U149="Vader",V149,W149="Vader",X149,Y149="Vader",Z149,U149="Moeder",V149,W149="Moeder",X149,Y149="Moeder",Z149,TRUE,IF(V149&lt;&gt;"",V149,IF(X149&lt;&gt;"",X149,IF(Z149&lt;&gt;"",Z149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50" spans="1:40" x14ac:dyDescent="0.3">
      <c r="A150">
        <v>10452798</v>
      </c>
      <c r="B150" t="s">
        <v>640</v>
      </c>
      <c r="C150" t="s">
        <v>652</v>
      </c>
      <c r="D150" t="s">
        <v>39</v>
      </c>
      <c r="E150" t="s">
        <v>40</v>
      </c>
      <c r="F150" t="s">
        <v>653</v>
      </c>
      <c r="G150" t="s">
        <v>487</v>
      </c>
      <c r="H150">
        <v>36</v>
      </c>
      <c r="R150" t="s">
        <v>654</v>
      </c>
      <c r="V150" t="s">
        <v>655</v>
      </c>
      <c r="AF150">
        <v>1010452798</v>
      </c>
      <c r="AJ150" t="s">
        <v>656</v>
      </c>
      <c r="AK150" t="s">
        <v>61</v>
      </c>
      <c r="AM150" t="str" cm="1">
        <f t="array" ref="AM150">_xlfn.IFS(OR(O150="Persoonlijk",O150="Zoon",O150="Dochter"),P150,OR(Q150="Persoonlijk",Q150="Zoon",Q150="Dochter"),R150,OR(S150="Persoonlijk",S150="Zoon",S150="Dochter"),T150,O150="Vader",P150,Q150="Vader",R150,S150="Vader",T150,O150="Moeder",P150,Q150="Moeder",R150,S150="Moeder",T150,TRUE,IF(P150&lt;&gt;"",P150,IF(R150&lt;&gt;"",R150,IF(T150&lt;&gt;"",T150,""))))</f>
        <v>freyadesmet@hotmail.com</v>
      </c>
      <c r="AN150" t="str" cm="1">
        <f t="array" ref="AN150">_xlfn.LET(_xlpm.raw,_xlfn.IFS(OR(U150="Persoonlijk",U150="Zoon",U150="Dochter"),V150,OR(W150="Persoonlijk",W150="Zoon",W150="Dochter"),X150,OR(Y150="Persoonlijk",Y150="Zoon",Y150="Dochter"),Z150,U150="Vader",V150,W150="Vader",X150,Y150="Vader",Z150,U150="Moeder",V150,W150="Moeder",X150,Y150="Moeder",Z150,TRUE,IF(V150&lt;&gt;"",V150,IF(X150&lt;&gt;"",X150,IF(Z150&lt;&gt;"",Z150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+32476214551</v>
      </c>
    </row>
    <row r="151" spans="1:40" x14ac:dyDescent="0.3">
      <c r="A151">
        <v>10452798</v>
      </c>
      <c r="B151" t="s">
        <v>640</v>
      </c>
      <c r="C151" t="s">
        <v>652</v>
      </c>
      <c r="D151" t="s">
        <v>39</v>
      </c>
      <c r="E151" t="s">
        <v>40</v>
      </c>
      <c r="F151" t="s">
        <v>653</v>
      </c>
      <c r="G151" t="s">
        <v>487</v>
      </c>
      <c r="H151">
        <v>36</v>
      </c>
      <c r="R151" t="s">
        <v>654</v>
      </c>
      <c r="V151" t="s">
        <v>655</v>
      </c>
      <c r="AF151">
        <v>1010452798</v>
      </c>
      <c r="AJ151" t="s">
        <v>295</v>
      </c>
      <c r="AK151" t="s">
        <v>61</v>
      </c>
      <c r="AM151" t="str" cm="1">
        <f t="array" ref="AM151">_xlfn.IFS(OR(O151="Persoonlijk",O151="Zoon",O151="Dochter"),P151,OR(Q151="Persoonlijk",Q151="Zoon",Q151="Dochter"),R151,OR(S151="Persoonlijk",S151="Zoon",S151="Dochter"),T151,O151="Vader",P151,Q151="Vader",R151,S151="Vader",T151,O151="Moeder",P151,Q151="Moeder",R151,S151="Moeder",T151,TRUE,IF(P151&lt;&gt;"",P151,IF(R151&lt;&gt;"",R151,IF(T151&lt;&gt;"",T151,""))))</f>
        <v>freyadesmet@hotmail.com</v>
      </c>
      <c r="AN151" t="str" cm="1">
        <f t="array" ref="AN151">_xlfn.LET(_xlpm.raw,_xlfn.IFS(OR(U151="Persoonlijk",U151="Zoon",U151="Dochter"),V151,OR(W151="Persoonlijk",W151="Zoon",W151="Dochter"),X151,OR(Y151="Persoonlijk",Y151="Zoon",Y151="Dochter"),Z151,U151="Vader",V151,W151="Vader",X151,Y151="Vader",Z151,U151="Moeder",V151,W151="Moeder",X151,Y151="Moeder",Z151,TRUE,IF(V151&lt;&gt;"",V151,IF(X151&lt;&gt;"",X151,IF(Z151&lt;&gt;"",Z151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+32476214551</v>
      </c>
    </row>
    <row r="152" spans="1:40" x14ac:dyDescent="0.3">
      <c r="A152">
        <v>1932665</v>
      </c>
      <c r="B152" t="s">
        <v>640</v>
      </c>
      <c r="C152" t="s">
        <v>657</v>
      </c>
      <c r="D152" t="s">
        <v>39</v>
      </c>
      <c r="E152" t="s">
        <v>40</v>
      </c>
      <c r="F152" t="s">
        <v>658</v>
      </c>
      <c r="G152" t="s">
        <v>659</v>
      </c>
      <c r="H152">
        <v>22</v>
      </c>
      <c r="I152">
        <v>401</v>
      </c>
      <c r="U152" t="s">
        <v>46</v>
      </c>
      <c r="V152" t="s">
        <v>660</v>
      </c>
      <c r="AC152" t="s">
        <v>661</v>
      </c>
      <c r="AF152">
        <v>1001932665</v>
      </c>
      <c r="AG152">
        <v>250423</v>
      </c>
      <c r="AL152" t="s">
        <v>662</v>
      </c>
      <c r="AM152" t="str" cm="1">
        <f t="array" ref="AM152">_xlfn.IFS(OR(O152="Persoonlijk",O152="Zoon",O152="Dochter"),P152,OR(Q152="Persoonlijk",Q152="Zoon",Q152="Dochter"),R152,OR(S152="Persoonlijk",S152="Zoon",S152="Dochter"),T152,O152="Vader",P152,Q152="Vader",R152,S152="Vader",T152,O152="Moeder",P152,Q152="Moeder",R152,S152="Moeder",T152,TRUE,IF(P152&lt;&gt;"",P152,IF(R152&lt;&gt;"",R152,IF(T152&lt;&gt;"",T152,""))))</f>
        <v/>
      </c>
      <c r="AN152" t="str" cm="1">
        <f t="array" ref="AN152">_xlfn.LET(_xlpm.raw,_xlfn.IFS(OR(U152="Persoonlijk",U152="Zoon",U152="Dochter"),V152,OR(W152="Persoonlijk",W152="Zoon",W152="Dochter"),X152,OR(Y152="Persoonlijk",Y152="Zoon",Y152="Dochter"),Z152,U152="Vader",V152,W152="Vader",X152,Y152="Vader",Z152,U152="Moeder",V152,W152="Moeder",X152,Y152="Moeder",Z152,TRUE,IF(V152&lt;&gt;"",V152,IF(X152&lt;&gt;"",X152,IF(Z152&lt;&gt;"",Z152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+32475797952</v>
      </c>
    </row>
    <row r="153" spans="1:40" x14ac:dyDescent="0.3">
      <c r="A153">
        <v>1932665</v>
      </c>
      <c r="B153" t="s">
        <v>640</v>
      </c>
      <c r="C153" t="s">
        <v>657</v>
      </c>
      <c r="D153" t="s">
        <v>39</v>
      </c>
      <c r="E153" t="s">
        <v>40</v>
      </c>
      <c r="F153" t="s">
        <v>658</v>
      </c>
      <c r="G153" t="s">
        <v>659</v>
      </c>
      <c r="H153">
        <v>22</v>
      </c>
      <c r="I153">
        <v>401</v>
      </c>
      <c r="U153" t="s">
        <v>46</v>
      </c>
      <c r="V153" t="s">
        <v>660</v>
      </c>
      <c r="AC153" t="s">
        <v>661</v>
      </c>
      <c r="AF153">
        <v>1001932665</v>
      </c>
      <c r="AG153">
        <v>250423</v>
      </c>
      <c r="AL153" t="s">
        <v>663</v>
      </c>
      <c r="AM153" t="str" cm="1">
        <f t="array" ref="AM153">_xlfn.IFS(OR(O153="Persoonlijk",O153="Zoon",O153="Dochter"),P153,OR(Q153="Persoonlijk",Q153="Zoon",Q153="Dochter"),R153,OR(S153="Persoonlijk",S153="Zoon",S153="Dochter"),T153,O153="Vader",P153,Q153="Vader",R153,S153="Vader",T153,O153="Moeder",P153,Q153="Moeder",R153,S153="Moeder",T153,TRUE,IF(P153&lt;&gt;"",P153,IF(R153&lt;&gt;"",R153,IF(T153&lt;&gt;"",T153,""))))</f>
        <v/>
      </c>
      <c r="AN153" t="str" cm="1">
        <f t="array" ref="AN153">_xlfn.LET(_xlpm.raw,_xlfn.IFS(OR(U153="Persoonlijk",U153="Zoon",U153="Dochter"),V153,OR(W153="Persoonlijk",W153="Zoon",W153="Dochter"),X153,OR(Y153="Persoonlijk",Y153="Zoon",Y153="Dochter"),Z153,U153="Vader",V153,W153="Vader",X153,Y153="Vader",Z153,U153="Moeder",V153,W153="Moeder",X153,Y153="Moeder",Z153,TRUE,IF(V153&lt;&gt;"",V153,IF(X153&lt;&gt;"",X153,IF(Z153&lt;&gt;"",Z153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+32475797952</v>
      </c>
    </row>
    <row r="154" spans="1:40" x14ac:dyDescent="0.3">
      <c r="A154">
        <v>4080388</v>
      </c>
      <c r="B154" t="s">
        <v>664</v>
      </c>
      <c r="C154" t="s">
        <v>665</v>
      </c>
      <c r="D154" t="s">
        <v>39</v>
      </c>
      <c r="E154" t="s">
        <v>49</v>
      </c>
      <c r="F154" t="s">
        <v>666</v>
      </c>
      <c r="G154" t="s">
        <v>667</v>
      </c>
      <c r="H154">
        <v>5</v>
      </c>
      <c r="Q154" t="s">
        <v>51</v>
      </c>
      <c r="R154" t="s">
        <v>668</v>
      </c>
      <c r="U154" t="s">
        <v>53</v>
      </c>
      <c r="V154" t="s">
        <v>669</v>
      </c>
      <c r="W154" t="s">
        <v>51</v>
      </c>
      <c r="X154">
        <v>32479655812</v>
      </c>
      <c r="AD154">
        <v>14</v>
      </c>
      <c r="AF154">
        <v>1004080388</v>
      </c>
      <c r="AJ154" t="s">
        <v>97</v>
      </c>
      <c r="AK154" t="s">
        <v>61</v>
      </c>
      <c r="AM154" t="str" cm="1">
        <f t="array" ref="AM154">_xlfn.IFS(OR(O154="Persoonlijk",O154="Zoon",O154="Dochter"),P154,OR(Q154="Persoonlijk",Q154="Zoon",Q154="Dochter"),R154,OR(S154="Persoonlijk",S154="Zoon",S154="Dochter"),T154,O154="Vader",P154,Q154="Vader",R154,S154="Vader",T154,O154="Moeder",P154,Q154="Moeder",R154,S154="Moeder",T154,TRUE,IF(P154&lt;&gt;"",P154,IF(R154&lt;&gt;"",R154,IF(T154&lt;&gt;"",T154,""))))</f>
        <v>Achimdecoen@hotmail.com</v>
      </c>
      <c r="AN154" t="str" cm="1">
        <f t="array" ref="AN154">_xlfn.LET(_xlpm.raw,_xlfn.IFS(OR(U154="Persoonlijk",U154="Zoon",U154="Dochter"),V154,OR(W154="Persoonlijk",W154="Zoon",W154="Dochter"),X154,OR(Y154="Persoonlijk",Y154="Zoon",Y154="Dochter"),Z154,U154="Vader",V154,W154="Vader",X154,Y154="Vader",Z154,U154="Moeder",V154,W154="Moeder",X154,Y154="Moeder",Z154,TRUE,IF(V154&lt;&gt;"",V154,IF(X154&lt;&gt;"",X154,IF(Z154&lt;&gt;"",Z154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+32479655812</v>
      </c>
    </row>
    <row r="155" spans="1:40" x14ac:dyDescent="0.3">
      <c r="A155">
        <v>2182631</v>
      </c>
      <c r="B155" t="s">
        <v>670</v>
      </c>
      <c r="C155" t="s">
        <v>671</v>
      </c>
      <c r="D155" t="s">
        <v>39</v>
      </c>
      <c r="E155" t="s">
        <v>40</v>
      </c>
      <c r="F155" t="s">
        <v>672</v>
      </c>
      <c r="G155" t="s">
        <v>673</v>
      </c>
      <c r="H155">
        <v>50</v>
      </c>
      <c r="V155">
        <v>320472679659</v>
      </c>
      <c r="AC155" t="s">
        <v>674</v>
      </c>
      <c r="AF155">
        <v>1002182631</v>
      </c>
      <c r="AG155">
        <v>630887</v>
      </c>
      <c r="AM155" t="str" cm="1">
        <f t="array" ref="AM155">_xlfn.IFS(OR(O155="Persoonlijk",O155="Zoon",O155="Dochter"),P155,OR(Q155="Persoonlijk",Q155="Zoon",Q155="Dochter"),R155,OR(S155="Persoonlijk",S155="Zoon",S155="Dochter"),T155,O155="Vader",P155,Q155="Vader",R155,S155="Vader",T155,O155="Moeder",P155,Q155="Moeder",R155,S155="Moeder",T155,TRUE,IF(P155&lt;&gt;"",P155,IF(R155&lt;&gt;"",R155,IF(T155&lt;&gt;"",T155,""))))</f>
        <v/>
      </c>
      <c r="AN155" t="str" cm="1">
        <f t="array" ref="AN155">_xlfn.LET(_xlpm.raw,_xlfn.IFS(OR(U155="Persoonlijk",U155="Zoon",U155="Dochter"),V155,OR(W155="Persoonlijk",W155="Zoon",W155="Dochter"),X155,OR(Y155="Persoonlijk",Y155="Zoon",Y155="Dochter"),Z155,U155="Vader",V155,W155="Vader",X155,Y155="Vader",Z155,U155="Moeder",V155,W155="Moeder",X155,Y155="Moeder",Z155,TRUE,IF(V155&lt;&gt;"",V155,IF(X155&lt;&gt;"",X155,IF(Z155&lt;&gt;"",Z155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+32472679659</v>
      </c>
    </row>
    <row r="156" spans="1:40" x14ac:dyDescent="0.3">
      <c r="A156">
        <v>6109371</v>
      </c>
      <c r="B156" t="s">
        <v>675</v>
      </c>
      <c r="C156" t="s">
        <v>676</v>
      </c>
      <c r="D156" t="s">
        <v>39</v>
      </c>
      <c r="E156" t="s">
        <v>49</v>
      </c>
      <c r="F156" t="s">
        <v>677</v>
      </c>
      <c r="G156" t="s">
        <v>678</v>
      </c>
      <c r="H156">
        <v>39</v>
      </c>
      <c r="Q156" t="s">
        <v>53</v>
      </c>
      <c r="R156" t="s">
        <v>679</v>
      </c>
      <c r="U156" t="s">
        <v>51</v>
      </c>
      <c r="V156" t="s">
        <v>680</v>
      </c>
      <c r="AF156">
        <v>1006109371</v>
      </c>
      <c r="AM156" t="str" cm="1">
        <f t="array" ref="AM156">_xlfn.IFS(OR(O156="Persoonlijk",O156="Zoon",O156="Dochter"),P156,OR(Q156="Persoonlijk",Q156="Zoon",Q156="Dochter"),R156,OR(S156="Persoonlijk",S156="Zoon",S156="Dochter"),T156,O156="Vader",P156,Q156="Vader",R156,S156="Vader",T156,O156="Moeder",P156,Q156="Moeder",R156,S156="Moeder",T156,TRUE,IF(P156&lt;&gt;"",P156,IF(R156&lt;&gt;"",R156,IF(T156&lt;&gt;"",T156,""))))</f>
        <v>kinoo.astrid@hotmail.com</v>
      </c>
      <c r="AN156" t="str" cm="1">
        <f t="array" ref="AN156">_xlfn.LET(_xlpm.raw,_xlfn.IFS(OR(U156="Persoonlijk",U156="Zoon",U156="Dochter"),V156,OR(W156="Persoonlijk",W156="Zoon",W156="Dochter"),X156,OR(Y156="Persoonlijk",Y156="Zoon",Y156="Dochter"),Z156,U156="Vader",V156,W156="Vader",X156,Y156="Vader",Z156,U156="Moeder",V156,W156="Moeder",X156,Y156="Moeder",Z156,TRUE,IF(V156&lt;&gt;"",V156,IF(X156&lt;&gt;"",X156,IF(Z156&lt;&gt;"",Z156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+32489941519</v>
      </c>
    </row>
    <row r="157" spans="1:40" x14ac:dyDescent="0.3">
      <c r="A157">
        <v>7279153</v>
      </c>
      <c r="B157" t="s">
        <v>675</v>
      </c>
      <c r="C157" t="s">
        <v>681</v>
      </c>
      <c r="D157" t="s">
        <v>39</v>
      </c>
      <c r="E157" t="s">
        <v>49</v>
      </c>
      <c r="F157" t="s">
        <v>682</v>
      </c>
      <c r="G157" t="s">
        <v>683</v>
      </c>
      <c r="H157">
        <v>2</v>
      </c>
      <c r="Q157" t="s">
        <v>51</v>
      </c>
      <c r="R157" t="s">
        <v>684</v>
      </c>
      <c r="U157" t="s">
        <v>53</v>
      </c>
      <c r="V157" t="s">
        <v>685</v>
      </c>
      <c r="W157" t="s">
        <v>51</v>
      </c>
      <c r="X157" t="s">
        <v>686</v>
      </c>
      <c r="AC157" t="s">
        <v>687</v>
      </c>
      <c r="AF157">
        <v>1007279153</v>
      </c>
      <c r="AG157">
        <v>762628</v>
      </c>
      <c r="AJ157" t="s">
        <v>174</v>
      </c>
      <c r="AK157" t="s">
        <v>61</v>
      </c>
      <c r="AM157" t="str" cm="1">
        <f t="array" ref="AM157">_xlfn.IFS(OR(O157="Persoonlijk",O157="Zoon",O157="Dochter"),P157,OR(Q157="Persoonlijk",Q157="Zoon",Q157="Dochter"),R157,OR(S157="Persoonlijk",S157="Zoon",S157="Dochter"),T157,O157="Vader",P157,Q157="Vader",R157,S157="Vader",T157,O157="Moeder",P157,Q157="Moeder",R157,S157="Moeder",T157,TRUE,IF(P157&lt;&gt;"",P157,IF(R157&lt;&gt;"",R157,IF(T157&lt;&gt;"",T157,""))))</f>
        <v>joosdeconinck@hotmail.com</v>
      </c>
      <c r="AN157" t="str" cm="1">
        <f t="array" ref="AN157">_xlfn.LET(_xlpm.raw,_xlfn.IFS(OR(U157="Persoonlijk",U157="Zoon",U157="Dochter"),V157,OR(W157="Persoonlijk",W157="Zoon",W157="Dochter"),X157,OR(Y157="Persoonlijk",Y157="Zoon",Y157="Dochter"),Z157,U157="Vader",V157,W157="Vader",X157,Y157="Vader",Z157,U157="Moeder",V157,W157="Moeder",X157,Y157="Moeder",Z157,TRUE,IF(V157&lt;&gt;"",V157,IF(X157&lt;&gt;"",X157,IF(Z157&lt;&gt;"",Z157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+32479602944</v>
      </c>
    </row>
    <row r="158" spans="1:40" x14ac:dyDescent="0.3">
      <c r="A158">
        <v>2182636</v>
      </c>
      <c r="B158" t="s">
        <v>688</v>
      </c>
      <c r="C158" t="s">
        <v>689</v>
      </c>
      <c r="D158" t="s">
        <v>39</v>
      </c>
      <c r="E158" t="s">
        <v>40</v>
      </c>
      <c r="F158" t="s">
        <v>690</v>
      </c>
      <c r="G158" t="s">
        <v>691</v>
      </c>
      <c r="H158">
        <v>34</v>
      </c>
      <c r="Q158" t="s">
        <v>53</v>
      </c>
      <c r="R158" t="s">
        <v>692</v>
      </c>
      <c r="U158" t="s">
        <v>46</v>
      </c>
      <c r="V158">
        <v>32468280854</v>
      </c>
      <c r="W158" t="s">
        <v>53</v>
      </c>
      <c r="X158">
        <v>32472666182</v>
      </c>
      <c r="AC158" t="s">
        <v>693</v>
      </c>
      <c r="AE158" t="s">
        <v>694</v>
      </c>
      <c r="AF158">
        <v>1002182636</v>
      </c>
      <c r="AG158">
        <v>717356</v>
      </c>
      <c r="AJ158" t="s">
        <v>143</v>
      </c>
      <c r="AK158" t="s">
        <v>61</v>
      </c>
      <c r="AL158" t="s">
        <v>62</v>
      </c>
      <c r="AM158" t="str" cm="1">
        <f t="array" ref="AM158">_xlfn.IFS(OR(O158="Persoonlijk",O158="Zoon",O158="Dochter"),P158,OR(Q158="Persoonlijk",Q158="Zoon",Q158="Dochter"),R158,OR(S158="Persoonlijk",S158="Zoon",S158="Dochter"),T158,O158="Vader",P158,Q158="Vader",R158,S158="Vader",T158,O158="Moeder",P158,Q158="Moeder",R158,S158="Moeder",T158,TRUE,IF(P158&lt;&gt;"",P158,IF(R158&lt;&gt;"",R158,IF(T158&lt;&gt;"",T158,""))))</f>
        <v>kristien.vdv@telenet.be</v>
      </c>
      <c r="AN158" t="str" cm="1">
        <f t="array" ref="AN158">_xlfn.LET(_xlpm.raw,_xlfn.IFS(OR(U158="Persoonlijk",U158="Zoon",U158="Dochter"),V158,OR(W158="Persoonlijk",W158="Zoon",W158="Dochter"),X158,OR(Y158="Persoonlijk",Y158="Zoon",Y158="Dochter"),Z158,U158="Vader",V158,W158="Vader",X158,Y158="Vader",Z158,U158="Moeder",V158,W158="Moeder",X158,Y158="Moeder",Z158,TRUE,IF(V158&lt;&gt;"",V158,IF(X158&lt;&gt;"",X158,IF(Z158&lt;&gt;"",Z158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+32468280854</v>
      </c>
    </row>
    <row r="159" spans="1:40" x14ac:dyDescent="0.3">
      <c r="A159">
        <v>2182636</v>
      </c>
      <c r="B159" t="s">
        <v>688</v>
      </c>
      <c r="C159" t="s">
        <v>689</v>
      </c>
      <c r="D159" t="s">
        <v>39</v>
      </c>
      <c r="E159" t="s">
        <v>40</v>
      </c>
      <c r="F159" t="s">
        <v>690</v>
      </c>
      <c r="G159" t="s">
        <v>691</v>
      </c>
      <c r="H159">
        <v>34</v>
      </c>
      <c r="Q159" t="s">
        <v>53</v>
      </c>
      <c r="R159" t="s">
        <v>692</v>
      </c>
      <c r="U159" t="s">
        <v>46</v>
      </c>
      <c r="V159">
        <v>32468280854</v>
      </c>
      <c r="W159" t="s">
        <v>53</v>
      </c>
      <c r="X159">
        <v>32472666182</v>
      </c>
      <c r="AC159" t="s">
        <v>693</v>
      </c>
      <c r="AE159" t="s">
        <v>694</v>
      </c>
      <c r="AF159">
        <v>1002182636</v>
      </c>
      <c r="AG159">
        <v>717356</v>
      </c>
      <c r="AJ159" t="s">
        <v>63</v>
      </c>
      <c r="AK159" t="s">
        <v>61</v>
      </c>
      <c r="AM159" t="str" cm="1">
        <f t="array" ref="AM159">_xlfn.IFS(OR(O159="Persoonlijk",O159="Zoon",O159="Dochter"),P159,OR(Q159="Persoonlijk",Q159="Zoon",Q159="Dochter"),R159,OR(S159="Persoonlijk",S159="Zoon",S159="Dochter"),T159,O159="Vader",P159,Q159="Vader",R159,S159="Vader",T159,O159="Moeder",P159,Q159="Moeder",R159,S159="Moeder",T159,TRUE,IF(P159&lt;&gt;"",P159,IF(R159&lt;&gt;"",R159,IF(T159&lt;&gt;"",T159,""))))</f>
        <v>kristien.vdv@telenet.be</v>
      </c>
      <c r="AN159" t="str" cm="1">
        <f t="array" ref="AN159">_xlfn.LET(_xlpm.raw,_xlfn.IFS(OR(U159="Persoonlijk",U159="Zoon",U159="Dochter"),V159,OR(W159="Persoonlijk",W159="Zoon",W159="Dochter"),X159,OR(Y159="Persoonlijk",Y159="Zoon",Y159="Dochter"),Z159,U159="Vader",V159,W159="Vader",X159,Y159="Vader",Z159,U159="Moeder",V159,W159="Moeder",X159,Y159="Moeder",Z159,TRUE,IF(V159&lt;&gt;"",V159,IF(X159&lt;&gt;"",X159,IF(Z159&lt;&gt;"",Z159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+32468280854</v>
      </c>
    </row>
    <row r="160" spans="1:40" x14ac:dyDescent="0.3">
      <c r="A160">
        <v>2182641</v>
      </c>
      <c r="B160" t="s">
        <v>688</v>
      </c>
      <c r="C160" t="s">
        <v>695</v>
      </c>
      <c r="D160" t="s">
        <v>39</v>
      </c>
      <c r="E160" t="s">
        <v>40</v>
      </c>
      <c r="F160" t="s">
        <v>696</v>
      </c>
      <c r="G160" t="s">
        <v>691</v>
      </c>
      <c r="H160">
        <v>34</v>
      </c>
      <c r="Q160" t="s">
        <v>53</v>
      </c>
      <c r="R160" t="s">
        <v>697</v>
      </c>
      <c r="U160" t="s">
        <v>46</v>
      </c>
      <c r="V160">
        <v>32490195438</v>
      </c>
      <c r="W160" t="s">
        <v>53</v>
      </c>
      <c r="X160">
        <v>32472666182</v>
      </c>
      <c r="AC160" t="s">
        <v>698</v>
      </c>
      <c r="AE160" t="s">
        <v>699</v>
      </c>
      <c r="AF160">
        <v>1002182641</v>
      </c>
      <c r="AG160">
        <v>708695</v>
      </c>
      <c r="AJ160" t="s">
        <v>121</v>
      </c>
      <c r="AK160" t="s">
        <v>61</v>
      </c>
      <c r="AL160" t="s">
        <v>62</v>
      </c>
      <c r="AM160" t="str" cm="1">
        <f t="array" ref="AM160">_xlfn.IFS(OR(O160="Persoonlijk",O160="Zoon",O160="Dochter"),P160,OR(Q160="Persoonlijk",Q160="Zoon",Q160="Dochter"),R160,OR(S160="Persoonlijk",S160="Zoon",S160="Dochter"),T160,O160="Vader",P160,Q160="Vader",R160,S160="Vader",T160,O160="Moeder",P160,Q160="Moeder",R160,S160="Moeder",T160,TRUE,IF(P160&lt;&gt;"",P160,IF(R160&lt;&gt;"",R160,IF(T160&lt;&gt;"",T160,""))))</f>
        <v>kristien@coussies.be</v>
      </c>
      <c r="AN160" t="str" cm="1">
        <f t="array" ref="AN160">_xlfn.LET(_xlpm.raw,_xlfn.IFS(OR(U160="Persoonlijk",U160="Zoon",U160="Dochter"),V160,OR(W160="Persoonlijk",W160="Zoon",W160="Dochter"),X160,OR(Y160="Persoonlijk",Y160="Zoon",Y160="Dochter"),Z160,U160="Vader",V160,W160="Vader",X160,Y160="Vader",Z160,U160="Moeder",V160,W160="Moeder",X160,Y160="Moeder",Z160,TRUE,IF(V160&lt;&gt;"",V160,IF(X160&lt;&gt;"",X160,IF(Z160&lt;&gt;"",Z160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+32490195438</v>
      </c>
    </row>
    <row r="161" spans="1:40" x14ac:dyDescent="0.3">
      <c r="A161">
        <v>2182641</v>
      </c>
      <c r="B161" t="s">
        <v>688</v>
      </c>
      <c r="C161" t="s">
        <v>695</v>
      </c>
      <c r="D161" t="s">
        <v>39</v>
      </c>
      <c r="E161" t="s">
        <v>40</v>
      </c>
      <c r="F161" t="s">
        <v>696</v>
      </c>
      <c r="G161" t="s">
        <v>691</v>
      </c>
      <c r="H161">
        <v>34</v>
      </c>
      <c r="Q161" t="s">
        <v>53</v>
      </c>
      <c r="R161" t="s">
        <v>697</v>
      </c>
      <c r="U161" t="s">
        <v>46</v>
      </c>
      <c r="V161">
        <v>32490195438</v>
      </c>
      <c r="W161" t="s">
        <v>53</v>
      </c>
      <c r="X161">
        <v>32472666182</v>
      </c>
      <c r="AC161" t="s">
        <v>698</v>
      </c>
      <c r="AE161" t="s">
        <v>699</v>
      </c>
      <c r="AF161">
        <v>1002182641</v>
      </c>
      <c r="AG161">
        <v>708695</v>
      </c>
      <c r="AJ161" t="s">
        <v>63</v>
      </c>
      <c r="AK161" t="s">
        <v>61</v>
      </c>
      <c r="AM161" t="str" cm="1">
        <f t="array" ref="AM161">_xlfn.IFS(OR(O161="Persoonlijk",O161="Zoon",O161="Dochter"),P161,OR(Q161="Persoonlijk",Q161="Zoon",Q161="Dochter"),R161,OR(S161="Persoonlijk",S161="Zoon",S161="Dochter"),T161,O161="Vader",P161,Q161="Vader",R161,S161="Vader",T161,O161="Moeder",P161,Q161="Moeder",R161,S161="Moeder",T161,TRUE,IF(P161&lt;&gt;"",P161,IF(R161&lt;&gt;"",R161,IF(T161&lt;&gt;"",T161,""))))</f>
        <v>kristien@coussies.be</v>
      </c>
      <c r="AN161" t="str" cm="1">
        <f t="array" ref="AN161">_xlfn.LET(_xlpm.raw,_xlfn.IFS(OR(U161="Persoonlijk",U161="Zoon",U161="Dochter"),V161,OR(W161="Persoonlijk",W161="Zoon",W161="Dochter"),X161,OR(Y161="Persoonlijk",Y161="Zoon",Y161="Dochter"),Z161,U161="Vader",V161,W161="Vader",X161,Y161="Vader",Z161,U161="Moeder",V161,W161="Moeder",X161,Y161="Moeder",Z161,TRUE,IF(V161&lt;&gt;"",V161,IF(X161&lt;&gt;"",X161,IF(Z161&lt;&gt;"",Z161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+32490195438</v>
      </c>
    </row>
    <row r="162" spans="1:40" x14ac:dyDescent="0.3">
      <c r="A162">
        <v>10452733</v>
      </c>
      <c r="B162" t="s">
        <v>700</v>
      </c>
      <c r="C162" t="s">
        <v>701</v>
      </c>
      <c r="D162" t="s">
        <v>39</v>
      </c>
      <c r="E162" t="s">
        <v>49</v>
      </c>
      <c r="F162" t="s">
        <v>702</v>
      </c>
      <c r="G162" t="s">
        <v>703</v>
      </c>
      <c r="H162">
        <v>27</v>
      </c>
      <c r="R162" t="s">
        <v>704</v>
      </c>
      <c r="V162" t="s">
        <v>705</v>
      </c>
      <c r="X162" t="s">
        <v>706</v>
      </c>
      <c r="AF162">
        <v>1010452733</v>
      </c>
      <c r="AJ162" t="s">
        <v>442</v>
      </c>
      <c r="AK162" t="s">
        <v>61</v>
      </c>
      <c r="AM162" t="str" cm="1">
        <f t="array" ref="AM162">_xlfn.IFS(OR(O162="Persoonlijk",O162="Zoon",O162="Dochter"),P162,OR(Q162="Persoonlijk",Q162="Zoon",Q162="Dochter"),R162,OR(S162="Persoonlijk",S162="Zoon",S162="Dochter"),T162,O162="Vader",P162,Q162="Vader",R162,S162="Vader",T162,O162="Moeder",P162,Q162="Moeder",R162,S162="Moeder",T162,TRUE,IF(P162&lt;&gt;"",P162,IF(R162&lt;&gt;"",R162,IF(T162&lt;&gt;"",T162,""))))</f>
        <v>hoebekehanne@gmail.com</v>
      </c>
      <c r="AN162" t="str" cm="1">
        <f t="array" ref="AN162">_xlfn.LET(_xlpm.raw,_xlfn.IFS(OR(U162="Persoonlijk",U162="Zoon",U162="Dochter"),V162,OR(W162="Persoonlijk",W162="Zoon",W162="Dochter"),X162,OR(Y162="Persoonlijk",Y162="Zoon",Y162="Dochter"),Z162,U162="Vader",V162,W162="Vader",X162,Y162="Vader",Z162,U162="Moeder",V162,W162="Moeder",X162,Y162="Moeder",Z162,TRUE,IF(V162&lt;&gt;"",V162,IF(X162&lt;&gt;"",X162,IF(Z162&lt;&gt;"",Z162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+32473630733</v>
      </c>
    </row>
    <row r="163" spans="1:40" x14ac:dyDescent="0.3">
      <c r="A163">
        <v>7992432</v>
      </c>
      <c r="B163" t="s">
        <v>700</v>
      </c>
      <c r="C163" t="s">
        <v>707</v>
      </c>
      <c r="D163" t="s">
        <v>39</v>
      </c>
      <c r="E163" t="s">
        <v>49</v>
      </c>
      <c r="F163" t="s">
        <v>708</v>
      </c>
      <c r="G163" t="s">
        <v>703</v>
      </c>
      <c r="H163">
        <v>27</v>
      </c>
      <c r="R163" t="s">
        <v>704</v>
      </c>
      <c r="V163" t="s">
        <v>705</v>
      </c>
      <c r="X163" t="s">
        <v>706</v>
      </c>
      <c r="AE163" t="s">
        <v>709</v>
      </c>
      <c r="AF163">
        <v>1007992432</v>
      </c>
      <c r="AJ163" t="s">
        <v>192</v>
      </c>
      <c r="AK163" t="s">
        <v>61</v>
      </c>
      <c r="AM163" t="str" cm="1">
        <f t="array" ref="AM163">_xlfn.IFS(OR(O163="Persoonlijk",O163="Zoon",O163="Dochter"),P163,OR(Q163="Persoonlijk",Q163="Zoon",Q163="Dochter"),R163,OR(S163="Persoonlijk",S163="Zoon",S163="Dochter"),T163,O163="Vader",P163,Q163="Vader",R163,S163="Vader",T163,O163="Moeder",P163,Q163="Moeder",R163,S163="Moeder",T163,TRUE,IF(P163&lt;&gt;"",P163,IF(R163&lt;&gt;"",R163,IF(T163&lt;&gt;"",T163,""))))</f>
        <v>hoebekehanne@gmail.com</v>
      </c>
      <c r="AN163" t="str" cm="1">
        <f t="array" ref="AN163">_xlfn.LET(_xlpm.raw,_xlfn.IFS(OR(U163="Persoonlijk",U163="Zoon",U163="Dochter"),V163,OR(W163="Persoonlijk",W163="Zoon",W163="Dochter"),X163,OR(Y163="Persoonlijk",Y163="Zoon",Y163="Dochter"),Z163,U163="Vader",V163,W163="Vader",X163,Y163="Vader",Z163,U163="Moeder",V163,W163="Moeder",X163,Y163="Moeder",Z163,TRUE,IF(V163&lt;&gt;"",V163,IF(X163&lt;&gt;"",X163,IF(Z163&lt;&gt;"",Z163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+32473630733</v>
      </c>
    </row>
    <row r="164" spans="1:40" x14ac:dyDescent="0.3">
      <c r="A164">
        <v>7663442</v>
      </c>
      <c r="B164" t="s">
        <v>710</v>
      </c>
      <c r="C164" t="s">
        <v>711</v>
      </c>
      <c r="D164" t="s">
        <v>39</v>
      </c>
      <c r="E164" t="s">
        <v>49</v>
      </c>
      <c r="F164" t="s">
        <v>712</v>
      </c>
      <c r="G164" t="s">
        <v>713</v>
      </c>
      <c r="H164">
        <v>7</v>
      </c>
      <c r="U164" t="s">
        <v>53</v>
      </c>
      <c r="V164" t="s">
        <v>714</v>
      </c>
      <c r="AC164" t="s">
        <v>715</v>
      </c>
      <c r="AE164" t="s">
        <v>716</v>
      </c>
      <c r="AF164">
        <v>1007663442</v>
      </c>
      <c r="AG164">
        <v>766478</v>
      </c>
      <c r="AJ164" t="s">
        <v>174</v>
      </c>
      <c r="AK164" t="s">
        <v>61</v>
      </c>
      <c r="AM164" t="str" cm="1">
        <f t="array" ref="AM164">_xlfn.IFS(OR(O164="Persoonlijk",O164="Zoon",O164="Dochter"),P164,OR(Q164="Persoonlijk",Q164="Zoon",Q164="Dochter"),R164,OR(S164="Persoonlijk",S164="Zoon",S164="Dochter"),T164,O164="Vader",P164,Q164="Vader",R164,S164="Vader",T164,O164="Moeder",P164,Q164="Moeder",R164,S164="Moeder",T164,TRUE,IF(P164&lt;&gt;"",P164,IF(R164&lt;&gt;"",R164,IF(T164&lt;&gt;"",T164,""))))</f>
        <v/>
      </c>
      <c r="AN164" t="str" cm="1">
        <f t="array" ref="AN164">_xlfn.LET(_xlpm.raw,_xlfn.IFS(OR(U164="Persoonlijk",U164="Zoon",U164="Dochter"),V164,OR(W164="Persoonlijk",W164="Zoon",W164="Dochter"),X164,OR(Y164="Persoonlijk",Y164="Zoon",Y164="Dochter"),Z164,U164="Vader",V164,W164="Vader",X164,Y164="Vader",Z164,U164="Moeder",V164,W164="Moeder",X164,Y164="Moeder",Z164,TRUE,IF(V164&lt;&gt;"",V164,IF(X164&lt;&gt;"",X164,IF(Z164&lt;&gt;"",Z164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+32498363470</v>
      </c>
    </row>
    <row r="165" spans="1:40" x14ac:dyDescent="0.3">
      <c r="A165">
        <v>2182646</v>
      </c>
      <c r="B165" t="s">
        <v>717</v>
      </c>
      <c r="C165" t="s">
        <v>718</v>
      </c>
      <c r="D165" t="s">
        <v>39</v>
      </c>
      <c r="E165" t="s">
        <v>40</v>
      </c>
      <c r="F165" t="s">
        <v>719</v>
      </c>
      <c r="G165" t="s">
        <v>720</v>
      </c>
      <c r="H165">
        <v>39</v>
      </c>
      <c r="U165" t="s">
        <v>46</v>
      </c>
      <c r="V165">
        <v>486971134</v>
      </c>
      <c r="AC165" t="s">
        <v>721</v>
      </c>
      <c r="AF165">
        <v>1002182646</v>
      </c>
      <c r="AG165">
        <v>219616</v>
      </c>
      <c r="AM165" t="str" cm="1">
        <f t="array" ref="AM165">_xlfn.IFS(OR(O165="Persoonlijk",O165="Zoon",O165="Dochter"),P165,OR(Q165="Persoonlijk",Q165="Zoon",Q165="Dochter"),R165,OR(S165="Persoonlijk",S165="Zoon",S165="Dochter"),T165,O165="Vader",P165,Q165="Vader",R165,S165="Vader",T165,O165="Moeder",P165,Q165="Moeder",R165,S165="Moeder",T165,TRUE,IF(P165&lt;&gt;"",P165,IF(R165&lt;&gt;"",R165,IF(T165&lt;&gt;"",T165,""))))</f>
        <v/>
      </c>
      <c r="AN165" t="str" cm="1">
        <f t="array" ref="AN165">_xlfn.LET(_xlpm.raw,_xlfn.IFS(OR(U165="Persoonlijk",U165="Zoon",U165="Dochter"),V165,OR(W165="Persoonlijk",W165="Zoon",W165="Dochter"),X165,OR(Y165="Persoonlijk",Y165="Zoon",Y165="Dochter"),Z165,U165="Vader",V165,W165="Vader",X165,Y165="Vader",Z165,U165="Moeder",V165,W165="Moeder",X165,Y165="Moeder",Z165,TRUE,IF(V165&lt;&gt;"",V165,IF(X165&lt;&gt;"",X165,IF(Z165&lt;&gt;"",Z165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+32486971134</v>
      </c>
    </row>
    <row r="166" spans="1:40" x14ac:dyDescent="0.3">
      <c r="A166">
        <v>2182651</v>
      </c>
      <c r="B166" t="s">
        <v>722</v>
      </c>
      <c r="C166" t="s">
        <v>413</v>
      </c>
      <c r="D166" t="s">
        <v>39</v>
      </c>
      <c r="E166" t="s">
        <v>40</v>
      </c>
      <c r="F166" t="s">
        <v>723</v>
      </c>
      <c r="G166" t="s">
        <v>724</v>
      </c>
      <c r="H166">
        <v>4</v>
      </c>
      <c r="R166" t="s">
        <v>725</v>
      </c>
      <c r="AA166">
        <v>0</v>
      </c>
      <c r="AF166">
        <v>1002182651</v>
      </c>
      <c r="AM166" t="str" cm="1">
        <f t="array" ref="AM166">_xlfn.IFS(OR(O166="Persoonlijk",O166="Zoon",O166="Dochter"),P166,OR(Q166="Persoonlijk",Q166="Zoon",Q166="Dochter"),R166,OR(S166="Persoonlijk",S166="Zoon",S166="Dochter"),T166,O166="Vader",P166,Q166="Vader",R166,S166="Vader",T166,O166="Moeder",P166,Q166="Moeder",R166,S166="Moeder",T166,TRUE,IF(P166&lt;&gt;"",P166,IF(R166&lt;&gt;"",R166,IF(T166&lt;&gt;"",T166,""))))</f>
        <v>maritadeclercq@gmail.com</v>
      </c>
      <c r="AN166" t="str" cm="1">
        <f t="array" ref="AN166">_xlfn.LET(_xlpm.raw,_xlfn.IFS(OR(U166="Persoonlijk",U166="Zoon",U166="Dochter"),V166,OR(W166="Persoonlijk",W166="Zoon",W166="Dochter"),X166,OR(Y166="Persoonlijk",Y166="Zoon",Y166="Dochter"),Z166,U166="Vader",V166,W166="Vader",X166,Y166="Vader",Z166,U166="Moeder",V166,W166="Moeder",X166,Y166="Moeder",Z166,TRUE,IF(V166&lt;&gt;"",V166,IF(X166&lt;&gt;"",X166,IF(Z166&lt;&gt;"",Z166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67" spans="1:40" x14ac:dyDescent="0.3">
      <c r="A167">
        <v>10388879</v>
      </c>
      <c r="B167" t="s">
        <v>726</v>
      </c>
      <c r="C167" t="s">
        <v>727</v>
      </c>
      <c r="D167" t="s">
        <v>39</v>
      </c>
      <c r="E167" t="s">
        <v>49</v>
      </c>
      <c r="F167" t="s">
        <v>728</v>
      </c>
      <c r="G167" t="s">
        <v>729</v>
      </c>
      <c r="H167">
        <v>15</v>
      </c>
      <c r="Q167" t="s">
        <v>51</v>
      </c>
      <c r="R167" t="s">
        <v>730</v>
      </c>
      <c r="U167" t="s">
        <v>53</v>
      </c>
      <c r="V167" t="s">
        <v>731</v>
      </c>
      <c r="W167" t="s">
        <v>51</v>
      </c>
      <c r="X167" t="s">
        <v>732</v>
      </c>
      <c r="AF167">
        <v>1010388879</v>
      </c>
      <c r="AJ167" t="s">
        <v>174</v>
      </c>
      <c r="AK167" t="s">
        <v>61</v>
      </c>
      <c r="AM167" t="str" cm="1">
        <f t="array" ref="AM167">_xlfn.IFS(OR(O167="Persoonlijk",O167="Zoon",O167="Dochter"),P167,OR(Q167="Persoonlijk",Q167="Zoon",Q167="Dochter"),R167,OR(S167="Persoonlijk",S167="Zoon",S167="Dochter"),T167,O167="Vader",P167,Q167="Vader",R167,S167="Vader",T167,O167="Moeder",P167,Q167="Moeder",R167,S167="Moeder",T167,TRUE,IF(P167&lt;&gt;"",P167,IF(R167&lt;&gt;"",R167,IF(T167&lt;&gt;"",T167,""))))</f>
        <v>dlrgeoffrey@gmail.com</v>
      </c>
      <c r="AN167" t="str" cm="1">
        <f t="array" ref="AN167">_xlfn.LET(_xlpm.raw,_xlfn.IFS(OR(U167="Persoonlijk",U167="Zoon",U167="Dochter"),V167,OR(W167="Persoonlijk",W167="Zoon",W167="Dochter"),X167,OR(Y167="Persoonlijk",Y167="Zoon",Y167="Dochter"),Z167,U167="Vader",V167,W167="Vader",X167,Y167="Vader",Z167,U167="Moeder",V167,W167="Moeder",X167,Y167="Moeder",Z167,TRUE,IF(V167&lt;&gt;"",V167,IF(X167&lt;&gt;"",X167,IF(Z167&lt;&gt;"",Z167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+32494773553</v>
      </c>
    </row>
    <row r="168" spans="1:40" x14ac:dyDescent="0.3">
      <c r="A168">
        <v>10653407</v>
      </c>
      <c r="B168" t="s">
        <v>726</v>
      </c>
      <c r="C168" t="s">
        <v>733</v>
      </c>
      <c r="D168" t="s">
        <v>39</v>
      </c>
      <c r="E168" t="s">
        <v>40</v>
      </c>
      <c r="U168" t="s">
        <v>46</v>
      </c>
      <c r="V168" t="s">
        <v>732</v>
      </c>
      <c r="AF168">
        <v>1010653407</v>
      </c>
      <c r="AM168" t="str" cm="1">
        <f t="array" ref="AM168">_xlfn.IFS(OR(O168="Persoonlijk",O168="Zoon",O168="Dochter"),P168,OR(Q168="Persoonlijk",Q168="Zoon",Q168="Dochter"),R168,OR(S168="Persoonlijk",S168="Zoon",S168="Dochter"),T168,O168="Vader",P168,Q168="Vader",R168,S168="Vader",T168,O168="Moeder",P168,Q168="Moeder",R168,S168="Moeder",T168,TRUE,IF(P168&lt;&gt;"",P168,IF(R168&lt;&gt;"",R168,IF(T168&lt;&gt;"",T168,""))))</f>
        <v/>
      </c>
      <c r="AN168" t="str" cm="1">
        <f t="array" ref="AN168">_xlfn.LET(_xlpm.raw,_xlfn.IFS(OR(U168="Persoonlijk",U168="Zoon",U168="Dochter"),V168,OR(W168="Persoonlijk",W168="Zoon",W168="Dochter"),X168,OR(Y168="Persoonlijk",Y168="Zoon",Y168="Dochter"),Z168,U168="Vader",V168,W168="Vader",X168,Y168="Vader",Z168,U168="Moeder",V168,W168="Moeder",X168,Y168="Moeder",Z168,TRUE,IF(V168&lt;&gt;"",V168,IF(X168&lt;&gt;"",X168,IF(Z168&lt;&gt;"",Z168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+32494773553</v>
      </c>
    </row>
    <row r="169" spans="1:40" x14ac:dyDescent="0.3">
      <c r="A169">
        <v>10450570</v>
      </c>
      <c r="B169" t="s">
        <v>734</v>
      </c>
      <c r="C169" t="s">
        <v>307</v>
      </c>
      <c r="D169" t="s">
        <v>39</v>
      </c>
      <c r="E169" t="s">
        <v>40</v>
      </c>
      <c r="F169" t="s">
        <v>735</v>
      </c>
      <c r="G169" t="s">
        <v>736</v>
      </c>
      <c r="H169">
        <v>2</v>
      </c>
      <c r="Q169" t="s">
        <v>53</v>
      </c>
      <c r="R169" t="s">
        <v>737</v>
      </c>
      <c r="V169" t="s">
        <v>738</v>
      </c>
      <c r="AF169">
        <v>1010450570</v>
      </c>
      <c r="AJ169" t="s">
        <v>442</v>
      </c>
      <c r="AK169" t="s">
        <v>61</v>
      </c>
      <c r="AM169" t="str" cm="1">
        <f t="array" ref="AM169">_xlfn.IFS(OR(O169="Persoonlijk",O169="Zoon",O169="Dochter"),P169,OR(Q169="Persoonlijk",Q169="Zoon",Q169="Dochter"),R169,OR(S169="Persoonlijk",S169="Zoon",S169="Dochter"),T169,O169="Vader",P169,Q169="Vader",R169,S169="Vader",T169,O169="Moeder",P169,Q169="Moeder",R169,S169="Moeder",T169,TRUE,IF(P169&lt;&gt;"",P169,IF(R169&lt;&gt;"",R169,IF(T169&lt;&gt;"",T169,""))))</f>
        <v>joke.toye@gmail.com</v>
      </c>
      <c r="AN169" t="str" cm="1">
        <f t="array" ref="AN169">_xlfn.LET(_xlpm.raw,_xlfn.IFS(OR(U169="Persoonlijk",U169="Zoon",U169="Dochter"),V169,OR(W169="Persoonlijk",W169="Zoon",W169="Dochter"),X169,OR(Y169="Persoonlijk",Y169="Zoon",Y169="Dochter"),Z169,U169="Vader",V169,W169="Vader",X169,Y169="Vader",Z169,U169="Moeder",V169,W169="Moeder",X169,Y169="Moeder",Z169,TRUE,IF(V169&lt;&gt;"",V169,IF(X169&lt;&gt;"",X169,IF(Z169&lt;&gt;"",Z169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+32475403946</v>
      </c>
    </row>
    <row r="170" spans="1:40" x14ac:dyDescent="0.3">
      <c r="A170">
        <v>2182666</v>
      </c>
      <c r="B170" t="s">
        <v>739</v>
      </c>
      <c r="C170" t="s">
        <v>695</v>
      </c>
      <c r="D170" t="s">
        <v>39</v>
      </c>
      <c r="E170" t="s">
        <v>40</v>
      </c>
      <c r="F170" t="s">
        <v>740</v>
      </c>
      <c r="G170" t="s">
        <v>741</v>
      </c>
      <c r="H170">
        <v>31</v>
      </c>
      <c r="U170" t="s">
        <v>46</v>
      </c>
      <c r="V170">
        <v>320470775058</v>
      </c>
      <c r="AC170" t="s">
        <v>742</v>
      </c>
      <c r="AF170">
        <v>1002182666</v>
      </c>
      <c r="AG170">
        <v>213745</v>
      </c>
      <c r="AJ170" t="s">
        <v>743</v>
      </c>
      <c r="AK170" t="s">
        <v>61</v>
      </c>
      <c r="AM170" t="str" cm="1">
        <f t="array" ref="AM170">_xlfn.IFS(OR(O170="Persoonlijk",O170="Zoon",O170="Dochter"),P170,OR(Q170="Persoonlijk",Q170="Zoon",Q170="Dochter"),R170,OR(S170="Persoonlijk",S170="Zoon",S170="Dochter"),T170,O170="Vader",P170,Q170="Vader",R170,S170="Vader",T170,O170="Moeder",P170,Q170="Moeder",R170,S170="Moeder",T170,TRUE,IF(P170&lt;&gt;"",P170,IF(R170&lt;&gt;"",R170,IF(T170&lt;&gt;"",T170,""))))</f>
        <v/>
      </c>
      <c r="AN170" t="str" cm="1">
        <f t="array" ref="AN170">_xlfn.LET(_xlpm.raw,_xlfn.IFS(OR(U170="Persoonlijk",U170="Zoon",U170="Dochter"),V170,OR(W170="Persoonlijk",W170="Zoon",W170="Dochter"),X170,OR(Y170="Persoonlijk",Y170="Zoon",Y170="Dochter"),Z170,U170="Vader",V170,W170="Vader",X170,Y170="Vader",Z170,U170="Moeder",V170,W170="Moeder",X170,Y170="Moeder",Z170,TRUE,IF(V170&lt;&gt;"",V170,IF(X170&lt;&gt;"",X170,IF(Z170&lt;&gt;"",Z170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+32470775058</v>
      </c>
    </row>
    <row r="171" spans="1:40" x14ac:dyDescent="0.3">
      <c r="A171">
        <v>2182666</v>
      </c>
      <c r="B171" t="s">
        <v>739</v>
      </c>
      <c r="C171" t="s">
        <v>695</v>
      </c>
      <c r="D171" t="s">
        <v>39</v>
      </c>
      <c r="E171" t="s">
        <v>40</v>
      </c>
      <c r="F171" t="s">
        <v>740</v>
      </c>
      <c r="G171" t="s">
        <v>741</v>
      </c>
      <c r="H171">
        <v>31</v>
      </c>
      <c r="U171" t="s">
        <v>46</v>
      </c>
      <c r="V171">
        <v>320470775058</v>
      </c>
      <c r="AC171" t="s">
        <v>742</v>
      </c>
      <c r="AF171">
        <v>1002182666</v>
      </c>
      <c r="AG171">
        <v>213745</v>
      </c>
      <c r="AJ171" t="s">
        <v>143</v>
      </c>
      <c r="AK171" t="s">
        <v>65</v>
      </c>
      <c r="AM171" t="str" cm="1">
        <f t="array" ref="AM171">_xlfn.IFS(OR(O171="Persoonlijk",O171="Zoon",O171="Dochter"),P171,OR(Q171="Persoonlijk",Q171="Zoon",Q171="Dochter"),R171,OR(S171="Persoonlijk",S171="Zoon",S171="Dochter"),T171,O171="Vader",P171,Q171="Vader",R171,S171="Vader",T171,O171="Moeder",P171,Q171="Moeder",R171,S171="Moeder",T171,TRUE,IF(P171&lt;&gt;"",P171,IF(R171&lt;&gt;"",R171,IF(T171&lt;&gt;"",T171,""))))</f>
        <v/>
      </c>
      <c r="AN171" t="str" cm="1">
        <f t="array" ref="AN171">_xlfn.LET(_xlpm.raw,_xlfn.IFS(OR(U171="Persoonlijk",U171="Zoon",U171="Dochter"),V171,OR(W171="Persoonlijk",W171="Zoon",W171="Dochter"),X171,OR(Y171="Persoonlijk",Y171="Zoon",Y171="Dochter"),Z171,U171="Vader",V171,W171="Vader",X171,Y171="Vader",Z171,U171="Moeder",V171,W171="Moeder",X171,Y171="Moeder",Z171,TRUE,IF(V171&lt;&gt;"",V171,IF(X171&lt;&gt;"",X171,IF(Z171&lt;&gt;"",Z171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+32470775058</v>
      </c>
    </row>
    <row r="172" spans="1:40" x14ac:dyDescent="0.3">
      <c r="A172">
        <v>2182666</v>
      </c>
      <c r="B172" t="s">
        <v>739</v>
      </c>
      <c r="C172" t="s">
        <v>695</v>
      </c>
      <c r="D172" t="s">
        <v>39</v>
      </c>
      <c r="E172" t="s">
        <v>40</v>
      </c>
      <c r="F172" t="s">
        <v>740</v>
      </c>
      <c r="G172" t="s">
        <v>741</v>
      </c>
      <c r="H172">
        <v>31</v>
      </c>
      <c r="U172" t="s">
        <v>46</v>
      </c>
      <c r="V172">
        <v>320470775058</v>
      </c>
      <c r="AC172" t="s">
        <v>742</v>
      </c>
      <c r="AF172">
        <v>1002182666</v>
      </c>
      <c r="AG172">
        <v>213745</v>
      </c>
      <c r="AJ172" t="s">
        <v>744</v>
      </c>
      <c r="AK172" t="s">
        <v>65</v>
      </c>
      <c r="AM172" t="str" cm="1">
        <f t="array" ref="AM172">_xlfn.IFS(OR(O172="Persoonlijk",O172="Zoon",O172="Dochter"),P172,OR(Q172="Persoonlijk",Q172="Zoon",Q172="Dochter"),R172,OR(S172="Persoonlijk",S172="Zoon",S172="Dochter"),T172,O172="Vader",P172,Q172="Vader",R172,S172="Vader",T172,O172="Moeder",P172,Q172="Moeder",R172,S172="Moeder",T172,TRUE,IF(P172&lt;&gt;"",P172,IF(R172&lt;&gt;"",R172,IF(T172&lt;&gt;"",T172,""))))</f>
        <v/>
      </c>
      <c r="AN172" t="str" cm="1">
        <f t="array" ref="AN172">_xlfn.LET(_xlpm.raw,_xlfn.IFS(OR(U172="Persoonlijk",U172="Zoon",U172="Dochter"),V172,OR(W172="Persoonlijk",W172="Zoon",W172="Dochter"),X172,OR(Y172="Persoonlijk",Y172="Zoon",Y172="Dochter"),Z172,U172="Vader",V172,W172="Vader",X172,Y172="Vader",Z172,U172="Moeder",V172,W172="Moeder",X172,Y172="Moeder",Z172,TRUE,IF(V172&lt;&gt;"",V172,IF(X172&lt;&gt;"",X172,IF(Z172&lt;&gt;"",Z172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+32470775058</v>
      </c>
    </row>
    <row r="173" spans="1:40" x14ac:dyDescent="0.3">
      <c r="A173">
        <v>2650646</v>
      </c>
      <c r="B173" t="s">
        <v>745</v>
      </c>
      <c r="C173" t="s">
        <v>297</v>
      </c>
      <c r="D173" t="s">
        <v>39</v>
      </c>
      <c r="E173" t="s">
        <v>40</v>
      </c>
      <c r="F173" t="s">
        <v>746</v>
      </c>
      <c r="G173" t="s">
        <v>747</v>
      </c>
      <c r="H173">
        <v>14</v>
      </c>
      <c r="Q173" t="s">
        <v>53</v>
      </c>
      <c r="R173" t="s">
        <v>749</v>
      </c>
      <c r="V173">
        <v>4721630933</v>
      </c>
      <c r="X173">
        <v>493144091</v>
      </c>
      <c r="AC173" t="s">
        <v>750</v>
      </c>
      <c r="AE173" t="s">
        <v>751</v>
      </c>
      <c r="AF173">
        <v>1002650646</v>
      </c>
      <c r="AG173">
        <v>742106</v>
      </c>
      <c r="AM173" t="str" cm="1">
        <f t="array" ref="AM173">_xlfn.IFS(OR(O173="Persoonlijk",O173="Zoon",O173="Dochter"),P173,OR(Q173="Persoonlijk",Q173="Zoon",Q173="Dochter"),R173,OR(S173="Persoonlijk",S173="Zoon",S173="Dochter"),T173,O173="Vader",P173,Q173="Vader",R173,S173="Vader",T173,O173="Moeder",P173,Q173="Moeder",R173,S173="Moeder",T173,TRUE,IF(P173&lt;&gt;"",P173,IF(R173&lt;&gt;"",R173,IF(T173&lt;&gt;"",T173,""))))</f>
        <v>valerie_glorieux@hotmail.com</v>
      </c>
      <c r="AN173" t="str" cm="1">
        <f t="array" ref="AN173">_xlfn.LET(_xlpm.raw,_xlfn.IFS(OR(U173="Persoonlijk",U173="Zoon",U173="Dochter"),V173,OR(W173="Persoonlijk",W173="Zoon",W173="Dochter"),X173,OR(Y173="Persoonlijk",Y173="Zoon",Y173="Dochter"),Z173,U173="Vader",V173,W173="Vader",X173,Y173="Vader",Z173,U173="Moeder",V173,W173="Moeder",X173,Y173="Moeder",Z173,TRUE,IF(V173&lt;&gt;"",V173,IF(X173&lt;&gt;"",X173,IF(Z173&lt;&gt;"",Z173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+324721630933</v>
      </c>
    </row>
    <row r="174" spans="1:40" x14ac:dyDescent="0.3">
      <c r="A174">
        <v>2182671</v>
      </c>
      <c r="B174" t="s">
        <v>752</v>
      </c>
      <c r="C174" t="s">
        <v>753</v>
      </c>
      <c r="D174" t="s">
        <v>39</v>
      </c>
      <c r="E174" t="s">
        <v>40</v>
      </c>
      <c r="F174" t="s">
        <v>754</v>
      </c>
      <c r="G174" t="s">
        <v>184</v>
      </c>
      <c r="H174">
        <v>13</v>
      </c>
      <c r="AC174" t="s">
        <v>755</v>
      </c>
      <c r="AF174">
        <v>1002182671</v>
      </c>
      <c r="AG174">
        <v>655853</v>
      </c>
      <c r="AJ174" t="s">
        <v>483</v>
      </c>
      <c r="AK174" t="s">
        <v>61</v>
      </c>
      <c r="AM174" t="str" cm="1">
        <f t="array" ref="AM174">_xlfn.IFS(OR(O174="Persoonlijk",O174="Zoon",O174="Dochter"),P174,OR(Q174="Persoonlijk",Q174="Zoon",Q174="Dochter"),R174,OR(S174="Persoonlijk",S174="Zoon",S174="Dochter"),T174,O174="Vader",P174,Q174="Vader",R174,S174="Vader",T174,O174="Moeder",P174,Q174="Moeder",R174,S174="Moeder",T174,TRUE,IF(P174&lt;&gt;"",P174,IF(R174&lt;&gt;"",R174,IF(T174&lt;&gt;"",T174,""))))</f>
        <v/>
      </c>
      <c r="AN174" t="str" cm="1">
        <f t="array" ref="AN174">_xlfn.LET(_xlpm.raw,_xlfn.IFS(OR(U174="Persoonlijk",U174="Zoon",U174="Dochter"),V174,OR(W174="Persoonlijk",W174="Zoon",W174="Dochter"),X174,OR(Y174="Persoonlijk",Y174="Zoon",Y174="Dochter"),Z174,U174="Vader",V174,W174="Vader",X174,Y174="Vader",Z174,U174="Moeder",V174,W174="Moeder",X174,Y174="Moeder",Z174,TRUE,IF(V174&lt;&gt;"",V174,IF(X174&lt;&gt;"",X174,IF(Z174&lt;&gt;"",Z174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75" spans="1:40" x14ac:dyDescent="0.3">
      <c r="A175">
        <v>2182681</v>
      </c>
      <c r="B175" t="s">
        <v>756</v>
      </c>
      <c r="C175" t="s">
        <v>757</v>
      </c>
      <c r="D175" t="s">
        <v>39</v>
      </c>
      <c r="E175" t="s">
        <v>40</v>
      </c>
      <c r="F175" t="s">
        <v>758</v>
      </c>
      <c r="G175" t="s">
        <v>759</v>
      </c>
      <c r="H175">
        <v>164</v>
      </c>
      <c r="AC175" t="s">
        <v>760</v>
      </c>
      <c r="AF175">
        <v>1002182681</v>
      </c>
      <c r="AG175">
        <v>724983</v>
      </c>
      <c r="AM175" t="str" cm="1">
        <f t="array" ref="AM175">_xlfn.IFS(OR(O175="Persoonlijk",O175="Zoon",O175="Dochter"),P175,OR(Q175="Persoonlijk",Q175="Zoon",Q175="Dochter"),R175,OR(S175="Persoonlijk",S175="Zoon",S175="Dochter"),T175,O175="Vader",P175,Q175="Vader",R175,S175="Vader",T175,O175="Moeder",P175,Q175="Moeder",R175,S175="Moeder",T175,TRUE,IF(P175&lt;&gt;"",P175,IF(R175&lt;&gt;"",R175,IF(T175&lt;&gt;"",T175,""))))</f>
        <v/>
      </c>
      <c r="AN175" t="str" cm="1">
        <f t="array" ref="AN175">_xlfn.LET(_xlpm.raw,_xlfn.IFS(OR(U175="Persoonlijk",U175="Zoon",U175="Dochter"),V175,OR(W175="Persoonlijk",W175="Zoon",W175="Dochter"),X175,OR(Y175="Persoonlijk",Y175="Zoon",Y175="Dochter"),Z175,U175="Vader",V175,W175="Vader",X175,Y175="Vader",Z175,U175="Moeder",V175,W175="Moeder",X175,Y175="Moeder",Z175,TRUE,IF(V175&lt;&gt;"",V175,IF(X175&lt;&gt;"",X175,IF(Z175&lt;&gt;"",Z175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76" spans="1:40" x14ac:dyDescent="0.3">
      <c r="A176">
        <v>2182686</v>
      </c>
      <c r="B176" t="s">
        <v>756</v>
      </c>
      <c r="C176" t="s">
        <v>761</v>
      </c>
      <c r="D176" t="s">
        <v>39</v>
      </c>
      <c r="E176" t="s">
        <v>40</v>
      </c>
      <c r="F176" t="s">
        <v>762</v>
      </c>
      <c r="G176" t="s">
        <v>763</v>
      </c>
      <c r="H176">
        <v>164</v>
      </c>
      <c r="AC176" t="s">
        <v>764</v>
      </c>
      <c r="AF176">
        <v>1002182686</v>
      </c>
      <c r="AG176">
        <v>718057</v>
      </c>
      <c r="AM176" t="str" cm="1">
        <f t="array" ref="AM176">_xlfn.IFS(OR(O176="Persoonlijk",O176="Zoon",O176="Dochter"),P176,OR(Q176="Persoonlijk",Q176="Zoon",Q176="Dochter"),R176,OR(S176="Persoonlijk",S176="Zoon",S176="Dochter"),T176,O176="Vader",P176,Q176="Vader",R176,S176="Vader",T176,O176="Moeder",P176,Q176="Moeder",R176,S176="Moeder",T176,TRUE,IF(P176&lt;&gt;"",P176,IF(R176&lt;&gt;"",R176,IF(T176&lt;&gt;"",T176,""))))</f>
        <v/>
      </c>
      <c r="AN176" t="str" cm="1">
        <f t="array" ref="AN176">_xlfn.LET(_xlpm.raw,_xlfn.IFS(OR(U176="Persoonlijk",U176="Zoon",U176="Dochter"),V176,OR(W176="Persoonlijk",W176="Zoon",W176="Dochter"),X176,OR(Y176="Persoonlijk",Y176="Zoon",Y176="Dochter"),Z176,U176="Vader",V176,W176="Vader",X176,Y176="Vader",Z176,U176="Moeder",V176,W176="Moeder",X176,Y176="Moeder",Z176,TRUE,IF(V176&lt;&gt;"",V176,IF(X176&lt;&gt;"",X176,IF(Z176&lt;&gt;"",Z176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77" spans="1:40" x14ac:dyDescent="0.3">
      <c r="A177">
        <v>2182691</v>
      </c>
      <c r="B177" t="s">
        <v>765</v>
      </c>
      <c r="C177" t="s">
        <v>766</v>
      </c>
      <c r="D177" t="s">
        <v>39</v>
      </c>
      <c r="E177" t="s">
        <v>49</v>
      </c>
      <c r="F177" t="s">
        <v>767</v>
      </c>
      <c r="G177" t="s">
        <v>768</v>
      </c>
      <c r="H177">
        <v>51</v>
      </c>
      <c r="AC177" t="s">
        <v>769</v>
      </c>
      <c r="AF177">
        <v>1002182691</v>
      </c>
      <c r="AM177" t="str" cm="1">
        <f t="array" ref="AM177">_xlfn.IFS(OR(O177="Persoonlijk",O177="Zoon",O177="Dochter"),P177,OR(Q177="Persoonlijk",Q177="Zoon",Q177="Dochter"),R177,OR(S177="Persoonlijk",S177="Zoon",S177="Dochter"),T177,O177="Vader",P177,Q177="Vader",R177,S177="Vader",T177,O177="Moeder",P177,Q177="Moeder",R177,S177="Moeder",T177,TRUE,IF(P177&lt;&gt;"",P177,IF(R177&lt;&gt;"",R177,IF(T177&lt;&gt;"",T177,""))))</f>
        <v/>
      </c>
      <c r="AN177" t="str" cm="1">
        <f t="array" ref="AN177">_xlfn.LET(_xlpm.raw,_xlfn.IFS(OR(U177="Persoonlijk",U177="Zoon",U177="Dochter"),V177,OR(W177="Persoonlijk",W177="Zoon",W177="Dochter"),X177,OR(Y177="Persoonlijk",Y177="Zoon",Y177="Dochter"),Z177,U177="Vader",V177,W177="Vader",X177,Y177="Vader",Z177,U177="Moeder",V177,W177="Moeder",X177,Y177="Moeder",Z177,TRUE,IF(V177&lt;&gt;"",V177,IF(X177&lt;&gt;"",X177,IF(Z177&lt;&gt;"",Z177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78" spans="1:40" x14ac:dyDescent="0.3">
      <c r="A178">
        <v>5540831</v>
      </c>
      <c r="B178" t="s">
        <v>770</v>
      </c>
      <c r="C178" t="s">
        <v>771</v>
      </c>
      <c r="D178" t="s">
        <v>39</v>
      </c>
      <c r="E178" t="s">
        <v>40</v>
      </c>
      <c r="F178" t="s">
        <v>772</v>
      </c>
      <c r="G178" t="s">
        <v>759</v>
      </c>
      <c r="H178">
        <v>44</v>
      </c>
      <c r="Q178" t="s">
        <v>46</v>
      </c>
      <c r="U178" t="s">
        <v>51</v>
      </c>
      <c r="V178" t="s">
        <v>773</v>
      </c>
      <c r="W178" t="s">
        <v>46</v>
      </c>
      <c r="X178" t="s">
        <v>774</v>
      </c>
      <c r="AC178" t="s">
        <v>775</v>
      </c>
      <c r="AF178">
        <v>1005540831</v>
      </c>
      <c r="AL178" t="s">
        <v>62</v>
      </c>
      <c r="AM178" cm="1">
        <f t="array" ref="AM178">_xlfn.IFS(OR(O178="Persoonlijk",O178="Zoon",O178="Dochter"),P178,OR(Q178="Persoonlijk",Q178="Zoon",Q178="Dochter"),R178,OR(S178="Persoonlijk",S178="Zoon",S178="Dochter"),T178,O178="Vader",P178,Q178="Vader",R178,S178="Vader",T178,O178="Moeder",P178,Q178="Moeder",R178,S178="Moeder",T178,TRUE,IF(P178&lt;&gt;"",P178,IF(R178&lt;&gt;"",R178,IF(T178&lt;&gt;"",T178,""))))</f>
        <v>0</v>
      </c>
      <c r="AN178" t="str" cm="1">
        <f t="array" ref="AN178">_xlfn.LET(_xlpm.raw,_xlfn.IFS(OR(U178="Persoonlijk",U178="Zoon",U178="Dochter"),V178,OR(W178="Persoonlijk",W178="Zoon",W178="Dochter"),X178,OR(Y178="Persoonlijk",Y178="Zoon",Y178="Dochter"),Z178,U178="Vader",V178,W178="Vader",X178,Y178="Vader",Z178,U178="Moeder",V178,W178="Moeder",X178,Y178="Moeder",Z178,TRUE,IF(V178&lt;&gt;"",V178,IF(X178&lt;&gt;"",X178,IF(Z178&lt;&gt;"",Z178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+32468109025</v>
      </c>
    </row>
    <row r="179" spans="1:40" x14ac:dyDescent="0.3">
      <c r="A179">
        <v>5540831</v>
      </c>
      <c r="B179" t="s">
        <v>770</v>
      </c>
      <c r="C179" t="s">
        <v>771</v>
      </c>
      <c r="D179" t="s">
        <v>39</v>
      </c>
      <c r="E179" t="s">
        <v>40</v>
      </c>
      <c r="F179" t="s">
        <v>772</v>
      </c>
      <c r="G179" t="s">
        <v>759</v>
      </c>
      <c r="H179">
        <v>44</v>
      </c>
      <c r="Q179" t="s">
        <v>46</v>
      </c>
      <c r="U179" t="s">
        <v>51</v>
      </c>
      <c r="V179" t="s">
        <v>773</v>
      </c>
      <c r="W179" t="s">
        <v>46</v>
      </c>
      <c r="X179" t="s">
        <v>774</v>
      </c>
      <c r="AC179" t="s">
        <v>775</v>
      </c>
      <c r="AF179">
        <v>1005540831</v>
      </c>
      <c r="AL179" t="s">
        <v>62</v>
      </c>
      <c r="AM179" cm="1">
        <f t="array" ref="AM179">_xlfn.IFS(OR(O179="Persoonlijk",O179="Zoon",O179="Dochter"),P179,OR(Q179="Persoonlijk",Q179="Zoon",Q179="Dochter"),R179,OR(S179="Persoonlijk",S179="Zoon",S179="Dochter"),T179,O179="Vader",P179,Q179="Vader",R179,S179="Vader",T179,O179="Moeder",P179,Q179="Moeder",R179,S179="Moeder",T179,TRUE,IF(P179&lt;&gt;"",P179,IF(R179&lt;&gt;"",R179,IF(T179&lt;&gt;"",T179,""))))</f>
        <v>0</v>
      </c>
      <c r="AN179" t="str" cm="1">
        <f t="array" ref="AN179">_xlfn.LET(_xlpm.raw,_xlfn.IFS(OR(U179="Persoonlijk",U179="Zoon",U179="Dochter"),V179,OR(W179="Persoonlijk",W179="Zoon",W179="Dochter"),X179,OR(Y179="Persoonlijk",Y179="Zoon",Y179="Dochter"),Z179,U179="Vader",V179,W179="Vader",X179,Y179="Vader",Z179,U179="Moeder",V179,W179="Moeder",X179,Y179="Moeder",Z179,TRUE,IF(V179&lt;&gt;"",V179,IF(X179&lt;&gt;"",X179,IF(Z179&lt;&gt;"",Z179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+32468109025</v>
      </c>
    </row>
    <row r="180" spans="1:40" x14ac:dyDescent="0.3">
      <c r="A180">
        <v>4358429</v>
      </c>
      <c r="B180" t="s">
        <v>776</v>
      </c>
      <c r="C180" t="s">
        <v>777</v>
      </c>
      <c r="D180" t="s">
        <v>39</v>
      </c>
      <c r="E180" t="s">
        <v>49</v>
      </c>
      <c r="G180" t="s">
        <v>778</v>
      </c>
      <c r="H180">
        <v>47</v>
      </c>
      <c r="U180" t="s">
        <v>46</v>
      </c>
      <c r="V180" t="s">
        <v>779</v>
      </c>
      <c r="AE180" t="s">
        <v>780</v>
      </c>
      <c r="AF180">
        <v>1004358429</v>
      </c>
      <c r="AL180" t="s">
        <v>593</v>
      </c>
      <c r="AM180" t="str" cm="1">
        <f t="array" ref="AM180">_xlfn.IFS(OR(O180="Persoonlijk",O180="Zoon",O180="Dochter"),P180,OR(Q180="Persoonlijk",Q180="Zoon",Q180="Dochter"),R180,OR(S180="Persoonlijk",S180="Zoon",S180="Dochter"),T180,O180="Vader",P180,Q180="Vader",R180,S180="Vader",T180,O180="Moeder",P180,Q180="Moeder",R180,S180="Moeder",T180,TRUE,IF(P180&lt;&gt;"",P180,IF(R180&lt;&gt;"",R180,IF(T180&lt;&gt;"",T180,""))))</f>
        <v/>
      </c>
      <c r="AN180" t="str" cm="1">
        <f t="array" ref="AN180">_xlfn.LET(_xlpm.raw,_xlfn.IFS(OR(U180="Persoonlijk",U180="Zoon",U180="Dochter"),V180,OR(W180="Persoonlijk",W180="Zoon",W180="Dochter"),X180,OR(Y180="Persoonlijk",Y180="Zoon",Y180="Dochter"),Z180,U180="Vader",V180,W180="Vader",X180,Y180="Vader",Z180,U180="Moeder",V180,W180="Moeder",X180,Y180="Moeder",Z180,TRUE,IF(V180&lt;&gt;"",V180,IF(X180&lt;&gt;"",X180,IF(Z180&lt;&gt;"",Z180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+32478347087</v>
      </c>
    </row>
    <row r="181" spans="1:40" x14ac:dyDescent="0.3">
      <c r="A181">
        <v>4297476</v>
      </c>
      <c r="B181" t="s">
        <v>776</v>
      </c>
      <c r="C181" t="s">
        <v>781</v>
      </c>
      <c r="D181" t="s">
        <v>39</v>
      </c>
      <c r="E181" t="s">
        <v>49</v>
      </c>
      <c r="F181" t="s">
        <v>782</v>
      </c>
      <c r="G181" t="s">
        <v>783</v>
      </c>
      <c r="H181">
        <v>27</v>
      </c>
      <c r="U181" t="s">
        <v>46</v>
      </c>
      <c r="V181" t="s">
        <v>784</v>
      </c>
      <c r="AF181">
        <v>1004297476</v>
      </c>
      <c r="AM181" t="str" cm="1">
        <f t="array" ref="AM181">_xlfn.IFS(OR(O181="Persoonlijk",O181="Zoon",O181="Dochter"),P181,OR(Q181="Persoonlijk",Q181="Zoon",Q181="Dochter"),R181,OR(S181="Persoonlijk",S181="Zoon",S181="Dochter"),T181,O181="Vader",P181,Q181="Vader",R181,S181="Vader",T181,O181="Moeder",P181,Q181="Moeder",R181,S181="Moeder",T181,TRUE,IF(P181&lt;&gt;"",P181,IF(R181&lt;&gt;"",R181,IF(T181&lt;&gt;"",T181,""))))</f>
        <v/>
      </c>
      <c r="AN181" t="str" cm="1">
        <f t="array" ref="AN181">_xlfn.LET(_xlpm.raw,_xlfn.IFS(OR(U181="Persoonlijk",U181="Zoon",U181="Dochter"),V181,OR(W181="Persoonlijk",W181="Zoon",W181="Dochter"),X181,OR(Y181="Persoonlijk",Y181="Zoon",Y181="Dochter"),Z181,U181="Vader",V181,W181="Vader",X181,Y181="Vader",Z181,U181="Moeder",V181,W181="Moeder",X181,Y181="Moeder",Z181,TRUE,IF(V181&lt;&gt;"",V181,IF(X181&lt;&gt;"",X181,IF(Z181&lt;&gt;"",Z181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+32478936135</v>
      </c>
    </row>
    <row r="182" spans="1:40" x14ac:dyDescent="0.3">
      <c r="A182">
        <v>3361769</v>
      </c>
      <c r="B182" t="s">
        <v>785</v>
      </c>
      <c r="C182" t="s">
        <v>786</v>
      </c>
      <c r="D182" t="s">
        <v>39</v>
      </c>
      <c r="E182" t="s">
        <v>49</v>
      </c>
      <c r="F182" t="s">
        <v>787</v>
      </c>
      <c r="G182" t="s">
        <v>606</v>
      </c>
      <c r="H182">
        <v>94</v>
      </c>
      <c r="Q182" t="s">
        <v>53</v>
      </c>
      <c r="R182" t="s">
        <v>607</v>
      </c>
      <c r="V182" t="s">
        <v>788</v>
      </c>
      <c r="X182" t="s">
        <v>789</v>
      </c>
      <c r="AC182" t="s">
        <v>790</v>
      </c>
      <c r="AE182" t="s">
        <v>791</v>
      </c>
      <c r="AF182">
        <v>1003361769</v>
      </c>
      <c r="AG182">
        <v>744635</v>
      </c>
      <c r="AM182" t="str" cm="1">
        <f t="array" ref="AM182">_xlfn.IFS(OR(O182="Persoonlijk",O182="Zoon",O182="Dochter"),P182,OR(Q182="Persoonlijk",Q182="Zoon",Q182="Dochter"),R182,OR(S182="Persoonlijk",S182="Zoon",S182="Dochter"),T182,O182="Vader",P182,Q182="Vader",R182,S182="Vader",T182,O182="Moeder",P182,Q182="Moeder",R182,S182="Moeder",T182,TRUE,IF(P182&lt;&gt;"",P182,IF(R182&lt;&gt;"",R182,IF(T182&lt;&gt;"",T182,""))))</f>
        <v>mariekedeboe@gmail.com</v>
      </c>
      <c r="AN182" t="str" cm="1">
        <f t="array" ref="AN182">_xlfn.LET(_xlpm.raw,_xlfn.IFS(OR(U182="Persoonlijk",U182="Zoon",U182="Dochter"),V182,OR(W182="Persoonlijk",W182="Zoon",W182="Dochter"),X182,OR(Y182="Persoonlijk",Y182="Zoon",Y182="Dochter"),Z182,U182="Vader",V182,W182="Vader",X182,Y182="Vader",Z182,U182="Moeder",V182,W182="Moeder",X182,Y182="Moeder",Z182,TRUE,IF(V182&lt;&gt;"",V182,IF(X182&lt;&gt;"",X182,IF(Z182&lt;&gt;"",Z182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+32497511954</v>
      </c>
    </row>
    <row r="183" spans="1:40" x14ac:dyDescent="0.3">
      <c r="A183">
        <v>7311118</v>
      </c>
      <c r="B183" t="s">
        <v>792</v>
      </c>
      <c r="C183" t="s">
        <v>793</v>
      </c>
      <c r="D183" t="s">
        <v>39</v>
      </c>
      <c r="E183" t="s">
        <v>49</v>
      </c>
      <c r="F183" t="s">
        <v>794</v>
      </c>
      <c r="G183" t="s">
        <v>795</v>
      </c>
      <c r="H183">
        <v>25</v>
      </c>
      <c r="V183">
        <v>0</v>
      </c>
      <c r="X183">
        <v>0</v>
      </c>
      <c r="Z183">
        <v>0</v>
      </c>
      <c r="AA183">
        <v>0</v>
      </c>
      <c r="AC183" t="s">
        <v>796</v>
      </c>
      <c r="AF183">
        <v>1007311118</v>
      </c>
      <c r="AG183">
        <v>763285</v>
      </c>
      <c r="AM183" t="str" cm="1">
        <f t="array" ref="AM183">_xlfn.IFS(OR(O183="Persoonlijk",O183="Zoon",O183="Dochter"),P183,OR(Q183="Persoonlijk",Q183="Zoon",Q183="Dochter"),R183,OR(S183="Persoonlijk",S183="Zoon",S183="Dochter"),T183,O183="Vader",P183,Q183="Vader",R183,S183="Vader",T183,O183="Moeder",P183,Q183="Moeder",R183,S183="Moeder",T183,TRUE,IF(P183&lt;&gt;"",P183,IF(R183&lt;&gt;"",R183,IF(T183&lt;&gt;"",T183,""))))</f>
        <v/>
      </c>
      <c r="AN183" t="str" cm="1">
        <f t="array" ref="AN183">_xlfn.LET(_xlpm.raw,_xlfn.IFS(OR(U183="Persoonlijk",U183="Zoon",U183="Dochter"),V183,OR(W183="Persoonlijk",W183="Zoon",W183="Dochter"),X183,OR(Y183="Persoonlijk",Y183="Zoon",Y183="Dochter"),Z183,U183="Vader",V183,W183="Vader",X183,Y183="Vader",Z183,U183="Moeder",V183,W183="Moeder",X183,Y183="Moeder",Z183,TRUE,IF(V183&lt;&gt;"",V183,IF(X183&lt;&gt;"",X183,IF(Z183&lt;&gt;"",Z183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84" spans="1:40" x14ac:dyDescent="0.3">
      <c r="A184">
        <v>3434759</v>
      </c>
      <c r="B184" t="s">
        <v>797</v>
      </c>
      <c r="C184" t="s">
        <v>798</v>
      </c>
      <c r="D184" t="s">
        <v>39</v>
      </c>
      <c r="E184" t="s">
        <v>49</v>
      </c>
      <c r="F184" t="s">
        <v>799</v>
      </c>
      <c r="G184" t="s">
        <v>800</v>
      </c>
      <c r="H184">
        <v>15</v>
      </c>
      <c r="U184" t="s">
        <v>53</v>
      </c>
      <c r="V184">
        <v>497389636</v>
      </c>
      <c r="X184">
        <v>495459982</v>
      </c>
      <c r="AE184" t="s">
        <v>801</v>
      </c>
      <c r="AF184">
        <v>1003434759</v>
      </c>
      <c r="AM184" t="str" cm="1">
        <f t="array" ref="AM184">_xlfn.IFS(OR(O184="Persoonlijk",O184="Zoon",O184="Dochter"),P184,OR(Q184="Persoonlijk",Q184="Zoon",Q184="Dochter"),R184,OR(S184="Persoonlijk",S184="Zoon",S184="Dochter"),T184,O184="Vader",P184,Q184="Vader",R184,S184="Vader",T184,O184="Moeder",P184,Q184="Moeder",R184,S184="Moeder",T184,TRUE,IF(P184&lt;&gt;"",P184,IF(R184&lt;&gt;"",R184,IF(T184&lt;&gt;"",T184,""))))</f>
        <v/>
      </c>
      <c r="AN184" t="str" cm="1">
        <f t="array" ref="AN184">_xlfn.LET(_xlpm.raw,_xlfn.IFS(OR(U184="Persoonlijk",U184="Zoon",U184="Dochter"),V184,OR(W184="Persoonlijk",W184="Zoon",W184="Dochter"),X184,OR(Y184="Persoonlijk",Y184="Zoon",Y184="Dochter"),Z184,U184="Vader",V184,W184="Vader",X184,Y184="Vader",Z184,U184="Moeder",V184,W184="Moeder",X184,Y184="Moeder",Z184,TRUE,IF(V184&lt;&gt;"",V184,IF(X184&lt;&gt;"",X184,IF(Z184&lt;&gt;"",Z184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+32497389636</v>
      </c>
    </row>
    <row r="185" spans="1:40" x14ac:dyDescent="0.3">
      <c r="A185">
        <v>3372129</v>
      </c>
      <c r="B185" t="s">
        <v>802</v>
      </c>
      <c r="C185" t="s">
        <v>803</v>
      </c>
      <c r="D185" t="s">
        <v>39</v>
      </c>
      <c r="E185" t="s">
        <v>49</v>
      </c>
      <c r="V185">
        <v>0</v>
      </c>
      <c r="X185">
        <v>0</v>
      </c>
      <c r="Z185">
        <v>0</v>
      </c>
      <c r="AA185">
        <v>0</v>
      </c>
      <c r="AF185">
        <v>1003372129</v>
      </c>
      <c r="AM185" t="str" cm="1">
        <f t="array" ref="AM185">_xlfn.IFS(OR(O185="Persoonlijk",O185="Zoon",O185="Dochter"),P185,OR(Q185="Persoonlijk",Q185="Zoon",Q185="Dochter"),R185,OR(S185="Persoonlijk",S185="Zoon",S185="Dochter"),T185,O185="Vader",P185,Q185="Vader",R185,S185="Vader",T185,O185="Moeder",P185,Q185="Moeder",R185,S185="Moeder",T185,TRUE,IF(P185&lt;&gt;"",P185,IF(R185&lt;&gt;"",R185,IF(T185&lt;&gt;"",T185,""))))</f>
        <v/>
      </c>
      <c r="AN185" t="str" cm="1">
        <f t="array" ref="AN185">_xlfn.LET(_xlpm.raw,_xlfn.IFS(OR(U185="Persoonlijk",U185="Zoon",U185="Dochter"),V185,OR(W185="Persoonlijk",W185="Zoon",W185="Dochter"),X185,OR(Y185="Persoonlijk",Y185="Zoon",Y185="Dochter"),Z185,U185="Vader",V185,W185="Vader",X185,Y185="Vader",Z185,U185="Moeder",V185,W185="Moeder",X185,Y185="Moeder",Z185,TRUE,IF(V185&lt;&gt;"",V185,IF(X185&lt;&gt;"",X185,IF(Z185&lt;&gt;"",Z185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86" spans="1:40" x14ac:dyDescent="0.3">
      <c r="A186">
        <v>2182696</v>
      </c>
      <c r="B186" t="s">
        <v>802</v>
      </c>
      <c r="C186" t="s">
        <v>805</v>
      </c>
      <c r="D186" t="s">
        <v>39</v>
      </c>
      <c r="E186" t="s">
        <v>49</v>
      </c>
      <c r="F186" t="s">
        <v>806</v>
      </c>
      <c r="G186" t="s">
        <v>807</v>
      </c>
      <c r="H186">
        <v>15</v>
      </c>
      <c r="AC186" t="s">
        <v>808</v>
      </c>
      <c r="AE186" t="s">
        <v>809</v>
      </c>
      <c r="AF186">
        <v>1002182696</v>
      </c>
      <c r="AG186">
        <v>266618</v>
      </c>
      <c r="AJ186" t="s">
        <v>60</v>
      </c>
      <c r="AK186" t="s">
        <v>61</v>
      </c>
      <c r="AL186" t="s">
        <v>62</v>
      </c>
      <c r="AM186" t="str" cm="1">
        <f t="array" ref="AM186">_xlfn.IFS(OR(O186="Persoonlijk",O186="Zoon",O186="Dochter"),P186,OR(Q186="Persoonlijk",Q186="Zoon",Q186="Dochter"),R186,OR(S186="Persoonlijk",S186="Zoon",S186="Dochter"),T186,O186="Vader",P186,Q186="Vader",R186,S186="Vader",T186,O186="Moeder",P186,Q186="Moeder",R186,S186="Moeder",T186,TRUE,IF(P186&lt;&gt;"",P186,IF(R186&lt;&gt;"",R186,IF(T186&lt;&gt;"",T186,""))))</f>
        <v/>
      </c>
      <c r="AN186" t="str" cm="1">
        <f t="array" ref="AN186">_xlfn.LET(_xlpm.raw,_xlfn.IFS(OR(U186="Persoonlijk",U186="Zoon",U186="Dochter"),V186,OR(W186="Persoonlijk",W186="Zoon",W186="Dochter"),X186,OR(Y186="Persoonlijk",Y186="Zoon",Y186="Dochter"),Z186,U186="Vader",V186,W186="Vader",X186,Y186="Vader",Z186,U186="Moeder",V186,W186="Moeder",X186,Y186="Moeder",Z186,TRUE,IF(V186&lt;&gt;"",V186,IF(X186&lt;&gt;"",X186,IF(Z186&lt;&gt;"",Z186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87" spans="1:40" x14ac:dyDescent="0.3">
      <c r="A187">
        <v>2182696</v>
      </c>
      <c r="B187" t="s">
        <v>802</v>
      </c>
      <c r="C187" t="s">
        <v>805</v>
      </c>
      <c r="D187" t="s">
        <v>39</v>
      </c>
      <c r="E187" t="s">
        <v>49</v>
      </c>
      <c r="F187" t="s">
        <v>806</v>
      </c>
      <c r="G187" t="s">
        <v>807</v>
      </c>
      <c r="H187">
        <v>15</v>
      </c>
      <c r="AC187" t="s">
        <v>808</v>
      </c>
      <c r="AE187" t="s">
        <v>809</v>
      </c>
      <c r="AF187">
        <v>1002182696</v>
      </c>
      <c r="AG187">
        <v>266618</v>
      </c>
      <c r="AJ187" t="s">
        <v>64</v>
      </c>
      <c r="AK187" t="s">
        <v>65</v>
      </c>
      <c r="AM187" t="str" cm="1">
        <f t="array" ref="AM187">_xlfn.IFS(OR(O187="Persoonlijk",O187="Zoon",O187="Dochter"),P187,OR(Q187="Persoonlijk",Q187="Zoon",Q187="Dochter"),R187,OR(S187="Persoonlijk",S187="Zoon",S187="Dochter"),T187,O187="Vader",P187,Q187="Vader",R187,S187="Vader",T187,O187="Moeder",P187,Q187="Moeder",R187,S187="Moeder",T187,TRUE,IF(P187&lt;&gt;"",P187,IF(R187&lt;&gt;"",R187,IF(T187&lt;&gt;"",T187,""))))</f>
        <v/>
      </c>
      <c r="AN187" t="str" cm="1">
        <f t="array" ref="AN187">_xlfn.LET(_xlpm.raw,_xlfn.IFS(OR(U187="Persoonlijk",U187="Zoon",U187="Dochter"),V187,OR(W187="Persoonlijk",W187="Zoon",W187="Dochter"),X187,OR(Y187="Persoonlijk",Y187="Zoon",Y187="Dochter"),Z187,U187="Vader",V187,W187="Vader",X187,Y187="Vader",Z187,U187="Moeder",V187,W187="Moeder",X187,Y187="Moeder",Z187,TRUE,IF(V187&lt;&gt;"",V187,IF(X187&lt;&gt;"",X187,IF(Z187&lt;&gt;"",Z187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88" spans="1:40" x14ac:dyDescent="0.3">
      <c r="A188">
        <v>4196362</v>
      </c>
      <c r="B188" t="s">
        <v>802</v>
      </c>
      <c r="C188" t="s">
        <v>810</v>
      </c>
      <c r="D188" t="s">
        <v>39</v>
      </c>
      <c r="E188" t="s">
        <v>40</v>
      </c>
      <c r="F188" t="s">
        <v>811</v>
      </c>
      <c r="U188" t="s">
        <v>46</v>
      </c>
      <c r="V188">
        <v>320491647774</v>
      </c>
      <c r="X188">
        <v>0</v>
      </c>
      <c r="Z188">
        <v>0</v>
      </c>
      <c r="AA188">
        <v>0</v>
      </c>
      <c r="AC188" t="s">
        <v>812</v>
      </c>
      <c r="AF188">
        <v>1004196362</v>
      </c>
      <c r="AG188">
        <v>639029</v>
      </c>
      <c r="AM188" t="str" cm="1">
        <f t="array" ref="AM188">_xlfn.IFS(OR(O188="Persoonlijk",O188="Zoon",O188="Dochter"),P188,OR(Q188="Persoonlijk",Q188="Zoon",Q188="Dochter"),R188,OR(S188="Persoonlijk",S188="Zoon",S188="Dochter"),T188,O188="Vader",P188,Q188="Vader",R188,S188="Vader",T188,O188="Moeder",P188,Q188="Moeder",R188,S188="Moeder",T188,TRUE,IF(P188&lt;&gt;"",P188,IF(R188&lt;&gt;"",R188,IF(T188&lt;&gt;"",T188,""))))</f>
        <v/>
      </c>
      <c r="AN188" t="str" cm="1">
        <f t="array" ref="AN188">_xlfn.LET(_xlpm.raw,_xlfn.IFS(OR(U188="Persoonlijk",U188="Zoon",U188="Dochter"),V188,OR(W188="Persoonlijk",W188="Zoon",W188="Dochter"),X188,OR(Y188="Persoonlijk",Y188="Zoon",Y188="Dochter"),Z188,U188="Vader",V188,W188="Vader",X188,Y188="Vader",Z188,U188="Moeder",V188,W188="Moeder",X188,Y188="Moeder",Z188,TRUE,IF(V188&lt;&gt;"",V188,IF(X188&lt;&gt;"",X188,IF(Z188&lt;&gt;"",Z188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+32491647774</v>
      </c>
    </row>
    <row r="189" spans="1:40" x14ac:dyDescent="0.3">
      <c r="A189">
        <v>4196386</v>
      </c>
      <c r="B189" t="s">
        <v>802</v>
      </c>
      <c r="C189" t="s">
        <v>813</v>
      </c>
      <c r="D189" t="s">
        <v>39</v>
      </c>
      <c r="E189" t="s">
        <v>40</v>
      </c>
      <c r="F189" t="s">
        <v>814</v>
      </c>
      <c r="G189" t="s">
        <v>815</v>
      </c>
      <c r="H189">
        <v>21</v>
      </c>
      <c r="U189" t="s">
        <v>46</v>
      </c>
      <c r="V189">
        <v>320491520844</v>
      </c>
      <c r="X189">
        <v>0</v>
      </c>
      <c r="Z189">
        <v>0</v>
      </c>
      <c r="AA189">
        <v>0</v>
      </c>
      <c r="AC189" t="s">
        <v>816</v>
      </c>
      <c r="AF189">
        <v>1004196386</v>
      </c>
      <c r="AG189">
        <v>637076</v>
      </c>
      <c r="AM189" t="str" cm="1">
        <f t="array" ref="AM189">_xlfn.IFS(OR(O189="Persoonlijk",O189="Zoon",O189="Dochter"),P189,OR(Q189="Persoonlijk",Q189="Zoon",Q189="Dochter"),R189,OR(S189="Persoonlijk",S189="Zoon",S189="Dochter"),T189,O189="Vader",P189,Q189="Vader",R189,S189="Vader",T189,O189="Moeder",P189,Q189="Moeder",R189,S189="Moeder",T189,TRUE,IF(P189&lt;&gt;"",P189,IF(R189&lt;&gt;"",R189,IF(T189&lt;&gt;"",T189,""))))</f>
        <v/>
      </c>
      <c r="AN189" t="str" cm="1">
        <f t="array" ref="AN189">_xlfn.LET(_xlpm.raw,_xlfn.IFS(OR(U189="Persoonlijk",U189="Zoon",U189="Dochter"),V189,OR(W189="Persoonlijk",W189="Zoon",W189="Dochter"),X189,OR(Y189="Persoonlijk",Y189="Zoon",Y189="Dochter"),Z189,U189="Vader",V189,W189="Vader",X189,Y189="Vader",Z189,U189="Moeder",V189,W189="Moeder",X189,Y189="Moeder",Z189,TRUE,IF(V189&lt;&gt;"",V189,IF(X189&lt;&gt;"",X189,IF(Z189&lt;&gt;"",Z189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+32491520844</v>
      </c>
    </row>
    <row r="190" spans="1:40" x14ac:dyDescent="0.3">
      <c r="A190">
        <v>3440013</v>
      </c>
      <c r="B190" t="s">
        <v>817</v>
      </c>
      <c r="C190" t="s">
        <v>818</v>
      </c>
      <c r="D190" t="s">
        <v>39</v>
      </c>
      <c r="E190" t="s">
        <v>40</v>
      </c>
      <c r="F190" t="s">
        <v>819</v>
      </c>
      <c r="G190" t="s">
        <v>820</v>
      </c>
      <c r="H190">
        <v>21</v>
      </c>
      <c r="Q190" t="s">
        <v>53</v>
      </c>
      <c r="R190" t="s">
        <v>821</v>
      </c>
      <c r="U190" t="s">
        <v>51</v>
      </c>
      <c r="V190" t="s">
        <v>822</v>
      </c>
      <c r="AE190" t="s">
        <v>823</v>
      </c>
      <c r="AF190">
        <v>1003440013</v>
      </c>
      <c r="AM190" t="str" cm="1">
        <f t="array" ref="AM190">_xlfn.IFS(OR(O190="Persoonlijk",O190="Zoon",O190="Dochter"),P190,OR(Q190="Persoonlijk",Q190="Zoon",Q190="Dochter"),R190,OR(S190="Persoonlijk",S190="Zoon",S190="Dochter"),T190,O190="Vader",P190,Q190="Vader",R190,S190="Vader",T190,O190="Moeder",P190,Q190="Moeder",R190,S190="Moeder",T190,TRUE,IF(P190&lt;&gt;"",P190,IF(R190&lt;&gt;"",R190,IF(T190&lt;&gt;"",T190,""))))</f>
        <v>Buckensmarie1@gmail.com</v>
      </c>
      <c r="AN190" t="str" cm="1">
        <f t="array" ref="AN190">_xlfn.LET(_xlpm.raw,_xlfn.IFS(OR(U190="Persoonlijk",U190="Zoon",U190="Dochter"),V190,OR(W190="Persoonlijk",W190="Zoon",W190="Dochter"),X190,OR(Y190="Persoonlijk",Y190="Zoon",Y190="Dochter"),Z190,U190="Vader",V190,W190="Vader",X190,Y190="Vader",Z190,U190="Moeder",V190,W190="Moeder",X190,Y190="Moeder",Z190,TRUE,IF(V190&lt;&gt;"",V190,IF(X190&lt;&gt;"",X190,IF(Z190&lt;&gt;"",Z190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+32478287091</v>
      </c>
    </row>
    <row r="191" spans="1:40" x14ac:dyDescent="0.3">
      <c r="A191">
        <v>2182701</v>
      </c>
      <c r="B191" t="s">
        <v>817</v>
      </c>
      <c r="C191" t="s">
        <v>824</v>
      </c>
      <c r="D191" t="s">
        <v>39</v>
      </c>
      <c r="E191" t="s">
        <v>40</v>
      </c>
      <c r="F191" t="s">
        <v>825</v>
      </c>
      <c r="G191" t="s">
        <v>703</v>
      </c>
      <c r="H191">
        <v>114</v>
      </c>
      <c r="I191">
        <v>102</v>
      </c>
      <c r="AC191" t="s">
        <v>826</v>
      </c>
      <c r="AF191">
        <v>1002182701</v>
      </c>
      <c r="AM191" t="str" cm="1">
        <f t="array" ref="AM191">_xlfn.IFS(OR(O191="Persoonlijk",O191="Zoon",O191="Dochter"),P191,OR(Q191="Persoonlijk",Q191="Zoon",Q191="Dochter"),R191,OR(S191="Persoonlijk",S191="Zoon",S191="Dochter"),T191,O191="Vader",P191,Q191="Vader",R191,S191="Vader",T191,O191="Moeder",P191,Q191="Moeder",R191,S191="Moeder",T191,TRUE,IF(P191&lt;&gt;"",P191,IF(R191&lt;&gt;"",R191,IF(T191&lt;&gt;"",T191,""))))</f>
        <v/>
      </c>
      <c r="AN191" t="str" cm="1">
        <f t="array" ref="AN191">_xlfn.LET(_xlpm.raw,_xlfn.IFS(OR(U191="Persoonlijk",U191="Zoon",U191="Dochter"),V191,OR(W191="Persoonlijk",W191="Zoon",W191="Dochter"),X191,OR(Y191="Persoonlijk",Y191="Zoon",Y191="Dochter"),Z191,U191="Vader",V191,W191="Vader",X191,Y191="Vader",Z191,U191="Moeder",V191,W191="Moeder",X191,Y191="Moeder",Z191,TRUE,IF(V191&lt;&gt;"",V191,IF(X191&lt;&gt;"",X191,IF(Z191&lt;&gt;"",Z191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92" spans="1:40" x14ac:dyDescent="0.3">
      <c r="A192">
        <v>2182706</v>
      </c>
      <c r="B192" t="s">
        <v>817</v>
      </c>
      <c r="C192" t="s">
        <v>827</v>
      </c>
      <c r="D192" t="s">
        <v>39</v>
      </c>
      <c r="E192" t="s">
        <v>40</v>
      </c>
      <c r="F192" t="s">
        <v>828</v>
      </c>
      <c r="G192" t="s">
        <v>783</v>
      </c>
      <c r="H192">
        <v>27</v>
      </c>
      <c r="V192" t="s">
        <v>784</v>
      </c>
      <c r="AC192" t="s">
        <v>829</v>
      </c>
      <c r="AF192">
        <v>1002182706</v>
      </c>
      <c r="AG192">
        <v>732757</v>
      </c>
      <c r="AM192" t="str" cm="1">
        <f t="array" ref="AM192">_xlfn.IFS(OR(O192="Persoonlijk",O192="Zoon",O192="Dochter"),P192,OR(Q192="Persoonlijk",Q192="Zoon",Q192="Dochter"),R192,OR(S192="Persoonlijk",S192="Zoon",S192="Dochter"),T192,O192="Vader",P192,Q192="Vader",R192,S192="Vader",T192,O192="Moeder",P192,Q192="Moeder",R192,S192="Moeder",T192,TRUE,IF(P192&lt;&gt;"",P192,IF(R192&lt;&gt;"",R192,IF(T192&lt;&gt;"",T192,""))))</f>
        <v/>
      </c>
      <c r="AN192" t="str" cm="1">
        <f t="array" ref="AN192">_xlfn.LET(_xlpm.raw,_xlfn.IFS(OR(U192="Persoonlijk",U192="Zoon",U192="Dochter"),V192,OR(W192="Persoonlijk",W192="Zoon",W192="Dochter"),X192,OR(Y192="Persoonlijk",Y192="Zoon",Y192="Dochter"),Z192,U192="Vader",V192,W192="Vader",X192,Y192="Vader",Z192,U192="Moeder",V192,W192="Moeder",X192,Y192="Moeder",Z192,TRUE,IF(V192&lt;&gt;"",V192,IF(X192&lt;&gt;"",X192,IF(Z192&lt;&gt;"",Z192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+32478936135</v>
      </c>
    </row>
    <row r="193" spans="1:40" x14ac:dyDescent="0.3">
      <c r="A193">
        <v>2182711</v>
      </c>
      <c r="B193" t="s">
        <v>830</v>
      </c>
      <c r="C193" t="s">
        <v>831</v>
      </c>
      <c r="D193" t="s">
        <v>39</v>
      </c>
      <c r="E193" t="s">
        <v>49</v>
      </c>
      <c r="F193" t="s">
        <v>832</v>
      </c>
      <c r="G193" t="s">
        <v>114</v>
      </c>
      <c r="H193">
        <v>62</v>
      </c>
      <c r="AC193" t="s">
        <v>833</v>
      </c>
      <c r="AE193" t="s">
        <v>834</v>
      </c>
      <c r="AF193">
        <v>1002182711</v>
      </c>
      <c r="AG193">
        <v>725134</v>
      </c>
      <c r="AL193" t="s">
        <v>621</v>
      </c>
      <c r="AM193" t="str" cm="1">
        <f t="array" ref="AM193">_xlfn.IFS(OR(O193="Persoonlijk",O193="Zoon",O193="Dochter"),P193,OR(Q193="Persoonlijk",Q193="Zoon",Q193="Dochter"),R193,OR(S193="Persoonlijk",S193="Zoon",S193="Dochter"),T193,O193="Vader",P193,Q193="Vader",R193,S193="Vader",T193,O193="Moeder",P193,Q193="Moeder",R193,S193="Moeder",T193,TRUE,IF(P193&lt;&gt;"",P193,IF(R193&lt;&gt;"",R193,IF(T193&lt;&gt;"",T193,""))))</f>
        <v/>
      </c>
      <c r="AN193" t="str" cm="1">
        <f t="array" ref="AN193">_xlfn.LET(_xlpm.raw,_xlfn.IFS(OR(U193="Persoonlijk",U193="Zoon",U193="Dochter"),V193,OR(W193="Persoonlijk",W193="Zoon",W193="Dochter"),X193,OR(Y193="Persoonlijk",Y193="Zoon",Y193="Dochter"),Z193,U193="Vader",V193,W193="Vader",X193,Y193="Vader",Z193,U193="Moeder",V193,W193="Moeder",X193,Y193="Moeder",Z193,TRUE,IF(V193&lt;&gt;"",V193,IF(X193&lt;&gt;"",X193,IF(Z193&lt;&gt;"",Z193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94" spans="1:40" x14ac:dyDescent="0.3">
      <c r="A194">
        <v>2182711</v>
      </c>
      <c r="B194" t="s">
        <v>830</v>
      </c>
      <c r="C194" t="s">
        <v>831</v>
      </c>
      <c r="D194" t="s">
        <v>39</v>
      </c>
      <c r="E194" t="s">
        <v>49</v>
      </c>
      <c r="F194" t="s">
        <v>832</v>
      </c>
      <c r="G194" t="s">
        <v>114</v>
      </c>
      <c r="H194">
        <v>62</v>
      </c>
      <c r="AC194" t="s">
        <v>833</v>
      </c>
      <c r="AE194" t="s">
        <v>834</v>
      </c>
      <c r="AF194">
        <v>1002182711</v>
      </c>
      <c r="AG194">
        <v>725134</v>
      </c>
      <c r="AL194" t="s">
        <v>835</v>
      </c>
      <c r="AM194" t="str" cm="1">
        <f t="array" ref="AM194">_xlfn.IFS(OR(O194="Persoonlijk",O194="Zoon",O194="Dochter"),P194,OR(Q194="Persoonlijk",Q194="Zoon",Q194="Dochter"),R194,OR(S194="Persoonlijk",S194="Zoon",S194="Dochter"),T194,O194="Vader",P194,Q194="Vader",R194,S194="Vader",T194,O194="Moeder",P194,Q194="Moeder",R194,S194="Moeder",T194,TRUE,IF(P194&lt;&gt;"",P194,IF(R194&lt;&gt;"",R194,IF(T194&lt;&gt;"",T194,""))))</f>
        <v/>
      </c>
      <c r="AN194" t="str" cm="1">
        <f t="array" ref="AN194">_xlfn.LET(_xlpm.raw,_xlfn.IFS(OR(U194="Persoonlijk",U194="Zoon",U194="Dochter"),V194,OR(W194="Persoonlijk",W194="Zoon",W194="Dochter"),X194,OR(Y194="Persoonlijk",Y194="Zoon",Y194="Dochter"),Z194,U194="Vader",V194,W194="Vader",X194,Y194="Vader",Z194,U194="Moeder",V194,W194="Moeder",X194,Y194="Moeder",Z194,TRUE,IF(V194&lt;&gt;"",V194,IF(X194&lt;&gt;"",X194,IF(Z194&lt;&gt;"",Z194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95" spans="1:40" x14ac:dyDescent="0.3">
      <c r="A195">
        <v>3850749</v>
      </c>
      <c r="B195" t="s">
        <v>836</v>
      </c>
      <c r="C195" t="s">
        <v>837</v>
      </c>
      <c r="D195" t="s">
        <v>39</v>
      </c>
      <c r="E195" t="s">
        <v>40</v>
      </c>
      <c r="F195" t="s">
        <v>838</v>
      </c>
      <c r="G195" t="s">
        <v>839</v>
      </c>
      <c r="H195">
        <v>90</v>
      </c>
      <c r="U195" t="s">
        <v>53</v>
      </c>
      <c r="V195">
        <v>473544353</v>
      </c>
      <c r="X195">
        <v>0</v>
      </c>
      <c r="Z195">
        <v>0</v>
      </c>
      <c r="AA195">
        <v>0</v>
      </c>
      <c r="AF195">
        <v>1003850749</v>
      </c>
      <c r="AM195" t="str" cm="1">
        <f t="array" ref="AM195">_xlfn.IFS(OR(O195="Persoonlijk",O195="Zoon",O195="Dochter"),P195,OR(Q195="Persoonlijk",Q195="Zoon",Q195="Dochter"),R195,OR(S195="Persoonlijk",S195="Zoon",S195="Dochter"),T195,O195="Vader",P195,Q195="Vader",R195,S195="Vader",T195,O195="Moeder",P195,Q195="Moeder",R195,S195="Moeder",T195,TRUE,IF(P195&lt;&gt;"",P195,IF(R195&lt;&gt;"",R195,IF(T195&lt;&gt;"",T195,""))))</f>
        <v/>
      </c>
      <c r="AN195" t="str" cm="1">
        <f t="array" ref="AN195">_xlfn.LET(_xlpm.raw,_xlfn.IFS(OR(U195="Persoonlijk",U195="Zoon",U195="Dochter"),V195,OR(W195="Persoonlijk",W195="Zoon",W195="Dochter"),X195,OR(Y195="Persoonlijk",Y195="Zoon",Y195="Dochter"),Z195,U195="Vader",V195,W195="Vader",X195,Y195="Vader",Z195,U195="Moeder",V195,W195="Moeder",X195,Y195="Moeder",Z195,TRUE,IF(V195&lt;&gt;"",V195,IF(X195&lt;&gt;"",X195,IF(Z195&lt;&gt;"",Z195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+32473544353</v>
      </c>
    </row>
    <row r="196" spans="1:40" x14ac:dyDescent="0.3">
      <c r="A196">
        <v>7284534</v>
      </c>
      <c r="B196" t="s">
        <v>840</v>
      </c>
      <c r="C196" t="s">
        <v>841</v>
      </c>
      <c r="D196" t="s">
        <v>39</v>
      </c>
      <c r="E196" t="s">
        <v>49</v>
      </c>
      <c r="F196" t="s">
        <v>842</v>
      </c>
      <c r="G196" t="s">
        <v>843</v>
      </c>
      <c r="H196">
        <v>95</v>
      </c>
      <c r="U196" t="s">
        <v>53</v>
      </c>
      <c r="V196" t="s">
        <v>844</v>
      </c>
      <c r="AC196" t="s">
        <v>845</v>
      </c>
      <c r="AE196" t="s">
        <v>846</v>
      </c>
      <c r="AF196">
        <v>1007284534</v>
      </c>
      <c r="AJ196" t="s">
        <v>164</v>
      </c>
      <c r="AK196" t="s">
        <v>61</v>
      </c>
      <c r="AM196" t="str" cm="1">
        <f t="array" ref="AM196">_xlfn.IFS(OR(O196="Persoonlijk",O196="Zoon",O196="Dochter"),P196,OR(Q196="Persoonlijk",Q196="Zoon",Q196="Dochter"),R196,OR(S196="Persoonlijk",S196="Zoon",S196="Dochter"),T196,O196="Vader",P196,Q196="Vader",R196,S196="Vader",T196,O196="Moeder",P196,Q196="Moeder",R196,S196="Moeder",T196,TRUE,IF(P196&lt;&gt;"",P196,IF(R196&lt;&gt;"",R196,IF(T196&lt;&gt;"",T196,""))))</f>
        <v/>
      </c>
      <c r="AN196" t="str" cm="1">
        <f t="array" ref="AN196">_xlfn.LET(_xlpm.raw,_xlfn.IFS(OR(U196="Persoonlijk",U196="Zoon",U196="Dochter"),V196,OR(W196="Persoonlijk",W196="Zoon",W196="Dochter"),X196,OR(Y196="Persoonlijk",Y196="Zoon",Y196="Dochter"),Z196,U196="Vader",V196,W196="Vader",X196,Y196="Vader",Z196,U196="Moeder",V196,W196="Moeder",X196,Y196="Moeder",Z196,TRUE,IF(V196&lt;&gt;"",V196,IF(X196&lt;&gt;"",X196,IF(Z196&lt;&gt;"",Z196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+32498651266</v>
      </c>
    </row>
    <row r="197" spans="1:40" x14ac:dyDescent="0.3">
      <c r="A197">
        <v>3470116</v>
      </c>
      <c r="B197" t="s">
        <v>847</v>
      </c>
      <c r="C197" t="s">
        <v>848</v>
      </c>
      <c r="D197" t="s">
        <v>39</v>
      </c>
      <c r="E197" t="s">
        <v>40</v>
      </c>
      <c r="F197" t="s">
        <v>849</v>
      </c>
      <c r="G197" t="s">
        <v>850</v>
      </c>
      <c r="H197">
        <v>34</v>
      </c>
      <c r="I197" t="s">
        <v>851</v>
      </c>
      <c r="U197" t="s">
        <v>53</v>
      </c>
      <c r="V197">
        <v>32473582756</v>
      </c>
      <c r="X197">
        <v>0</v>
      </c>
      <c r="Z197">
        <v>0</v>
      </c>
      <c r="AA197">
        <v>0</v>
      </c>
      <c r="AF197">
        <v>1003470116</v>
      </c>
      <c r="AM197" t="str" cm="1">
        <f t="array" ref="AM197">_xlfn.IFS(OR(O197="Persoonlijk",O197="Zoon",O197="Dochter"),P197,OR(Q197="Persoonlijk",Q197="Zoon",Q197="Dochter"),R197,OR(S197="Persoonlijk",S197="Zoon",S197="Dochter"),T197,O197="Vader",P197,Q197="Vader",R197,S197="Vader",T197,O197="Moeder",P197,Q197="Moeder",R197,S197="Moeder",T197,TRUE,IF(P197&lt;&gt;"",P197,IF(R197&lt;&gt;"",R197,IF(T197&lt;&gt;"",T197,""))))</f>
        <v/>
      </c>
      <c r="AN197" t="str" cm="1">
        <f t="array" ref="AN197">_xlfn.LET(_xlpm.raw,_xlfn.IFS(OR(U197="Persoonlijk",U197="Zoon",U197="Dochter"),V197,OR(W197="Persoonlijk",W197="Zoon",W197="Dochter"),X197,OR(Y197="Persoonlijk",Y197="Zoon",Y197="Dochter"),Z197,U197="Vader",V197,W197="Vader",X197,Y197="Vader",Z197,U197="Moeder",V197,W197="Moeder",X197,Y197="Moeder",Z197,TRUE,IF(V197&lt;&gt;"",V197,IF(X197&lt;&gt;"",X197,IF(Z197&lt;&gt;"",Z197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+32473582756</v>
      </c>
    </row>
    <row r="198" spans="1:40" x14ac:dyDescent="0.3">
      <c r="A198">
        <v>2182716</v>
      </c>
      <c r="B198" t="s">
        <v>852</v>
      </c>
      <c r="C198" t="s">
        <v>853</v>
      </c>
      <c r="D198" t="s">
        <v>39</v>
      </c>
      <c r="E198" t="s">
        <v>40</v>
      </c>
      <c r="F198" t="s">
        <v>854</v>
      </c>
      <c r="G198" t="s">
        <v>69</v>
      </c>
      <c r="H198">
        <v>150</v>
      </c>
      <c r="V198" t="s">
        <v>855</v>
      </c>
      <c r="AF198">
        <v>1002182716</v>
      </c>
      <c r="AG198">
        <v>733207</v>
      </c>
      <c r="AM198" t="str" cm="1">
        <f t="array" ref="AM198">_xlfn.IFS(OR(O198="Persoonlijk",O198="Zoon",O198="Dochter"),P198,OR(Q198="Persoonlijk",Q198="Zoon",Q198="Dochter"),R198,OR(S198="Persoonlijk",S198="Zoon",S198="Dochter"),T198,O198="Vader",P198,Q198="Vader",R198,S198="Vader",T198,O198="Moeder",P198,Q198="Moeder",R198,S198="Moeder",T198,TRUE,IF(P198&lt;&gt;"",P198,IF(R198&lt;&gt;"",R198,IF(T198&lt;&gt;"",T198,""))))</f>
        <v/>
      </c>
      <c r="AN198" t="str" cm="1">
        <f t="array" ref="AN198">_xlfn.LET(_xlpm.raw,_xlfn.IFS(OR(U198="Persoonlijk",U198="Zoon",U198="Dochter"),V198,OR(W198="Persoonlijk",W198="Zoon",W198="Dochter"),X198,OR(Y198="Persoonlijk",Y198="Zoon",Y198="Dochter"),Z198,U198="Vader",V198,W198="Vader",X198,Y198="Vader",Z198,U198="Moeder",V198,W198="Moeder",X198,Y198="Moeder",Z198,TRUE,IF(V198&lt;&gt;"",V198,IF(X198&lt;&gt;"",X198,IF(Z198&lt;&gt;"",Z198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+32478239304</v>
      </c>
    </row>
    <row r="199" spans="1:40" x14ac:dyDescent="0.3">
      <c r="A199">
        <v>3467711</v>
      </c>
      <c r="B199" t="s">
        <v>856</v>
      </c>
      <c r="C199" t="s">
        <v>857</v>
      </c>
      <c r="D199" t="s">
        <v>39</v>
      </c>
      <c r="E199" t="s">
        <v>40</v>
      </c>
      <c r="F199" t="s">
        <v>858</v>
      </c>
      <c r="G199" t="s">
        <v>859</v>
      </c>
      <c r="H199">
        <v>22</v>
      </c>
      <c r="Q199" t="s">
        <v>51</v>
      </c>
      <c r="R199" t="s">
        <v>860</v>
      </c>
      <c r="U199" t="s">
        <v>46</v>
      </c>
      <c r="V199">
        <v>499789499</v>
      </c>
      <c r="W199" t="s">
        <v>51</v>
      </c>
      <c r="X199">
        <v>497434133</v>
      </c>
      <c r="Z199">
        <v>0</v>
      </c>
      <c r="AA199">
        <v>0</v>
      </c>
      <c r="AF199">
        <v>1003467711</v>
      </c>
      <c r="AM199" t="str" cm="1">
        <f t="array" ref="AM199">_xlfn.IFS(OR(O199="Persoonlijk",O199="Zoon",O199="Dochter"),P199,OR(Q199="Persoonlijk",Q199="Zoon",Q199="Dochter"),R199,OR(S199="Persoonlijk",S199="Zoon",S199="Dochter"),T199,O199="Vader",P199,Q199="Vader",R199,S199="Vader",T199,O199="Moeder",P199,Q199="Moeder",R199,S199="Moeder",T199,TRUE,IF(P199&lt;&gt;"",P199,IF(R199&lt;&gt;"",R199,IF(T199&lt;&gt;"",T199,""))))</f>
        <v>eddy.de_waele@unilin.com</v>
      </c>
      <c r="AN199" t="str" cm="1">
        <f t="array" ref="AN199">_xlfn.LET(_xlpm.raw,_xlfn.IFS(OR(U199="Persoonlijk",U199="Zoon",U199="Dochter"),V199,OR(W199="Persoonlijk",W199="Zoon",W199="Dochter"),X199,OR(Y199="Persoonlijk",Y199="Zoon",Y199="Dochter"),Z199,U199="Vader",V199,W199="Vader",X199,Y199="Vader",Z199,U199="Moeder",V199,W199="Moeder",X199,Y199="Moeder",Z199,TRUE,IF(V199&lt;&gt;"",V199,IF(X199&lt;&gt;"",X199,IF(Z199&lt;&gt;"",Z199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+32499789499</v>
      </c>
    </row>
    <row r="200" spans="1:40" x14ac:dyDescent="0.3">
      <c r="A200">
        <v>4024808</v>
      </c>
      <c r="B200" t="s">
        <v>861</v>
      </c>
      <c r="C200" t="s">
        <v>862</v>
      </c>
      <c r="D200" t="s">
        <v>39</v>
      </c>
      <c r="E200" t="s">
        <v>40</v>
      </c>
      <c r="F200" t="s">
        <v>863</v>
      </c>
      <c r="G200" t="s">
        <v>768</v>
      </c>
      <c r="H200" t="s">
        <v>864</v>
      </c>
      <c r="U200" t="s">
        <v>46</v>
      </c>
      <c r="V200" t="s">
        <v>865</v>
      </c>
      <c r="AC200" t="s">
        <v>866</v>
      </c>
      <c r="AE200" t="s">
        <v>867</v>
      </c>
      <c r="AF200">
        <v>1004024808</v>
      </c>
      <c r="AG200">
        <v>252069</v>
      </c>
      <c r="AM200" t="str" cm="1">
        <f t="array" ref="AM200">_xlfn.IFS(OR(O200="Persoonlijk",O200="Zoon",O200="Dochter"),P200,OR(Q200="Persoonlijk",Q200="Zoon",Q200="Dochter"),R200,OR(S200="Persoonlijk",S200="Zoon",S200="Dochter"),T200,O200="Vader",P200,Q200="Vader",R200,S200="Vader",T200,O200="Moeder",P200,Q200="Moeder",R200,S200="Moeder",T200,TRUE,IF(P200&lt;&gt;"",P200,IF(R200&lt;&gt;"",R200,IF(T200&lt;&gt;"",T200,""))))</f>
        <v/>
      </c>
      <c r="AN200" t="str" cm="1">
        <f t="array" ref="AN200">_xlfn.LET(_xlpm.raw,_xlfn.IFS(OR(U200="Persoonlijk",U200="Zoon",U200="Dochter"),V200,OR(W200="Persoonlijk",W200="Zoon",W200="Dochter"),X200,OR(Y200="Persoonlijk",Y200="Zoon",Y200="Dochter"),Z200,U200="Vader",V200,W200="Vader",X200,Y200="Vader",Z200,U200="Moeder",V200,W200="Moeder",X200,Y200="Moeder",Z200,TRUE,IF(V200&lt;&gt;"",V200,IF(X200&lt;&gt;"",X200,IF(Z200&lt;&gt;"",Z200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+32472263674</v>
      </c>
    </row>
    <row r="201" spans="1:40" x14ac:dyDescent="0.3">
      <c r="A201">
        <v>3463928</v>
      </c>
      <c r="B201" t="s">
        <v>868</v>
      </c>
      <c r="C201" t="s">
        <v>869</v>
      </c>
      <c r="D201" t="s">
        <v>39</v>
      </c>
      <c r="E201" t="s">
        <v>40</v>
      </c>
      <c r="F201" t="s">
        <v>870</v>
      </c>
      <c r="G201" t="s">
        <v>871</v>
      </c>
      <c r="R201" t="s">
        <v>872</v>
      </c>
      <c r="V201" t="s">
        <v>873</v>
      </c>
      <c r="X201" t="s">
        <v>874</v>
      </c>
      <c r="AE201" t="s">
        <v>875</v>
      </c>
      <c r="AF201">
        <v>1003463928</v>
      </c>
      <c r="AG201">
        <v>747479</v>
      </c>
      <c r="AJ201" t="s">
        <v>286</v>
      </c>
      <c r="AK201" t="s">
        <v>61</v>
      </c>
      <c r="AM201" t="str" cm="1">
        <f t="array" ref="AM201">_xlfn.IFS(OR(O201="Persoonlijk",O201="Zoon",O201="Dochter"),P201,OR(Q201="Persoonlijk",Q201="Zoon",Q201="Dochter"),R201,OR(S201="Persoonlijk",S201="Zoon",S201="Dochter"),T201,O201="Vader",P201,Q201="Vader",R201,S201="Vader",T201,O201="Moeder",P201,Q201="Moeder",R201,S201="Moeder",T201,TRUE,IF(P201&lt;&gt;"",P201,IF(R201&lt;&gt;"",R201,IF(T201&lt;&gt;"",T201,""))))</f>
        <v>dwingrey@gmail.com</v>
      </c>
      <c r="AN201" t="str" cm="1">
        <f t="array" ref="AN201">_xlfn.LET(_xlpm.raw,_xlfn.IFS(OR(U201="Persoonlijk",U201="Zoon",U201="Dochter"),V201,OR(W201="Persoonlijk",W201="Zoon",W201="Dochter"),X201,OR(Y201="Persoonlijk",Y201="Zoon",Y201="Dochter"),Z201,U201="Vader",V201,W201="Vader",X201,Y201="Vader",Z201,U201="Moeder",V201,W201="Moeder",X201,Y201="Moeder",Z201,TRUE,IF(V201&lt;&gt;"",V201,IF(X201&lt;&gt;"",X201,IF(Z201&lt;&gt;"",Z201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+32485843240</v>
      </c>
    </row>
    <row r="202" spans="1:40" x14ac:dyDescent="0.3">
      <c r="A202">
        <v>6095741</v>
      </c>
      <c r="B202" t="s">
        <v>876</v>
      </c>
      <c r="C202" t="s">
        <v>877</v>
      </c>
      <c r="D202" t="s">
        <v>39</v>
      </c>
      <c r="E202" t="s">
        <v>49</v>
      </c>
      <c r="F202" t="s">
        <v>878</v>
      </c>
      <c r="G202" t="s">
        <v>581</v>
      </c>
      <c r="H202">
        <v>69</v>
      </c>
      <c r="R202" t="s">
        <v>879</v>
      </c>
      <c r="V202" t="s">
        <v>880</v>
      </c>
      <c r="X202" t="s">
        <v>881</v>
      </c>
      <c r="AF202">
        <v>1006095741</v>
      </c>
      <c r="AJ202" t="s">
        <v>192</v>
      </c>
      <c r="AK202" t="s">
        <v>61</v>
      </c>
      <c r="AM202" t="str" cm="1">
        <f t="array" ref="AM202">_xlfn.IFS(OR(O202="Persoonlijk",O202="Zoon",O202="Dochter"),P202,OR(Q202="Persoonlijk",Q202="Zoon",Q202="Dochter"),R202,OR(S202="Persoonlijk",S202="Zoon",S202="Dochter"),T202,O202="Vader",P202,Q202="Vader",R202,S202="Vader",T202,O202="Moeder",P202,Q202="Moeder",R202,S202="Moeder",T202,TRUE,IF(P202&lt;&gt;"",P202,IF(R202&lt;&gt;"",R202,IF(T202&lt;&gt;"",T202,""))))</f>
        <v>de.zitter.steve@gmail.com</v>
      </c>
      <c r="AN202" t="str" cm="1">
        <f t="array" ref="AN202">_xlfn.LET(_xlpm.raw,_xlfn.IFS(OR(U202="Persoonlijk",U202="Zoon",U202="Dochter"),V202,OR(W202="Persoonlijk",W202="Zoon",W202="Dochter"),X202,OR(Y202="Persoonlijk",Y202="Zoon",Y202="Dochter"),Z202,U202="Vader",V202,W202="Vader",X202,Y202="Vader",Z202,U202="Moeder",V202,W202="Moeder",X202,Y202="Moeder",Z202,TRUE,IF(V202&lt;&gt;"",V202,IF(X202&lt;&gt;"",X202,IF(Z202&lt;&gt;"",Z202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+32473423222</v>
      </c>
    </row>
    <row r="203" spans="1:40" x14ac:dyDescent="0.3">
      <c r="A203">
        <v>6095741</v>
      </c>
      <c r="B203" t="s">
        <v>876</v>
      </c>
      <c r="C203" t="s">
        <v>877</v>
      </c>
      <c r="D203" t="s">
        <v>39</v>
      </c>
      <c r="E203" t="s">
        <v>49</v>
      </c>
      <c r="F203" t="s">
        <v>878</v>
      </c>
      <c r="G203" t="s">
        <v>581</v>
      </c>
      <c r="H203">
        <v>69</v>
      </c>
      <c r="R203" t="s">
        <v>879</v>
      </c>
      <c r="V203" t="s">
        <v>880</v>
      </c>
      <c r="X203" t="s">
        <v>881</v>
      </c>
      <c r="AF203">
        <v>1006095741</v>
      </c>
      <c r="AJ203" t="s">
        <v>295</v>
      </c>
      <c r="AK203" t="s">
        <v>61</v>
      </c>
      <c r="AM203" t="str" cm="1">
        <f t="array" ref="AM203">_xlfn.IFS(OR(O203="Persoonlijk",O203="Zoon",O203="Dochter"),P203,OR(Q203="Persoonlijk",Q203="Zoon",Q203="Dochter"),R203,OR(S203="Persoonlijk",S203="Zoon",S203="Dochter"),T203,O203="Vader",P203,Q203="Vader",R203,S203="Vader",T203,O203="Moeder",P203,Q203="Moeder",R203,S203="Moeder",T203,TRUE,IF(P203&lt;&gt;"",P203,IF(R203&lt;&gt;"",R203,IF(T203&lt;&gt;"",T203,""))))</f>
        <v>de.zitter.steve@gmail.com</v>
      </c>
      <c r="AN203" t="str" cm="1">
        <f t="array" ref="AN203">_xlfn.LET(_xlpm.raw,_xlfn.IFS(OR(U203="Persoonlijk",U203="Zoon",U203="Dochter"),V203,OR(W203="Persoonlijk",W203="Zoon",W203="Dochter"),X203,OR(Y203="Persoonlijk",Y203="Zoon",Y203="Dochter"),Z203,U203="Vader",V203,W203="Vader",X203,Y203="Vader",Z203,U203="Moeder",V203,W203="Moeder",X203,Y203="Moeder",Z203,TRUE,IF(V203&lt;&gt;"",V203,IF(X203&lt;&gt;"",X203,IF(Z203&lt;&gt;"",Z203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+32473423222</v>
      </c>
    </row>
    <row r="204" spans="1:40" x14ac:dyDescent="0.3">
      <c r="A204">
        <v>2650905</v>
      </c>
      <c r="B204" t="s">
        <v>876</v>
      </c>
      <c r="C204" t="s">
        <v>882</v>
      </c>
      <c r="D204" t="s">
        <v>39</v>
      </c>
      <c r="E204" t="s">
        <v>49</v>
      </c>
      <c r="F204" t="s">
        <v>883</v>
      </c>
      <c r="G204" t="s">
        <v>581</v>
      </c>
      <c r="H204">
        <v>69</v>
      </c>
      <c r="R204" t="s">
        <v>879</v>
      </c>
      <c r="V204">
        <v>473423222</v>
      </c>
      <c r="X204">
        <v>473544531</v>
      </c>
      <c r="Z204">
        <v>0</v>
      </c>
      <c r="AA204">
        <v>0</v>
      </c>
      <c r="AF204">
        <v>1002650905</v>
      </c>
      <c r="AG204">
        <v>742327</v>
      </c>
      <c r="AJ204" t="s">
        <v>63</v>
      </c>
      <c r="AK204" t="s">
        <v>61</v>
      </c>
      <c r="AM204" t="str" cm="1">
        <f t="array" ref="AM204">_xlfn.IFS(OR(O204="Persoonlijk",O204="Zoon",O204="Dochter"),P204,OR(Q204="Persoonlijk",Q204="Zoon",Q204="Dochter"),R204,OR(S204="Persoonlijk",S204="Zoon",S204="Dochter"),T204,O204="Vader",P204,Q204="Vader",R204,S204="Vader",T204,O204="Moeder",P204,Q204="Moeder",R204,S204="Moeder",T204,TRUE,IF(P204&lt;&gt;"",P204,IF(R204&lt;&gt;"",R204,IF(T204&lt;&gt;"",T204,""))))</f>
        <v>de.zitter.steve@gmail.com</v>
      </c>
      <c r="AN204" t="str" cm="1">
        <f t="array" ref="AN204">_xlfn.LET(_xlpm.raw,_xlfn.IFS(OR(U204="Persoonlijk",U204="Zoon",U204="Dochter"),V204,OR(W204="Persoonlijk",W204="Zoon",W204="Dochter"),X204,OR(Y204="Persoonlijk",Y204="Zoon",Y204="Dochter"),Z204,U204="Vader",V204,W204="Vader",X204,Y204="Vader",Z204,U204="Moeder",V204,W204="Moeder",X204,Y204="Moeder",Z204,TRUE,IF(V204&lt;&gt;"",V204,IF(X204&lt;&gt;"",X204,IF(Z204&lt;&gt;"",Z204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+32473423222</v>
      </c>
    </row>
    <row r="205" spans="1:40" x14ac:dyDescent="0.3">
      <c r="A205">
        <v>2650905</v>
      </c>
      <c r="B205" t="s">
        <v>876</v>
      </c>
      <c r="C205" t="s">
        <v>882</v>
      </c>
      <c r="D205" t="s">
        <v>39</v>
      </c>
      <c r="E205" t="s">
        <v>49</v>
      </c>
      <c r="F205" t="s">
        <v>883</v>
      </c>
      <c r="G205" t="s">
        <v>581</v>
      </c>
      <c r="H205">
        <v>69</v>
      </c>
      <c r="R205" t="s">
        <v>879</v>
      </c>
      <c r="V205">
        <v>473423222</v>
      </c>
      <c r="X205">
        <v>473544531</v>
      </c>
      <c r="Z205">
        <v>0</v>
      </c>
      <c r="AA205">
        <v>0</v>
      </c>
      <c r="AF205">
        <v>1002650905</v>
      </c>
      <c r="AG205">
        <v>742327</v>
      </c>
      <c r="AJ205" t="s">
        <v>127</v>
      </c>
      <c r="AK205" t="s">
        <v>61</v>
      </c>
      <c r="AM205" t="str" cm="1">
        <f t="array" ref="AM205">_xlfn.IFS(OR(O205="Persoonlijk",O205="Zoon",O205="Dochter"),P205,OR(Q205="Persoonlijk",Q205="Zoon",Q205="Dochter"),R205,OR(S205="Persoonlijk",S205="Zoon",S205="Dochter"),T205,O205="Vader",P205,Q205="Vader",R205,S205="Vader",T205,O205="Moeder",P205,Q205="Moeder",R205,S205="Moeder",T205,TRUE,IF(P205&lt;&gt;"",P205,IF(R205&lt;&gt;"",R205,IF(T205&lt;&gt;"",T205,""))))</f>
        <v>de.zitter.steve@gmail.com</v>
      </c>
      <c r="AN205" t="str" cm="1">
        <f t="array" ref="AN205">_xlfn.LET(_xlpm.raw,_xlfn.IFS(OR(U205="Persoonlijk",U205="Zoon",U205="Dochter"),V205,OR(W205="Persoonlijk",W205="Zoon",W205="Dochter"),X205,OR(Y205="Persoonlijk",Y205="Zoon",Y205="Dochter"),Z205,U205="Vader",V205,W205="Vader",X205,Y205="Vader",Z205,U205="Moeder",V205,W205="Moeder",X205,Y205="Moeder",Z205,TRUE,IF(V205&lt;&gt;"",V205,IF(X205&lt;&gt;"",X205,IF(Z205&lt;&gt;"",Z205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+32473423222</v>
      </c>
    </row>
    <row r="206" spans="1:40" x14ac:dyDescent="0.3">
      <c r="A206">
        <v>10670630</v>
      </c>
      <c r="B206" t="s">
        <v>884</v>
      </c>
      <c r="C206" t="s">
        <v>885</v>
      </c>
      <c r="D206" t="s">
        <v>39</v>
      </c>
      <c r="E206" t="s">
        <v>40</v>
      </c>
      <c r="U206" t="s">
        <v>46</v>
      </c>
      <c r="V206" t="s">
        <v>886</v>
      </c>
      <c r="AF206">
        <v>1010670630</v>
      </c>
      <c r="AM206" t="str" cm="1">
        <f t="array" ref="AM206">_xlfn.IFS(OR(O206="Persoonlijk",O206="Zoon",O206="Dochter"),P206,OR(Q206="Persoonlijk",Q206="Zoon",Q206="Dochter"),R206,OR(S206="Persoonlijk",S206="Zoon",S206="Dochter"),T206,O206="Vader",P206,Q206="Vader",R206,S206="Vader",T206,O206="Moeder",P206,Q206="Moeder",R206,S206="Moeder",T206,TRUE,IF(P206&lt;&gt;"",P206,IF(R206&lt;&gt;"",R206,IF(T206&lt;&gt;"",T206,""))))</f>
        <v/>
      </c>
      <c r="AN206" t="str" cm="1">
        <f t="array" ref="AN206">_xlfn.LET(_xlpm.raw,_xlfn.IFS(OR(U206="Persoonlijk",U206="Zoon",U206="Dochter"),V206,OR(W206="Persoonlijk",W206="Zoon",W206="Dochter"),X206,OR(Y206="Persoonlijk",Y206="Zoon",Y206="Dochter"),Z206,U206="Vader",V206,W206="Vader",X206,Y206="Vader",Z206,U206="Moeder",V206,W206="Moeder",X206,Y206="Moeder",Z206,TRUE,IF(V206&lt;&gt;"",V206,IF(X206&lt;&gt;"",X206,IF(Z206&lt;&gt;"",Z206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+32495279874</v>
      </c>
    </row>
    <row r="207" spans="1:40" x14ac:dyDescent="0.3">
      <c r="A207">
        <v>7307064</v>
      </c>
      <c r="B207" t="s">
        <v>884</v>
      </c>
      <c r="C207" t="s">
        <v>288</v>
      </c>
      <c r="D207" t="s">
        <v>39</v>
      </c>
      <c r="E207" t="s">
        <v>40</v>
      </c>
      <c r="F207" t="s">
        <v>887</v>
      </c>
      <c r="G207" t="s">
        <v>888</v>
      </c>
      <c r="H207">
        <v>10</v>
      </c>
      <c r="U207" t="s">
        <v>46</v>
      </c>
      <c r="V207" t="s">
        <v>889</v>
      </c>
      <c r="AC207" t="s">
        <v>890</v>
      </c>
      <c r="AE207" t="s">
        <v>891</v>
      </c>
      <c r="AF207">
        <v>1007307064</v>
      </c>
      <c r="AJ207" t="s">
        <v>131</v>
      </c>
      <c r="AK207" t="s">
        <v>61</v>
      </c>
      <c r="AM207" t="str" cm="1">
        <f t="array" ref="AM207">_xlfn.IFS(OR(O207="Persoonlijk",O207="Zoon",O207="Dochter"),P207,OR(Q207="Persoonlijk",Q207="Zoon",Q207="Dochter"),R207,OR(S207="Persoonlijk",S207="Zoon",S207="Dochter"),T207,O207="Vader",P207,Q207="Vader",R207,S207="Vader",T207,O207="Moeder",P207,Q207="Moeder",R207,S207="Moeder",T207,TRUE,IF(P207&lt;&gt;"",P207,IF(R207&lt;&gt;"",R207,IF(T207&lt;&gt;"",T207,""))))</f>
        <v/>
      </c>
      <c r="AN207" t="str" cm="1">
        <f t="array" ref="AN207">_xlfn.LET(_xlpm.raw,_xlfn.IFS(OR(U207="Persoonlijk",U207="Zoon",U207="Dochter"),V207,OR(W207="Persoonlijk",W207="Zoon",W207="Dochter"),X207,OR(Y207="Persoonlijk",Y207="Zoon",Y207="Dochter"),Z207,U207="Vader",V207,W207="Vader",X207,Y207="Vader",Z207,U207="Moeder",V207,W207="Moeder",X207,Y207="Moeder",Z207,TRUE,IF(V207&lt;&gt;"",V207,IF(X207&lt;&gt;"",X207,IF(Z207&lt;&gt;"",Z207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+32476521616</v>
      </c>
    </row>
    <row r="208" spans="1:40" x14ac:dyDescent="0.3">
      <c r="A208">
        <v>11846382</v>
      </c>
      <c r="B208" t="s">
        <v>892</v>
      </c>
      <c r="C208" t="s">
        <v>542</v>
      </c>
      <c r="D208" t="s">
        <v>39</v>
      </c>
      <c r="E208" t="s">
        <v>40</v>
      </c>
      <c r="F208" t="s">
        <v>893</v>
      </c>
      <c r="G208" t="s">
        <v>894</v>
      </c>
      <c r="H208">
        <v>11</v>
      </c>
      <c r="V208" t="s">
        <v>895</v>
      </c>
      <c r="AF208">
        <v>1011846382</v>
      </c>
      <c r="AJ208" t="s">
        <v>83</v>
      </c>
      <c r="AK208" t="s">
        <v>61</v>
      </c>
      <c r="AM208" t="str" cm="1">
        <f t="array" ref="AM208">_xlfn.IFS(OR(O208="Persoonlijk",O208="Zoon",O208="Dochter"),P208,OR(Q208="Persoonlijk",Q208="Zoon",Q208="Dochter"),R208,OR(S208="Persoonlijk",S208="Zoon",S208="Dochter"),T208,O208="Vader",P208,Q208="Vader",R208,S208="Vader",T208,O208="Moeder",P208,Q208="Moeder",R208,S208="Moeder",T208,TRUE,IF(P208&lt;&gt;"",P208,IF(R208&lt;&gt;"",R208,IF(T208&lt;&gt;"",T208,""))))</f>
        <v/>
      </c>
      <c r="AN208" t="str" cm="1">
        <f t="array" ref="AN208">_xlfn.LET(_xlpm.raw,_xlfn.IFS(OR(U208="Persoonlijk",U208="Zoon",U208="Dochter"),V208,OR(W208="Persoonlijk",W208="Zoon",W208="Dochter"),X208,OR(Y208="Persoonlijk",Y208="Zoon",Y208="Dochter"),Z208,U208="Vader",V208,W208="Vader",X208,Y208="Vader",Z208,U208="Moeder",V208,W208="Moeder",X208,Y208="Moeder",Z208,TRUE,IF(V208&lt;&gt;"",V208,IF(X208&lt;&gt;"",X208,IF(Z208&lt;&gt;"",Z208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+32486445874</v>
      </c>
    </row>
    <row r="209" spans="1:40" x14ac:dyDescent="0.3">
      <c r="A209">
        <v>2182731</v>
      </c>
      <c r="B209" t="s">
        <v>896</v>
      </c>
      <c r="C209" t="s">
        <v>897</v>
      </c>
      <c r="D209" t="s">
        <v>39</v>
      </c>
      <c r="E209" t="s">
        <v>40</v>
      </c>
      <c r="F209" t="s">
        <v>898</v>
      </c>
      <c r="G209" t="s">
        <v>448</v>
      </c>
      <c r="H209">
        <v>16</v>
      </c>
      <c r="U209" t="s">
        <v>46</v>
      </c>
      <c r="V209">
        <v>320496247133</v>
      </c>
      <c r="AC209" t="s">
        <v>900</v>
      </c>
      <c r="AF209">
        <v>1002182731</v>
      </c>
      <c r="AG209">
        <v>271615</v>
      </c>
      <c r="AJ209" t="s">
        <v>88</v>
      </c>
      <c r="AK209" t="s">
        <v>65</v>
      </c>
      <c r="AM209" t="str" cm="1">
        <f t="array" ref="AM209">_xlfn.IFS(OR(O209="Persoonlijk",O209="Zoon",O209="Dochter"),P209,OR(Q209="Persoonlijk",Q209="Zoon",Q209="Dochter"),R209,OR(S209="Persoonlijk",S209="Zoon",S209="Dochter"),T209,O209="Vader",P209,Q209="Vader",R209,S209="Vader",T209,O209="Moeder",P209,Q209="Moeder",R209,S209="Moeder",T209,TRUE,IF(P209&lt;&gt;"",P209,IF(R209&lt;&gt;"",R209,IF(T209&lt;&gt;"",T209,""))))</f>
        <v/>
      </c>
      <c r="AN209" t="str" cm="1">
        <f t="array" ref="AN209">_xlfn.LET(_xlpm.raw,_xlfn.IFS(OR(U209="Persoonlijk",U209="Zoon",U209="Dochter"),V209,OR(W209="Persoonlijk",W209="Zoon",W209="Dochter"),X209,OR(Y209="Persoonlijk",Y209="Zoon",Y209="Dochter"),Z209,U209="Vader",V209,W209="Vader",X209,Y209="Vader",Z209,U209="Moeder",V209,W209="Moeder",X209,Y209="Moeder",Z209,TRUE,IF(V209&lt;&gt;"",V209,IF(X209&lt;&gt;"",X209,IF(Z209&lt;&gt;"",Z209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+32496247133</v>
      </c>
    </row>
    <row r="210" spans="1:40" x14ac:dyDescent="0.3">
      <c r="A210">
        <v>2182731</v>
      </c>
      <c r="B210" t="s">
        <v>896</v>
      </c>
      <c r="C210" t="s">
        <v>897</v>
      </c>
      <c r="D210" t="s">
        <v>39</v>
      </c>
      <c r="E210" t="s">
        <v>40</v>
      </c>
      <c r="F210" t="s">
        <v>898</v>
      </c>
      <c r="G210" t="s">
        <v>448</v>
      </c>
      <c r="H210">
        <v>16</v>
      </c>
      <c r="U210" t="s">
        <v>46</v>
      </c>
      <c r="V210">
        <v>320496247133</v>
      </c>
      <c r="AC210" t="s">
        <v>900</v>
      </c>
      <c r="AF210">
        <v>1002182731</v>
      </c>
      <c r="AG210">
        <v>271615</v>
      </c>
      <c r="AJ210" t="s">
        <v>483</v>
      </c>
      <c r="AK210" t="s">
        <v>65</v>
      </c>
      <c r="AM210" t="str" cm="1">
        <f t="array" ref="AM210">_xlfn.IFS(OR(O210="Persoonlijk",O210="Zoon",O210="Dochter"),P210,OR(Q210="Persoonlijk",Q210="Zoon",Q210="Dochter"),R210,OR(S210="Persoonlijk",S210="Zoon",S210="Dochter"),T210,O210="Vader",P210,Q210="Vader",R210,S210="Vader",T210,O210="Moeder",P210,Q210="Moeder",R210,S210="Moeder",T210,TRUE,IF(P210&lt;&gt;"",P210,IF(R210&lt;&gt;"",R210,IF(T210&lt;&gt;"",T210,""))))</f>
        <v/>
      </c>
      <c r="AN210" t="str" cm="1">
        <f t="array" ref="AN210">_xlfn.LET(_xlpm.raw,_xlfn.IFS(OR(U210="Persoonlijk",U210="Zoon",U210="Dochter"),V210,OR(W210="Persoonlijk",W210="Zoon",W210="Dochter"),X210,OR(Y210="Persoonlijk",Y210="Zoon",Y210="Dochter"),Z210,U210="Vader",V210,W210="Vader",X210,Y210="Vader",Z210,U210="Moeder",V210,W210="Moeder",X210,Y210="Moeder",Z210,TRUE,IF(V210&lt;&gt;"",V210,IF(X210&lt;&gt;"",X210,IF(Z210&lt;&gt;"",Z210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+32496247133</v>
      </c>
    </row>
    <row r="211" spans="1:40" x14ac:dyDescent="0.3">
      <c r="A211">
        <v>2182731</v>
      </c>
      <c r="B211" t="s">
        <v>896</v>
      </c>
      <c r="C211" t="s">
        <v>897</v>
      </c>
      <c r="D211" t="s">
        <v>39</v>
      </c>
      <c r="E211" t="s">
        <v>40</v>
      </c>
      <c r="F211" t="s">
        <v>898</v>
      </c>
      <c r="G211" t="s">
        <v>448</v>
      </c>
      <c r="H211">
        <v>16</v>
      </c>
      <c r="U211" t="s">
        <v>46</v>
      </c>
      <c r="V211">
        <v>320496247133</v>
      </c>
      <c r="AC211" t="s">
        <v>900</v>
      </c>
      <c r="AF211">
        <v>1002182731</v>
      </c>
      <c r="AG211">
        <v>271615</v>
      </c>
      <c r="AJ211" t="s">
        <v>180</v>
      </c>
      <c r="AK211" t="s">
        <v>61</v>
      </c>
      <c r="AM211" t="str" cm="1">
        <f t="array" ref="AM211">_xlfn.IFS(OR(O211="Persoonlijk",O211="Zoon",O211="Dochter"),P211,OR(Q211="Persoonlijk",Q211="Zoon",Q211="Dochter"),R211,OR(S211="Persoonlijk",S211="Zoon",S211="Dochter"),T211,O211="Vader",P211,Q211="Vader",R211,S211="Vader",T211,O211="Moeder",P211,Q211="Moeder",R211,S211="Moeder",T211,TRUE,IF(P211&lt;&gt;"",P211,IF(R211&lt;&gt;"",R211,IF(T211&lt;&gt;"",T211,""))))</f>
        <v/>
      </c>
      <c r="AN211" t="str" cm="1">
        <f t="array" ref="AN211">_xlfn.LET(_xlpm.raw,_xlfn.IFS(OR(U211="Persoonlijk",U211="Zoon",U211="Dochter"),V211,OR(W211="Persoonlijk",W211="Zoon",W211="Dochter"),X211,OR(Y211="Persoonlijk",Y211="Zoon",Y211="Dochter"),Z211,U211="Vader",V211,W211="Vader",X211,Y211="Vader",Z211,U211="Moeder",V211,W211="Moeder",X211,Y211="Moeder",Z211,TRUE,IF(V211&lt;&gt;"",V211,IF(X211&lt;&gt;"",X211,IF(Z211&lt;&gt;"",Z211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+32496247133</v>
      </c>
    </row>
    <row r="212" spans="1:40" x14ac:dyDescent="0.3">
      <c r="A212">
        <v>3470113</v>
      </c>
      <c r="B212" t="s">
        <v>896</v>
      </c>
      <c r="C212" t="s">
        <v>901</v>
      </c>
      <c r="D212" t="s">
        <v>39</v>
      </c>
      <c r="E212" t="s">
        <v>40</v>
      </c>
      <c r="F212" t="s">
        <v>902</v>
      </c>
      <c r="G212" t="s">
        <v>448</v>
      </c>
      <c r="H212">
        <v>16</v>
      </c>
      <c r="U212" t="s">
        <v>53</v>
      </c>
      <c r="V212">
        <v>32474278078</v>
      </c>
      <c r="AD212">
        <v>6</v>
      </c>
      <c r="AE212" t="s">
        <v>903</v>
      </c>
      <c r="AF212">
        <v>1003470113</v>
      </c>
      <c r="AJ212" t="s">
        <v>88</v>
      </c>
      <c r="AK212" t="s">
        <v>61</v>
      </c>
      <c r="AM212" t="str" cm="1">
        <f t="array" ref="AM212">_xlfn.IFS(OR(O212="Persoonlijk",O212="Zoon",O212="Dochter"),P212,OR(Q212="Persoonlijk",Q212="Zoon",Q212="Dochter"),R212,OR(S212="Persoonlijk",S212="Zoon",S212="Dochter"),T212,O212="Vader",P212,Q212="Vader",R212,S212="Vader",T212,O212="Moeder",P212,Q212="Moeder",R212,S212="Moeder",T212,TRUE,IF(P212&lt;&gt;"",P212,IF(R212&lt;&gt;"",R212,IF(T212&lt;&gt;"",T212,""))))</f>
        <v/>
      </c>
      <c r="AN212" t="str" cm="1">
        <f t="array" ref="AN212">_xlfn.LET(_xlpm.raw,_xlfn.IFS(OR(U212="Persoonlijk",U212="Zoon",U212="Dochter"),V212,OR(W212="Persoonlijk",W212="Zoon",W212="Dochter"),X212,OR(Y212="Persoonlijk",Y212="Zoon",Y212="Dochter"),Z212,U212="Vader",V212,W212="Vader",X212,Y212="Vader",Z212,U212="Moeder",V212,W212="Moeder",X212,Y212="Moeder",Z212,TRUE,IF(V212&lt;&gt;"",V212,IF(X212&lt;&gt;"",X212,IF(Z212&lt;&gt;"",Z212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+32474278078</v>
      </c>
    </row>
    <row r="213" spans="1:40" x14ac:dyDescent="0.3">
      <c r="A213">
        <v>10452578</v>
      </c>
      <c r="B213" t="s">
        <v>896</v>
      </c>
      <c r="C213" t="s">
        <v>904</v>
      </c>
      <c r="D213" t="s">
        <v>39</v>
      </c>
      <c r="E213" t="s">
        <v>49</v>
      </c>
      <c r="F213" t="s">
        <v>905</v>
      </c>
      <c r="G213" t="s">
        <v>448</v>
      </c>
      <c r="H213">
        <v>16</v>
      </c>
      <c r="R213" t="s">
        <v>899</v>
      </c>
      <c r="V213">
        <v>32474278078</v>
      </c>
      <c r="AE213" t="s">
        <v>906</v>
      </c>
      <c r="AF213">
        <v>1010452578</v>
      </c>
      <c r="AJ213" t="s">
        <v>294</v>
      </c>
      <c r="AK213" t="s">
        <v>61</v>
      </c>
      <c r="AM213" t="str" cm="1">
        <f t="array" ref="AM213">_xlfn.IFS(OR(O213="Persoonlijk",O213="Zoon",O213="Dochter"),P213,OR(Q213="Persoonlijk",Q213="Zoon",Q213="Dochter"),R213,OR(S213="Persoonlijk",S213="Zoon",S213="Dochter"),T213,O213="Vader",P213,Q213="Vader",R213,S213="Vader",T213,O213="Moeder",P213,Q213="Moeder",R213,S213="Moeder",T213,TRUE,IF(P213&lt;&gt;"",P213,IF(R213&lt;&gt;"",R213,IF(T213&lt;&gt;"",T213,""))))</f>
        <v>debouverieryan@gmail.com</v>
      </c>
      <c r="AN213" t="str" cm="1">
        <f t="array" ref="AN213">_xlfn.LET(_xlpm.raw,_xlfn.IFS(OR(U213="Persoonlijk",U213="Zoon",U213="Dochter"),V213,OR(W213="Persoonlijk",W213="Zoon",W213="Dochter"),X213,OR(Y213="Persoonlijk",Y213="Zoon",Y213="Dochter"),Z213,U213="Vader",V213,W213="Vader",X213,Y213="Vader",Z213,U213="Moeder",V213,W213="Moeder",X213,Y213="Moeder",Z213,TRUE,IF(V213&lt;&gt;"",V213,IF(X213&lt;&gt;"",X213,IF(Z213&lt;&gt;"",Z213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+32474278078</v>
      </c>
    </row>
    <row r="214" spans="1:40" x14ac:dyDescent="0.3">
      <c r="A214">
        <v>9358687</v>
      </c>
      <c r="B214" t="s">
        <v>907</v>
      </c>
      <c r="C214" t="s">
        <v>908</v>
      </c>
      <c r="D214" t="s">
        <v>39</v>
      </c>
      <c r="E214" t="s">
        <v>40</v>
      </c>
      <c r="F214" t="s">
        <v>909</v>
      </c>
      <c r="G214" t="s">
        <v>910</v>
      </c>
      <c r="H214">
        <v>5</v>
      </c>
      <c r="Q214" t="s">
        <v>51</v>
      </c>
      <c r="R214" t="s">
        <v>911</v>
      </c>
      <c r="U214" t="s">
        <v>53</v>
      </c>
      <c r="V214" t="s">
        <v>912</v>
      </c>
      <c r="W214" t="s">
        <v>51</v>
      </c>
      <c r="X214" t="s">
        <v>913</v>
      </c>
      <c r="AE214" t="s">
        <v>914</v>
      </c>
      <c r="AF214">
        <v>1009358687</v>
      </c>
      <c r="AM214" t="str" cm="1">
        <f t="array" ref="AM214">_xlfn.IFS(OR(O214="Persoonlijk",O214="Zoon",O214="Dochter"),P214,OR(Q214="Persoonlijk",Q214="Zoon",Q214="Dochter"),R214,OR(S214="Persoonlijk",S214="Zoon",S214="Dochter"),T214,O214="Vader",P214,Q214="Vader",R214,S214="Vader",T214,O214="Moeder",P214,Q214="Moeder",R214,S214="Moeder",T214,TRUE,IF(P214&lt;&gt;"",P214,IF(R214&lt;&gt;"",R214,IF(T214&lt;&gt;"",T214,""))))</f>
        <v>wouterdebrabandere@hotmail.com</v>
      </c>
      <c r="AN214" t="str" cm="1">
        <f t="array" ref="AN214">_xlfn.LET(_xlpm.raw,_xlfn.IFS(OR(U214="Persoonlijk",U214="Zoon",U214="Dochter"),V214,OR(W214="Persoonlijk",W214="Zoon",W214="Dochter"),X214,OR(Y214="Persoonlijk",Y214="Zoon",Y214="Dochter"),Z214,U214="Vader",V214,W214="Vader",X214,Y214="Vader",Z214,U214="Moeder",V214,W214="Moeder",X214,Y214="Moeder",Z214,TRUE,IF(V214&lt;&gt;"",V214,IF(X214&lt;&gt;"",X214,IF(Z214&lt;&gt;"",Z214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+32479632757</v>
      </c>
    </row>
    <row r="215" spans="1:40" x14ac:dyDescent="0.3">
      <c r="A215">
        <v>6831668</v>
      </c>
      <c r="B215" t="s">
        <v>915</v>
      </c>
      <c r="C215" t="s">
        <v>916</v>
      </c>
      <c r="D215" t="s">
        <v>39</v>
      </c>
      <c r="E215" t="s">
        <v>40</v>
      </c>
      <c r="F215" t="s">
        <v>917</v>
      </c>
      <c r="U215" t="s">
        <v>46</v>
      </c>
      <c r="V215" t="s">
        <v>918</v>
      </c>
      <c r="AF215">
        <v>1006831668</v>
      </c>
      <c r="AJ215" t="s">
        <v>483</v>
      </c>
      <c r="AK215" t="s">
        <v>61</v>
      </c>
      <c r="AM215" t="str" cm="1">
        <f t="array" ref="AM215">_xlfn.IFS(OR(O215="Persoonlijk",O215="Zoon",O215="Dochter"),P215,OR(Q215="Persoonlijk",Q215="Zoon",Q215="Dochter"),R215,OR(S215="Persoonlijk",S215="Zoon",S215="Dochter"),T215,O215="Vader",P215,Q215="Vader",R215,S215="Vader",T215,O215="Moeder",P215,Q215="Moeder",R215,S215="Moeder",T215,TRUE,IF(P215&lt;&gt;"",P215,IF(R215&lt;&gt;"",R215,IF(T215&lt;&gt;"",T215,""))))</f>
        <v/>
      </c>
      <c r="AN215" t="str" cm="1">
        <f t="array" ref="AN215">_xlfn.LET(_xlpm.raw,_xlfn.IFS(OR(U215="Persoonlijk",U215="Zoon",U215="Dochter"),V215,OR(W215="Persoonlijk",W215="Zoon",W215="Dochter"),X215,OR(Y215="Persoonlijk",Y215="Zoon",Y215="Dochter"),Z215,U215="Vader",V215,W215="Vader",X215,Y215="Vader",Z215,U215="Moeder",V215,W215="Moeder",X215,Y215="Moeder",Z215,TRUE,IF(V215&lt;&gt;"",V215,IF(X215&lt;&gt;"",X215,IF(Z215&lt;&gt;"",Z215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+32471753995</v>
      </c>
    </row>
    <row r="216" spans="1:40" x14ac:dyDescent="0.3">
      <c r="A216">
        <v>2934328</v>
      </c>
      <c r="B216" t="s">
        <v>919</v>
      </c>
      <c r="C216" t="s">
        <v>920</v>
      </c>
      <c r="D216" t="s">
        <v>39</v>
      </c>
      <c r="E216" t="s">
        <v>40</v>
      </c>
      <c r="F216" t="s">
        <v>921</v>
      </c>
      <c r="U216" t="s">
        <v>46</v>
      </c>
      <c r="V216">
        <v>490413065</v>
      </c>
      <c r="AF216">
        <v>1002934328</v>
      </c>
      <c r="AG216">
        <v>284348</v>
      </c>
      <c r="AM216" t="str" cm="1">
        <f t="array" ref="AM216">_xlfn.IFS(OR(O216="Persoonlijk",O216="Zoon",O216="Dochter"),P216,OR(Q216="Persoonlijk",Q216="Zoon",Q216="Dochter"),R216,OR(S216="Persoonlijk",S216="Zoon",S216="Dochter"),T216,O216="Vader",P216,Q216="Vader",R216,S216="Vader",T216,O216="Moeder",P216,Q216="Moeder",R216,S216="Moeder",T216,TRUE,IF(P216&lt;&gt;"",P216,IF(R216&lt;&gt;"",R216,IF(T216&lt;&gt;"",T216,""))))</f>
        <v/>
      </c>
      <c r="AN216" t="str" cm="1">
        <f t="array" ref="AN216">_xlfn.LET(_xlpm.raw,_xlfn.IFS(OR(U216="Persoonlijk",U216="Zoon",U216="Dochter"),V216,OR(W216="Persoonlijk",W216="Zoon",W216="Dochter"),X216,OR(Y216="Persoonlijk",Y216="Zoon",Y216="Dochter"),Z216,U216="Vader",V216,W216="Vader",X216,Y216="Vader",Z216,U216="Moeder",V216,W216="Moeder",X216,Y216="Moeder",Z216,TRUE,IF(V216&lt;&gt;"",V216,IF(X216&lt;&gt;"",X216,IF(Z216&lt;&gt;"",Z216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+32490413065</v>
      </c>
    </row>
    <row r="217" spans="1:40" x14ac:dyDescent="0.3">
      <c r="A217">
        <v>10452700</v>
      </c>
      <c r="B217" t="s">
        <v>922</v>
      </c>
      <c r="C217" t="s">
        <v>923</v>
      </c>
      <c r="D217" t="s">
        <v>39</v>
      </c>
      <c r="E217" t="s">
        <v>40</v>
      </c>
      <c r="F217" t="s">
        <v>924</v>
      </c>
      <c r="G217" t="s">
        <v>925</v>
      </c>
      <c r="H217">
        <v>114</v>
      </c>
      <c r="R217" t="s">
        <v>926</v>
      </c>
      <c r="V217" t="s">
        <v>927</v>
      </c>
      <c r="AF217">
        <v>1010452700</v>
      </c>
      <c r="AJ217" t="s">
        <v>442</v>
      </c>
      <c r="AK217" t="s">
        <v>61</v>
      </c>
      <c r="AM217" t="str" cm="1">
        <f t="array" ref="AM217">_xlfn.IFS(OR(O217="Persoonlijk",O217="Zoon",O217="Dochter"),P217,OR(Q217="Persoonlijk",Q217="Zoon",Q217="Dochter"),R217,OR(S217="Persoonlijk",S217="Zoon",S217="Dochter"),T217,O217="Vader",P217,Q217="Vader",R217,S217="Vader",T217,O217="Moeder",P217,Q217="Moeder",R217,S217="Moeder",T217,TRUE,IF(P217&lt;&gt;"",P217,IF(R217&lt;&gt;"",R217,IF(T217&lt;&gt;"",T217,""))))</f>
        <v>decock.anthony07@gmail.com</v>
      </c>
      <c r="AN217" t="str" cm="1">
        <f t="array" ref="AN217">_xlfn.LET(_xlpm.raw,_xlfn.IFS(OR(U217="Persoonlijk",U217="Zoon",U217="Dochter"),V217,OR(W217="Persoonlijk",W217="Zoon",W217="Dochter"),X217,OR(Y217="Persoonlijk",Y217="Zoon",Y217="Dochter"),Z217,U217="Vader",V217,W217="Vader",X217,Y217="Vader",Z217,U217="Moeder",V217,W217="Moeder",X217,Y217="Moeder",Z217,TRUE,IF(V217&lt;&gt;"",V217,IF(X217&lt;&gt;"",X217,IF(Z217&lt;&gt;"",Z217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+3249819525</v>
      </c>
    </row>
    <row r="218" spans="1:40" x14ac:dyDescent="0.3">
      <c r="A218">
        <v>11850222</v>
      </c>
      <c r="B218" t="s">
        <v>922</v>
      </c>
      <c r="C218" t="s">
        <v>928</v>
      </c>
      <c r="D218" t="s">
        <v>39</v>
      </c>
      <c r="E218" t="s">
        <v>49</v>
      </c>
      <c r="F218" t="s">
        <v>929</v>
      </c>
      <c r="G218" t="s">
        <v>930</v>
      </c>
      <c r="H218">
        <v>20</v>
      </c>
      <c r="Q218" t="s">
        <v>51</v>
      </c>
      <c r="R218" t="s">
        <v>931</v>
      </c>
      <c r="U218" t="s">
        <v>53</v>
      </c>
      <c r="V218" t="s">
        <v>932</v>
      </c>
      <c r="W218" t="s">
        <v>51</v>
      </c>
      <c r="X218">
        <v>320491551932</v>
      </c>
      <c r="AC218" t="s">
        <v>933</v>
      </c>
      <c r="AF218">
        <v>1011850222</v>
      </c>
      <c r="AM218" t="str" cm="1">
        <f t="array" ref="AM218">_xlfn.IFS(OR(O218="Persoonlijk",O218="Zoon",O218="Dochter"),P218,OR(Q218="Persoonlijk",Q218="Zoon",Q218="Dochter"),R218,OR(S218="Persoonlijk",S218="Zoon",S218="Dochter"),T218,O218="Vader",P218,Q218="Vader",R218,S218="Vader",T218,O218="Moeder",P218,Q218="Moeder",R218,S218="Moeder",T218,TRUE,IF(P218&lt;&gt;"",P218,IF(R218&lt;&gt;"",R218,IF(T218&lt;&gt;"",T218,""))))</f>
        <v>andries.decock@gmail.com</v>
      </c>
      <c r="AN218" t="str" cm="1">
        <f t="array" ref="AN218">_xlfn.LET(_xlpm.raw,_xlfn.IFS(OR(U218="Persoonlijk",U218="Zoon",U218="Dochter"),V218,OR(W218="Persoonlijk",W218="Zoon",W218="Dochter"),X218,OR(Y218="Persoonlijk",Y218="Zoon",Y218="Dochter"),Z218,U218="Vader",V218,W218="Vader",X218,Y218="Vader",Z218,U218="Moeder",V218,W218="Moeder",X218,Y218="Moeder",Z218,TRUE,IF(V218&lt;&gt;"",V218,IF(X218&lt;&gt;"",X218,IF(Z218&lt;&gt;"",Z218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+32491551932</v>
      </c>
    </row>
    <row r="219" spans="1:40" x14ac:dyDescent="0.3">
      <c r="A219">
        <v>3861404</v>
      </c>
      <c r="B219" t="s">
        <v>934</v>
      </c>
      <c r="C219" t="s">
        <v>935</v>
      </c>
      <c r="D219" t="s">
        <v>39</v>
      </c>
      <c r="E219" t="s">
        <v>49</v>
      </c>
      <c r="F219" t="s">
        <v>936</v>
      </c>
      <c r="G219" t="s">
        <v>937</v>
      </c>
      <c r="H219">
        <v>118</v>
      </c>
      <c r="Q219" t="s">
        <v>51</v>
      </c>
      <c r="R219" t="s">
        <v>938</v>
      </c>
      <c r="T219" t="s">
        <v>939</v>
      </c>
      <c r="U219" t="s">
        <v>51</v>
      </c>
      <c r="V219" t="s">
        <v>940</v>
      </c>
      <c r="AF219">
        <v>1003861404</v>
      </c>
      <c r="AG219">
        <v>752195</v>
      </c>
      <c r="AJ219" t="s">
        <v>323</v>
      </c>
      <c r="AK219" t="s">
        <v>61</v>
      </c>
      <c r="AM219" t="str" cm="1">
        <f t="array" ref="AM219">_xlfn.IFS(OR(O219="Persoonlijk",O219="Zoon",O219="Dochter"),P219,OR(Q219="Persoonlijk",Q219="Zoon",Q219="Dochter"),R219,OR(S219="Persoonlijk",S219="Zoon",S219="Dochter"),T219,O219="Vader",P219,Q219="Vader",R219,S219="Vader",T219,O219="Moeder",P219,Q219="Moeder",R219,S219="Moeder",T219,TRUE,IF(P219&lt;&gt;"",P219,IF(R219&lt;&gt;"",R219,IF(T219&lt;&gt;"",T219,""))))</f>
        <v>decroix.willem@gmail.com</v>
      </c>
      <c r="AN219" t="str" cm="1">
        <f t="array" ref="AN219">_xlfn.LET(_xlpm.raw,_xlfn.IFS(OR(U219="Persoonlijk",U219="Zoon",U219="Dochter"),V219,OR(W219="Persoonlijk",W219="Zoon",W219="Dochter"),X219,OR(Y219="Persoonlijk",Y219="Zoon",Y219="Dochter"),Z219,U219="Vader",V219,W219="Vader",X219,Y219="Vader",Z219,U219="Moeder",V219,W219="Moeder",X219,Y219="Moeder",Z219,TRUE,IF(V219&lt;&gt;"",V219,IF(X219&lt;&gt;"",X219,IF(Z219&lt;&gt;"",Z219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+32483596928</v>
      </c>
    </row>
    <row r="220" spans="1:40" x14ac:dyDescent="0.3">
      <c r="A220">
        <v>1933235</v>
      </c>
      <c r="B220" t="s">
        <v>941</v>
      </c>
      <c r="C220" t="s">
        <v>942</v>
      </c>
      <c r="D220" t="s">
        <v>39</v>
      </c>
      <c r="E220" t="s">
        <v>40</v>
      </c>
      <c r="F220" t="s">
        <v>943</v>
      </c>
      <c r="G220" t="s">
        <v>944</v>
      </c>
      <c r="H220">
        <v>138</v>
      </c>
      <c r="U220" t="s">
        <v>46</v>
      </c>
      <c r="V220" t="s">
        <v>945</v>
      </c>
      <c r="AC220" t="s">
        <v>946</v>
      </c>
      <c r="AF220">
        <v>1001933235</v>
      </c>
      <c r="AM220" t="str" cm="1">
        <f t="array" ref="AM220">_xlfn.IFS(OR(O220="Persoonlijk",O220="Zoon",O220="Dochter"),P220,OR(Q220="Persoonlijk",Q220="Zoon",Q220="Dochter"),R220,OR(S220="Persoonlijk",S220="Zoon",S220="Dochter"),T220,O220="Vader",P220,Q220="Vader",R220,S220="Vader",T220,O220="Moeder",P220,Q220="Moeder",R220,S220="Moeder",T220,TRUE,IF(P220&lt;&gt;"",P220,IF(R220&lt;&gt;"",R220,IF(T220&lt;&gt;"",T220,""))))</f>
        <v/>
      </c>
      <c r="AN220" t="str" cm="1">
        <f t="array" ref="AN220">_xlfn.LET(_xlpm.raw,_xlfn.IFS(OR(U220="Persoonlijk",U220="Zoon",U220="Dochter"),V220,OR(W220="Persoonlijk",W220="Zoon",W220="Dochter"),X220,OR(Y220="Persoonlijk",Y220="Zoon",Y220="Dochter"),Z220,U220="Vader",V220,W220="Vader",X220,Y220="Vader",Z220,U220="Moeder",V220,W220="Moeder",X220,Y220="Moeder",Z220,TRUE,IF(V220&lt;&gt;"",V220,IF(X220&lt;&gt;"",X220,IF(Z220&lt;&gt;"",Z220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+32470102338</v>
      </c>
    </row>
    <row r="221" spans="1:40" x14ac:dyDescent="0.3">
      <c r="A221">
        <v>5573322</v>
      </c>
      <c r="B221" t="s">
        <v>947</v>
      </c>
      <c r="C221" t="s">
        <v>948</v>
      </c>
      <c r="D221" t="s">
        <v>39</v>
      </c>
      <c r="E221" t="s">
        <v>40</v>
      </c>
      <c r="F221" t="s">
        <v>949</v>
      </c>
      <c r="G221" t="s">
        <v>950</v>
      </c>
      <c r="H221">
        <v>4</v>
      </c>
      <c r="I221">
        <v>2002</v>
      </c>
      <c r="AC221" t="s">
        <v>951</v>
      </c>
      <c r="AF221">
        <v>1005573322</v>
      </c>
      <c r="AM221" t="str" cm="1">
        <f t="array" ref="AM221">_xlfn.IFS(OR(O221="Persoonlijk",O221="Zoon",O221="Dochter"),P221,OR(Q221="Persoonlijk",Q221="Zoon",Q221="Dochter"),R221,OR(S221="Persoonlijk",S221="Zoon",S221="Dochter"),T221,O221="Vader",P221,Q221="Vader",R221,S221="Vader",T221,O221="Moeder",P221,Q221="Moeder",R221,S221="Moeder",T221,TRUE,IF(P221&lt;&gt;"",P221,IF(R221&lt;&gt;"",R221,IF(T221&lt;&gt;"",T221,""))))</f>
        <v/>
      </c>
      <c r="AN221" t="str" cm="1">
        <f t="array" ref="AN221">_xlfn.LET(_xlpm.raw,_xlfn.IFS(OR(U221="Persoonlijk",U221="Zoon",U221="Dochter"),V221,OR(W221="Persoonlijk",W221="Zoon",W221="Dochter"),X221,OR(Y221="Persoonlijk",Y221="Zoon",Y221="Dochter"),Z221,U221="Vader",V221,W221="Vader",X221,Y221="Vader",Z221,U221="Moeder",V221,W221="Moeder",X221,Y221="Moeder",Z221,TRUE,IF(V221&lt;&gt;"",V221,IF(X221&lt;&gt;"",X221,IF(Z221&lt;&gt;"",Z221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22" spans="1:40" x14ac:dyDescent="0.3">
      <c r="A222">
        <v>2182746</v>
      </c>
      <c r="B222" t="s">
        <v>952</v>
      </c>
      <c r="C222" t="s">
        <v>953</v>
      </c>
      <c r="D222" t="s">
        <v>39</v>
      </c>
      <c r="E222" t="s">
        <v>49</v>
      </c>
      <c r="F222" t="s">
        <v>512</v>
      </c>
      <c r="G222" t="s">
        <v>954</v>
      </c>
      <c r="H222">
        <v>85</v>
      </c>
      <c r="V222">
        <v>479645729</v>
      </c>
      <c r="AF222">
        <v>1002182746</v>
      </c>
      <c r="AG222">
        <v>714081</v>
      </c>
      <c r="AM222" t="str" cm="1">
        <f t="array" ref="AM222">_xlfn.IFS(OR(O222="Persoonlijk",O222="Zoon",O222="Dochter"),P222,OR(Q222="Persoonlijk",Q222="Zoon",Q222="Dochter"),R222,OR(S222="Persoonlijk",S222="Zoon",S222="Dochter"),T222,O222="Vader",P222,Q222="Vader",R222,S222="Vader",T222,O222="Moeder",P222,Q222="Moeder",R222,S222="Moeder",T222,TRUE,IF(P222&lt;&gt;"",P222,IF(R222&lt;&gt;"",R222,IF(T222&lt;&gt;"",T222,""))))</f>
        <v/>
      </c>
      <c r="AN222" t="str" cm="1">
        <f t="array" ref="AN222">_xlfn.LET(_xlpm.raw,_xlfn.IFS(OR(U222="Persoonlijk",U222="Zoon",U222="Dochter"),V222,OR(W222="Persoonlijk",W222="Zoon",W222="Dochter"),X222,OR(Y222="Persoonlijk",Y222="Zoon",Y222="Dochter"),Z222,U222="Vader",V222,W222="Vader",X222,Y222="Vader",Z222,U222="Moeder",V222,W222="Moeder",X222,Y222="Moeder",Z222,TRUE,IF(V222&lt;&gt;"",V222,IF(X222&lt;&gt;"",X222,IF(Z222&lt;&gt;"",Z222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+32479645729</v>
      </c>
    </row>
    <row r="223" spans="1:40" x14ac:dyDescent="0.3">
      <c r="A223">
        <v>3526506</v>
      </c>
      <c r="B223" t="s">
        <v>952</v>
      </c>
      <c r="C223" t="s">
        <v>955</v>
      </c>
      <c r="D223" t="s">
        <v>39</v>
      </c>
      <c r="E223" t="s">
        <v>49</v>
      </c>
      <c r="F223" t="s">
        <v>956</v>
      </c>
      <c r="G223" t="s">
        <v>954</v>
      </c>
      <c r="H223">
        <v>85</v>
      </c>
      <c r="U223" t="s">
        <v>51</v>
      </c>
      <c r="V223">
        <v>479645729</v>
      </c>
      <c r="X223">
        <v>0</v>
      </c>
      <c r="Z223">
        <v>0</v>
      </c>
      <c r="AA223">
        <v>0</v>
      </c>
      <c r="AF223">
        <v>1003526506</v>
      </c>
      <c r="AM223" t="str" cm="1">
        <f t="array" ref="AM223">_xlfn.IFS(OR(O223="Persoonlijk",O223="Zoon",O223="Dochter"),P223,OR(Q223="Persoonlijk",Q223="Zoon",Q223="Dochter"),R223,OR(S223="Persoonlijk",S223="Zoon",S223="Dochter"),T223,O223="Vader",P223,Q223="Vader",R223,S223="Vader",T223,O223="Moeder",P223,Q223="Moeder",R223,S223="Moeder",T223,TRUE,IF(P223&lt;&gt;"",P223,IF(R223&lt;&gt;"",R223,IF(T223&lt;&gt;"",T223,""))))</f>
        <v/>
      </c>
      <c r="AN223" t="str" cm="1">
        <f t="array" ref="AN223">_xlfn.LET(_xlpm.raw,_xlfn.IFS(OR(U223="Persoonlijk",U223="Zoon",U223="Dochter"),V223,OR(W223="Persoonlijk",W223="Zoon",W223="Dochter"),X223,OR(Y223="Persoonlijk",Y223="Zoon",Y223="Dochter"),Z223,U223="Vader",V223,W223="Vader",X223,Y223="Vader",Z223,U223="Moeder",V223,W223="Moeder",X223,Y223="Moeder",Z223,TRUE,IF(V223&lt;&gt;"",V223,IF(X223&lt;&gt;"",X223,IF(Z223&lt;&gt;"",Z223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+32479645729</v>
      </c>
    </row>
    <row r="224" spans="1:40" x14ac:dyDescent="0.3">
      <c r="A224">
        <v>3463906</v>
      </c>
      <c r="B224" t="s">
        <v>952</v>
      </c>
      <c r="C224" t="s">
        <v>948</v>
      </c>
      <c r="D224" t="s">
        <v>39</v>
      </c>
      <c r="E224" t="s">
        <v>40</v>
      </c>
      <c r="F224" t="s">
        <v>957</v>
      </c>
      <c r="G224" t="s">
        <v>958</v>
      </c>
      <c r="H224">
        <v>26</v>
      </c>
      <c r="Q224" t="s">
        <v>53</v>
      </c>
      <c r="R224" t="s">
        <v>959</v>
      </c>
      <c r="U224" t="s">
        <v>51</v>
      </c>
      <c r="V224">
        <v>494275249</v>
      </c>
      <c r="W224" t="s">
        <v>53</v>
      </c>
      <c r="X224">
        <v>473354172</v>
      </c>
      <c r="Z224">
        <v>0</v>
      </c>
      <c r="AA224">
        <v>0</v>
      </c>
      <c r="AF224">
        <v>1003463906</v>
      </c>
      <c r="AM224" t="str" cm="1">
        <f t="array" ref="AM224">_xlfn.IFS(OR(O224="Persoonlijk",O224="Zoon",O224="Dochter"),P224,OR(Q224="Persoonlijk",Q224="Zoon",Q224="Dochter"),R224,OR(S224="Persoonlijk",S224="Zoon",S224="Dochter"),T224,O224="Vader",P224,Q224="Vader",R224,S224="Vader",T224,O224="Moeder",P224,Q224="Moeder",R224,S224="Moeder",T224,TRUE,IF(P224&lt;&gt;"",P224,IF(R224&lt;&gt;"",R224,IF(T224&lt;&gt;"",T224,""))))</f>
        <v>lien_baert@hotmail.be</v>
      </c>
      <c r="AN224" t="str" cm="1">
        <f t="array" ref="AN224">_xlfn.LET(_xlpm.raw,_xlfn.IFS(OR(U224="Persoonlijk",U224="Zoon",U224="Dochter"),V224,OR(W224="Persoonlijk",W224="Zoon",W224="Dochter"),X224,OR(Y224="Persoonlijk",Y224="Zoon",Y224="Dochter"),Z224,U224="Vader",V224,W224="Vader",X224,Y224="Vader",Z224,U224="Moeder",V224,W224="Moeder",X224,Y224="Moeder",Z224,TRUE,IF(V224&lt;&gt;"",V224,IF(X224&lt;&gt;"",X224,IF(Z224&lt;&gt;"",Z224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+32494275249</v>
      </c>
    </row>
    <row r="225" spans="1:40" x14ac:dyDescent="0.3">
      <c r="A225">
        <v>2182751</v>
      </c>
      <c r="B225" t="s">
        <v>952</v>
      </c>
      <c r="C225" t="s">
        <v>942</v>
      </c>
      <c r="D225" t="s">
        <v>39</v>
      </c>
      <c r="E225" t="s">
        <v>40</v>
      </c>
      <c r="F225" t="s">
        <v>960</v>
      </c>
      <c r="G225" t="s">
        <v>954</v>
      </c>
      <c r="H225">
        <v>85</v>
      </c>
      <c r="AA225">
        <v>0</v>
      </c>
      <c r="AF225">
        <v>1002182751</v>
      </c>
      <c r="AG225">
        <v>719164</v>
      </c>
      <c r="AM225" t="str" cm="1">
        <f t="array" ref="AM225">_xlfn.IFS(OR(O225="Persoonlijk",O225="Zoon",O225="Dochter"),P225,OR(Q225="Persoonlijk",Q225="Zoon",Q225="Dochter"),R225,OR(S225="Persoonlijk",S225="Zoon",S225="Dochter"),T225,O225="Vader",P225,Q225="Vader",R225,S225="Vader",T225,O225="Moeder",P225,Q225="Moeder",R225,S225="Moeder",T225,TRUE,IF(P225&lt;&gt;"",P225,IF(R225&lt;&gt;"",R225,IF(T225&lt;&gt;"",T225,""))))</f>
        <v/>
      </c>
      <c r="AN225" t="str" cm="1">
        <f t="array" ref="AN225">_xlfn.LET(_xlpm.raw,_xlfn.IFS(OR(U225="Persoonlijk",U225="Zoon",U225="Dochter"),V225,OR(W225="Persoonlijk",W225="Zoon",W225="Dochter"),X225,OR(Y225="Persoonlijk",Y225="Zoon",Y225="Dochter"),Z225,U225="Vader",V225,W225="Vader",X225,Y225="Vader",Z225,U225="Moeder",V225,W225="Moeder",X225,Y225="Moeder",Z225,TRUE,IF(V225&lt;&gt;"",V225,IF(X225&lt;&gt;"",X225,IF(Z225&lt;&gt;"",Z225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26" spans="1:40" x14ac:dyDescent="0.3">
      <c r="A226">
        <v>3451601</v>
      </c>
      <c r="B226" t="s">
        <v>961</v>
      </c>
      <c r="C226" t="s">
        <v>481</v>
      </c>
      <c r="D226" t="s">
        <v>39</v>
      </c>
      <c r="E226" t="s">
        <v>40</v>
      </c>
      <c r="F226" t="s">
        <v>962</v>
      </c>
      <c r="G226" t="s">
        <v>963</v>
      </c>
      <c r="H226">
        <v>33</v>
      </c>
      <c r="Q226" t="s">
        <v>51</v>
      </c>
      <c r="R226" t="s">
        <v>964</v>
      </c>
      <c r="U226" t="s">
        <v>53</v>
      </c>
      <c r="V226">
        <v>32499679978</v>
      </c>
      <c r="W226" t="s">
        <v>51</v>
      </c>
      <c r="X226">
        <v>32476488212</v>
      </c>
      <c r="AC226" t="s">
        <v>965</v>
      </c>
      <c r="AE226" t="s">
        <v>966</v>
      </c>
      <c r="AF226">
        <v>1003451601</v>
      </c>
      <c r="AG226">
        <v>747253</v>
      </c>
      <c r="AJ226" t="s">
        <v>75</v>
      </c>
      <c r="AK226" t="s">
        <v>61</v>
      </c>
      <c r="AM226" t="str" cm="1">
        <f t="array" ref="AM226">_xlfn.IFS(OR(O226="Persoonlijk",O226="Zoon",O226="Dochter"),P226,OR(Q226="Persoonlijk",Q226="Zoon",Q226="Dochter"),R226,OR(S226="Persoonlijk",S226="Zoon",S226="Dochter"),T226,O226="Vader",P226,Q226="Vader",R226,S226="Vader",T226,O226="Moeder",P226,Q226="Moeder",R226,S226="Moeder",T226,TRUE,IF(P226&lt;&gt;"",P226,IF(R226&lt;&gt;"",R226,IF(T226&lt;&gt;"",T226,""))))</f>
        <v>hakim.dekkar@icloud.com</v>
      </c>
      <c r="AN226" t="str" cm="1">
        <f t="array" ref="AN226">_xlfn.LET(_xlpm.raw,_xlfn.IFS(OR(U226="Persoonlijk",U226="Zoon",U226="Dochter"),V226,OR(W226="Persoonlijk",W226="Zoon",W226="Dochter"),X226,OR(Y226="Persoonlijk",Y226="Zoon",Y226="Dochter"),Z226,U226="Vader",V226,W226="Vader",X226,Y226="Vader",Z226,U226="Moeder",V226,W226="Moeder",X226,Y226="Moeder",Z226,TRUE,IF(V226&lt;&gt;"",V226,IF(X226&lt;&gt;"",X226,IF(Z226&lt;&gt;"",Z226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+32476488212</v>
      </c>
    </row>
    <row r="227" spans="1:40" x14ac:dyDescent="0.3">
      <c r="A227">
        <v>3451601</v>
      </c>
      <c r="B227" t="s">
        <v>961</v>
      </c>
      <c r="C227" t="s">
        <v>481</v>
      </c>
      <c r="D227" t="s">
        <v>39</v>
      </c>
      <c r="E227" t="s">
        <v>40</v>
      </c>
      <c r="F227" t="s">
        <v>962</v>
      </c>
      <c r="G227" t="s">
        <v>963</v>
      </c>
      <c r="H227">
        <v>33</v>
      </c>
      <c r="Q227" t="s">
        <v>51</v>
      </c>
      <c r="R227" t="s">
        <v>964</v>
      </c>
      <c r="U227" t="s">
        <v>53</v>
      </c>
      <c r="V227">
        <v>32499679978</v>
      </c>
      <c r="W227" t="s">
        <v>51</v>
      </c>
      <c r="X227">
        <v>32476488212</v>
      </c>
      <c r="AC227" t="s">
        <v>965</v>
      </c>
      <c r="AE227" t="s">
        <v>966</v>
      </c>
      <c r="AF227">
        <v>1003451601</v>
      </c>
      <c r="AG227">
        <v>747253</v>
      </c>
      <c r="AJ227" t="s">
        <v>63</v>
      </c>
      <c r="AK227" t="s">
        <v>61</v>
      </c>
      <c r="AM227" t="str" cm="1">
        <f t="array" ref="AM227">_xlfn.IFS(OR(O227="Persoonlijk",O227="Zoon",O227="Dochter"),P227,OR(Q227="Persoonlijk",Q227="Zoon",Q227="Dochter"),R227,OR(S227="Persoonlijk",S227="Zoon",S227="Dochter"),T227,O227="Vader",P227,Q227="Vader",R227,S227="Vader",T227,O227="Moeder",P227,Q227="Moeder",R227,S227="Moeder",T227,TRUE,IF(P227&lt;&gt;"",P227,IF(R227&lt;&gt;"",R227,IF(T227&lt;&gt;"",T227,""))))</f>
        <v>hakim.dekkar@icloud.com</v>
      </c>
      <c r="AN227" t="str" cm="1">
        <f t="array" ref="AN227">_xlfn.LET(_xlpm.raw,_xlfn.IFS(OR(U227="Persoonlijk",U227="Zoon",U227="Dochter"),V227,OR(W227="Persoonlijk",W227="Zoon",W227="Dochter"),X227,OR(Y227="Persoonlijk",Y227="Zoon",Y227="Dochter"),Z227,U227="Vader",V227,W227="Vader",X227,Y227="Vader",Z227,U227="Moeder",V227,W227="Moeder",X227,Y227="Moeder",Z227,TRUE,IF(V227&lt;&gt;"",V227,IF(X227&lt;&gt;"",X227,IF(Z227&lt;&gt;"",Z227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+32476488212</v>
      </c>
    </row>
    <row r="228" spans="1:40" x14ac:dyDescent="0.3">
      <c r="A228">
        <v>2182756</v>
      </c>
      <c r="B228" t="s">
        <v>967</v>
      </c>
      <c r="C228" t="s">
        <v>968</v>
      </c>
      <c r="D228" t="s">
        <v>39</v>
      </c>
      <c r="E228" t="s">
        <v>49</v>
      </c>
      <c r="F228" t="s">
        <v>969</v>
      </c>
      <c r="G228" t="s">
        <v>970</v>
      </c>
      <c r="H228">
        <v>1</v>
      </c>
      <c r="AA228">
        <v>0</v>
      </c>
      <c r="AF228">
        <v>1002182756</v>
      </c>
      <c r="AG228">
        <v>37999</v>
      </c>
      <c r="AM228" t="str" cm="1">
        <f t="array" ref="AM228">_xlfn.IFS(OR(O228="Persoonlijk",O228="Zoon",O228="Dochter"),P228,OR(Q228="Persoonlijk",Q228="Zoon",Q228="Dochter"),R228,OR(S228="Persoonlijk",S228="Zoon",S228="Dochter"),T228,O228="Vader",P228,Q228="Vader",R228,S228="Vader",T228,O228="Moeder",P228,Q228="Moeder",R228,S228="Moeder",T228,TRUE,IF(P228&lt;&gt;"",P228,IF(R228&lt;&gt;"",R228,IF(T228&lt;&gt;"",T228,""))))</f>
        <v/>
      </c>
      <c r="AN228" t="str" cm="1">
        <f t="array" ref="AN228">_xlfn.LET(_xlpm.raw,_xlfn.IFS(OR(U228="Persoonlijk",U228="Zoon",U228="Dochter"),V228,OR(W228="Persoonlijk",W228="Zoon",W228="Dochter"),X228,OR(Y228="Persoonlijk",Y228="Zoon",Y228="Dochter"),Z228,U228="Vader",V228,W228="Vader",X228,Y228="Vader",Z228,U228="Moeder",V228,W228="Moeder",X228,Y228="Moeder",Z228,TRUE,IF(V228&lt;&gt;"",V228,IF(X228&lt;&gt;"",X228,IF(Z228&lt;&gt;"",Z228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29" spans="1:40" x14ac:dyDescent="0.3">
      <c r="A229">
        <v>10452720</v>
      </c>
      <c r="B229" t="s">
        <v>971</v>
      </c>
      <c r="C229" t="s">
        <v>972</v>
      </c>
      <c r="D229" t="s">
        <v>39</v>
      </c>
      <c r="E229" t="s">
        <v>40</v>
      </c>
      <c r="F229" t="s">
        <v>973</v>
      </c>
      <c r="G229" t="s">
        <v>974</v>
      </c>
      <c r="H229">
        <v>12</v>
      </c>
      <c r="V229" t="s">
        <v>975</v>
      </c>
      <c r="AF229">
        <v>1010452720</v>
      </c>
      <c r="AJ229" t="s">
        <v>442</v>
      </c>
      <c r="AK229" t="s">
        <v>61</v>
      </c>
      <c r="AM229" t="str" cm="1">
        <f t="array" ref="AM229">_xlfn.IFS(OR(O229="Persoonlijk",O229="Zoon",O229="Dochter"),P229,OR(Q229="Persoonlijk",Q229="Zoon",Q229="Dochter"),R229,OR(S229="Persoonlijk",S229="Zoon",S229="Dochter"),T229,O229="Vader",P229,Q229="Vader",R229,S229="Vader",T229,O229="Moeder",P229,Q229="Moeder",R229,S229="Moeder",T229,TRUE,IF(P229&lt;&gt;"",P229,IF(R229&lt;&gt;"",R229,IF(T229&lt;&gt;"",T229,""))))</f>
        <v/>
      </c>
      <c r="AN229" t="str" cm="1">
        <f t="array" ref="AN229">_xlfn.LET(_xlpm.raw,_xlfn.IFS(OR(U229="Persoonlijk",U229="Zoon",U229="Dochter"),V229,OR(W229="Persoonlijk",W229="Zoon",W229="Dochter"),X229,OR(Y229="Persoonlijk",Y229="Zoon",Y229="Dochter"),Z229,U229="Vader",V229,W229="Vader",X229,Y229="Vader",Z229,U229="Moeder",V229,W229="Moeder",X229,Y229="Moeder",Z229,TRUE,IF(V229&lt;&gt;"",V229,IF(X229&lt;&gt;"",X229,IF(Z229&lt;&gt;"",Z229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+32474233989</v>
      </c>
    </row>
    <row r="230" spans="1:40" x14ac:dyDescent="0.3">
      <c r="A230">
        <v>2650658</v>
      </c>
      <c r="B230" t="s">
        <v>976</v>
      </c>
      <c r="C230" t="s">
        <v>977</v>
      </c>
      <c r="D230" t="s">
        <v>39</v>
      </c>
      <c r="E230" t="s">
        <v>40</v>
      </c>
      <c r="F230" t="s">
        <v>256</v>
      </c>
      <c r="G230" t="s">
        <v>978</v>
      </c>
      <c r="H230">
        <v>3</v>
      </c>
      <c r="R230" t="s">
        <v>979</v>
      </c>
      <c r="V230" t="s">
        <v>980</v>
      </c>
      <c r="X230" t="s">
        <v>981</v>
      </c>
      <c r="AE230" t="s">
        <v>982</v>
      </c>
      <c r="AF230">
        <v>1002650658</v>
      </c>
      <c r="AG230">
        <v>742174</v>
      </c>
      <c r="AL230" t="s">
        <v>62</v>
      </c>
      <c r="AM230" t="str" cm="1">
        <f t="array" ref="AM230">_xlfn.IFS(OR(O230="Persoonlijk",O230="Zoon",O230="Dochter"),P230,OR(Q230="Persoonlijk",Q230="Zoon",Q230="Dochter"),R230,OR(S230="Persoonlijk",S230="Zoon",S230="Dochter"),T230,O230="Vader",P230,Q230="Vader",R230,S230="Vader",T230,O230="Moeder",P230,Q230="Moeder",R230,S230="Moeder",T230,TRUE,IF(P230&lt;&gt;"",P230,IF(R230&lt;&gt;"",R230,IF(T230&lt;&gt;"",T230,""))))</f>
        <v>Michael.delcoigne@bernardusscholen.be</v>
      </c>
      <c r="AN230" t="str" cm="1">
        <f t="array" ref="AN230">_xlfn.LET(_xlpm.raw,_xlfn.IFS(OR(U230="Persoonlijk",U230="Zoon",U230="Dochter"),V230,OR(W230="Persoonlijk",W230="Zoon",W230="Dochter"),X230,OR(Y230="Persoonlijk",Y230="Zoon",Y230="Dochter"),Z230,U230="Vader",V230,W230="Vader",X230,Y230="Vader",Z230,U230="Moeder",V230,W230="Moeder",X230,Y230="Moeder",Z230,TRUE,IF(V230&lt;&gt;"",V230,IF(X230&lt;&gt;"",X230,IF(Z230&lt;&gt;"",Z230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+32472527437</v>
      </c>
    </row>
    <row r="231" spans="1:40" x14ac:dyDescent="0.3">
      <c r="A231">
        <v>2650658</v>
      </c>
      <c r="B231" t="s">
        <v>976</v>
      </c>
      <c r="C231" t="s">
        <v>977</v>
      </c>
      <c r="D231" t="s">
        <v>39</v>
      </c>
      <c r="E231" t="s">
        <v>40</v>
      </c>
      <c r="F231" t="s">
        <v>256</v>
      </c>
      <c r="G231" t="s">
        <v>978</v>
      </c>
      <c r="H231">
        <v>3</v>
      </c>
      <c r="R231" t="s">
        <v>979</v>
      </c>
      <c r="V231" t="s">
        <v>980</v>
      </c>
      <c r="X231" t="s">
        <v>981</v>
      </c>
      <c r="AE231" t="s">
        <v>982</v>
      </c>
      <c r="AF231">
        <v>1002650658</v>
      </c>
      <c r="AG231">
        <v>742174</v>
      </c>
      <c r="AL231" t="s">
        <v>62</v>
      </c>
      <c r="AM231" t="str" cm="1">
        <f t="array" ref="AM231">_xlfn.IFS(OR(O231="Persoonlijk",O231="Zoon",O231="Dochter"),P231,OR(Q231="Persoonlijk",Q231="Zoon",Q231="Dochter"),R231,OR(S231="Persoonlijk",S231="Zoon",S231="Dochter"),T231,O231="Vader",P231,Q231="Vader",R231,S231="Vader",T231,O231="Moeder",P231,Q231="Moeder",R231,S231="Moeder",T231,TRUE,IF(P231&lt;&gt;"",P231,IF(R231&lt;&gt;"",R231,IF(T231&lt;&gt;"",T231,""))))</f>
        <v>Michael.delcoigne@bernardusscholen.be</v>
      </c>
      <c r="AN231" t="str" cm="1">
        <f t="array" ref="AN231">_xlfn.LET(_xlpm.raw,_xlfn.IFS(OR(U231="Persoonlijk",U231="Zoon",U231="Dochter"),V231,OR(W231="Persoonlijk",W231="Zoon",W231="Dochter"),X231,OR(Y231="Persoonlijk",Y231="Zoon",Y231="Dochter"),Z231,U231="Vader",V231,W231="Vader",X231,Y231="Vader",Z231,U231="Moeder",V231,W231="Moeder",X231,Y231="Moeder",Z231,TRUE,IF(V231&lt;&gt;"",V231,IF(X231&lt;&gt;"",X231,IF(Z231&lt;&gt;"",Z231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+32472527437</v>
      </c>
    </row>
    <row r="232" spans="1:40" x14ac:dyDescent="0.3">
      <c r="A232">
        <v>7664291</v>
      </c>
      <c r="B232" t="s">
        <v>976</v>
      </c>
      <c r="C232" t="s">
        <v>983</v>
      </c>
      <c r="D232" t="s">
        <v>39</v>
      </c>
      <c r="E232" t="s">
        <v>40</v>
      </c>
      <c r="F232" t="s">
        <v>984</v>
      </c>
      <c r="G232" t="s">
        <v>978</v>
      </c>
      <c r="H232">
        <v>3</v>
      </c>
      <c r="V232">
        <v>0</v>
      </c>
      <c r="X232">
        <v>0</v>
      </c>
      <c r="Z232">
        <v>0</v>
      </c>
      <c r="AA232">
        <v>0</v>
      </c>
      <c r="AC232" t="s">
        <v>985</v>
      </c>
      <c r="AF232">
        <v>1007664291</v>
      </c>
      <c r="AM232" t="str" cm="1">
        <f t="array" ref="AM232">_xlfn.IFS(OR(O232="Persoonlijk",O232="Zoon",O232="Dochter"),P232,OR(Q232="Persoonlijk",Q232="Zoon",Q232="Dochter"),R232,OR(S232="Persoonlijk",S232="Zoon",S232="Dochter"),T232,O232="Vader",P232,Q232="Vader",R232,S232="Vader",T232,O232="Moeder",P232,Q232="Moeder",R232,S232="Moeder",T232,TRUE,IF(P232&lt;&gt;"",P232,IF(R232&lt;&gt;"",R232,IF(T232&lt;&gt;"",T232,""))))</f>
        <v/>
      </c>
      <c r="AN232" t="str" cm="1">
        <f t="array" ref="AN232">_xlfn.LET(_xlpm.raw,_xlfn.IFS(OR(U232="Persoonlijk",U232="Zoon",U232="Dochter"),V232,OR(W232="Persoonlijk",W232="Zoon",W232="Dochter"),X232,OR(Y232="Persoonlijk",Y232="Zoon",Y232="Dochter"),Z232,U232="Vader",V232,W232="Vader",X232,Y232="Vader",Z232,U232="Moeder",V232,W232="Moeder",X232,Y232="Moeder",Z232,TRUE,IF(V232&lt;&gt;"",V232,IF(X232&lt;&gt;"",X232,IF(Z232&lt;&gt;"",Z232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33" spans="1:40" x14ac:dyDescent="0.3">
      <c r="A233">
        <v>4307499</v>
      </c>
      <c r="B233" t="s">
        <v>986</v>
      </c>
      <c r="C233" t="s">
        <v>987</v>
      </c>
      <c r="D233" t="s">
        <v>39</v>
      </c>
      <c r="E233" t="s">
        <v>40</v>
      </c>
      <c r="F233" t="s">
        <v>988</v>
      </c>
      <c r="G233" t="s">
        <v>989</v>
      </c>
      <c r="H233">
        <v>94</v>
      </c>
      <c r="Q233" t="s">
        <v>51</v>
      </c>
      <c r="R233" t="s">
        <v>990</v>
      </c>
      <c r="U233" t="s">
        <v>53</v>
      </c>
      <c r="V233" t="s">
        <v>991</v>
      </c>
      <c r="AF233">
        <v>1004307499</v>
      </c>
      <c r="AJ233" t="s">
        <v>104</v>
      </c>
      <c r="AK233" t="s">
        <v>61</v>
      </c>
      <c r="AM233" t="str" cm="1">
        <f t="array" ref="AM233">_xlfn.IFS(OR(O233="Persoonlijk",O233="Zoon",O233="Dochter"),P233,OR(Q233="Persoonlijk",Q233="Zoon",Q233="Dochter"),R233,OR(S233="Persoonlijk",S233="Zoon",S233="Dochter"),T233,O233="Vader",P233,Q233="Vader",R233,S233="Vader",T233,O233="Moeder",P233,Q233="Moeder",R233,S233="Moeder",T233,TRUE,IF(P233&lt;&gt;"",P233,IF(R233&lt;&gt;"",R233,IF(T233&lt;&gt;"",T233,""))))</f>
        <v>Delcroix.dieter@hotmail.com</v>
      </c>
      <c r="AN233" t="str" cm="1">
        <f t="array" ref="AN233">_xlfn.LET(_xlpm.raw,_xlfn.IFS(OR(U233="Persoonlijk",U233="Zoon",U233="Dochter"),V233,OR(W233="Persoonlijk",W233="Zoon",W233="Dochter"),X233,OR(Y233="Persoonlijk",Y233="Zoon",Y233="Dochter"),Z233,U233="Vader",V233,W233="Vader",X233,Y233="Vader",Z233,U233="Moeder",V233,W233="Moeder",X233,Y233="Moeder",Z233,TRUE,IF(V233&lt;&gt;"",V233,IF(X233&lt;&gt;"",X233,IF(Z233&lt;&gt;"",Z233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+32487106040</v>
      </c>
    </row>
    <row r="234" spans="1:40" x14ac:dyDescent="0.3">
      <c r="A234">
        <v>4307499</v>
      </c>
      <c r="B234" t="s">
        <v>986</v>
      </c>
      <c r="C234" t="s">
        <v>987</v>
      </c>
      <c r="D234" t="s">
        <v>39</v>
      </c>
      <c r="E234" t="s">
        <v>40</v>
      </c>
      <c r="F234" t="s">
        <v>988</v>
      </c>
      <c r="G234" t="s">
        <v>989</v>
      </c>
      <c r="H234">
        <v>94</v>
      </c>
      <c r="Q234" t="s">
        <v>51</v>
      </c>
      <c r="R234" t="s">
        <v>990</v>
      </c>
      <c r="U234" t="s">
        <v>53</v>
      </c>
      <c r="V234" t="s">
        <v>991</v>
      </c>
      <c r="AF234">
        <v>1004307499</v>
      </c>
      <c r="AJ234" t="s">
        <v>63</v>
      </c>
      <c r="AK234" t="s">
        <v>61</v>
      </c>
      <c r="AM234" t="str" cm="1">
        <f t="array" ref="AM234">_xlfn.IFS(OR(O234="Persoonlijk",O234="Zoon",O234="Dochter"),P234,OR(Q234="Persoonlijk",Q234="Zoon",Q234="Dochter"),R234,OR(S234="Persoonlijk",S234="Zoon",S234="Dochter"),T234,O234="Vader",P234,Q234="Vader",R234,S234="Vader",T234,O234="Moeder",P234,Q234="Moeder",R234,S234="Moeder",T234,TRUE,IF(P234&lt;&gt;"",P234,IF(R234&lt;&gt;"",R234,IF(T234&lt;&gt;"",T234,""))))</f>
        <v>Delcroix.dieter@hotmail.com</v>
      </c>
      <c r="AN234" t="str" cm="1">
        <f t="array" ref="AN234">_xlfn.LET(_xlpm.raw,_xlfn.IFS(OR(U234="Persoonlijk",U234="Zoon",U234="Dochter"),V234,OR(W234="Persoonlijk",W234="Zoon",W234="Dochter"),X234,OR(Y234="Persoonlijk",Y234="Zoon",Y234="Dochter"),Z234,U234="Vader",V234,W234="Vader",X234,Y234="Vader",Z234,U234="Moeder",V234,W234="Moeder",X234,Y234="Moeder",Z234,TRUE,IF(V234&lt;&gt;"",V234,IF(X234&lt;&gt;"",X234,IF(Z234&lt;&gt;"",Z234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+32487106040</v>
      </c>
    </row>
    <row r="235" spans="1:40" x14ac:dyDescent="0.3">
      <c r="A235">
        <v>3526489</v>
      </c>
      <c r="B235" t="s">
        <v>992</v>
      </c>
      <c r="C235" t="s">
        <v>558</v>
      </c>
      <c r="D235" t="s">
        <v>39</v>
      </c>
      <c r="E235" t="s">
        <v>40</v>
      </c>
      <c r="F235" t="s">
        <v>993</v>
      </c>
      <c r="G235" t="s">
        <v>994</v>
      </c>
      <c r="H235">
        <v>35</v>
      </c>
      <c r="U235" t="s">
        <v>46</v>
      </c>
      <c r="V235">
        <v>320478547008</v>
      </c>
      <c r="X235">
        <v>0</v>
      </c>
      <c r="Z235">
        <v>0</v>
      </c>
      <c r="AA235">
        <v>0</v>
      </c>
      <c r="AF235">
        <v>1003526489</v>
      </c>
      <c r="AM235" t="str" cm="1">
        <f t="array" ref="AM235">_xlfn.IFS(OR(O235="Persoonlijk",O235="Zoon",O235="Dochter"),P235,OR(Q235="Persoonlijk",Q235="Zoon",Q235="Dochter"),R235,OR(S235="Persoonlijk",S235="Zoon",S235="Dochter"),T235,O235="Vader",P235,Q235="Vader",R235,S235="Vader",T235,O235="Moeder",P235,Q235="Moeder",R235,S235="Moeder",T235,TRUE,IF(P235&lt;&gt;"",P235,IF(R235&lt;&gt;"",R235,IF(T235&lt;&gt;"",T235,""))))</f>
        <v/>
      </c>
      <c r="AN235" t="str" cm="1">
        <f t="array" ref="AN235">_xlfn.LET(_xlpm.raw,_xlfn.IFS(OR(U235="Persoonlijk",U235="Zoon",U235="Dochter"),V235,OR(W235="Persoonlijk",W235="Zoon",W235="Dochter"),X235,OR(Y235="Persoonlijk",Y235="Zoon",Y235="Dochter"),Z235,U235="Vader",V235,W235="Vader",X235,Y235="Vader",Z235,U235="Moeder",V235,W235="Moeder",X235,Y235="Moeder",Z235,TRUE,IF(V235&lt;&gt;"",V235,IF(X235&lt;&gt;"",X235,IF(Z235&lt;&gt;"",Z235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+32478547008</v>
      </c>
    </row>
    <row r="236" spans="1:40" x14ac:dyDescent="0.3">
      <c r="A236">
        <v>2182771</v>
      </c>
      <c r="B236" t="s">
        <v>995</v>
      </c>
      <c r="C236" t="s">
        <v>996</v>
      </c>
      <c r="D236" t="s">
        <v>39</v>
      </c>
      <c r="E236" t="s">
        <v>40</v>
      </c>
      <c r="F236" t="s">
        <v>997</v>
      </c>
      <c r="G236" t="s">
        <v>998</v>
      </c>
      <c r="H236">
        <v>52</v>
      </c>
      <c r="AC236" t="s">
        <v>999</v>
      </c>
      <c r="AF236">
        <v>1002182771</v>
      </c>
      <c r="AM236" t="str" cm="1">
        <f t="array" ref="AM236">_xlfn.IFS(OR(O236="Persoonlijk",O236="Zoon",O236="Dochter"),P236,OR(Q236="Persoonlijk",Q236="Zoon",Q236="Dochter"),R236,OR(S236="Persoonlijk",S236="Zoon",S236="Dochter"),T236,O236="Vader",P236,Q236="Vader",R236,S236="Vader",T236,O236="Moeder",P236,Q236="Moeder",R236,S236="Moeder",T236,TRUE,IF(P236&lt;&gt;"",P236,IF(R236&lt;&gt;"",R236,IF(T236&lt;&gt;"",T236,""))))</f>
        <v/>
      </c>
      <c r="AN236" t="str" cm="1">
        <f t="array" ref="AN236">_xlfn.LET(_xlpm.raw,_xlfn.IFS(OR(U236="Persoonlijk",U236="Zoon",U236="Dochter"),V236,OR(W236="Persoonlijk",W236="Zoon",W236="Dochter"),X236,OR(Y236="Persoonlijk",Y236="Zoon",Y236="Dochter"),Z236,U236="Vader",V236,W236="Vader",X236,Y236="Vader",Z236,U236="Moeder",V236,W236="Moeder",X236,Y236="Moeder",Z236,TRUE,IF(V236&lt;&gt;"",V236,IF(X236&lt;&gt;"",X236,IF(Z236&lt;&gt;"",Z236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37" spans="1:40" x14ac:dyDescent="0.3">
      <c r="A237">
        <v>2670015</v>
      </c>
      <c r="B237" t="s">
        <v>1000</v>
      </c>
      <c r="C237" t="s">
        <v>1001</v>
      </c>
      <c r="D237" t="s">
        <v>39</v>
      </c>
      <c r="E237" t="s">
        <v>40</v>
      </c>
      <c r="F237" t="s">
        <v>1002</v>
      </c>
      <c r="G237" t="s">
        <v>1003</v>
      </c>
      <c r="H237">
        <v>4</v>
      </c>
      <c r="AD237">
        <v>5</v>
      </c>
      <c r="AE237" t="s">
        <v>1004</v>
      </c>
      <c r="AF237">
        <v>1002670015</v>
      </c>
      <c r="AG237">
        <v>671179</v>
      </c>
      <c r="AM237" t="str" cm="1">
        <f t="array" ref="AM237">_xlfn.IFS(OR(O237="Persoonlijk",O237="Zoon",O237="Dochter"),P237,OR(Q237="Persoonlijk",Q237="Zoon",Q237="Dochter"),R237,OR(S237="Persoonlijk",S237="Zoon",S237="Dochter"),T237,O237="Vader",P237,Q237="Vader",R237,S237="Vader",T237,O237="Moeder",P237,Q237="Moeder",R237,S237="Moeder",T237,TRUE,IF(P237&lt;&gt;"",P237,IF(R237&lt;&gt;"",R237,IF(T237&lt;&gt;"",T237,""))))</f>
        <v/>
      </c>
      <c r="AN237" t="str" cm="1">
        <f t="array" ref="AN237">_xlfn.LET(_xlpm.raw,_xlfn.IFS(OR(U237="Persoonlijk",U237="Zoon",U237="Dochter"),V237,OR(W237="Persoonlijk",W237="Zoon",W237="Dochter"),X237,OR(Y237="Persoonlijk",Y237="Zoon",Y237="Dochter"),Z237,U237="Vader",V237,W237="Vader",X237,Y237="Vader",Z237,U237="Moeder",V237,W237="Moeder",X237,Y237="Moeder",Z237,TRUE,IF(V237&lt;&gt;"",V237,IF(X237&lt;&gt;"",X237,IF(Z237&lt;&gt;"",Z237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38" spans="1:40" x14ac:dyDescent="0.3">
      <c r="A238">
        <v>2650806</v>
      </c>
      <c r="B238" t="s">
        <v>1005</v>
      </c>
      <c r="C238" t="s">
        <v>1006</v>
      </c>
      <c r="D238" t="s">
        <v>39</v>
      </c>
      <c r="E238" t="s">
        <v>49</v>
      </c>
      <c r="F238" t="s">
        <v>1007</v>
      </c>
      <c r="G238" t="s">
        <v>1008</v>
      </c>
      <c r="H238">
        <v>4</v>
      </c>
      <c r="Q238" t="s">
        <v>51</v>
      </c>
      <c r="R238" t="s">
        <v>1009</v>
      </c>
      <c r="V238" t="s">
        <v>1010</v>
      </c>
      <c r="X238" t="s">
        <v>1011</v>
      </c>
      <c r="AC238" t="s">
        <v>1012</v>
      </c>
      <c r="AF238">
        <v>1002650806</v>
      </c>
      <c r="AG238">
        <v>741137</v>
      </c>
      <c r="AJ238" t="s">
        <v>63</v>
      </c>
      <c r="AK238" t="s">
        <v>61</v>
      </c>
      <c r="AM238" t="str" cm="1">
        <f t="array" ref="AM238">_xlfn.IFS(OR(O238="Persoonlijk",O238="Zoon",O238="Dochter"),P238,OR(Q238="Persoonlijk",Q238="Zoon",Q238="Dochter"),R238,OR(S238="Persoonlijk",S238="Zoon",S238="Dochter"),T238,O238="Vader",P238,Q238="Vader",R238,S238="Vader",T238,O238="Moeder",P238,Q238="Moeder",R238,S238="Moeder",T238,TRUE,IF(P238&lt;&gt;"",P238,IF(R238&lt;&gt;"",R238,IF(T238&lt;&gt;"",T238,""))))</f>
        <v>Lowie.demets@telenet.be</v>
      </c>
      <c r="AN238" t="str" cm="1">
        <f t="array" ref="AN238">_xlfn.LET(_xlpm.raw,_xlfn.IFS(OR(U238="Persoonlijk",U238="Zoon",U238="Dochter"),V238,OR(W238="Persoonlijk",W238="Zoon",W238="Dochter"),X238,OR(Y238="Persoonlijk",Y238="Zoon",Y238="Dochter"),Z238,U238="Vader",V238,W238="Vader",X238,Y238="Vader",Z238,U238="Moeder",V238,W238="Moeder",X238,Y238="Moeder",Z238,TRUE,IF(V238&lt;&gt;"",V238,IF(X238&lt;&gt;"",X238,IF(Z238&lt;&gt;"",Z238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+32474450168</v>
      </c>
    </row>
    <row r="239" spans="1:40" x14ac:dyDescent="0.3">
      <c r="A239">
        <v>2650806</v>
      </c>
      <c r="B239" t="s">
        <v>1005</v>
      </c>
      <c r="C239" t="s">
        <v>1006</v>
      </c>
      <c r="D239" t="s">
        <v>39</v>
      </c>
      <c r="E239" t="s">
        <v>49</v>
      </c>
      <c r="F239" t="s">
        <v>1007</v>
      </c>
      <c r="G239" t="s">
        <v>1008</v>
      </c>
      <c r="H239">
        <v>4</v>
      </c>
      <c r="Q239" t="s">
        <v>51</v>
      </c>
      <c r="R239" t="s">
        <v>1009</v>
      </c>
      <c r="V239" t="s">
        <v>1010</v>
      </c>
      <c r="X239" t="s">
        <v>1011</v>
      </c>
      <c r="AC239" t="s">
        <v>1012</v>
      </c>
      <c r="AF239">
        <v>1002650806</v>
      </c>
      <c r="AG239">
        <v>741137</v>
      </c>
      <c r="AJ239" t="s">
        <v>323</v>
      </c>
      <c r="AK239" t="s">
        <v>61</v>
      </c>
      <c r="AM239" t="str" cm="1">
        <f t="array" ref="AM239">_xlfn.IFS(OR(O239="Persoonlijk",O239="Zoon",O239="Dochter"),P239,OR(Q239="Persoonlijk",Q239="Zoon",Q239="Dochter"),R239,OR(S239="Persoonlijk",S239="Zoon",S239="Dochter"),T239,O239="Vader",P239,Q239="Vader",R239,S239="Vader",T239,O239="Moeder",P239,Q239="Moeder",R239,S239="Moeder",T239,TRUE,IF(P239&lt;&gt;"",P239,IF(R239&lt;&gt;"",R239,IF(T239&lt;&gt;"",T239,""))))</f>
        <v>Lowie.demets@telenet.be</v>
      </c>
      <c r="AN239" t="str" cm="1">
        <f t="array" ref="AN239">_xlfn.LET(_xlpm.raw,_xlfn.IFS(OR(U239="Persoonlijk",U239="Zoon",U239="Dochter"),V239,OR(W239="Persoonlijk",W239="Zoon",W239="Dochter"),X239,OR(Y239="Persoonlijk",Y239="Zoon",Y239="Dochter"),Z239,U239="Vader",V239,W239="Vader",X239,Y239="Vader",Z239,U239="Moeder",V239,W239="Moeder",X239,Y239="Moeder",Z239,TRUE,IF(V239&lt;&gt;"",V239,IF(X239&lt;&gt;"",X239,IF(Z239&lt;&gt;"",Z239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+32474450168</v>
      </c>
    </row>
    <row r="240" spans="1:40" x14ac:dyDescent="0.3">
      <c r="A240">
        <v>3028031</v>
      </c>
      <c r="B240" t="s">
        <v>1005</v>
      </c>
      <c r="C240" t="s">
        <v>1013</v>
      </c>
      <c r="D240" t="s">
        <v>39</v>
      </c>
      <c r="E240" t="s">
        <v>49</v>
      </c>
      <c r="F240" t="s">
        <v>1014</v>
      </c>
      <c r="U240" t="s">
        <v>53</v>
      </c>
      <c r="V240" t="s">
        <v>1015</v>
      </c>
      <c r="AF240">
        <v>1003028031</v>
      </c>
      <c r="AG240">
        <v>668841</v>
      </c>
      <c r="AM240" t="str" cm="1">
        <f t="array" ref="AM240">_xlfn.IFS(OR(O240="Persoonlijk",O240="Zoon",O240="Dochter"),P240,OR(Q240="Persoonlijk",Q240="Zoon",Q240="Dochter"),R240,OR(S240="Persoonlijk",S240="Zoon",S240="Dochter"),T240,O240="Vader",P240,Q240="Vader",R240,S240="Vader",T240,O240="Moeder",P240,Q240="Moeder",R240,S240="Moeder",T240,TRUE,IF(P240&lt;&gt;"",P240,IF(R240&lt;&gt;"",R240,IF(T240&lt;&gt;"",T240,""))))</f>
        <v/>
      </c>
      <c r="AN240" t="str" cm="1">
        <f t="array" ref="AN240">_xlfn.LET(_xlpm.raw,_xlfn.IFS(OR(U240="Persoonlijk",U240="Zoon",U240="Dochter"),V240,OR(W240="Persoonlijk",W240="Zoon",W240="Dochter"),X240,OR(Y240="Persoonlijk",Y240="Zoon",Y240="Dochter"),Z240,U240="Vader",V240,W240="Vader",X240,Y240="Vader",Z240,U240="Moeder",V240,W240="Moeder",X240,Y240="Moeder",Z240,TRUE,IF(V240&lt;&gt;"",V240,IF(X240&lt;&gt;"",X240,IF(Z240&lt;&gt;"",Z240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+32497388351</v>
      </c>
    </row>
    <row r="241" spans="1:40" x14ac:dyDescent="0.3">
      <c r="A241">
        <v>3028036</v>
      </c>
      <c r="B241" t="s">
        <v>1005</v>
      </c>
      <c r="C241" t="s">
        <v>1016</v>
      </c>
      <c r="D241" t="s">
        <v>39</v>
      </c>
      <c r="E241" t="s">
        <v>49</v>
      </c>
      <c r="F241" t="s">
        <v>1014</v>
      </c>
      <c r="U241" t="s">
        <v>53</v>
      </c>
      <c r="V241">
        <v>497388351</v>
      </c>
      <c r="AF241">
        <v>1003028036</v>
      </c>
      <c r="AG241">
        <v>668842</v>
      </c>
      <c r="AM241" t="str" cm="1">
        <f t="array" ref="AM241">_xlfn.IFS(OR(O241="Persoonlijk",O241="Zoon",O241="Dochter"),P241,OR(Q241="Persoonlijk",Q241="Zoon",Q241="Dochter"),R241,OR(S241="Persoonlijk",S241="Zoon",S241="Dochter"),T241,O241="Vader",P241,Q241="Vader",R241,S241="Vader",T241,O241="Moeder",P241,Q241="Moeder",R241,S241="Moeder",T241,TRUE,IF(P241&lt;&gt;"",P241,IF(R241&lt;&gt;"",R241,IF(T241&lt;&gt;"",T241,""))))</f>
        <v/>
      </c>
      <c r="AN241" t="str" cm="1">
        <f t="array" ref="AN241">_xlfn.LET(_xlpm.raw,_xlfn.IFS(OR(U241="Persoonlijk",U241="Zoon",U241="Dochter"),V241,OR(W241="Persoonlijk",W241="Zoon",W241="Dochter"),X241,OR(Y241="Persoonlijk",Y241="Zoon",Y241="Dochter"),Z241,U241="Vader",V241,W241="Vader",X241,Y241="Vader",Z241,U241="Moeder",V241,W241="Moeder",X241,Y241="Moeder",Z241,TRUE,IF(V241&lt;&gt;"",V241,IF(X241&lt;&gt;"",X241,IF(Z241&lt;&gt;"",Z241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+32497388351</v>
      </c>
    </row>
    <row r="242" spans="1:40" x14ac:dyDescent="0.3">
      <c r="A242">
        <v>4457350</v>
      </c>
      <c r="B242" t="s">
        <v>1005</v>
      </c>
      <c r="C242" t="s">
        <v>1017</v>
      </c>
      <c r="D242" t="s">
        <v>39</v>
      </c>
      <c r="E242" t="s">
        <v>40</v>
      </c>
      <c r="F242" t="s">
        <v>1018</v>
      </c>
      <c r="G242" t="s">
        <v>1008</v>
      </c>
      <c r="H242">
        <v>4</v>
      </c>
      <c r="Q242" t="s">
        <v>51</v>
      </c>
      <c r="R242" t="s">
        <v>1009</v>
      </c>
      <c r="V242" t="s">
        <v>1010</v>
      </c>
      <c r="X242" t="s">
        <v>1011</v>
      </c>
      <c r="AF242">
        <v>1004457350</v>
      </c>
      <c r="AJ242" t="s">
        <v>63</v>
      </c>
      <c r="AK242" t="s">
        <v>61</v>
      </c>
      <c r="AM242" t="str" cm="1">
        <f t="array" ref="AM242">_xlfn.IFS(OR(O242="Persoonlijk",O242="Zoon",O242="Dochter"),P242,OR(Q242="Persoonlijk",Q242="Zoon",Q242="Dochter"),R242,OR(S242="Persoonlijk",S242="Zoon",S242="Dochter"),T242,O242="Vader",P242,Q242="Vader",R242,S242="Vader",T242,O242="Moeder",P242,Q242="Moeder",R242,S242="Moeder",T242,TRUE,IF(P242&lt;&gt;"",P242,IF(R242&lt;&gt;"",R242,IF(T242&lt;&gt;"",T242,""))))</f>
        <v>Lowie.demets@telenet.be</v>
      </c>
      <c r="AN242" t="str" cm="1">
        <f t="array" ref="AN242">_xlfn.LET(_xlpm.raw,_xlfn.IFS(OR(U242="Persoonlijk",U242="Zoon",U242="Dochter"),V242,OR(W242="Persoonlijk",W242="Zoon",W242="Dochter"),X242,OR(Y242="Persoonlijk",Y242="Zoon",Y242="Dochter"),Z242,U242="Vader",V242,W242="Vader",X242,Y242="Vader",Z242,U242="Moeder",V242,W242="Moeder",X242,Y242="Moeder",Z242,TRUE,IF(V242&lt;&gt;"",V242,IF(X242&lt;&gt;"",X242,IF(Z242&lt;&gt;"",Z242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+32474450168</v>
      </c>
    </row>
    <row r="243" spans="1:40" x14ac:dyDescent="0.3">
      <c r="A243">
        <v>4457350</v>
      </c>
      <c r="B243" t="s">
        <v>1005</v>
      </c>
      <c r="C243" t="s">
        <v>1017</v>
      </c>
      <c r="D243" t="s">
        <v>39</v>
      </c>
      <c r="E243" t="s">
        <v>40</v>
      </c>
      <c r="F243" t="s">
        <v>1018</v>
      </c>
      <c r="G243" t="s">
        <v>1008</v>
      </c>
      <c r="H243">
        <v>4</v>
      </c>
      <c r="Q243" t="s">
        <v>51</v>
      </c>
      <c r="R243" t="s">
        <v>1009</v>
      </c>
      <c r="V243" t="s">
        <v>1010</v>
      </c>
      <c r="X243" t="s">
        <v>1011</v>
      </c>
      <c r="AF243">
        <v>1004457350</v>
      </c>
      <c r="AJ243" t="s">
        <v>744</v>
      </c>
      <c r="AK243" t="s">
        <v>61</v>
      </c>
      <c r="AM243" t="str" cm="1">
        <f t="array" ref="AM243">_xlfn.IFS(OR(O243="Persoonlijk",O243="Zoon",O243="Dochter"),P243,OR(Q243="Persoonlijk",Q243="Zoon",Q243="Dochter"),R243,OR(S243="Persoonlijk",S243="Zoon",S243="Dochter"),T243,O243="Vader",P243,Q243="Vader",R243,S243="Vader",T243,O243="Moeder",P243,Q243="Moeder",R243,S243="Moeder",T243,TRUE,IF(P243&lt;&gt;"",P243,IF(R243&lt;&gt;"",R243,IF(T243&lt;&gt;"",T243,""))))</f>
        <v>Lowie.demets@telenet.be</v>
      </c>
      <c r="AN243" t="str" cm="1">
        <f t="array" ref="AN243">_xlfn.LET(_xlpm.raw,_xlfn.IFS(OR(U243="Persoonlijk",U243="Zoon",U243="Dochter"),V243,OR(W243="Persoonlijk",W243="Zoon",W243="Dochter"),X243,OR(Y243="Persoonlijk",Y243="Zoon",Y243="Dochter"),Z243,U243="Vader",V243,W243="Vader",X243,Y243="Vader",Z243,U243="Moeder",V243,W243="Moeder",X243,Y243="Moeder",Z243,TRUE,IF(V243&lt;&gt;"",V243,IF(X243&lt;&gt;"",X243,IF(Z243&lt;&gt;"",Z243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+32474450168</v>
      </c>
    </row>
    <row r="244" spans="1:40" x14ac:dyDescent="0.3">
      <c r="A244">
        <v>2650861</v>
      </c>
      <c r="B244" t="s">
        <v>1019</v>
      </c>
      <c r="C244" t="s">
        <v>1020</v>
      </c>
      <c r="D244" t="s">
        <v>39</v>
      </c>
      <c r="E244" t="s">
        <v>49</v>
      </c>
      <c r="F244" t="s">
        <v>1021</v>
      </c>
      <c r="G244" t="s">
        <v>147</v>
      </c>
      <c r="H244">
        <v>35</v>
      </c>
      <c r="V244">
        <v>486584984</v>
      </c>
      <c r="X244">
        <v>473888092</v>
      </c>
      <c r="AC244" t="s">
        <v>1022</v>
      </c>
      <c r="AF244">
        <v>1002650861</v>
      </c>
      <c r="AG244">
        <v>737364</v>
      </c>
      <c r="AM244" t="str" cm="1">
        <f t="array" ref="AM244">_xlfn.IFS(OR(O244="Persoonlijk",O244="Zoon",O244="Dochter"),P244,OR(Q244="Persoonlijk",Q244="Zoon",Q244="Dochter"),R244,OR(S244="Persoonlijk",S244="Zoon",S244="Dochter"),T244,O244="Vader",P244,Q244="Vader",R244,S244="Vader",T244,O244="Moeder",P244,Q244="Moeder",R244,S244="Moeder",T244,TRUE,IF(P244&lt;&gt;"",P244,IF(R244&lt;&gt;"",R244,IF(T244&lt;&gt;"",T244,""))))</f>
        <v/>
      </c>
      <c r="AN244" t="str" cm="1">
        <f t="array" ref="AN244">_xlfn.LET(_xlpm.raw,_xlfn.IFS(OR(U244="Persoonlijk",U244="Zoon",U244="Dochter"),V244,OR(W244="Persoonlijk",W244="Zoon",W244="Dochter"),X244,OR(Y244="Persoonlijk",Y244="Zoon",Y244="Dochter"),Z244,U244="Vader",V244,W244="Vader",X244,Y244="Vader",Z244,U244="Moeder",V244,W244="Moeder",X244,Y244="Moeder",Z244,TRUE,IF(V244&lt;&gt;"",V244,IF(X244&lt;&gt;"",X244,IF(Z244&lt;&gt;"",Z244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+32486584984</v>
      </c>
    </row>
    <row r="245" spans="1:40" x14ac:dyDescent="0.3">
      <c r="A245">
        <v>3927708</v>
      </c>
      <c r="B245" t="s">
        <v>1023</v>
      </c>
      <c r="C245" t="s">
        <v>1024</v>
      </c>
      <c r="D245" t="s">
        <v>39</v>
      </c>
      <c r="E245" t="s">
        <v>40</v>
      </c>
      <c r="F245" t="s">
        <v>1025</v>
      </c>
      <c r="G245" t="s">
        <v>448</v>
      </c>
      <c r="H245">
        <v>52</v>
      </c>
      <c r="I245">
        <v>8</v>
      </c>
      <c r="U245" t="s">
        <v>51</v>
      </c>
      <c r="V245" t="s">
        <v>1026</v>
      </c>
      <c r="W245" t="s">
        <v>53</v>
      </c>
      <c r="X245" t="s">
        <v>1027</v>
      </c>
      <c r="AC245" t="s">
        <v>1028</v>
      </c>
      <c r="AF245">
        <v>1003927708</v>
      </c>
      <c r="AG245">
        <v>752310</v>
      </c>
      <c r="AM245" t="str" cm="1">
        <f t="array" ref="AM245">_xlfn.IFS(OR(O245="Persoonlijk",O245="Zoon",O245="Dochter"),P245,OR(Q245="Persoonlijk",Q245="Zoon",Q245="Dochter"),R245,OR(S245="Persoonlijk",S245="Zoon",S245="Dochter"),T245,O245="Vader",P245,Q245="Vader",R245,S245="Vader",T245,O245="Moeder",P245,Q245="Moeder",R245,S245="Moeder",T245,TRUE,IF(P245&lt;&gt;"",P245,IF(R245&lt;&gt;"",R245,IF(T245&lt;&gt;"",T245,""))))</f>
        <v/>
      </c>
      <c r="AN245" t="str" cm="1">
        <f t="array" ref="AN245">_xlfn.LET(_xlpm.raw,_xlfn.IFS(OR(U245="Persoonlijk",U245="Zoon",U245="Dochter"),V245,OR(W245="Persoonlijk",W245="Zoon",W245="Dochter"),X245,OR(Y245="Persoonlijk",Y245="Zoon",Y245="Dochter"),Z245,U245="Vader",V245,W245="Vader",X245,Y245="Vader",Z245,U245="Moeder",V245,W245="Moeder",X245,Y245="Moeder",Z245,TRUE,IF(V245&lt;&gt;"",V245,IF(X245&lt;&gt;"",X245,IF(Z245&lt;&gt;"",Z245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+32499758598</v>
      </c>
    </row>
    <row r="246" spans="1:40" x14ac:dyDescent="0.3">
      <c r="A246">
        <v>2182781</v>
      </c>
      <c r="B246" t="s">
        <v>1029</v>
      </c>
      <c r="C246" t="s">
        <v>1030</v>
      </c>
      <c r="D246" t="s">
        <v>39</v>
      </c>
      <c r="E246" t="s">
        <v>40</v>
      </c>
      <c r="F246" t="s">
        <v>1031</v>
      </c>
      <c r="G246" t="s">
        <v>1032</v>
      </c>
      <c r="H246">
        <v>68</v>
      </c>
      <c r="R246" t="s">
        <v>1033</v>
      </c>
      <c r="AF246">
        <v>1002182781</v>
      </c>
      <c r="AG246">
        <v>711210</v>
      </c>
      <c r="AM246" t="str" cm="1">
        <f t="array" ref="AM246">_xlfn.IFS(OR(O246="Persoonlijk",O246="Zoon",O246="Dochter"),P246,OR(Q246="Persoonlijk",Q246="Zoon",Q246="Dochter"),R246,OR(S246="Persoonlijk",S246="Zoon",S246="Dochter"),T246,O246="Vader",P246,Q246="Vader",R246,S246="Vader",T246,O246="Moeder",P246,Q246="Moeder",R246,S246="Moeder",T246,TRUE,IF(P246&lt;&gt;"",P246,IF(R246&lt;&gt;"",R246,IF(T246&lt;&gt;"",T246,""))))</f>
        <v>sven.dequeecker@scarlet.be</v>
      </c>
      <c r="AN246" t="str" cm="1">
        <f t="array" ref="AN246">_xlfn.LET(_xlpm.raw,_xlfn.IFS(OR(U246="Persoonlijk",U246="Zoon",U246="Dochter"),V246,OR(W246="Persoonlijk",W246="Zoon",W246="Dochter"),X246,OR(Y246="Persoonlijk",Y246="Zoon",Y246="Dochter"),Z246,U246="Vader",V246,W246="Vader",X246,Y246="Vader",Z246,U246="Moeder",V246,W246="Moeder",X246,Y246="Moeder",Z246,TRUE,IF(V246&lt;&gt;"",V246,IF(X246&lt;&gt;"",X246,IF(Z246&lt;&gt;"",Z246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47" spans="1:40" x14ac:dyDescent="0.3">
      <c r="A247">
        <v>2182786</v>
      </c>
      <c r="B247" t="s">
        <v>1029</v>
      </c>
      <c r="C247" t="s">
        <v>1034</v>
      </c>
      <c r="D247" t="s">
        <v>39</v>
      </c>
      <c r="E247" t="s">
        <v>40</v>
      </c>
      <c r="F247" t="s">
        <v>1035</v>
      </c>
      <c r="G247" t="s">
        <v>1032</v>
      </c>
      <c r="H247">
        <v>68</v>
      </c>
      <c r="AC247" t="s">
        <v>1036</v>
      </c>
      <c r="AF247">
        <v>1002182786</v>
      </c>
      <c r="AG247">
        <v>716405</v>
      </c>
      <c r="AL247" t="s">
        <v>62</v>
      </c>
      <c r="AM247" t="str" cm="1">
        <f t="array" ref="AM247">_xlfn.IFS(OR(O247="Persoonlijk",O247="Zoon",O247="Dochter"),P247,OR(Q247="Persoonlijk",Q247="Zoon",Q247="Dochter"),R247,OR(S247="Persoonlijk",S247="Zoon",S247="Dochter"),T247,O247="Vader",P247,Q247="Vader",R247,S247="Vader",T247,O247="Moeder",P247,Q247="Moeder",R247,S247="Moeder",T247,TRUE,IF(P247&lt;&gt;"",P247,IF(R247&lt;&gt;"",R247,IF(T247&lt;&gt;"",T247,""))))</f>
        <v/>
      </c>
      <c r="AN247" t="str" cm="1">
        <f t="array" ref="AN247">_xlfn.LET(_xlpm.raw,_xlfn.IFS(OR(U247="Persoonlijk",U247="Zoon",U247="Dochter"),V247,OR(W247="Persoonlijk",W247="Zoon",W247="Dochter"),X247,OR(Y247="Persoonlijk",Y247="Zoon",Y247="Dochter"),Z247,U247="Vader",V247,W247="Vader",X247,Y247="Vader",Z247,U247="Moeder",V247,W247="Moeder",X247,Y247="Moeder",Z247,TRUE,IF(V247&lt;&gt;"",V247,IF(X247&lt;&gt;"",X247,IF(Z247&lt;&gt;"",Z247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48" spans="1:40" x14ac:dyDescent="0.3">
      <c r="A248">
        <v>7328300</v>
      </c>
      <c r="B248" t="s">
        <v>1037</v>
      </c>
      <c r="C248" t="s">
        <v>1038</v>
      </c>
      <c r="D248" t="s">
        <v>39</v>
      </c>
      <c r="E248" t="s">
        <v>49</v>
      </c>
      <c r="F248" t="s">
        <v>1039</v>
      </c>
      <c r="G248" t="s">
        <v>1040</v>
      </c>
      <c r="H248">
        <v>32</v>
      </c>
      <c r="U248" t="s">
        <v>51</v>
      </c>
      <c r="V248">
        <v>320477714035</v>
      </c>
      <c r="AE248" t="s">
        <v>1041</v>
      </c>
      <c r="AF248">
        <v>1007328300</v>
      </c>
      <c r="AJ248" t="s">
        <v>164</v>
      </c>
      <c r="AK248" t="s">
        <v>61</v>
      </c>
      <c r="AM248" t="str" cm="1">
        <f t="array" ref="AM248">_xlfn.IFS(OR(O248="Persoonlijk",O248="Zoon",O248="Dochter"),P248,OR(Q248="Persoonlijk",Q248="Zoon",Q248="Dochter"),R248,OR(S248="Persoonlijk",S248="Zoon",S248="Dochter"),T248,O248="Vader",P248,Q248="Vader",R248,S248="Vader",T248,O248="Moeder",P248,Q248="Moeder",R248,S248="Moeder",T248,TRUE,IF(P248&lt;&gt;"",P248,IF(R248&lt;&gt;"",R248,IF(T248&lt;&gt;"",T248,""))))</f>
        <v/>
      </c>
      <c r="AN248" t="str" cm="1">
        <f t="array" ref="AN248">_xlfn.LET(_xlpm.raw,_xlfn.IFS(OR(U248="Persoonlijk",U248="Zoon",U248="Dochter"),V248,OR(W248="Persoonlijk",W248="Zoon",W248="Dochter"),X248,OR(Y248="Persoonlijk",Y248="Zoon",Y248="Dochter"),Z248,U248="Vader",V248,W248="Vader",X248,Y248="Vader",Z248,U248="Moeder",V248,W248="Moeder",X248,Y248="Moeder",Z248,TRUE,IF(V248&lt;&gt;"",V248,IF(X248&lt;&gt;"",X248,IF(Z248&lt;&gt;"",Z248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+32477714035</v>
      </c>
    </row>
    <row r="249" spans="1:40" x14ac:dyDescent="0.3">
      <c r="A249">
        <v>7328300</v>
      </c>
      <c r="B249" t="s">
        <v>1037</v>
      </c>
      <c r="C249" t="s">
        <v>1038</v>
      </c>
      <c r="D249" t="s">
        <v>39</v>
      </c>
      <c r="E249" t="s">
        <v>49</v>
      </c>
      <c r="F249" t="s">
        <v>1039</v>
      </c>
      <c r="G249" t="s">
        <v>1040</v>
      </c>
      <c r="H249">
        <v>32</v>
      </c>
      <c r="U249" t="s">
        <v>51</v>
      </c>
      <c r="V249">
        <v>320477714035</v>
      </c>
      <c r="AE249" t="s">
        <v>1041</v>
      </c>
      <c r="AF249">
        <v>1007328300</v>
      </c>
      <c r="AJ249" t="s">
        <v>87</v>
      </c>
      <c r="AK249" t="s">
        <v>61</v>
      </c>
      <c r="AM249" t="str" cm="1">
        <f t="array" ref="AM249">_xlfn.IFS(OR(O249="Persoonlijk",O249="Zoon",O249="Dochter"),P249,OR(Q249="Persoonlijk",Q249="Zoon",Q249="Dochter"),R249,OR(S249="Persoonlijk",S249="Zoon",S249="Dochter"),T249,O249="Vader",P249,Q249="Vader",R249,S249="Vader",T249,O249="Moeder",P249,Q249="Moeder",R249,S249="Moeder",T249,TRUE,IF(P249&lt;&gt;"",P249,IF(R249&lt;&gt;"",R249,IF(T249&lt;&gt;"",T249,""))))</f>
        <v/>
      </c>
      <c r="AN249" t="str" cm="1">
        <f t="array" ref="AN249">_xlfn.LET(_xlpm.raw,_xlfn.IFS(OR(U249="Persoonlijk",U249="Zoon",U249="Dochter"),V249,OR(W249="Persoonlijk",W249="Zoon",W249="Dochter"),X249,OR(Y249="Persoonlijk",Y249="Zoon",Y249="Dochter"),Z249,U249="Vader",V249,W249="Vader",X249,Y249="Vader",Z249,U249="Moeder",V249,W249="Moeder",X249,Y249="Moeder",Z249,TRUE,IF(V249&lt;&gt;"",V249,IF(X249&lt;&gt;"",X249,IF(Z249&lt;&gt;"",Z249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+32477714035</v>
      </c>
    </row>
    <row r="250" spans="1:40" x14ac:dyDescent="0.3">
      <c r="A250">
        <v>9543039</v>
      </c>
      <c r="B250" t="s">
        <v>1042</v>
      </c>
      <c r="C250" t="s">
        <v>226</v>
      </c>
      <c r="D250" t="s">
        <v>39</v>
      </c>
      <c r="E250" t="s">
        <v>40</v>
      </c>
      <c r="F250" t="s">
        <v>1043</v>
      </c>
      <c r="G250" t="s">
        <v>1044</v>
      </c>
      <c r="H250">
        <v>13</v>
      </c>
      <c r="U250" t="s">
        <v>46</v>
      </c>
      <c r="V250" t="s">
        <v>1045</v>
      </c>
      <c r="AC250" t="s">
        <v>1046</v>
      </c>
      <c r="AF250">
        <v>1009543039</v>
      </c>
      <c r="AG250">
        <v>624753</v>
      </c>
      <c r="AJ250" t="s">
        <v>743</v>
      </c>
      <c r="AK250" t="s">
        <v>61</v>
      </c>
      <c r="AM250" t="str" cm="1">
        <f t="array" ref="AM250">_xlfn.IFS(OR(O250="Persoonlijk",O250="Zoon",O250="Dochter"),P250,OR(Q250="Persoonlijk",Q250="Zoon",Q250="Dochter"),R250,OR(S250="Persoonlijk",S250="Zoon",S250="Dochter"),T250,O250="Vader",P250,Q250="Vader",R250,S250="Vader",T250,O250="Moeder",P250,Q250="Moeder",R250,S250="Moeder",T250,TRUE,IF(P250&lt;&gt;"",P250,IF(R250&lt;&gt;"",R250,IF(T250&lt;&gt;"",T250,""))))</f>
        <v/>
      </c>
      <c r="AN250" t="str" cm="1">
        <f t="array" ref="AN250">_xlfn.LET(_xlpm.raw,_xlfn.IFS(OR(U250="Persoonlijk",U250="Zoon",U250="Dochter"),V250,OR(W250="Persoonlijk",W250="Zoon",W250="Dochter"),X250,OR(Y250="Persoonlijk",Y250="Zoon",Y250="Dochter"),Z250,U250="Vader",V250,W250="Vader",X250,Y250="Vader",Z250,U250="Moeder",V250,W250="Moeder",X250,Y250="Moeder",Z250,TRUE,IF(V250&lt;&gt;"",V250,IF(X250&lt;&gt;"",X250,IF(Z250&lt;&gt;"",Z250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+32468258571</v>
      </c>
    </row>
    <row r="251" spans="1:40" x14ac:dyDescent="0.3">
      <c r="A251">
        <v>9357209</v>
      </c>
      <c r="B251" t="s">
        <v>1047</v>
      </c>
      <c r="C251" t="s">
        <v>1048</v>
      </c>
      <c r="D251" t="s">
        <v>39</v>
      </c>
      <c r="E251" t="s">
        <v>40</v>
      </c>
      <c r="F251" t="s">
        <v>1049</v>
      </c>
      <c r="G251" t="s">
        <v>1050</v>
      </c>
      <c r="H251">
        <v>3</v>
      </c>
      <c r="Q251" t="s">
        <v>51</v>
      </c>
      <c r="R251" t="s">
        <v>1051</v>
      </c>
      <c r="U251" t="s">
        <v>53</v>
      </c>
      <c r="V251">
        <v>32484679541</v>
      </c>
      <c r="W251" t="s">
        <v>51</v>
      </c>
      <c r="X251">
        <v>32496478968</v>
      </c>
      <c r="AB251" t="s">
        <v>1052</v>
      </c>
      <c r="AC251" t="s">
        <v>1053</v>
      </c>
      <c r="AF251">
        <v>1009357209</v>
      </c>
      <c r="AJ251" t="s">
        <v>744</v>
      </c>
      <c r="AK251" t="s">
        <v>61</v>
      </c>
      <c r="AM251" t="str" cm="1">
        <f t="array" ref="AM251">_xlfn.IFS(OR(O251="Persoonlijk",O251="Zoon",O251="Dochter"),P251,OR(Q251="Persoonlijk",Q251="Zoon",Q251="Dochter"),R251,OR(S251="Persoonlijk",S251="Zoon",S251="Dochter"),T251,O251="Vader",P251,Q251="Vader",R251,S251="Vader",T251,O251="Moeder",P251,Q251="Moeder",R251,S251="Moeder",T251,TRUE,IF(P251&lt;&gt;"",P251,IF(R251&lt;&gt;"",R251,IF(T251&lt;&gt;"",T251,""))))</f>
        <v>stevenderycke244@gmail.com</v>
      </c>
      <c r="AN251" t="str" cm="1">
        <f t="array" ref="AN251">_xlfn.LET(_xlpm.raw,_xlfn.IFS(OR(U251="Persoonlijk",U251="Zoon",U251="Dochter"),V251,OR(W251="Persoonlijk",W251="Zoon",W251="Dochter"),X251,OR(Y251="Persoonlijk",Y251="Zoon",Y251="Dochter"),Z251,U251="Vader",V251,W251="Vader",X251,Y251="Vader",Z251,U251="Moeder",V251,W251="Moeder",X251,Y251="Moeder",Z251,TRUE,IF(V251&lt;&gt;"",V251,IF(X251&lt;&gt;"",X251,IF(Z251&lt;&gt;"",Z251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+32496478968</v>
      </c>
    </row>
    <row r="252" spans="1:40" x14ac:dyDescent="0.3">
      <c r="A252">
        <v>9357209</v>
      </c>
      <c r="B252" t="s">
        <v>1047</v>
      </c>
      <c r="C252" t="s">
        <v>1048</v>
      </c>
      <c r="D252" t="s">
        <v>39</v>
      </c>
      <c r="E252" t="s">
        <v>40</v>
      </c>
      <c r="F252" t="s">
        <v>1049</v>
      </c>
      <c r="G252" t="s">
        <v>1050</v>
      </c>
      <c r="H252">
        <v>3</v>
      </c>
      <c r="Q252" t="s">
        <v>51</v>
      </c>
      <c r="R252" t="s">
        <v>1051</v>
      </c>
      <c r="U252" t="s">
        <v>53</v>
      </c>
      <c r="V252">
        <v>32484679541</v>
      </c>
      <c r="W252" t="s">
        <v>51</v>
      </c>
      <c r="X252">
        <v>32496478968</v>
      </c>
      <c r="AB252" t="s">
        <v>1052</v>
      </c>
      <c r="AC252" t="s">
        <v>1053</v>
      </c>
      <c r="AF252">
        <v>1009357209</v>
      </c>
      <c r="AJ252" t="s">
        <v>87</v>
      </c>
      <c r="AK252" t="s">
        <v>61</v>
      </c>
      <c r="AM252" t="str" cm="1">
        <f t="array" ref="AM252">_xlfn.IFS(OR(O252="Persoonlijk",O252="Zoon",O252="Dochter"),P252,OR(Q252="Persoonlijk",Q252="Zoon",Q252="Dochter"),R252,OR(S252="Persoonlijk",S252="Zoon",S252="Dochter"),T252,O252="Vader",P252,Q252="Vader",R252,S252="Vader",T252,O252="Moeder",P252,Q252="Moeder",R252,S252="Moeder",T252,TRUE,IF(P252&lt;&gt;"",P252,IF(R252&lt;&gt;"",R252,IF(T252&lt;&gt;"",T252,""))))</f>
        <v>stevenderycke244@gmail.com</v>
      </c>
      <c r="AN252" t="str" cm="1">
        <f t="array" ref="AN252">_xlfn.LET(_xlpm.raw,_xlfn.IFS(OR(U252="Persoonlijk",U252="Zoon",U252="Dochter"),V252,OR(W252="Persoonlijk",W252="Zoon",W252="Dochter"),X252,OR(Y252="Persoonlijk",Y252="Zoon",Y252="Dochter"),Z252,U252="Vader",V252,W252="Vader",X252,Y252="Vader",Z252,U252="Moeder",V252,W252="Moeder",X252,Y252="Moeder",Z252,TRUE,IF(V252&lt;&gt;"",V252,IF(X252&lt;&gt;"",X252,IF(Z252&lt;&gt;"",Z252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+32496478968</v>
      </c>
    </row>
    <row r="253" spans="1:40" x14ac:dyDescent="0.3">
      <c r="A253">
        <v>2668133</v>
      </c>
      <c r="B253" t="s">
        <v>1054</v>
      </c>
      <c r="C253" t="s">
        <v>827</v>
      </c>
      <c r="D253" t="s">
        <v>39</v>
      </c>
      <c r="E253" t="s">
        <v>40</v>
      </c>
      <c r="F253" t="s">
        <v>1055</v>
      </c>
      <c r="G253" t="s">
        <v>1056</v>
      </c>
      <c r="H253">
        <v>117</v>
      </c>
      <c r="AC253" t="s">
        <v>1057</v>
      </c>
      <c r="AF253">
        <v>1002668133</v>
      </c>
      <c r="AG253">
        <v>604348</v>
      </c>
      <c r="AM253" t="str" cm="1">
        <f t="array" ref="AM253">_xlfn.IFS(OR(O253="Persoonlijk",O253="Zoon",O253="Dochter"),P253,OR(Q253="Persoonlijk",Q253="Zoon",Q253="Dochter"),R253,OR(S253="Persoonlijk",S253="Zoon",S253="Dochter"),T253,O253="Vader",P253,Q253="Vader",R253,S253="Vader",T253,O253="Moeder",P253,Q253="Moeder",R253,S253="Moeder",T253,TRUE,IF(P253&lt;&gt;"",P253,IF(R253&lt;&gt;"",R253,IF(T253&lt;&gt;"",T253,""))))</f>
        <v/>
      </c>
      <c r="AN253" t="str" cm="1">
        <f t="array" ref="AN253">_xlfn.LET(_xlpm.raw,_xlfn.IFS(OR(U253="Persoonlijk",U253="Zoon",U253="Dochter"),V253,OR(W253="Persoonlijk",W253="Zoon",W253="Dochter"),X253,OR(Y253="Persoonlijk",Y253="Zoon",Y253="Dochter"),Z253,U253="Vader",V253,W253="Vader",X253,Y253="Vader",Z253,U253="Moeder",V253,W253="Moeder",X253,Y253="Moeder",Z253,TRUE,IF(V253&lt;&gt;"",V253,IF(X253&lt;&gt;"",X253,IF(Z253&lt;&gt;"",Z253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54" spans="1:40" x14ac:dyDescent="0.3">
      <c r="A254">
        <v>2650916</v>
      </c>
      <c r="B254" t="s">
        <v>1054</v>
      </c>
      <c r="C254" t="s">
        <v>1058</v>
      </c>
      <c r="D254" t="s">
        <v>39</v>
      </c>
      <c r="E254" t="s">
        <v>49</v>
      </c>
      <c r="F254" t="s">
        <v>1059</v>
      </c>
      <c r="G254" t="s">
        <v>1060</v>
      </c>
      <c r="H254">
        <v>35</v>
      </c>
      <c r="Q254" t="s">
        <v>53</v>
      </c>
      <c r="R254" t="s">
        <v>1061</v>
      </c>
      <c r="V254" t="s">
        <v>1062</v>
      </c>
      <c r="X254" t="s">
        <v>1063</v>
      </c>
      <c r="AB254" t="s">
        <v>1064</v>
      </c>
      <c r="AC254" t="s">
        <v>1065</v>
      </c>
      <c r="AE254" t="s">
        <v>1066</v>
      </c>
      <c r="AF254">
        <v>1002650916</v>
      </c>
      <c r="AG254">
        <v>742234</v>
      </c>
      <c r="AJ254" t="s">
        <v>63</v>
      </c>
      <c r="AK254" t="s">
        <v>61</v>
      </c>
      <c r="AL254" t="s">
        <v>62</v>
      </c>
      <c r="AM254" t="str" cm="1">
        <f t="array" ref="AM254">_xlfn.IFS(OR(O254="Persoonlijk",O254="Zoon",O254="Dochter"),P254,OR(Q254="Persoonlijk",Q254="Zoon",Q254="Dochter"),R254,OR(S254="Persoonlijk",S254="Zoon",S254="Dochter"),T254,O254="Vader",P254,Q254="Vader",R254,S254="Vader",T254,O254="Moeder",P254,Q254="Moeder",R254,S254="Moeder",T254,TRUE,IF(P254&lt;&gt;"",P254,IF(R254&lt;&gt;"",R254,IF(T254&lt;&gt;"",T254,""))))</f>
        <v>freyamalfait@icloud.com</v>
      </c>
      <c r="AN254" t="str" cm="1">
        <f t="array" ref="AN254">_xlfn.LET(_xlpm.raw,_xlfn.IFS(OR(U254="Persoonlijk",U254="Zoon",U254="Dochter"),V254,OR(W254="Persoonlijk",W254="Zoon",W254="Dochter"),X254,OR(Y254="Persoonlijk",Y254="Zoon",Y254="Dochter"),Z254,U254="Vader",V254,W254="Vader",X254,Y254="Vader",Z254,U254="Moeder",V254,W254="Moeder",X254,Y254="Moeder",Z254,TRUE,IF(V254&lt;&gt;"",V254,IF(X254&lt;&gt;"",X254,IF(Z254&lt;&gt;"",Z254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+32472832063</v>
      </c>
    </row>
    <row r="255" spans="1:40" x14ac:dyDescent="0.3">
      <c r="A255">
        <v>2650916</v>
      </c>
      <c r="B255" t="s">
        <v>1054</v>
      </c>
      <c r="C255" t="s">
        <v>1058</v>
      </c>
      <c r="D255" t="s">
        <v>39</v>
      </c>
      <c r="E255" t="s">
        <v>49</v>
      </c>
      <c r="F255" t="s">
        <v>1059</v>
      </c>
      <c r="G255" t="s">
        <v>1060</v>
      </c>
      <c r="H255">
        <v>35</v>
      </c>
      <c r="Q255" t="s">
        <v>53</v>
      </c>
      <c r="R255" t="s">
        <v>1061</v>
      </c>
      <c r="V255" t="s">
        <v>1062</v>
      </c>
      <c r="X255" t="s">
        <v>1063</v>
      </c>
      <c r="AB255" t="s">
        <v>1064</v>
      </c>
      <c r="AC255" t="s">
        <v>1065</v>
      </c>
      <c r="AE255" t="s">
        <v>1066</v>
      </c>
      <c r="AF255">
        <v>1002650916</v>
      </c>
      <c r="AG255">
        <v>742234</v>
      </c>
      <c r="AJ255" t="s">
        <v>127</v>
      </c>
      <c r="AK255" t="s">
        <v>61</v>
      </c>
      <c r="AM255" t="str" cm="1">
        <f t="array" ref="AM255">_xlfn.IFS(OR(O255="Persoonlijk",O255="Zoon",O255="Dochter"),P255,OR(Q255="Persoonlijk",Q255="Zoon",Q255="Dochter"),R255,OR(S255="Persoonlijk",S255="Zoon",S255="Dochter"),T255,O255="Vader",P255,Q255="Vader",R255,S255="Vader",T255,O255="Moeder",P255,Q255="Moeder",R255,S255="Moeder",T255,TRUE,IF(P255&lt;&gt;"",P255,IF(R255&lt;&gt;"",R255,IF(T255&lt;&gt;"",T255,""))))</f>
        <v>freyamalfait@icloud.com</v>
      </c>
      <c r="AN255" t="str" cm="1">
        <f t="array" ref="AN255">_xlfn.LET(_xlpm.raw,_xlfn.IFS(OR(U255="Persoonlijk",U255="Zoon",U255="Dochter"),V255,OR(W255="Persoonlijk",W255="Zoon",W255="Dochter"),X255,OR(Y255="Persoonlijk",Y255="Zoon",Y255="Dochter"),Z255,U255="Vader",V255,W255="Vader",X255,Y255="Vader",Z255,U255="Moeder",V255,W255="Moeder",X255,Y255="Moeder",Z255,TRUE,IF(V255&lt;&gt;"",V255,IF(X255&lt;&gt;"",X255,IF(Z255&lt;&gt;"",Z255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+32472832063</v>
      </c>
    </row>
    <row r="256" spans="1:40" x14ac:dyDescent="0.3">
      <c r="A256">
        <v>6122653</v>
      </c>
      <c r="B256" t="s">
        <v>1067</v>
      </c>
      <c r="C256" t="s">
        <v>1068</v>
      </c>
      <c r="D256" t="s">
        <v>39</v>
      </c>
      <c r="E256" t="s">
        <v>40</v>
      </c>
      <c r="F256" t="s">
        <v>1069</v>
      </c>
      <c r="G256" t="s">
        <v>1070</v>
      </c>
      <c r="H256">
        <v>14</v>
      </c>
      <c r="Q256" t="s">
        <v>116</v>
      </c>
      <c r="R256" t="s">
        <v>1071</v>
      </c>
      <c r="AC256" t="s">
        <v>1072</v>
      </c>
      <c r="AD256">
        <v>11</v>
      </c>
      <c r="AF256">
        <v>1006122653</v>
      </c>
      <c r="AL256" t="s">
        <v>62</v>
      </c>
      <c r="AM256" t="str" cm="1">
        <f t="array" ref="AM256">_xlfn.IFS(OR(O256="Persoonlijk",O256="Zoon",O256="Dochter"),P256,OR(Q256="Persoonlijk",Q256="Zoon",Q256="Dochter"),R256,OR(S256="Persoonlijk",S256="Zoon",S256="Dochter"),T256,O256="Vader",P256,Q256="Vader",R256,S256="Vader",T256,O256="Moeder",P256,Q256="Moeder",R256,S256="Moeder",T256,TRUE,IF(P256&lt;&gt;"",P256,IF(R256&lt;&gt;"",R256,IF(T256&lt;&gt;"",T256,""))))</f>
        <v>Matheo.despriet@gmail.com</v>
      </c>
      <c r="AN256" t="str" cm="1">
        <f t="array" ref="AN256">_xlfn.LET(_xlpm.raw,_xlfn.IFS(OR(U256="Persoonlijk",U256="Zoon",U256="Dochter"),V256,OR(W256="Persoonlijk",W256="Zoon",W256="Dochter"),X256,OR(Y256="Persoonlijk",Y256="Zoon",Y256="Dochter"),Z256,U256="Vader",V256,W256="Vader",X256,Y256="Vader",Z256,U256="Moeder",V256,W256="Moeder",X256,Y256="Moeder",Z256,TRUE,IF(V256&lt;&gt;"",V256,IF(X256&lt;&gt;"",X256,IF(Z256&lt;&gt;"",Z256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57" spans="1:40" x14ac:dyDescent="0.3">
      <c r="A257">
        <v>3884890</v>
      </c>
      <c r="B257" t="s">
        <v>1067</v>
      </c>
      <c r="C257" t="s">
        <v>837</v>
      </c>
      <c r="D257" t="s">
        <v>39</v>
      </c>
      <c r="E257" t="s">
        <v>40</v>
      </c>
      <c r="F257" t="s">
        <v>1073</v>
      </c>
      <c r="G257" t="s">
        <v>1070</v>
      </c>
      <c r="H257">
        <v>14</v>
      </c>
      <c r="Q257" t="s">
        <v>116</v>
      </c>
      <c r="R257" t="s">
        <v>1074</v>
      </c>
      <c r="AC257" t="s">
        <v>1075</v>
      </c>
      <c r="AE257" t="s">
        <v>1076</v>
      </c>
      <c r="AF257">
        <v>1003884890</v>
      </c>
      <c r="AJ257" t="s">
        <v>202</v>
      </c>
      <c r="AK257" t="s">
        <v>61</v>
      </c>
      <c r="AL257" t="s">
        <v>62</v>
      </c>
      <c r="AM257" t="str" cm="1">
        <f t="array" ref="AM257">_xlfn.IFS(OR(O257="Persoonlijk",O257="Zoon",O257="Dochter"),P257,OR(Q257="Persoonlijk",Q257="Zoon",Q257="Dochter"),R257,OR(S257="Persoonlijk",S257="Zoon",S257="Dochter"),T257,O257="Vader",P257,Q257="Vader",R257,S257="Vader",T257,O257="Moeder",P257,Q257="Moeder",R257,S257="Moeder",T257,TRUE,IF(P257&lt;&gt;"",P257,IF(R257&lt;&gt;"",R257,IF(T257&lt;&gt;"",T257,""))))</f>
        <v>Tibo.despriet@gmail.com</v>
      </c>
      <c r="AN257" t="str" cm="1">
        <f t="array" ref="AN257">_xlfn.LET(_xlpm.raw,_xlfn.IFS(OR(U257="Persoonlijk",U257="Zoon",U257="Dochter"),V257,OR(W257="Persoonlijk",W257="Zoon",W257="Dochter"),X257,OR(Y257="Persoonlijk",Y257="Zoon",Y257="Dochter"),Z257,U257="Vader",V257,W257="Vader",X257,Y257="Vader",Z257,U257="Moeder",V257,W257="Moeder",X257,Y257="Moeder",Z257,TRUE,IF(V257&lt;&gt;"",V257,IF(X257&lt;&gt;"",X257,IF(Z257&lt;&gt;"",Z257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58" spans="1:40" x14ac:dyDescent="0.3">
      <c r="A258">
        <v>3884890</v>
      </c>
      <c r="B258" t="s">
        <v>1067</v>
      </c>
      <c r="C258" t="s">
        <v>837</v>
      </c>
      <c r="D258" t="s">
        <v>39</v>
      </c>
      <c r="E258" t="s">
        <v>40</v>
      </c>
      <c r="F258" t="s">
        <v>1073</v>
      </c>
      <c r="G258" t="s">
        <v>1070</v>
      </c>
      <c r="H258">
        <v>14</v>
      </c>
      <c r="Q258" t="s">
        <v>116</v>
      </c>
      <c r="R258" t="s">
        <v>1074</v>
      </c>
      <c r="AC258" t="s">
        <v>1075</v>
      </c>
      <c r="AE258" t="s">
        <v>1076</v>
      </c>
      <c r="AF258">
        <v>1003884890</v>
      </c>
      <c r="AJ258" t="s">
        <v>63</v>
      </c>
      <c r="AK258" t="s">
        <v>61</v>
      </c>
      <c r="AM258" t="str" cm="1">
        <f t="array" ref="AM258">_xlfn.IFS(OR(O258="Persoonlijk",O258="Zoon",O258="Dochter"),P258,OR(Q258="Persoonlijk",Q258="Zoon",Q258="Dochter"),R258,OR(S258="Persoonlijk",S258="Zoon",S258="Dochter"),T258,O258="Vader",P258,Q258="Vader",R258,S258="Vader",T258,O258="Moeder",P258,Q258="Moeder",R258,S258="Moeder",T258,TRUE,IF(P258&lt;&gt;"",P258,IF(R258&lt;&gt;"",R258,IF(T258&lt;&gt;"",T258,""))))</f>
        <v>Tibo.despriet@gmail.com</v>
      </c>
      <c r="AN258" t="str" cm="1">
        <f t="array" ref="AN258">_xlfn.LET(_xlpm.raw,_xlfn.IFS(OR(U258="Persoonlijk",U258="Zoon",U258="Dochter"),V258,OR(W258="Persoonlijk",W258="Zoon",W258="Dochter"),X258,OR(Y258="Persoonlijk",Y258="Zoon",Y258="Dochter"),Z258,U258="Vader",V258,W258="Vader",X258,Y258="Vader",Z258,U258="Moeder",V258,W258="Moeder",X258,Y258="Moeder",Z258,TRUE,IF(V258&lt;&gt;"",V258,IF(X258&lt;&gt;"",X258,IF(Z258&lt;&gt;"",Z258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59" spans="1:40" x14ac:dyDescent="0.3">
      <c r="A259">
        <v>2182801</v>
      </c>
      <c r="B259" t="s">
        <v>1077</v>
      </c>
      <c r="C259" t="s">
        <v>1078</v>
      </c>
      <c r="D259" t="s">
        <v>39</v>
      </c>
      <c r="E259" t="s">
        <v>49</v>
      </c>
      <c r="F259" t="s">
        <v>1079</v>
      </c>
      <c r="G259" t="s">
        <v>1080</v>
      </c>
      <c r="H259">
        <v>18</v>
      </c>
      <c r="R259" t="s">
        <v>1081</v>
      </c>
      <c r="AF259">
        <v>1002182801</v>
      </c>
      <c r="AG259">
        <v>728182</v>
      </c>
      <c r="AM259" t="str" cm="1">
        <f t="array" ref="AM259">_xlfn.IFS(OR(O259="Persoonlijk",O259="Zoon",O259="Dochter"),P259,OR(Q259="Persoonlijk",Q259="Zoon",Q259="Dochter"),R259,OR(S259="Persoonlijk",S259="Zoon",S259="Dochter"),T259,O259="Vader",P259,Q259="Vader",R259,S259="Vader",T259,O259="Moeder",P259,Q259="Moeder",R259,S259="Moeder",T259,TRUE,IF(P259&lt;&gt;"",P259,IF(R259&lt;&gt;"",R259,IF(T259&lt;&gt;"",T259,""))))</f>
        <v>stefaan@immoboss.be</v>
      </c>
      <c r="AN259" t="str" cm="1">
        <f t="array" ref="AN259">_xlfn.LET(_xlpm.raw,_xlfn.IFS(OR(U259="Persoonlijk",U259="Zoon",U259="Dochter"),V259,OR(W259="Persoonlijk",W259="Zoon",W259="Dochter"),X259,OR(Y259="Persoonlijk",Y259="Zoon",Y259="Dochter"),Z259,U259="Vader",V259,W259="Vader",X259,Y259="Vader",Z259,U259="Moeder",V259,W259="Moeder",X259,Y259="Moeder",Z259,TRUE,IF(V259&lt;&gt;"",V259,IF(X259&lt;&gt;"",X259,IF(Z259&lt;&gt;"",Z259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60" spans="1:40" x14ac:dyDescent="0.3">
      <c r="A260">
        <v>7212696</v>
      </c>
      <c r="B260" t="s">
        <v>1082</v>
      </c>
      <c r="C260" t="s">
        <v>312</v>
      </c>
      <c r="D260" t="s">
        <v>39</v>
      </c>
      <c r="E260" t="s">
        <v>40</v>
      </c>
      <c r="F260" t="s">
        <v>1083</v>
      </c>
      <c r="G260" t="s">
        <v>581</v>
      </c>
      <c r="H260">
        <v>104</v>
      </c>
      <c r="Q260" t="s">
        <v>51</v>
      </c>
      <c r="R260" t="s">
        <v>1084</v>
      </c>
      <c r="U260" t="s">
        <v>53</v>
      </c>
      <c r="V260" t="s">
        <v>1085</v>
      </c>
      <c r="AC260" t="s">
        <v>1086</v>
      </c>
      <c r="AE260" t="s">
        <v>1087</v>
      </c>
      <c r="AF260">
        <v>1007212696</v>
      </c>
      <c r="AM260" t="str" cm="1">
        <f t="array" ref="AM260">_xlfn.IFS(OR(O260="Persoonlijk",O260="Zoon",O260="Dochter"),P260,OR(Q260="Persoonlijk",Q260="Zoon",Q260="Dochter"),R260,OR(S260="Persoonlijk",S260="Zoon",S260="Dochter"),T260,O260="Vader",P260,Q260="Vader",R260,S260="Vader",T260,O260="Moeder",P260,Q260="Moeder",R260,S260="Moeder",T260,TRUE,IF(P260&lt;&gt;"",P260,IF(R260&lt;&gt;"",R260,IF(T260&lt;&gt;"",T260,""))))</f>
        <v>Kareldetavernier@hotmail.com</v>
      </c>
      <c r="AN260" t="str" cm="1">
        <f t="array" ref="AN260">_xlfn.LET(_xlpm.raw,_xlfn.IFS(OR(U260="Persoonlijk",U260="Zoon",U260="Dochter"),V260,OR(W260="Persoonlijk",W260="Zoon",W260="Dochter"),X260,OR(Y260="Persoonlijk",Y260="Zoon",Y260="Dochter"),Z260,U260="Vader",V260,W260="Vader",X260,Y260="Vader",Z260,U260="Moeder",V260,W260="Moeder",X260,Y260="Moeder",Z260,TRUE,IF(V260&lt;&gt;"",V260,IF(X260&lt;&gt;"",X260,IF(Z260&lt;&gt;"",Z260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+32498633133</v>
      </c>
    </row>
    <row r="261" spans="1:40" x14ac:dyDescent="0.3">
      <c r="A261">
        <v>6106676</v>
      </c>
      <c r="B261" t="s">
        <v>1088</v>
      </c>
      <c r="C261" t="s">
        <v>1089</v>
      </c>
      <c r="D261" t="s">
        <v>39</v>
      </c>
      <c r="E261" t="s">
        <v>40</v>
      </c>
      <c r="F261" t="s">
        <v>1090</v>
      </c>
      <c r="G261" t="s">
        <v>1091</v>
      </c>
      <c r="H261">
        <v>20</v>
      </c>
      <c r="U261" t="s">
        <v>53</v>
      </c>
      <c r="V261" t="s">
        <v>1092</v>
      </c>
      <c r="AC261" t="s">
        <v>1093</v>
      </c>
      <c r="AE261" t="s">
        <v>1094</v>
      </c>
      <c r="AF261">
        <v>1006106676</v>
      </c>
      <c r="AG261">
        <v>763877</v>
      </c>
      <c r="AJ261" t="s">
        <v>83</v>
      </c>
      <c r="AK261" t="s">
        <v>61</v>
      </c>
      <c r="AL261" t="s">
        <v>62</v>
      </c>
      <c r="AM261" t="str" cm="1">
        <f t="array" ref="AM261">_xlfn.IFS(OR(O261="Persoonlijk",O261="Zoon",O261="Dochter"),P261,OR(Q261="Persoonlijk",Q261="Zoon",Q261="Dochter"),R261,OR(S261="Persoonlijk",S261="Zoon",S261="Dochter"),T261,O261="Vader",P261,Q261="Vader",R261,S261="Vader",T261,O261="Moeder",P261,Q261="Moeder",R261,S261="Moeder",T261,TRUE,IF(P261&lt;&gt;"",P261,IF(R261&lt;&gt;"",R261,IF(T261&lt;&gt;"",T261,""))))</f>
        <v/>
      </c>
      <c r="AN261" t="str" cm="1">
        <f t="array" ref="AN261">_xlfn.LET(_xlpm.raw,_xlfn.IFS(OR(U261="Persoonlijk",U261="Zoon",U261="Dochter"),V261,OR(W261="Persoonlijk",W261="Zoon",W261="Dochter"),X261,OR(Y261="Persoonlijk",Y261="Zoon",Y261="Dochter"),Z261,U261="Vader",V261,W261="Vader",X261,Y261="Vader",Z261,U261="Moeder",V261,W261="Moeder",X261,Y261="Moeder",Z261,TRUE,IF(V261&lt;&gt;"",V261,IF(X261&lt;&gt;"",X261,IF(Z261&lt;&gt;"",Z261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+32495886987</v>
      </c>
    </row>
    <row r="262" spans="1:40" x14ac:dyDescent="0.3">
      <c r="A262">
        <v>6106676</v>
      </c>
      <c r="B262" t="s">
        <v>1088</v>
      </c>
      <c r="C262" t="s">
        <v>1089</v>
      </c>
      <c r="D262" t="s">
        <v>39</v>
      </c>
      <c r="E262" t="s">
        <v>40</v>
      </c>
      <c r="F262" t="s">
        <v>1090</v>
      </c>
      <c r="G262" t="s">
        <v>1091</v>
      </c>
      <c r="H262">
        <v>20</v>
      </c>
      <c r="U262" t="s">
        <v>53</v>
      </c>
      <c r="V262" t="s">
        <v>1092</v>
      </c>
      <c r="AC262" t="s">
        <v>1093</v>
      </c>
      <c r="AE262" t="s">
        <v>1094</v>
      </c>
      <c r="AF262">
        <v>1006106676</v>
      </c>
      <c r="AG262">
        <v>763877</v>
      </c>
      <c r="AJ262" t="s">
        <v>63</v>
      </c>
      <c r="AK262" t="s">
        <v>61</v>
      </c>
      <c r="AM262" t="str" cm="1">
        <f t="array" ref="AM262">_xlfn.IFS(OR(O262="Persoonlijk",O262="Zoon",O262="Dochter"),P262,OR(Q262="Persoonlijk",Q262="Zoon",Q262="Dochter"),R262,OR(S262="Persoonlijk",S262="Zoon",S262="Dochter"),T262,O262="Vader",P262,Q262="Vader",R262,S262="Vader",T262,O262="Moeder",P262,Q262="Moeder",R262,S262="Moeder",T262,TRUE,IF(P262&lt;&gt;"",P262,IF(R262&lt;&gt;"",R262,IF(T262&lt;&gt;"",T262,""))))</f>
        <v/>
      </c>
      <c r="AN262" t="str" cm="1">
        <f t="array" ref="AN262">_xlfn.LET(_xlpm.raw,_xlfn.IFS(OR(U262="Persoonlijk",U262="Zoon",U262="Dochter"),V262,OR(W262="Persoonlijk",W262="Zoon",W262="Dochter"),X262,OR(Y262="Persoonlijk",Y262="Zoon",Y262="Dochter"),Z262,U262="Vader",V262,W262="Vader",X262,Y262="Vader",Z262,U262="Moeder",V262,W262="Moeder",X262,Y262="Moeder",Z262,TRUE,IF(V262&lt;&gt;"",V262,IF(X262&lt;&gt;"",X262,IF(Z262&lt;&gt;"",Z262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+32495886987</v>
      </c>
    </row>
    <row r="263" spans="1:40" x14ac:dyDescent="0.3">
      <c r="A263">
        <v>8412026</v>
      </c>
      <c r="B263" t="s">
        <v>1095</v>
      </c>
      <c r="C263" t="s">
        <v>1096</v>
      </c>
      <c r="D263" t="s">
        <v>39</v>
      </c>
      <c r="E263" t="s">
        <v>49</v>
      </c>
      <c r="F263" t="s">
        <v>1097</v>
      </c>
      <c r="G263" t="s">
        <v>683</v>
      </c>
      <c r="H263">
        <v>26</v>
      </c>
      <c r="U263" t="s">
        <v>51</v>
      </c>
      <c r="V263" t="s">
        <v>1098</v>
      </c>
      <c r="AC263" t="s">
        <v>1099</v>
      </c>
      <c r="AF263">
        <v>1008412026</v>
      </c>
      <c r="AJ263" t="s">
        <v>174</v>
      </c>
      <c r="AK263" t="s">
        <v>61</v>
      </c>
      <c r="AM263" t="str" cm="1">
        <f t="array" ref="AM263">_xlfn.IFS(OR(O263="Persoonlijk",O263="Zoon",O263="Dochter"),P263,OR(Q263="Persoonlijk",Q263="Zoon",Q263="Dochter"),R263,OR(S263="Persoonlijk",S263="Zoon",S263="Dochter"),T263,O263="Vader",P263,Q263="Vader",R263,S263="Vader",T263,O263="Moeder",P263,Q263="Moeder",R263,S263="Moeder",T263,TRUE,IF(P263&lt;&gt;"",P263,IF(R263&lt;&gt;"",R263,IF(T263&lt;&gt;"",T263,""))))</f>
        <v/>
      </c>
      <c r="AN263" t="str" cm="1">
        <f t="array" ref="AN263">_xlfn.LET(_xlpm.raw,_xlfn.IFS(OR(U263="Persoonlijk",U263="Zoon",U263="Dochter"),V263,OR(W263="Persoonlijk",W263="Zoon",W263="Dochter"),X263,OR(Y263="Persoonlijk",Y263="Zoon",Y263="Dochter"),Z263,U263="Vader",V263,W263="Vader",X263,Y263="Vader",Z263,U263="Moeder",V263,W263="Moeder",X263,Y263="Moeder",Z263,TRUE,IF(V263&lt;&gt;"",V263,IF(X263&lt;&gt;"",X263,IF(Z263&lt;&gt;"",Z263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+32498070140</v>
      </c>
    </row>
    <row r="264" spans="1:40" x14ac:dyDescent="0.3">
      <c r="A264">
        <v>2650836</v>
      </c>
      <c r="B264" t="s">
        <v>1095</v>
      </c>
      <c r="C264" t="s">
        <v>558</v>
      </c>
      <c r="D264" t="s">
        <v>39</v>
      </c>
      <c r="E264" t="s">
        <v>40</v>
      </c>
      <c r="F264" t="s">
        <v>1100</v>
      </c>
      <c r="G264" t="s">
        <v>1101</v>
      </c>
      <c r="H264">
        <v>6</v>
      </c>
      <c r="V264">
        <v>4731881534</v>
      </c>
      <c r="X264">
        <v>479793824</v>
      </c>
      <c r="AF264">
        <v>1002650836</v>
      </c>
      <c r="AG264">
        <v>740066</v>
      </c>
      <c r="AM264" t="str" cm="1">
        <f t="array" ref="AM264">_xlfn.IFS(OR(O264="Persoonlijk",O264="Zoon",O264="Dochter"),P264,OR(Q264="Persoonlijk",Q264="Zoon",Q264="Dochter"),R264,OR(S264="Persoonlijk",S264="Zoon",S264="Dochter"),T264,O264="Vader",P264,Q264="Vader",R264,S264="Vader",T264,O264="Moeder",P264,Q264="Moeder",R264,S264="Moeder",T264,TRUE,IF(P264&lt;&gt;"",P264,IF(R264&lt;&gt;"",R264,IF(T264&lt;&gt;"",T264,""))))</f>
        <v/>
      </c>
      <c r="AN264" t="str" cm="1">
        <f t="array" ref="AN264">_xlfn.LET(_xlpm.raw,_xlfn.IFS(OR(U264="Persoonlijk",U264="Zoon",U264="Dochter"),V264,OR(W264="Persoonlijk",W264="Zoon",W264="Dochter"),X264,OR(Y264="Persoonlijk",Y264="Zoon",Y264="Dochter"),Z264,U264="Vader",V264,W264="Vader",X264,Y264="Vader",Z264,U264="Moeder",V264,W264="Moeder",X264,Y264="Moeder",Z264,TRUE,IF(V264&lt;&gt;"",V264,IF(X264&lt;&gt;"",X264,IF(Z264&lt;&gt;"",Z264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+324731881534</v>
      </c>
    </row>
    <row r="265" spans="1:40" x14ac:dyDescent="0.3">
      <c r="A265">
        <v>4309504</v>
      </c>
      <c r="B265" t="s">
        <v>1095</v>
      </c>
      <c r="C265" t="s">
        <v>622</v>
      </c>
      <c r="D265" t="s">
        <v>39</v>
      </c>
      <c r="E265" t="s">
        <v>40</v>
      </c>
      <c r="F265" t="s">
        <v>1102</v>
      </c>
      <c r="G265" t="s">
        <v>1103</v>
      </c>
      <c r="H265">
        <v>116</v>
      </c>
      <c r="U265" t="s">
        <v>53</v>
      </c>
      <c r="V265" t="s">
        <v>1104</v>
      </c>
      <c r="AF265">
        <v>1004309504</v>
      </c>
      <c r="AM265" t="str" cm="1">
        <f t="array" ref="AM265">_xlfn.IFS(OR(O265="Persoonlijk",O265="Zoon",O265="Dochter"),P265,OR(Q265="Persoonlijk",Q265="Zoon",Q265="Dochter"),R265,OR(S265="Persoonlijk",S265="Zoon",S265="Dochter"),T265,O265="Vader",P265,Q265="Vader",R265,S265="Vader",T265,O265="Moeder",P265,Q265="Moeder",R265,S265="Moeder",T265,TRUE,IF(P265&lt;&gt;"",P265,IF(R265&lt;&gt;"",R265,IF(T265&lt;&gt;"",T265,""))))</f>
        <v/>
      </c>
      <c r="AN265" t="str" cm="1">
        <f t="array" ref="AN265">_xlfn.LET(_xlpm.raw,_xlfn.IFS(OR(U265="Persoonlijk",U265="Zoon",U265="Dochter"),V265,OR(W265="Persoonlijk",W265="Zoon",W265="Dochter"),X265,OR(Y265="Persoonlijk",Y265="Zoon",Y265="Dochter"),Z265,U265="Vader",V265,W265="Vader",X265,Y265="Vader",Z265,U265="Moeder",V265,W265="Moeder",X265,Y265="Moeder",Z265,TRUE,IF(V265&lt;&gt;"",V265,IF(X265&lt;&gt;"",X265,IF(Z265&lt;&gt;"",Z265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+32472984375</v>
      </c>
    </row>
    <row r="266" spans="1:40" x14ac:dyDescent="0.3">
      <c r="A266">
        <v>2182816</v>
      </c>
      <c r="B266" t="s">
        <v>1095</v>
      </c>
      <c r="C266" t="s">
        <v>1105</v>
      </c>
      <c r="D266" t="s">
        <v>39</v>
      </c>
      <c r="E266" t="s">
        <v>40</v>
      </c>
      <c r="F266" t="s">
        <v>1106</v>
      </c>
      <c r="G266" t="s">
        <v>778</v>
      </c>
      <c r="H266">
        <v>47</v>
      </c>
      <c r="Q266" t="s">
        <v>51</v>
      </c>
      <c r="R266" t="s">
        <v>1107</v>
      </c>
      <c r="V266">
        <v>478347087</v>
      </c>
      <c r="W266" t="s">
        <v>51</v>
      </c>
      <c r="X266">
        <v>32470540240</v>
      </c>
      <c r="AE266" t="s">
        <v>1108</v>
      </c>
      <c r="AF266">
        <v>1002182816</v>
      </c>
      <c r="AG266">
        <v>718781</v>
      </c>
      <c r="AJ266" t="s">
        <v>202</v>
      </c>
      <c r="AK266" t="s">
        <v>61</v>
      </c>
      <c r="AL266" t="s">
        <v>62</v>
      </c>
      <c r="AM266" t="str" cm="1">
        <f t="array" ref="AM266">_xlfn.IFS(OR(O266="Persoonlijk",O266="Zoon",O266="Dochter"),P266,OR(Q266="Persoonlijk",Q266="Zoon",Q266="Dochter"),R266,OR(S266="Persoonlijk",S266="Zoon",S266="Dochter"),T266,O266="Vader",P266,Q266="Vader",R266,S266="Vader",T266,O266="Moeder",P266,Q266="Moeder",R266,S266="Moeder",T266,TRUE,IF(P266&lt;&gt;"",P266,IF(R266&lt;&gt;"",R266,IF(T266&lt;&gt;"",T266,""))))</f>
        <v>wesleydewaele@yahoo.co.uk</v>
      </c>
      <c r="AN266" t="str" cm="1">
        <f t="array" ref="AN266">_xlfn.LET(_xlpm.raw,_xlfn.IFS(OR(U266="Persoonlijk",U266="Zoon",U266="Dochter"),V266,OR(W266="Persoonlijk",W266="Zoon",W266="Dochter"),X266,OR(Y266="Persoonlijk",Y266="Zoon",Y266="Dochter"),Z266,U266="Vader",V266,W266="Vader",X266,Y266="Vader",Z266,U266="Moeder",V266,W266="Moeder",X266,Y266="Moeder",Z266,TRUE,IF(V266&lt;&gt;"",V266,IF(X266&lt;&gt;"",X266,IF(Z266&lt;&gt;"",Z266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+32470540240</v>
      </c>
    </row>
    <row r="267" spans="1:40" x14ac:dyDescent="0.3">
      <c r="A267">
        <v>2182816</v>
      </c>
      <c r="B267" t="s">
        <v>1095</v>
      </c>
      <c r="C267" t="s">
        <v>1105</v>
      </c>
      <c r="D267" t="s">
        <v>39</v>
      </c>
      <c r="E267" t="s">
        <v>40</v>
      </c>
      <c r="F267" t="s">
        <v>1106</v>
      </c>
      <c r="G267" t="s">
        <v>778</v>
      </c>
      <c r="H267">
        <v>47</v>
      </c>
      <c r="Q267" t="s">
        <v>51</v>
      </c>
      <c r="R267" t="s">
        <v>1107</v>
      </c>
      <c r="V267">
        <v>478347087</v>
      </c>
      <c r="W267" t="s">
        <v>51</v>
      </c>
      <c r="X267">
        <v>32470540240</v>
      </c>
      <c r="AE267" t="s">
        <v>1108</v>
      </c>
      <c r="AF267">
        <v>1002182816</v>
      </c>
      <c r="AG267">
        <v>718781</v>
      </c>
      <c r="AJ267" t="s">
        <v>63</v>
      </c>
      <c r="AK267" t="s">
        <v>61</v>
      </c>
      <c r="AM267" t="str" cm="1">
        <f t="array" ref="AM267">_xlfn.IFS(OR(O267="Persoonlijk",O267="Zoon",O267="Dochter"),P267,OR(Q267="Persoonlijk",Q267="Zoon",Q267="Dochter"),R267,OR(S267="Persoonlijk",S267="Zoon",S267="Dochter"),T267,O267="Vader",P267,Q267="Vader",R267,S267="Vader",T267,O267="Moeder",P267,Q267="Moeder",R267,S267="Moeder",T267,TRUE,IF(P267&lt;&gt;"",P267,IF(R267&lt;&gt;"",R267,IF(T267&lt;&gt;"",T267,""))))</f>
        <v>wesleydewaele@yahoo.co.uk</v>
      </c>
      <c r="AN267" t="str" cm="1">
        <f t="array" ref="AN267">_xlfn.LET(_xlpm.raw,_xlfn.IFS(OR(U267="Persoonlijk",U267="Zoon",U267="Dochter"),V267,OR(W267="Persoonlijk",W267="Zoon",W267="Dochter"),X267,OR(Y267="Persoonlijk",Y267="Zoon",Y267="Dochter"),Z267,U267="Vader",V267,W267="Vader",X267,Y267="Vader",Z267,U267="Moeder",V267,W267="Moeder",X267,Y267="Moeder",Z267,TRUE,IF(V267&lt;&gt;"",V267,IF(X267&lt;&gt;"",X267,IF(Z267&lt;&gt;"",Z267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+32470540240</v>
      </c>
    </row>
    <row r="268" spans="1:40" x14ac:dyDescent="0.3">
      <c r="A268">
        <v>11244594</v>
      </c>
      <c r="B268" t="s">
        <v>1095</v>
      </c>
      <c r="C268" t="s">
        <v>1109</v>
      </c>
      <c r="D268" t="s">
        <v>39</v>
      </c>
      <c r="E268" t="s">
        <v>40</v>
      </c>
      <c r="F268" t="s">
        <v>1110</v>
      </c>
      <c r="G268" t="s">
        <v>778</v>
      </c>
      <c r="H268">
        <v>47</v>
      </c>
      <c r="V268" t="s">
        <v>1111</v>
      </c>
      <c r="AC268" t="s">
        <v>1112</v>
      </c>
      <c r="AF268">
        <v>1011244594</v>
      </c>
      <c r="AG268">
        <v>758055</v>
      </c>
      <c r="AM268" t="str" cm="1">
        <f t="array" ref="AM268">_xlfn.IFS(OR(O268="Persoonlijk",O268="Zoon",O268="Dochter"),P268,OR(Q268="Persoonlijk",Q268="Zoon",Q268="Dochter"),R268,OR(S268="Persoonlijk",S268="Zoon",S268="Dochter"),T268,O268="Vader",P268,Q268="Vader",R268,S268="Vader",T268,O268="Moeder",P268,Q268="Moeder",R268,S268="Moeder",T268,TRUE,IF(P268&lt;&gt;"",P268,IF(R268&lt;&gt;"",R268,IF(T268&lt;&gt;"",T268,""))))</f>
        <v/>
      </c>
      <c r="AN268" t="str" cm="1">
        <f t="array" ref="AN268">_xlfn.LET(_xlpm.raw,_xlfn.IFS(OR(U268="Persoonlijk",U268="Zoon",U268="Dochter"),V268,OR(W268="Persoonlijk",W268="Zoon",W268="Dochter"),X268,OR(Y268="Persoonlijk",Y268="Zoon",Y268="Dochter"),Z268,U268="Vader",V268,W268="Vader",X268,Y268="Vader",Z268,U268="Moeder",V268,W268="Moeder",X268,Y268="Moeder",Z268,TRUE,IF(V268&lt;&gt;"",V268,IF(X268&lt;&gt;"",X268,IF(Z268&lt;&gt;"",Z268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+32470540240</v>
      </c>
    </row>
    <row r="269" spans="1:40" x14ac:dyDescent="0.3">
      <c r="A269">
        <v>2182821</v>
      </c>
      <c r="B269" t="s">
        <v>1113</v>
      </c>
      <c r="C269" t="s">
        <v>1114</v>
      </c>
      <c r="D269" t="s">
        <v>39</v>
      </c>
      <c r="E269" t="s">
        <v>49</v>
      </c>
      <c r="F269" t="s">
        <v>1115</v>
      </c>
      <c r="G269" t="s">
        <v>1116</v>
      </c>
      <c r="H269">
        <v>47</v>
      </c>
      <c r="AF269">
        <v>1002182821</v>
      </c>
      <c r="AM269" t="str" cm="1">
        <f t="array" ref="AM269">_xlfn.IFS(OR(O269="Persoonlijk",O269="Zoon",O269="Dochter"),P269,OR(Q269="Persoonlijk",Q269="Zoon",Q269="Dochter"),R269,OR(S269="Persoonlijk",S269="Zoon",S269="Dochter"),T269,O269="Vader",P269,Q269="Vader",R269,S269="Vader",T269,O269="Moeder",P269,Q269="Moeder",R269,S269="Moeder",T269,TRUE,IF(P269&lt;&gt;"",P269,IF(R269&lt;&gt;"",R269,IF(T269&lt;&gt;"",T269,""))))</f>
        <v/>
      </c>
      <c r="AN269" t="str" cm="1">
        <f t="array" ref="AN269">_xlfn.LET(_xlpm.raw,_xlfn.IFS(OR(U269="Persoonlijk",U269="Zoon",U269="Dochter"),V269,OR(W269="Persoonlijk",W269="Zoon",W269="Dochter"),X269,OR(Y269="Persoonlijk",Y269="Zoon",Y269="Dochter"),Z269,U269="Vader",V269,W269="Vader",X269,Y269="Vader",Z269,U269="Moeder",V269,W269="Moeder",X269,Y269="Moeder",Z269,TRUE,IF(V269&lt;&gt;"",V269,IF(X269&lt;&gt;"",X269,IF(Z269&lt;&gt;"",Z269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70" spans="1:40" x14ac:dyDescent="0.3">
      <c r="A270">
        <v>8620057</v>
      </c>
      <c r="B270" t="s">
        <v>1117</v>
      </c>
      <c r="C270" t="s">
        <v>481</v>
      </c>
      <c r="D270" t="s">
        <v>39</v>
      </c>
      <c r="E270" t="s">
        <v>40</v>
      </c>
      <c r="F270" t="s">
        <v>1118</v>
      </c>
      <c r="G270" t="s">
        <v>238</v>
      </c>
      <c r="H270">
        <v>59</v>
      </c>
      <c r="Q270" t="s">
        <v>51</v>
      </c>
      <c r="R270" t="s">
        <v>1119</v>
      </c>
      <c r="U270" t="s">
        <v>53</v>
      </c>
      <c r="V270" t="s">
        <v>1120</v>
      </c>
      <c r="W270" t="s">
        <v>51</v>
      </c>
      <c r="X270" t="s">
        <v>1121</v>
      </c>
      <c r="AF270">
        <v>1008620057</v>
      </c>
      <c r="AJ270" t="s">
        <v>75</v>
      </c>
      <c r="AK270" t="s">
        <v>61</v>
      </c>
      <c r="AM270" t="str" cm="1">
        <f t="array" ref="AM270">_xlfn.IFS(OR(O270="Persoonlijk",O270="Zoon",O270="Dochter"),P270,OR(Q270="Persoonlijk",Q270="Zoon",Q270="Dochter"),R270,OR(S270="Persoonlijk",S270="Zoon",S270="Dochter"),T270,O270="Vader",P270,Q270="Vader",R270,S270="Vader",T270,O270="Moeder",P270,Q270="Moeder",R270,S270="Moeder",T270,TRUE,IF(P270&lt;&gt;"",P270,IF(R270&lt;&gt;"",R270,IF(T270&lt;&gt;"",T270,""))))</f>
        <v>niekdewilde@hotmail.be</v>
      </c>
      <c r="AN270" t="str" cm="1">
        <f t="array" ref="AN270">_xlfn.LET(_xlpm.raw,_xlfn.IFS(OR(U270="Persoonlijk",U270="Zoon",U270="Dochter"),V270,OR(W270="Persoonlijk",W270="Zoon",W270="Dochter"),X270,OR(Y270="Persoonlijk",Y270="Zoon",Y270="Dochter"),Z270,U270="Vader",V270,W270="Vader",X270,Y270="Vader",Z270,U270="Moeder",V270,W270="Moeder",X270,Y270="Moeder",Z270,TRUE,IF(V270&lt;&gt;"",V270,IF(X270&lt;&gt;"",X270,IF(Z270&lt;&gt;"",Z270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+32474562569</v>
      </c>
    </row>
    <row r="271" spans="1:40" x14ac:dyDescent="0.3">
      <c r="A271">
        <v>8620057</v>
      </c>
      <c r="B271" t="s">
        <v>1117</v>
      </c>
      <c r="C271" t="s">
        <v>481</v>
      </c>
      <c r="D271" t="s">
        <v>39</v>
      </c>
      <c r="E271" t="s">
        <v>40</v>
      </c>
      <c r="F271" t="s">
        <v>1118</v>
      </c>
      <c r="G271" t="s">
        <v>238</v>
      </c>
      <c r="H271">
        <v>59</v>
      </c>
      <c r="Q271" t="s">
        <v>51</v>
      </c>
      <c r="R271" t="s">
        <v>1119</v>
      </c>
      <c r="U271" t="s">
        <v>53</v>
      </c>
      <c r="V271" t="s">
        <v>1120</v>
      </c>
      <c r="W271" t="s">
        <v>51</v>
      </c>
      <c r="X271" t="s">
        <v>1121</v>
      </c>
      <c r="AF271">
        <v>1008620057</v>
      </c>
      <c r="AJ271" t="s">
        <v>63</v>
      </c>
      <c r="AK271" t="s">
        <v>61</v>
      </c>
      <c r="AM271" t="str" cm="1">
        <f t="array" ref="AM271">_xlfn.IFS(OR(O271="Persoonlijk",O271="Zoon",O271="Dochter"),P271,OR(Q271="Persoonlijk",Q271="Zoon",Q271="Dochter"),R271,OR(S271="Persoonlijk",S271="Zoon",S271="Dochter"),T271,O271="Vader",P271,Q271="Vader",R271,S271="Vader",T271,O271="Moeder",P271,Q271="Moeder",R271,S271="Moeder",T271,TRUE,IF(P271&lt;&gt;"",P271,IF(R271&lt;&gt;"",R271,IF(T271&lt;&gt;"",T271,""))))</f>
        <v>niekdewilde@hotmail.be</v>
      </c>
      <c r="AN271" t="str" cm="1">
        <f t="array" ref="AN271">_xlfn.LET(_xlpm.raw,_xlfn.IFS(OR(U271="Persoonlijk",U271="Zoon",U271="Dochter"),V271,OR(W271="Persoonlijk",W271="Zoon",W271="Dochter"),X271,OR(Y271="Persoonlijk",Y271="Zoon",Y271="Dochter"),Z271,U271="Vader",V271,W271="Vader",X271,Y271="Vader",Z271,U271="Moeder",V271,W271="Moeder",X271,Y271="Moeder",Z271,TRUE,IF(V271&lt;&gt;"",V271,IF(X271&lt;&gt;"",X271,IF(Z271&lt;&gt;"",Z271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+32474562569</v>
      </c>
    </row>
    <row r="272" spans="1:40" x14ac:dyDescent="0.3">
      <c r="A272">
        <v>6106680</v>
      </c>
      <c r="B272" t="s">
        <v>1122</v>
      </c>
      <c r="C272" t="s">
        <v>1123</v>
      </c>
      <c r="D272" t="s">
        <v>39</v>
      </c>
      <c r="E272" t="s">
        <v>49</v>
      </c>
      <c r="F272" t="s">
        <v>1124</v>
      </c>
      <c r="Q272" t="s">
        <v>53</v>
      </c>
      <c r="R272" t="s">
        <v>1125</v>
      </c>
      <c r="U272" t="s">
        <v>51</v>
      </c>
      <c r="V272" t="s">
        <v>1126</v>
      </c>
      <c r="AF272">
        <v>1006106680</v>
      </c>
      <c r="AM272" t="str" cm="1">
        <f t="array" ref="AM272">_xlfn.IFS(OR(O272="Persoonlijk",O272="Zoon",O272="Dochter"),P272,OR(Q272="Persoonlijk",Q272="Zoon",Q272="Dochter"),R272,OR(S272="Persoonlijk",S272="Zoon",S272="Dochter"),T272,O272="Vader",P272,Q272="Vader",R272,S272="Vader",T272,O272="Moeder",P272,Q272="Moeder",R272,S272="Moeder",T272,TRUE,IF(P272&lt;&gt;"",P272,IF(R272&lt;&gt;"",R272,IF(T272&lt;&gt;"",T272,""))))</f>
        <v>kelly.wood@hotmail.be</v>
      </c>
      <c r="AN272" t="str" cm="1">
        <f t="array" ref="AN272">_xlfn.LET(_xlpm.raw,_xlfn.IFS(OR(U272="Persoonlijk",U272="Zoon",U272="Dochter"),V272,OR(W272="Persoonlijk",W272="Zoon",W272="Dochter"),X272,OR(Y272="Persoonlijk",Y272="Zoon",Y272="Dochter"),Z272,U272="Vader",V272,W272="Vader",X272,Y272="Vader",Z272,U272="Moeder",V272,W272="Moeder",X272,Y272="Moeder",Z272,TRUE,IF(V272&lt;&gt;"",V272,IF(X272&lt;&gt;"",X272,IF(Z272&lt;&gt;"",Z272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+32478720771</v>
      </c>
    </row>
    <row r="273" spans="1:40" x14ac:dyDescent="0.3">
      <c r="A273">
        <v>8620049</v>
      </c>
      <c r="B273" t="s">
        <v>1127</v>
      </c>
      <c r="C273" t="s">
        <v>1128</v>
      </c>
      <c r="D273" t="s">
        <v>39</v>
      </c>
      <c r="E273" t="s">
        <v>40</v>
      </c>
      <c r="F273" t="s">
        <v>1129</v>
      </c>
      <c r="U273" t="s">
        <v>53</v>
      </c>
      <c r="V273" t="s">
        <v>1130</v>
      </c>
      <c r="AF273">
        <v>1008620049</v>
      </c>
      <c r="AM273" t="str" cm="1">
        <f t="array" ref="AM273">_xlfn.IFS(OR(O273="Persoonlijk",O273="Zoon",O273="Dochter"),P273,OR(Q273="Persoonlijk",Q273="Zoon",Q273="Dochter"),R273,OR(S273="Persoonlijk",S273="Zoon",S273="Dochter"),T273,O273="Vader",P273,Q273="Vader",R273,S273="Vader",T273,O273="Moeder",P273,Q273="Moeder",R273,S273="Moeder",T273,TRUE,IF(P273&lt;&gt;"",P273,IF(R273&lt;&gt;"",R273,IF(T273&lt;&gt;"",T273,""))))</f>
        <v/>
      </c>
      <c r="AN273" t="str" cm="1">
        <f t="array" ref="AN273">_xlfn.LET(_xlpm.raw,_xlfn.IFS(OR(U273="Persoonlijk",U273="Zoon",U273="Dochter"),V273,OR(W273="Persoonlijk",W273="Zoon",W273="Dochter"),X273,OR(Y273="Persoonlijk",Y273="Zoon",Y273="Dochter"),Z273,U273="Vader",V273,W273="Vader",X273,Y273="Vader",Z273,U273="Moeder",V273,W273="Moeder",X273,Y273="Moeder",Z273,TRUE,IF(V273&lt;&gt;"",V273,IF(X273&lt;&gt;"",X273,IF(Z273&lt;&gt;"",Z273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+32474743487</v>
      </c>
    </row>
    <row r="274" spans="1:40" x14ac:dyDescent="0.3">
      <c r="A274">
        <v>7790378</v>
      </c>
      <c r="B274" t="s">
        <v>1131</v>
      </c>
      <c r="C274" t="s">
        <v>1132</v>
      </c>
      <c r="D274" t="s">
        <v>39</v>
      </c>
      <c r="E274" t="s">
        <v>40</v>
      </c>
      <c r="F274" t="s">
        <v>1133</v>
      </c>
      <c r="G274" t="s">
        <v>114</v>
      </c>
      <c r="H274">
        <v>68</v>
      </c>
      <c r="Q274" t="s">
        <v>53</v>
      </c>
      <c r="R274" t="s">
        <v>1134</v>
      </c>
      <c r="V274" t="s">
        <v>1135</v>
      </c>
      <c r="AF274">
        <v>1007790378</v>
      </c>
      <c r="AM274" t="str" cm="1">
        <f t="array" ref="AM274">_xlfn.IFS(OR(O274="Persoonlijk",O274="Zoon",O274="Dochter"),P274,OR(Q274="Persoonlijk",Q274="Zoon",Q274="Dochter"),R274,OR(S274="Persoonlijk",S274="Zoon",S274="Dochter"),T274,O274="Vader",P274,Q274="Vader",R274,S274="Vader",T274,O274="Moeder",P274,Q274="Moeder",R274,S274="Moeder",T274,TRUE,IF(P274&lt;&gt;"",P274,IF(R274&lt;&gt;"",R274,IF(T274&lt;&gt;"",T274,""))))</f>
        <v>eline.huysman@gmail.com</v>
      </c>
      <c r="AN274" t="str" cm="1">
        <f t="array" ref="AN274">_xlfn.LET(_xlpm.raw,_xlfn.IFS(OR(U274="Persoonlijk",U274="Zoon",U274="Dochter"),V274,OR(W274="Persoonlijk",W274="Zoon",W274="Dochter"),X274,OR(Y274="Persoonlijk",Y274="Zoon",Y274="Dochter"),Z274,U274="Vader",V274,W274="Vader",X274,Y274="Vader",Z274,U274="Moeder",V274,W274="Moeder",X274,Y274="Moeder",Z274,TRUE,IF(V274&lt;&gt;"",V274,IF(X274&lt;&gt;"",X274,IF(Z274&lt;&gt;"",Z274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+32474684572</v>
      </c>
    </row>
    <row r="275" spans="1:40" x14ac:dyDescent="0.3">
      <c r="A275">
        <v>2182826</v>
      </c>
      <c r="B275" t="s">
        <v>1136</v>
      </c>
      <c r="C275" t="s">
        <v>1137</v>
      </c>
      <c r="D275" t="s">
        <v>39</v>
      </c>
      <c r="E275" t="s">
        <v>40</v>
      </c>
      <c r="F275" t="s">
        <v>1138</v>
      </c>
      <c r="G275" t="s">
        <v>290</v>
      </c>
      <c r="H275">
        <v>59</v>
      </c>
      <c r="R275" t="s">
        <v>1140</v>
      </c>
      <c r="T275" t="s">
        <v>1141</v>
      </c>
      <c r="V275">
        <v>320468292174</v>
      </c>
      <c r="AC275" t="s">
        <v>1142</v>
      </c>
      <c r="AF275">
        <v>1002182826</v>
      </c>
      <c r="AG275">
        <v>658022</v>
      </c>
      <c r="AJ275" t="s">
        <v>483</v>
      </c>
      <c r="AK275" t="s">
        <v>61</v>
      </c>
      <c r="AM275" t="str" cm="1">
        <f t="array" ref="AM275">_xlfn.IFS(OR(O275="Persoonlijk",O275="Zoon",O275="Dochter"),P275,OR(Q275="Persoonlijk",Q275="Zoon",Q275="Dochter"),R275,OR(S275="Persoonlijk",S275="Zoon",S275="Dochter"),T275,O275="Vader",P275,Q275="Vader",R275,S275="Vader",T275,O275="Moeder",P275,Q275="Moeder",R275,S275="Moeder",T275,TRUE,IF(P275&lt;&gt;"",P275,IF(R275&lt;&gt;"",R275,IF(T275&lt;&gt;"",T275,""))))</f>
        <v>dhont.lieven1@gmail.com</v>
      </c>
      <c r="AN275" t="str" cm="1">
        <f t="array" ref="AN275">_xlfn.LET(_xlpm.raw,_xlfn.IFS(OR(U275="Persoonlijk",U275="Zoon",U275="Dochter"),V275,OR(W275="Persoonlijk",W275="Zoon",W275="Dochter"),X275,OR(Y275="Persoonlijk",Y275="Zoon",Y275="Dochter"),Z275,U275="Vader",V275,W275="Vader",X275,Y275="Vader",Z275,U275="Moeder",V275,W275="Moeder",X275,Y275="Moeder",Z275,TRUE,IF(V275&lt;&gt;"",V275,IF(X275&lt;&gt;"",X275,IF(Z275&lt;&gt;"",Z275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+32468292174</v>
      </c>
    </row>
    <row r="276" spans="1:40" x14ac:dyDescent="0.3">
      <c r="A276">
        <v>2182831</v>
      </c>
      <c r="B276" t="s">
        <v>1136</v>
      </c>
      <c r="C276" t="s">
        <v>1143</v>
      </c>
      <c r="D276" t="s">
        <v>39</v>
      </c>
      <c r="E276" t="s">
        <v>40</v>
      </c>
      <c r="F276" t="s">
        <v>1144</v>
      </c>
      <c r="G276" t="s">
        <v>944</v>
      </c>
      <c r="H276">
        <v>42</v>
      </c>
      <c r="U276" t="s">
        <v>46</v>
      </c>
      <c r="V276" t="s">
        <v>1145</v>
      </c>
      <c r="AB276" t="s">
        <v>1146</v>
      </c>
      <c r="AC276" t="s">
        <v>1147</v>
      </c>
      <c r="AF276">
        <v>1002182831</v>
      </c>
      <c r="AG276">
        <v>50455</v>
      </c>
      <c r="AJ276" t="s">
        <v>63</v>
      </c>
      <c r="AK276" t="s">
        <v>65</v>
      </c>
      <c r="AL276" t="s">
        <v>620</v>
      </c>
      <c r="AM276" t="str" cm="1">
        <f t="array" ref="AM276">_xlfn.IFS(OR(O276="Persoonlijk",O276="Zoon",O276="Dochter"),P276,OR(Q276="Persoonlijk",Q276="Zoon",Q276="Dochter"),R276,OR(S276="Persoonlijk",S276="Zoon",S276="Dochter"),T276,O276="Vader",P276,Q276="Vader",R276,S276="Vader",T276,O276="Moeder",P276,Q276="Moeder",R276,S276="Moeder",T276,TRUE,IF(P276&lt;&gt;"",P276,IF(R276&lt;&gt;"",R276,IF(T276&lt;&gt;"",T276,""))))</f>
        <v/>
      </c>
      <c r="AN276" t="str" cm="1">
        <f t="array" ref="AN276">_xlfn.LET(_xlpm.raw,_xlfn.IFS(OR(U276="Persoonlijk",U276="Zoon",U276="Dochter"),V276,OR(W276="Persoonlijk",W276="Zoon",W276="Dochter"),X276,OR(Y276="Persoonlijk",Y276="Zoon",Y276="Dochter"),Z276,U276="Vader",V276,W276="Vader",X276,Y276="Vader",Z276,U276="Moeder",V276,W276="Moeder",X276,Y276="Moeder",Z276,TRUE,IF(V276&lt;&gt;"",V276,IF(X276&lt;&gt;"",X276,IF(Z276&lt;&gt;"",Z276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+32477485789</v>
      </c>
    </row>
    <row r="277" spans="1:40" x14ac:dyDescent="0.3">
      <c r="A277">
        <v>2182831</v>
      </c>
      <c r="B277" t="s">
        <v>1136</v>
      </c>
      <c r="C277" t="s">
        <v>1143</v>
      </c>
      <c r="D277" t="s">
        <v>39</v>
      </c>
      <c r="E277" t="s">
        <v>40</v>
      </c>
      <c r="F277" t="s">
        <v>1144</v>
      </c>
      <c r="G277" t="s">
        <v>944</v>
      </c>
      <c r="H277">
        <v>42</v>
      </c>
      <c r="U277" t="s">
        <v>46</v>
      </c>
      <c r="V277" t="s">
        <v>1145</v>
      </c>
      <c r="AB277" t="s">
        <v>1146</v>
      </c>
      <c r="AC277" t="s">
        <v>1147</v>
      </c>
      <c r="AF277">
        <v>1002182831</v>
      </c>
      <c r="AG277">
        <v>50455</v>
      </c>
      <c r="AJ277" t="s">
        <v>295</v>
      </c>
      <c r="AK277" t="s">
        <v>65</v>
      </c>
      <c r="AM277" t="str" cm="1">
        <f t="array" ref="AM277">_xlfn.IFS(OR(O277="Persoonlijk",O277="Zoon",O277="Dochter"),P277,OR(Q277="Persoonlijk",Q277="Zoon",Q277="Dochter"),R277,OR(S277="Persoonlijk",S277="Zoon",S277="Dochter"),T277,O277="Vader",P277,Q277="Vader",R277,S277="Vader",T277,O277="Moeder",P277,Q277="Moeder",R277,S277="Moeder",T277,TRUE,IF(P277&lt;&gt;"",P277,IF(R277&lt;&gt;"",R277,IF(T277&lt;&gt;"",T277,""))))</f>
        <v/>
      </c>
      <c r="AN277" t="str" cm="1">
        <f t="array" ref="AN277">_xlfn.LET(_xlpm.raw,_xlfn.IFS(OR(U277="Persoonlijk",U277="Zoon",U277="Dochter"),V277,OR(W277="Persoonlijk",W277="Zoon",W277="Dochter"),X277,OR(Y277="Persoonlijk",Y277="Zoon",Y277="Dochter"),Z277,U277="Vader",V277,W277="Vader",X277,Y277="Vader",Z277,U277="Moeder",V277,W277="Moeder",X277,Y277="Moeder",Z277,TRUE,IF(V277&lt;&gt;"",V277,IF(X277&lt;&gt;"",X277,IF(Z277&lt;&gt;"",Z277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+32477485789</v>
      </c>
    </row>
    <row r="278" spans="1:40" x14ac:dyDescent="0.3">
      <c r="A278">
        <v>2182831</v>
      </c>
      <c r="B278" t="s">
        <v>1136</v>
      </c>
      <c r="C278" t="s">
        <v>1143</v>
      </c>
      <c r="D278" t="s">
        <v>39</v>
      </c>
      <c r="E278" t="s">
        <v>40</v>
      </c>
      <c r="F278" t="s">
        <v>1144</v>
      </c>
      <c r="G278" t="s">
        <v>944</v>
      </c>
      <c r="H278">
        <v>42</v>
      </c>
      <c r="U278" t="s">
        <v>46</v>
      </c>
      <c r="V278" t="s">
        <v>1145</v>
      </c>
      <c r="AB278" t="s">
        <v>1146</v>
      </c>
      <c r="AC278" t="s">
        <v>1147</v>
      </c>
      <c r="AF278">
        <v>1002182831</v>
      </c>
      <c r="AG278">
        <v>50455</v>
      </c>
      <c r="AJ278" t="s">
        <v>87</v>
      </c>
      <c r="AK278" t="s">
        <v>65</v>
      </c>
      <c r="AM278" t="str" cm="1">
        <f t="array" ref="AM278">_xlfn.IFS(OR(O278="Persoonlijk",O278="Zoon",O278="Dochter"),P278,OR(Q278="Persoonlijk",Q278="Zoon",Q278="Dochter"),R278,OR(S278="Persoonlijk",S278="Zoon",S278="Dochter"),T278,O278="Vader",P278,Q278="Vader",R278,S278="Vader",T278,O278="Moeder",P278,Q278="Moeder",R278,S278="Moeder",T278,TRUE,IF(P278&lt;&gt;"",P278,IF(R278&lt;&gt;"",R278,IF(T278&lt;&gt;"",T278,""))))</f>
        <v/>
      </c>
      <c r="AN278" t="str" cm="1">
        <f t="array" ref="AN278">_xlfn.LET(_xlpm.raw,_xlfn.IFS(OR(U278="Persoonlijk",U278="Zoon",U278="Dochter"),V278,OR(W278="Persoonlijk",W278="Zoon",W278="Dochter"),X278,OR(Y278="Persoonlijk",Y278="Zoon",Y278="Dochter"),Z278,U278="Vader",V278,W278="Vader",X278,Y278="Vader",Z278,U278="Moeder",V278,W278="Moeder",X278,Y278="Moeder",Z278,TRUE,IF(V278&lt;&gt;"",V278,IF(X278&lt;&gt;"",X278,IF(Z278&lt;&gt;"",Z278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+32477485789</v>
      </c>
    </row>
    <row r="279" spans="1:40" x14ac:dyDescent="0.3">
      <c r="A279">
        <v>2182831</v>
      </c>
      <c r="B279" t="s">
        <v>1136</v>
      </c>
      <c r="C279" t="s">
        <v>1143</v>
      </c>
      <c r="D279" t="s">
        <v>39</v>
      </c>
      <c r="E279" t="s">
        <v>40</v>
      </c>
      <c r="F279" t="s">
        <v>1144</v>
      </c>
      <c r="G279" t="s">
        <v>944</v>
      </c>
      <c r="H279">
        <v>42</v>
      </c>
      <c r="U279" t="s">
        <v>46</v>
      </c>
      <c r="V279" t="s">
        <v>1145</v>
      </c>
      <c r="AB279" t="s">
        <v>1146</v>
      </c>
      <c r="AC279" t="s">
        <v>1147</v>
      </c>
      <c r="AF279">
        <v>1002182831</v>
      </c>
      <c r="AG279">
        <v>50455</v>
      </c>
      <c r="AJ279" t="s">
        <v>323</v>
      </c>
      <c r="AK279" t="s">
        <v>65</v>
      </c>
      <c r="AM279" t="str" cm="1">
        <f t="array" ref="AM279">_xlfn.IFS(OR(O279="Persoonlijk",O279="Zoon",O279="Dochter"),P279,OR(Q279="Persoonlijk",Q279="Zoon",Q279="Dochter"),R279,OR(S279="Persoonlijk",S279="Zoon",S279="Dochter"),T279,O279="Vader",P279,Q279="Vader",R279,S279="Vader",T279,O279="Moeder",P279,Q279="Moeder",R279,S279="Moeder",T279,TRUE,IF(P279&lt;&gt;"",P279,IF(R279&lt;&gt;"",R279,IF(T279&lt;&gt;"",T279,""))))</f>
        <v/>
      </c>
      <c r="AN279" t="str" cm="1">
        <f t="array" ref="AN279">_xlfn.LET(_xlpm.raw,_xlfn.IFS(OR(U279="Persoonlijk",U279="Zoon",U279="Dochter"),V279,OR(W279="Persoonlijk",W279="Zoon",W279="Dochter"),X279,OR(Y279="Persoonlijk",Y279="Zoon",Y279="Dochter"),Z279,U279="Vader",V279,W279="Vader",X279,Y279="Vader",Z279,U279="Moeder",V279,W279="Moeder",X279,Y279="Moeder",Z279,TRUE,IF(V279&lt;&gt;"",V279,IF(X279&lt;&gt;"",X279,IF(Z279&lt;&gt;"",Z279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+32477485789</v>
      </c>
    </row>
    <row r="280" spans="1:40" x14ac:dyDescent="0.3">
      <c r="A280">
        <v>2182831</v>
      </c>
      <c r="B280" t="s">
        <v>1136</v>
      </c>
      <c r="C280" t="s">
        <v>1143</v>
      </c>
      <c r="D280" t="s">
        <v>39</v>
      </c>
      <c r="E280" t="s">
        <v>40</v>
      </c>
      <c r="F280" t="s">
        <v>1144</v>
      </c>
      <c r="G280" t="s">
        <v>944</v>
      </c>
      <c r="H280">
        <v>42</v>
      </c>
      <c r="U280" t="s">
        <v>46</v>
      </c>
      <c r="V280" t="s">
        <v>1145</v>
      </c>
      <c r="AB280" t="s">
        <v>1146</v>
      </c>
      <c r="AC280" t="s">
        <v>1147</v>
      </c>
      <c r="AF280">
        <v>1002182831</v>
      </c>
      <c r="AG280">
        <v>50455</v>
      </c>
      <c r="AJ280" t="s">
        <v>104</v>
      </c>
      <c r="AK280" t="s">
        <v>65</v>
      </c>
      <c r="AM280" t="str" cm="1">
        <f t="array" ref="AM280">_xlfn.IFS(OR(O280="Persoonlijk",O280="Zoon",O280="Dochter"),P280,OR(Q280="Persoonlijk",Q280="Zoon",Q280="Dochter"),R280,OR(S280="Persoonlijk",S280="Zoon",S280="Dochter"),T280,O280="Vader",P280,Q280="Vader",R280,S280="Vader",T280,O280="Moeder",P280,Q280="Moeder",R280,S280="Moeder",T280,TRUE,IF(P280&lt;&gt;"",P280,IF(R280&lt;&gt;"",R280,IF(T280&lt;&gt;"",T280,""))))</f>
        <v/>
      </c>
      <c r="AN280" t="str" cm="1">
        <f t="array" ref="AN280">_xlfn.LET(_xlpm.raw,_xlfn.IFS(OR(U280="Persoonlijk",U280="Zoon",U280="Dochter"),V280,OR(W280="Persoonlijk",W280="Zoon",W280="Dochter"),X280,OR(Y280="Persoonlijk",Y280="Zoon",Y280="Dochter"),Z280,U280="Vader",V280,W280="Vader",X280,Y280="Vader",Z280,U280="Moeder",V280,W280="Moeder",X280,Y280="Moeder",Z280,TRUE,IF(V280&lt;&gt;"",V280,IF(X280&lt;&gt;"",X280,IF(Z280&lt;&gt;"",Z280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+32477485789</v>
      </c>
    </row>
    <row r="281" spans="1:40" x14ac:dyDescent="0.3">
      <c r="A281">
        <v>2182836</v>
      </c>
      <c r="B281" t="s">
        <v>1136</v>
      </c>
      <c r="C281" t="s">
        <v>641</v>
      </c>
      <c r="D281" t="s">
        <v>39</v>
      </c>
      <c r="E281" t="s">
        <v>40</v>
      </c>
      <c r="F281" t="s">
        <v>1148</v>
      </c>
      <c r="G281" t="s">
        <v>290</v>
      </c>
      <c r="H281">
        <v>59</v>
      </c>
      <c r="AF281">
        <v>1002182836</v>
      </c>
      <c r="AG281">
        <v>702229</v>
      </c>
      <c r="AM281" t="str" cm="1">
        <f t="array" ref="AM281">_xlfn.IFS(OR(O281="Persoonlijk",O281="Zoon",O281="Dochter"),P281,OR(Q281="Persoonlijk",Q281="Zoon",Q281="Dochter"),R281,OR(S281="Persoonlijk",S281="Zoon",S281="Dochter"),T281,O281="Vader",P281,Q281="Vader",R281,S281="Vader",T281,O281="Moeder",P281,Q281="Moeder",R281,S281="Moeder",T281,TRUE,IF(P281&lt;&gt;"",P281,IF(R281&lt;&gt;"",R281,IF(T281&lt;&gt;"",T281,""))))</f>
        <v/>
      </c>
      <c r="AN281" t="str" cm="1">
        <f t="array" ref="AN281">_xlfn.LET(_xlpm.raw,_xlfn.IFS(OR(U281="Persoonlijk",U281="Zoon",U281="Dochter"),V281,OR(W281="Persoonlijk",W281="Zoon",W281="Dochter"),X281,OR(Y281="Persoonlijk",Y281="Zoon",Y281="Dochter"),Z281,U281="Vader",V281,W281="Vader",X281,Y281="Vader",Z281,U281="Moeder",V281,W281="Moeder",X281,Y281="Moeder",Z281,TRUE,IF(V281&lt;&gt;"",V281,IF(X281&lt;&gt;"",X281,IF(Z281&lt;&gt;"",Z281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82" spans="1:40" x14ac:dyDescent="0.3">
      <c r="A282">
        <v>2182841</v>
      </c>
      <c r="B282" t="s">
        <v>1136</v>
      </c>
      <c r="C282" t="s">
        <v>558</v>
      </c>
      <c r="D282" t="s">
        <v>39</v>
      </c>
      <c r="E282" t="s">
        <v>40</v>
      </c>
      <c r="F282" t="s">
        <v>1138</v>
      </c>
      <c r="G282" t="s">
        <v>290</v>
      </c>
      <c r="H282">
        <v>59</v>
      </c>
      <c r="AA282">
        <v>320468250844</v>
      </c>
      <c r="AC282" t="s">
        <v>1149</v>
      </c>
      <c r="AD282">
        <v>4</v>
      </c>
      <c r="AF282">
        <v>1002182841</v>
      </c>
      <c r="AG282">
        <v>660481</v>
      </c>
      <c r="AJ282" t="s">
        <v>483</v>
      </c>
      <c r="AK282" t="s">
        <v>61</v>
      </c>
      <c r="AM282" t="str" cm="1">
        <f t="array" ref="AM282">_xlfn.IFS(OR(O282="Persoonlijk",O282="Zoon",O282="Dochter"),P282,OR(Q282="Persoonlijk",Q282="Zoon",Q282="Dochter"),R282,OR(S282="Persoonlijk",S282="Zoon",S282="Dochter"),T282,O282="Vader",P282,Q282="Vader",R282,S282="Vader",T282,O282="Moeder",P282,Q282="Moeder",R282,S282="Moeder",T282,TRUE,IF(P282&lt;&gt;"",P282,IF(R282&lt;&gt;"",R282,IF(T282&lt;&gt;"",T282,""))))</f>
        <v/>
      </c>
      <c r="AN282" t="str" cm="1">
        <f t="array" ref="AN282">_xlfn.LET(_xlpm.raw,_xlfn.IFS(OR(U282="Persoonlijk",U282="Zoon",U282="Dochter"),V282,OR(W282="Persoonlijk",W282="Zoon",W282="Dochter"),X282,OR(Y282="Persoonlijk",Y282="Zoon",Y282="Dochter"),Z282,U282="Vader",V282,W282="Vader",X282,Y282="Vader",Z282,U282="Moeder",V282,W282="Moeder",X282,Y282="Moeder",Z282,TRUE,IF(V282&lt;&gt;"",V282,IF(X282&lt;&gt;"",X282,IF(Z282&lt;&gt;"",Z282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83" spans="1:40" x14ac:dyDescent="0.3">
      <c r="A283">
        <v>2650946</v>
      </c>
      <c r="B283" t="s">
        <v>1150</v>
      </c>
      <c r="C283" t="s">
        <v>1151</v>
      </c>
      <c r="D283" t="s">
        <v>39</v>
      </c>
      <c r="E283" t="s">
        <v>40</v>
      </c>
      <c r="F283" t="s">
        <v>1152</v>
      </c>
      <c r="G283" t="s">
        <v>141</v>
      </c>
      <c r="H283">
        <v>42</v>
      </c>
      <c r="U283" t="s">
        <v>51</v>
      </c>
      <c r="V283" t="s">
        <v>1153</v>
      </c>
      <c r="AC283" t="s">
        <v>1154</v>
      </c>
      <c r="AF283">
        <v>1002650946</v>
      </c>
      <c r="AG283">
        <v>742181</v>
      </c>
      <c r="AM283" t="str" cm="1">
        <f t="array" ref="AM283">_xlfn.IFS(OR(O283="Persoonlijk",O283="Zoon",O283="Dochter"),P283,OR(Q283="Persoonlijk",Q283="Zoon",Q283="Dochter"),R283,OR(S283="Persoonlijk",S283="Zoon",S283="Dochter"),T283,O283="Vader",P283,Q283="Vader",R283,S283="Vader",T283,O283="Moeder",P283,Q283="Moeder",R283,S283="Moeder",T283,TRUE,IF(P283&lt;&gt;"",P283,IF(R283&lt;&gt;"",R283,IF(T283&lt;&gt;"",T283,""))))</f>
        <v/>
      </c>
      <c r="AN283" t="str" cm="1">
        <f t="array" ref="AN283">_xlfn.LET(_xlpm.raw,_xlfn.IFS(OR(U283="Persoonlijk",U283="Zoon",U283="Dochter"),V283,OR(W283="Persoonlijk",W283="Zoon",W283="Dochter"),X283,OR(Y283="Persoonlijk",Y283="Zoon",Y283="Dochter"),Z283,U283="Vader",V283,W283="Vader",X283,Y283="Vader",Z283,U283="Moeder",V283,W283="Moeder",X283,Y283="Moeder",Z283,TRUE,IF(V283&lt;&gt;"",V283,IF(X283&lt;&gt;"",X283,IF(Z283&lt;&gt;"",Z283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+32477485 789</v>
      </c>
    </row>
    <row r="284" spans="1:40" x14ac:dyDescent="0.3">
      <c r="A284">
        <v>2650816</v>
      </c>
      <c r="B284" t="s">
        <v>1155</v>
      </c>
      <c r="C284" t="s">
        <v>1156</v>
      </c>
      <c r="D284" t="s">
        <v>39</v>
      </c>
      <c r="E284" t="s">
        <v>40</v>
      </c>
      <c r="F284" t="s">
        <v>1157</v>
      </c>
      <c r="V284">
        <v>0</v>
      </c>
      <c r="X284">
        <v>0</v>
      </c>
      <c r="Z284">
        <v>0</v>
      </c>
      <c r="AA284">
        <v>0</v>
      </c>
      <c r="AE284" t="s">
        <v>1158</v>
      </c>
      <c r="AF284">
        <v>1002650816</v>
      </c>
      <c r="AG284">
        <v>739985</v>
      </c>
      <c r="AM284" t="str" cm="1">
        <f t="array" ref="AM284">_xlfn.IFS(OR(O284="Persoonlijk",O284="Zoon",O284="Dochter"),P284,OR(Q284="Persoonlijk",Q284="Zoon",Q284="Dochter"),R284,OR(S284="Persoonlijk",S284="Zoon",S284="Dochter"),T284,O284="Vader",P284,Q284="Vader",R284,S284="Vader",T284,O284="Moeder",P284,Q284="Moeder",R284,S284="Moeder",T284,TRUE,IF(P284&lt;&gt;"",P284,IF(R284&lt;&gt;"",R284,IF(T284&lt;&gt;"",T284,""))))</f>
        <v/>
      </c>
      <c r="AN284" t="str" cm="1">
        <f t="array" ref="AN284">_xlfn.LET(_xlpm.raw,_xlfn.IFS(OR(U284="Persoonlijk",U284="Zoon",U284="Dochter"),V284,OR(W284="Persoonlijk",W284="Zoon",W284="Dochter"),X284,OR(Y284="Persoonlijk",Y284="Zoon",Y284="Dochter"),Z284,U284="Vader",V284,W284="Vader",X284,Y284="Vader",Z284,U284="Moeder",V284,W284="Moeder",X284,Y284="Moeder",Z284,TRUE,IF(V284&lt;&gt;"",V284,IF(X284&lt;&gt;"",X284,IF(Z284&lt;&gt;"",Z284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85" spans="1:40" x14ac:dyDescent="0.3">
      <c r="A285">
        <v>4196380</v>
      </c>
      <c r="B285" t="s">
        <v>1159</v>
      </c>
      <c r="C285" t="s">
        <v>1160</v>
      </c>
      <c r="D285" t="s">
        <v>39</v>
      </c>
      <c r="E285" t="s">
        <v>40</v>
      </c>
      <c r="F285" t="s">
        <v>1161</v>
      </c>
      <c r="G285" t="s">
        <v>1162</v>
      </c>
      <c r="H285">
        <v>17</v>
      </c>
      <c r="U285" t="s">
        <v>46</v>
      </c>
      <c r="V285">
        <v>320499754251</v>
      </c>
      <c r="X285">
        <v>0</v>
      </c>
      <c r="Z285">
        <v>0</v>
      </c>
      <c r="AA285">
        <v>0</v>
      </c>
      <c r="AC285" t="s">
        <v>1163</v>
      </c>
      <c r="AF285">
        <v>1004196380</v>
      </c>
      <c r="AG285">
        <v>633923</v>
      </c>
      <c r="AJ285" t="s">
        <v>743</v>
      </c>
      <c r="AK285" t="s">
        <v>61</v>
      </c>
      <c r="AM285" t="str" cm="1">
        <f t="array" ref="AM285">_xlfn.IFS(OR(O285="Persoonlijk",O285="Zoon",O285="Dochter"),P285,OR(Q285="Persoonlijk",Q285="Zoon",Q285="Dochter"),R285,OR(S285="Persoonlijk",S285="Zoon",S285="Dochter"),T285,O285="Vader",P285,Q285="Vader",R285,S285="Vader",T285,O285="Moeder",P285,Q285="Moeder",R285,S285="Moeder",T285,TRUE,IF(P285&lt;&gt;"",P285,IF(R285&lt;&gt;"",R285,IF(T285&lt;&gt;"",T285,""))))</f>
        <v/>
      </c>
      <c r="AN285" t="str" cm="1">
        <f t="array" ref="AN285">_xlfn.LET(_xlpm.raw,_xlfn.IFS(OR(U285="Persoonlijk",U285="Zoon",U285="Dochter"),V285,OR(W285="Persoonlijk",W285="Zoon",W285="Dochter"),X285,OR(Y285="Persoonlijk",Y285="Zoon",Y285="Dochter"),Z285,U285="Vader",V285,W285="Vader",X285,Y285="Vader",Z285,U285="Moeder",V285,W285="Moeder",X285,Y285="Moeder",Z285,TRUE,IF(V285&lt;&gt;"",V285,IF(X285&lt;&gt;"",X285,IF(Z285&lt;&gt;"",Z285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+32499754251</v>
      </c>
    </row>
    <row r="286" spans="1:40" x14ac:dyDescent="0.3">
      <c r="A286">
        <v>2668132</v>
      </c>
      <c r="B286" t="s">
        <v>1164</v>
      </c>
      <c r="C286" t="s">
        <v>1165</v>
      </c>
      <c r="D286" t="s">
        <v>39</v>
      </c>
      <c r="E286" t="s">
        <v>40</v>
      </c>
      <c r="F286" t="s">
        <v>1166</v>
      </c>
      <c r="G286" t="s">
        <v>1167</v>
      </c>
      <c r="H286">
        <v>28</v>
      </c>
      <c r="V286">
        <v>32478510919</v>
      </c>
      <c r="W286" t="s">
        <v>46</v>
      </c>
      <c r="X286">
        <v>32478510919</v>
      </c>
      <c r="AC286" t="s">
        <v>1168</v>
      </c>
      <c r="AF286">
        <v>1002668132</v>
      </c>
      <c r="AM286" t="str" cm="1">
        <f t="array" ref="AM286">_xlfn.IFS(OR(O286="Persoonlijk",O286="Zoon",O286="Dochter"),P286,OR(Q286="Persoonlijk",Q286="Zoon",Q286="Dochter"),R286,OR(S286="Persoonlijk",S286="Zoon",S286="Dochter"),T286,O286="Vader",P286,Q286="Vader",R286,S286="Vader",T286,O286="Moeder",P286,Q286="Moeder",R286,S286="Moeder",T286,TRUE,IF(P286&lt;&gt;"",P286,IF(R286&lt;&gt;"",R286,IF(T286&lt;&gt;"",T286,""))))</f>
        <v/>
      </c>
      <c r="AN286" t="str" cm="1">
        <f t="array" ref="AN286">_xlfn.LET(_xlpm.raw,_xlfn.IFS(OR(U286="Persoonlijk",U286="Zoon",U286="Dochter"),V286,OR(W286="Persoonlijk",W286="Zoon",W286="Dochter"),X286,OR(Y286="Persoonlijk",Y286="Zoon",Y286="Dochter"),Z286,U286="Vader",V286,W286="Vader",X286,Y286="Vader",Z286,U286="Moeder",V286,W286="Moeder",X286,Y286="Moeder",Z286,TRUE,IF(V286&lt;&gt;"",V286,IF(X286&lt;&gt;"",X286,IF(Z286&lt;&gt;"",Z286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+32478510919</v>
      </c>
    </row>
    <row r="287" spans="1:40" x14ac:dyDescent="0.3">
      <c r="A287">
        <v>3239965</v>
      </c>
      <c r="B287" t="s">
        <v>1169</v>
      </c>
      <c r="C287" t="s">
        <v>1170</v>
      </c>
      <c r="D287" t="s">
        <v>39</v>
      </c>
      <c r="E287" t="s">
        <v>40</v>
      </c>
      <c r="F287" t="s">
        <v>1171</v>
      </c>
      <c r="G287" t="s">
        <v>1080</v>
      </c>
      <c r="H287">
        <v>34</v>
      </c>
      <c r="Q287" t="s">
        <v>430</v>
      </c>
      <c r="R287" t="s">
        <v>1172</v>
      </c>
      <c r="U287" t="s">
        <v>46</v>
      </c>
      <c r="V287">
        <v>32479044986</v>
      </c>
      <c r="AC287" t="s">
        <v>1173</v>
      </c>
      <c r="AE287" t="s">
        <v>1174</v>
      </c>
      <c r="AF287">
        <v>1003239965</v>
      </c>
      <c r="AG287">
        <v>658023</v>
      </c>
      <c r="AJ287" t="s">
        <v>179</v>
      </c>
      <c r="AK287" t="s">
        <v>61</v>
      </c>
      <c r="AM287" t="str" cm="1">
        <f t="array" ref="AM287">_xlfn.IFS(OR(O287="Persoonlijk",O287="Zoon",O287="Dochter"),P287,OR(Q287="Persoonlijk",Q287="Zoon",Q287="Dochter"),R287,OR(S287="Persoonlijk",S287="Zoon",S287="Dochter"),T287,O287="Vader",P287,Q287="Vader",R287,S287="Vader",T287,O287="Moeder",P287,Q287="Moeder",R287,S287="Moeder",T287,TRUE,IF(P287&lt;&gt;"",P287,IF(R287&lt;&gt;"",R287,IF(T287&lt;&gt;"",T287,""))))</f>
        <v>coachpieter.basket@gmail.com</v>
      </c>
      <c r="AN287" t="str" cm="1">
        <f t="array" ref="AN287">_xlfn.LET(_xlpm.raw,_xlfn.IFS(OR(U287="Persoonlijk",U287="Zoon",U287="Dochter"),V287,OR(W287="Persoonlijk",W287="Zoon",W287="Dochter"),X287,OR(Y287="Persoonlijk",Y287="Zoon",Y287="Dochter"),Z287,U287="Vader",V287,W287="Vader",X287,Y287="Vader",Z287,U287="Moeder",V287,W287="Moeder",X287,Y287="Moeder",Z287,TRUE,IF(V287&lt;&gt;"",V287,IF(X287&lt;&gt;"",X287,IF(Z287&lt;&gt;"",Z287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+32479044986</v>
      </c>
    </row>
    <row r="288" spans="1:40" x14ac:dyDescent="0.3">
      <c r="A288">
        <v>2934223</v>
      </c>
      <c r="B288" t="s">
        <v>1175</v>
      </c>
      <c r="C288" t="s">
        <v>1176</v>
      </c>
      <c r="D288" t="s">
        <v>39</v>
      </c>
      <c r="E288" t="s">
        <v>49</v>
      </c>
      <c r="F288" t="s">
        <v>1177</v>
      </c>
      <c r="G288" t="s">
        <v>1178</v>
      </c>
      <c r="H288">
        <v>9</v>
      </c>
      <c r="U288" t="s">
        <v>53</v>
      </c>
      <c r="V288">
        <v>491630065</v>
      </c>
      <c r="AF288">
        <v>1002934223</v>
      </c>
      <c r="AM288" t="str" cm="1">
        <f t="array" ref="AM288">_xlfn.IFS(OR(O288="Persoonlijk",O288="Zoon",O288="Dochter"),P288,OR(Q288="Persoonlijk",Q288="Zoon",Q288="Dochter"),R288,OR(S288="Persoonlijk",S288="Zoon",S288="Dochter"),T288,O288="Vader",P288,Q288="Vader",R288,S288="Vader",T288,O288="Moeder",P288,Q288="Moeder",R288,S288="Moeder",T288,TRUE,IF(P288&lt;&gt;"",P288,IF(R288&lt;&gt;"",R288,IF(T288&lt;&gt;"",T288,""))))</f>
        <v/>
      </c>
      <c r="AN288" t="str" cm="1">
        <f t="array" ref="AN288">_xlfn.LET(_xlpm.raw,_xlfn.IFS(OR(U288="Persoonlijk",U288="Zoon",U288="Dochter"),V288,OR(W288="Persoonlijk",W288="Zoon",W288="Dochter"),X288,OR(Y288="Persoonlijk",Y288="Zoon",Y288="Dochter"),Z288,U288="Vader",V288,W288="Vader",X288,Y288="Vader",Z288,U288="Moeder",V288,W288="Moeder",X288,Y288="Moeder",Z288,TRUE,IF(V288&lt;&gt;"",V288,IF(X288&lt;&gt;"",X288,IF(Z288&lt;&gt;"",Z288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+32491630065</v>
      </c>
    </row>
    <row r="289" spans="1:40" x14ac:dyDescent="0.3">
      <c r="A289">
        <v>3050631</v>
      </c>
      <c r="B289" t="s">
        <v>1179</v>
      </c>
      <c r="C289" t="s">
        <v>1180</v>
      </c>
      <c r="D289" t="s">
        <v>39</v>
      </c>
      <c r="E289" t="s">
        <v>40</v>
      </c>
      <c r="F289" t="s">
        <v>1181</v>
      </c>
      <c r="G289" t="s">
        <v>1182</v>
      </c>
      <c r="H289">
        <v>62</v>
      </c>
      <c r="U289" t="s">
        <v>46</v>
      </c>
      <c r="V289">
        <v>320497937319</v>
      </c>
      <c r="AC289" t="s">
        <v>1183</v>
      </c>
      <c r="AF289">
        <v>1003050631</v>
      </c>
      <c r="AG289">
        <v>660243</v>
      </c>
      <c r="AM289" t="str" cm="1">
        <f t="array" ref="AM289">_xlfn.IFS(OR(O289="Persoonlijk",O289="Zoon",O289="Dochter"),P289,OR(Q289="Persoonlijk",Q289="Zoon",Q289="Dochter"),R289,OR(S289="Persoonlijk",S289="Zoon",S289="Dochter"),T289,O289="Vader",P289,Q289="Vader",R289,S289="Vader",T289,O289="Moeder",P289,Q289="Moeder",R289,S289="Moeder",T289,TRUE,IF(P289&lt;&gt;"",P289,IF(R289&lt;&gt;"",R289,IF(T289&lt;&gt;"",T289,""))))</f>
        <v/>
      </c>
      <c r="AN289" t="str" cm="1">
        <f t="array" ref="AN289">_xlfn.LET(_xlpm.raw,_xlfn.IFS(OR(U289="Persoonlijk",U289="Zoon",U289="Dochter"),V289,OR(W289="Persoonlijk",W289="Zoon",W289="Dochter"),X289,OR(Y289="Persoonlijk",Y289="Zoon",Y289="Dochter"),Z289,U289="Vader",V289,W289="Vader",X289,Y289="Vader",Z289,U289="Moeder",V289,W289="Moeder",X289,Y289="Moeder",Z289,TRUE,IF(V289&lt;&gt;"",V289,IF(X289&lt;&gt;"",X289,IF(Z289&lt;&gt;"",Z289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+32497937319</v>
      </c>
    </row>
    <row r="290" spans="1:40" x14ac:dyDescent="0.3">
      <c r="A290">
        <v>2934216</v>
      </c>
      <c r="B290" t="s">
        <v>1184</v>
      </c>
      <c r="C290" t="s">
        <v>1185</v>
      </c>
      <c r="D290" t="s">
        <v>39</v>
      </c>
      <c r="E290" t="s">
        <v>49</v>
      </c>
      <c r="F290" t="s">
        <v>1186</v>
      </c>
      <c r="G290" t="s">
        <v>1187</v>
      </c>
      <c r="H290">
        <v>14</v>
      </c>
      <c r="U290" t="s">
        <v>53</v>
      </c>
      <c r="V290" t="s">
        <v>1188</v>
      </c>
      <c r="AC290" t="s">
        <v>1189</v>
      </c>
      <c r="AE290" t="s">
        <v>1190</v>
      </c>
      <c r="AF290">
        <v>1002934216</v>
      </c>
      <c r="AG290">
        <v>732388</v>
      </c>
      <c r="AM290" t="str" cm="1">
        <f t="array" ref="AM290">_xlfn.IFS(OR(O290="Persoonlijk",O290="Zoon",O290="Dochter"),P290,OR(Q290="Persoonlijk",Q290="Zoon",Q290="Dochter"),R290,OR(S290="Persoonlijk",S290="Zoon",S290="Dochter"),T290,O290="Vader",P290,Q290="Vader",R290,S290="Vader",T290,O290="Moeder",P290,Q290="Moeder",R290,S290="Moeder",T290,TRUE,IF(P290&lt;&gt;"",P290,IF(R290&lt;&gt;"",R290,IF(T290&lt;&gt;"",T290,""))))</f>
        <v/>
      </c>
      <c r="AN290" t="str" cm="1">
        <f t="array" ref="AN290">_xlfn.LET(_xlpm.raw,_xlfn.IFS(OR(U290="Persoonlijk",U290="Zoon",U290="Dochter"),V290,OR(W290="Persoonlijk",W290="Zoon",W290="Dochter"),X290,OR(Y290="Persoonlijk",Y290="Zoon",Y290="Dochter"),Z290,U290="Vader",V290,W290="Vader",X290,Y290="Vader",Z290,U290="Moeder",V290,W290="Moeder",X290,Y290="Moeder",Z290,TRUE,IF(V290&lt;&gt;"",V290,IF(X290&lt;&gt;"",X290,IF(Z290&lt;&gt;"",Z290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+32474339019</v>
      </c>
    </row>
    <row r="291" spans="1:40" x14ac:dyDescent="0.3">
      <c r="A291">
        <v>10715676</v>
      </c>
      <c r="B291" t="s">
        <v>1191</v>
      </c>
      <c r="C291" t="s">
        <v>1192</v>
      </c>
      <c r="D291" t="s">
        <v>39</v>
      </c>
      <c r="E291" t="s">
        <v>40</v>
      </c>
      <c r="F291" t="s">
        <v>1193</v>
      </c>
      <c r="G291" t="s">
        <v>1194</v>
      </c>
      <c r="H291" t="s">
        <v>1195</v>
      </c>
      <c r="Q291" t="s">
        <v>51</v>
      </c>
      <c r="R291" t="s">
        <v>1196</v>
      </c>
      <c r="V291" t="s">
        <v>1197</v>
      </c>
      <c r="AF291">
        <v>1010715676</v>
      </c>
      <c r="AJ291" t="s">
        <v>442</v>
      </c>
      <c r="AK291" t="s">
        <v>61</v>
      </c>
      <c r="AM291" t="str" cm="1">
        <f t="array" ref="AM291">_xlfn.IFS(OR(O291="Persoonlijk",O291="Zoon",O291="Dochter"),P291,OR(Q291="Persoonlijk",Q291="Zoon",Q291="Dochter"),R291,OR(S291="Persoonlijk",S291="Zoon",S291="Dochter"),T291,O291="Vader",P291,Q291="Vader",R291,S291="Vader",T291,O291="Moeder",P291,Q291="Moeder",R291,S291="Moeder",T291,TRUE,IF(P291&lt;&gt;"",P291,IF(R291&lt;&gt;"",R291,IF(T291&lt;&gt;"",T291,""))))</f>
        <v>doubletbenoit@msn.com</v>
      </c>
      <c r="AN291" t="str" cm="1">
        <f t="array" ref="AN291">_xlfn.LET(_xlpm.raw,_xlfn.IFS(OR(U291="Persoonlijk",U291="Zoon",U291="Dochter"),V291,OR(W291="Persoonlijk",W291="Zoon",W291="Dochter"),X291,OR(Y291="Persoonlijk",Y291="Zoon",Y291="Dochter"),Z291,U291="Vader",V291,W291="Vader",X291,Y291="Vader",Z291,U291="Moeder",V291,W291="Moeder",X291,Y291="Moeder",Z291,TRUE,IF(V291&lt;&gt;"",V291,IF(X291&lt;&gt;"",X291,IF(Z291&lt;&gt;"",Z291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+32472578222</v>
      </c>
    </row>
    <row r="292" spans="1:40" x14ac:dyDescent="0.3">
      <c r="A292">
        <v>7664262</v>
      </c>
      <c r="B292" t="s">
        <v>1191</v>
      </c>
      <c r="C292" t="s">
        <v>1198</v>
      </c>
      <c r="D292" t="s">
        <v>39</v>
      </c>
      <c r="E292" t="s">
        <v>40</v>
      </c>
      <c r="F292" t="s">
        <v>1199</v>
      </c>
      <c r="G292" t="s">
        <v>1194</v>
      </c>
      <c r="H292" t="s">
        <v>1195</v>
      </c>
      <c r="Q292" t="s">
        <v>51</v>
      </c>
      <c r="R292" t="s">
        <v>1196</v>
      </c>
      <c r="V292" t="s">
        <v>1200</v>
      </c>
      <c r="X292">
        <v>0</v>
      </c>
      <c r="Z292">
        <v>0</v>
      </c>
      <c r="AA292">
        <v>0</v>
      </c>
      <c r="AE292" t="s">
        <v>1201</v>
      </c>
      <c r="AF292">
        <v>1007664262</v>
      </c>
      <c r="AM292" t="str" cm="1">
        <f t="array" ref="AM292">_xlfn.IFS(OR(O292="Persoonlijk",O292="Zoon",O292="Dochter"),P292,OR(Q292="Persoonlijk",Q292="Zoon",Q292="Dochter"),R292,OR(S292="Persoonlijk",S292="Zoon",S292="Dochter"),T292,O292="Vader",P292,Q292="Vader",R292,S292="Vader",T292,O292="Moeder",P292,Q292="Moeder",R292,S292="Moeder",T292,TRUE,IF(P292&lt;&gt;"",P292,IF(R292&lt;&gt;"",R292,IF(T292&lt;&gt;"",T292,""))))</f>
        <v>doubletbenoit@msn.com</v>
      </c>
      <c r="AN292" t="str" cm="1">
        <f t="array" ref="AN292">_xlfn.LET(_xlpm.raw,_xlfn.IFS(OR(U292="Persoonlijk",U292="Zoon",U292="Dochter"),V292,OR(W292="Persoonlijk",W292="Zoon",W292="Dochter"),X292,OR(Y292="Persoonlijk",Y292="Zoon",Y292="Dochter"),Z292,U292="Vader",V292,W292="Vader",X292,Y292="Vader",Z292,U292="Moeder",V292,W292="Moeder",X292,Y292="Moeder",Z292,TRUE,IF(V292&lt;&gt;"",V292,IF(X292&lt;&gt;"",X292,IF(Z292&lt;&gt;"",Z292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+32472578222</v>
      </c>
    </row>
    <row r="293" spans="1:40" x14ac:dyDescent="0.3">
      <c r="A293">
        <v>2182846</v>
      </c>
      <c r="B293" t="s">
        <v>1202</v>
      </c>
      <c r="C293" t="s">
        <v>1203</v>
      </c>
      <c r="D293" t="s">
        <v>39</v>
      </c>
      <c r="E293" t="s">
        <v>40</v>
      </c>
      <c r="F293" t="s">
        <v>1204</v>
      </c>
      <c r="G293" t="s">
        <v>1205</v>
      </c>
      <c r="H293">
        <v>11</v>
      </c>
      <c r="AC293" t="s">
        <v>1206</v>
      </c>
      <c r="AF293">
        <v>1002182846</v>
      </c>
      <c r="AM293" t="str" cm="1">
        <f t="array" ref="AM293">_xlfn.IFS(OR(O293="Persoonlijk",O293="Zoon",O293="Dochter"),P293,OR(Q293="Persoonlijk",Q293="Zoon",Q293="Dochter"),R293,OR(S293="Persoonlijk",S293="Zoon",S293="Dochter"),T293,O293="Vader",P293,Q293="Vader",R293,S293="Vader",T293,O293="Moeder",P293,Q293="Moeder",R293,S293="Moeder",T293,TRUE,IF(P293&lt;&gt;"",P293,IF(R293&lt;&gt;"",R293,IF(T293&lt;&gt;"",T293,""))))</f>
        <v/>
      </c>
      <c r="AN293" t="str" cm="1">
        <f t="array" ref="AN293">_xlfn.LET(_xlpm.raw,_xlfn.IFS(OR(U293="Persoonlijk",U293="Zoon",U293="Dochter"),V293,OR(W293="Persoonlijk",W293="Zoon",W293="Dochter"),X293,OR(Y293="Persoonlijk",Y293="Zoon",Y293="Dochter"),Z293,U293="Vader",V293,W293="Vader",X293,Y293="Vader",Z293,U293="Moeder",V293,W293="Moeder",X293,Y293="Moeder",Z293,TRUE,IF(V293&lt;&gt;"",V293,IF(X293&lt;&gt;"",X293,IF(Z293&lt;&gt;"",Z293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94" spans="1:40" x14ac:dyDescent="0.3">
      <c r="A294">
        <v>8620046</v>
      </c>
      <c r="B294" t="s">
        <v>1207</v>
      </c>
      <c r="C294" t="s">
        <v>1208</v>
      </c>
      <c r="D294" t="s">
        <v>39</v>
      </c>
      <c r="E294" t="s">
        <v>40</v>
      </c>
      <c r="F294" t="s">
        <v>1209</v>
      </c>
      <c r="U294" t="s">
        <v>51</v>
      </c>
      <c r="V294" t="s">
        <v>1210</v>
      </c>
      <c r="AF294">
        <v>1008620046</v>
      </c>
      <c r="AJ294" t="s">
        <v>143</v>
      </c>
      <c r="AK294" t="s">
        <v>61</v>
      </c>
      <c r="AM294" t="str" cm="1">
        <f t="array" ref="AM294">_xlfn.IFS(OR(O294="Persoonlijk",O294="Zoon",O294="Dochter"),P294,OR(Q294="Persoonlijk",Q294="Zoon",Q294="Dochter"),R294,OR(S294="Persoonlijk",S294="Zoon",S294="Dochter"),T294,O294="Vader",P294,Q294="Vader",R294,S294="Vader",T294,O294="Moeder",P294,Q294="Moeder",R294,S294="Moeder",T294,TRUE,IF(P294&lt;&gt;"",P294,IF(R294&lt;&gt;"",R294,IF(T294&lt;&gt;"",T294,""))))</f>
        <v/>
      </c>
      <c r="AN294" t="str" cm="1">
        <f t="array" ref="AN294">_xlfn.LET(_xlpm.raw,_xlfn.IFS(OR(U294="Persoonlijk",U294="Zoon",U294="Dochter"),V294,OR(W294="Persoonlijk",W294="Zoon",W294="Dochter"),X294,OR(Y294="Persoonlijk",Y294="Zoon",Y294="Dochter"),Z294,U294="Vader",V294,W294="Vader",X294,Y294="Vader",Z294,U294="Moeder",V294,W294="Moeder",X294,Y294="Moeder",Z294,TRUE,IF(V294&lt;&gt;"",V294,IF(X294&lt;&gt;"",X294,IF(Z294&lt;&gt;"",Z294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+32472172783</v>
      </c>
    </row>
    <row r="295" spans="1:40" x14ac:dyDescent="0.3">
      <c r="A295">
        <v>2182861</v>
      </c>
      <c r="B295" t="s">
        <v>1211</v>
      </c>
      <c r="C295" t="s">
        <v>1212</v>
      </c>
      <c r="D295" t="s">
        <v>39</v>
      </c>
      <c r="E295" t="s">
        <v>40</v>
      </c>
      <c r="F295" t="s">
        <v>1213</v>
      </c>
      <c r="G295" t="s">
        <v>69</v>
      </c>
      <c r="H295">
        <v>161</v>
      </c>
      <c r="AC295" t="s">
        <v>1214</v>
      </c>
      <c r="AF295">
        <v>1002182861</v>
      </c>
      <c r="AG295">
        <v>644666</v>
      </c>
      <c r="AM295" t="str" cm="1">
        <f t="array" ref="AM295">_xlfn.IFS(OR(O295="Persoonlijk",O295="Zoon",O295="Dochter"),P295,OR(Q295="Persoonlijk",Q295="Zoon",Q295="Dochter"),R295,OR(S295="Persoonlijk",S295="Zoon",S295="Dochter"),T295,O295="Vader",P295,Q295="Vader",R295,S295="Vader",T295,O295="Moeder",P295,Q295="Moeder",R295,S295="Moeder",T295,TRUE,IF(P295&lt;&gt;"",P295,IF(R295&lt;&gt;"",R295,IF(T295&lt;&gt;"",T295,""))))</f>
        <v/>
      </c>
      <c r="AN295" t="str" cm="1">
        <f t="array" ref="AN295">_xlfn.LET(_xlpm.raw,_xlfn.IFS(OR(U295="Persoonlijk",U295="Zoon",U295="Dochter"),V295,OR(W295="Persoonlijk",W295="Zoon",W295="Dochter"),X295,OR(Y295="Persoonlijk",Y295="Zoon",Y295="Dochter"),Z295,U295="Vader",V295,W295="Vader",X295,Y295="Vader",Z295,U295="Moeder",V295,W295="Moeder",X295,Y295="Moeder",Z295,TRUE,IF(V295&lt;&gt;"",V295,IF(X295&lt;&gt;"",X295,IF(Z295&lt;&gt;"",Z295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96" spans="1:40" x14ac:dyDescent="0.3">
      <c r="A296">
        <v>9680213</v>
      </c>
      <c r="B296" t="s">
        <v>1211</v>
      </c>
      <c r="C296" t="s">
        <v>250</v>
      </c>
      <c r="D296" t="s">
        <v>39</v>
      </c>
      <c r="E296" t="s">
        <v>40</v>
      </c>
      <c r="F296" t="s">
        <v>1215</v>
      </c>
      <c r="G296" t="s">
        <v>1216</v>
      </c>
      <c r="H296">
        <v>88</v>
      </c>
      <c r="I296" t="s">
        <v>624</v>
      </c>
      <c r="Q296" t="s">
        <v>53</v>
      </c>
      <c r="R296" t="s">
        <v>1217</v>
      </c>
      <c r="V296" t="s">
        <v>1218</v>
      </c>
      <c r="AF296">
        <v>1009680213</v>
      </c>
      <c r="AJ296" t="s">
        <v>192</v>
      </c>
      <c r="AK296" t="s">
        <v>61</v>
      </c>
      <c r="AM296" t="str" cm="1">
        <f t="array" ref="AM296">_xlfn.IFS(OR(O296="Persoonlijk",O296="Zoon",O296="Dochter"),P296,OR(Q296="Persoonlijk",Q296="Zoon",Q296="Dochter"),R296,OR(S296="Persoonlijk",S296="Zoon",S296="Dochter"),T296,O296="Vader",P296,Q296="Vader",R296,S296="Vader",T296,O296="Moeder",P296,Q296="Moeder",R296,S296="Moeder",T296,TRUE,IF(P296&lt;&gt;"",P296,IF(R296&lt;&gt;"",R296,IF(T296&lt;&gt;"",T296,""))))</f>
        <v>sarah.verhellen@hotmail.com</v>
      </c>
      <c r="AN296" t="str" cm="1">
        <f t="array" ref="AN296">_xlfn.LET(_xlpm.raw,_xlfn.IFS(OR(U296="Persoonlijk",U296="Zoon",U296="Dochter"),V296,OR(W296="Persoonlijk",W296="Zoon",W296="Dochter"),X296,OR(Y296="Persoonlijk",Y296="Zoon",Y296="Dochter"),Z296,U296="Vader",V296,W296="Vader",X296,Y296="Vader",Z296,U296="Moeder",V296,W296="Moeder",X296,Y296="Moeder",Z296,TRUE,IF(V296&lt;&gt;"",V296,IF(X296&lt;&gt;"",X296,IF(Z296&lt;&gt;"",Z296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+32470112368</v>
      </c>
    </row>
    <row r="297" spans="1:40" x14ac:dyDescent="0.3">
      <c r="A297">
        <v>2182866</v>
      </c>
      <c r="B297" t="s">
        <v>1219</v>
      </c>
      <c r="C297" t="s">
        <v>537</v>
      </c>
      <c r="D297" t="s">
        <v>39</v>
      </c>
      <c r="E297" t="s">
        <v>40</v>
      </c>
      <c r="F297" t="s">
        <v>1220</v>
      </c>
      <c r="G297" t="s">
        <v>994</v>
      </c>
      <c r="H297">
        <v>10</v>
      </c>
      <c r="V297" t="s">
        <v>1221</v>
      </c>
      <c r="AF297">
        <v>1002182866</v>
      </c>
      <c r="AG297">
        <v>708296</v>
      </c>
      <c r="AM297" t="str" cm="1">
        <f t="array" ref="AM297">_xlfn.IFS(OR(O297="Persoonlijk",O297="Zoon",O297="Dochter"),P297,OR(Q297="Persoonlijk",Q297="Zoon",Q297="Dochter"),R297,OR(S297="Persoonlijk",S297="Zoon",S297="Dochter"),T297,O297="Vader",P297,Q297="Vader",R297,S297="Vader",T297,O297="Moeder",P297,Q297="Moeder",R297,S297="Moeder",T297,TRUE,IF(P297&lt;&gt;"",P297,IF(R297&lt;&gt;"",R297,IF(T297&lt;&gt;"",T297,""))))</f>
        <v/>
      </c>
      <c r="AN297" t="str" cm="1">
        <f t="array" ref="AN297">_xlfn.LET(_xlpm.raw,_xlfn.IFS(OR(U297="Persoonlijk",U297="Zoon",U297="Dochter"),V297,OR(W297="Persoonlijk",W297="Zoon",W297="Dochter"),X297,OR(Y297="Persoonlijk",Y297="Zoon",Y297="Dochter"),Z297,U297="Vader",V297,W297="Vader",X297,Y297="Vader",Z297,U297="Moeder",V297,W297="Moeder",X297,Y297="Moeder",Z297,TRUE,IF(V297&lt;&gt;"",V297,IF(X297&lt;&gt;"",X297,IF(Z297&lt;&gt;"",Z297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+32477784746</v>
      </c>
    </row>
    <row r="298" spans="1:40" x14ac:dyDescent="0.3">
      <c r="A298">
        <v>5748750</v>
      </c>
      <c r="B298" t="s">
        <v>1222</v>
      </c>
      <c r="C298" t="s">
        <v>1223</v>
      </c>
      <c r="D298" t="s">
        <v>39</v>
      </c>
      <c r="E298" t="s">
        <v>40</v>
      </c>
      <c r="F298" t="s">
        <v>1224</v>
      </c>
      <c r="G298" t="s">
        <v>1225</v>
      </c>
      <c r="H298">
        <v>18</v>
      </c>
      <c r="R298" t="s">
        <v>1226</v>
      </c>
      <c r="V298" t="s">
        <v>1227</v>
      </c>
      <c r="AC298" t="s">
        <v>1228</v>
      </c>
      <c r="AE298" t="s">
        <v>1229</v>
      </c>
      <c r="AF298">
        <v>1005748750</v>
      </c>
      <c r="AJ298" t="s">
        <v>131</v>
      </c>
      <c r="AK298" t="s">
        <v>61</v>
      </c>
      <c r="AM298" t="str" cm="1">
        <f t="array" ref="AM298">_xlfn.IFS(OR(O298="Persoonlijk",O298="Zoon",O298="Dochter"),P298,OR(Q298="Persoonlijk",Q298="Zoon",Q298="Dochter"),R298,OR(S298="Persoonlijk",S298="Zoon",S298="Dochter"),T298,O298="Vader",P298,Q298="Vader",R298,S298="Vader",T298,O298="Moeder",P298,Q298="Moeder",R298,S298="Moeder",T298,TRUE,IF(P298&lt;&gt;"",P298,IF(R298&lt;&gt;"",R298,IF(T298&lt;&gt;"",T298,""))))</f>
        <v>ibosabrie06@gmail.com</v>
      </c>
      <c r="AN298" t="str" cm="1">
        <f t="array" ref="AN298">_xlfn.LET(_xlpm.raw,_xlfn.IFS(OR(U298="Persoonlijk",U298="Zoon",U298="Dochter"),V298,OR(W298="Persoonlijk",W298="Zoon",W298="Dochter"),X298,OR(Y298="Persoonlijk",Y298="Zoon",Y298="Dochter"),Z298,U298="Vader",V298,W298="Vader",X298,Y298="Vader",Z298,U298="Moeder",V298,W298="Moeder",X298,Y298="Moeder",Z298,TRUE,IF(V298&lt;&gt;"",V298,IF(X298&lt;&gt;"",X298,IF(Z298&lt;&gt;"",Z298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+32491630885</v>
      </c>
    </row>
    <row r="299" spans="1:40" x14ac:dyDescent="0.3">
      <c r="A299">
        <v>2668086</v>
      </c>
      <c r="B299" t="s">
        <v>1230</v>
      </c>
      <c r="C299" t="s">
        <v>1231</v>
      </c>
      <c r="D299" t="s">
        <v>39</v>
      </c>
      <c r="E299" t="s">
        <v>40</v>
      </c>
      <c r="F299" t="s">
        <v>1232</v>
      </c>
      <c r="G299" t="s">
        <v>1233</v>
      </c>
      <c r="H299">
        <v>78</v>
      </c>
      <c r="U299" t="s">
        <v>46</v>
      </c>
      <c r="V299">
        <v>479762435</v>
      </c>
      <c r="AC299" t="s">
        <v>1234</v>
      </c>
      <c r="AF299">
        <v>1002668086</v>
      </c>
      <c r="AM299" t="str" cm="1">
        <f t="array" ref="AM299">_xlfn.IFS(OR(O299="Persoonlijk",O299="Zoon",O299="Dochter"),P299,OR(Q299="Persoonlijk",Q299="Zoon",Q299="Dochter"),R299,OR(S299="Persoonlijk",S299="Zoon",S299="Dochter"),T299,O299="Vader",P299,Q299="Vader",R299,S299="Vader",T299,O299="Moeder",P299,Q299="Moeder",R299,S299="Moeder",T299,TRUE,IF(P299&lt;&gt;"",P299,IF(R299&lt;&gt;"",R299,IF(T299&lt;&gt;"",T299,""))))</f>
        <v/>
      </c>
      <c r="AN299" t="str" cm="1">
        <f t="array" ref="AN299">_xlfn.LET(_xlpm.raw,_xlfn.IFS(OR(U299="Persoonlijk",U299="Zoon",U299="Dochter"),V299,OR(W299="Persoonlijk",W299="Zoon",W299="Dochter"),X299,OR(Y299="Persoonlijk",Y299="Zoon",Y299="Dochter"),Z299,U299="Vader",V299,W299="Vader",X299,Y299="Vader",Z299,U299="Moeder",V299,W299="Moeder",X299,Y299="Moeder",Z299,TRUE,IF(V299&lt;&gt;"",V299,IF(X299&lt;&gt;"",X299,IF(Z299&lt;&gt;"",Z299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+32479762435</v>
      </c>
    </row>
    <row r="300" spans="1:40" x14ac:dyDescent="0.3">
      <c r="A300">
        <v>7311326</v>
      </c>
      <c r="B300" t="s">
        <v>1235</v>
      </c>
      <c r="C300" t="s">
        <v>1236</v>
      </c>
      <c r="D300" t="s">
        <v>39</v>
      </c>
      <c r="E300" t="s">
        <v>40</v>
      </c>
      <c r="F300" t="s">
        <v>1237</v>
      </c>
      <c r="G300" t="s">
        <v>736</v>
      </c>
      <c r="H300">
        <v>9</v>
      </c>
      <c r="AC300" t="s">
        <v>1238</v>
      </c>
      <c r="AF300">
        <v>1007311326</v>
      </c>
      <c r="AM300" t="str" cm="1">
        <f t="array" ref="AM300">_xlfn.IFS(OR(O300="Persoonlijk",O300="Zoon",O300="Dochter"),P300,OR(Q300="Persoonlijk",Q300="Zoon",Q300="Dochter"),R300,OR(S300="Persoonlijk",S300="Zoon",S300="Dochter"),T300,O300="Vader",P300,Q300="Vader",R300,S300="Vader",T300,O300="Moeder",P300,Q300="Moeder",R300,S300="Moeder",T300,TRUE,IF(P300&lt;&gt;"",P300,IF(R300&lt;&gt;"",R300,IF(T300&lt;&gt;"",T300,""))))</f>
        <v/>
      </c>
      <c r="AN300" t="str" cm="1">
        <f t="array" ref="AN300">_xlfn.LET(_xlpm.raw,_xlfn.IFS(OR(U300="Persoonlijk",U300="Zoon",U300="Dochter"),V300,OR(W300="Persoonlijk",W300="Zoon",W300="Dochter"),X300,OR(Y300="Persoonlijk",Y300="Zoon",Y300="Dochter"),Z300,U300="Vader",V300,W300="Vader",X300,Y300="Vader",Z300,U300="Moeder",V300,W300="Moeder",X300,Y300="Moeder",Z300,TRUE,IF(V300&lt;&gt;"",V300,IF(X300&lt;&gt;"",X300,IF(Z300&lt;&gt;"",Z300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01" spans="1:40" x14ac:dyDescent="0.3">
      <c r="A301">
        <v>4076908</v>
      </c>
      <c r="B301" t="s">
        <v>1239</v>
      </c>
      <c r="C301" t="s">
        <v>1240</v>
      </c>
      <c r="D301" t="s">
        <v>39</v>
      </c>
      <c r="E301" t="s">
        <v>40</v>
      </c>
      <c r="F301" t="s">
        <v>1241</v>
      </c>
      <c r="G301" t="s">
        <v>1242</v>
      </c>
      <c r="H301">
        <v>15</v>
      </c>
      <c r="Q301" t="s">
        <v>51</v>
      </c>
      <c r="R301" t="s">
        <v>1243</v>
      </c>
      <c r="S301" t="s">
        <v>46</v>
      </c>
      <c r="T301" t="s">
        <v>1244</v>
      </c>
      <c r="U301" t="s">
        <v>53</v>
      </c>
      <c r="V301">
        <v>32477256935</v>
      </c>
      <c r="AC301" t="s">
        <v>1245</v>
      </c>
      <c r="AF301">
        <v>1004076908</v>
      </c>
      <c r="AG301">
        <v>752538</v>
      </c>
      <c r="AM301" t="str" cm="1">
        <f t="array" ref="AM301">_xlfn.IFS(OR(O301="Persoonlijk",O301="Zoon",O301="Dochter"),P301,OR(Q301="Persoonlijk",Q301="Zoon",Q301="Dochter"),R301,OR(S301="Persoonlijk",S301="Zoon",S301="Dochter"),T301,O301="Vader",P301,Q301="Vader",R301,S301="Vader",T301,O301="Moeder",P301,Q301="Moeder",R301,S301="Moeder",T301,TRUE,IF(P301&lt;&gt;"",P301,IF(R301&lt;&gt;"",R301,IF(T301&lt;&gt;"",T301,""))))</f>
        <v>elmaltyassin@gmail.com</v>
      </c>
      <c r="AN301" t="str" cm="1">
        <f t="array" ref="AN301">_xlfn.LET(_xlpm.raw,_xlfn.IFS(OR(U301="Persoonlijk",U301="Zoon",U301="Dochter"),V301,OR(W301="Persoonlijk",W301="Zoon",W301="Dochter"),X301,OR(Y301="Persoonlijk",Y301="Zoon",Y301="Dochter"),Z301,U301="Vader",V301,W301="Vader",X301,Y301="Vader",Z301,U301="Moeder",V301,W301="Moeder",X301,Y301="Moeder",Z301,TRUE,IF(V301&lt;&gt;"",V301,IF(X301&lt;&gt;"",X301,IF(Z301&lt;&gt;"",Z301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+32477256935</v>
      </c>
    </row>
    <row r="302" spans="1:40" x14ac:dyDescent="0.3">
      <c r="A302">
        <v>2182871</v>
      </c>
      <c r="B302" t="s">
        <v>1246</v>
      </c>
      <c r="C302" t="s">
        <v>1247</v>
      </c>
      <c r="D302" t="s">
        <v>39</v>
      </c>
      <c r="E302" t="s">
        <v>40</v>
      </c>
      <c r="F302" t="s">
        <v>1248</v>
      </c>
      <c r="G302" t="s">
        <v>1249</v>
      </c>
      <c r="H302">
        <v>26</v>
      </c>
      <c r="V302">
        <v>472041772</v>
      </c>
      <c r="AF302">
        <v>1002182871</v>
      </c>
      <c r="AG302">
        <v>725719</v>
      </c>
      <c r="AM302" t="str" cm="1">
        <f t="array" ref="AM302">_xlfn.IFS(OR(O302="Persoonlijk",O302="Zoon",O302="Dochter"),P302,OR(Q302="Persoonlijk",Q302="Zoon",Q302="Dochter"),R302,OR(S302="Persoonlijk",S302="Zoon",S302="Dochter"),T302,O302="Vader",P302,Q302="Vader",R302,S302="Vader",T302,O302="Moeder",P302,Q302="Moeder",R302,S302="Moeder",T302,TRUE,IF(P302&lt;&gt;"",P302,IF(R302&lt;&gt;"",R302,IF(T302&lt;&gt;"",T302,""))))</f>
        <v/>
      </c>
      <c r="AN302" t="str" cm="1">
        <f t="array" ref="AN302">_xlfn.LET(_xlpm.raw,_xlfn.IFS(OR(U302="Persoonlijk",U302="Zoon",U302="Dochter"),V302,OR(W302="Persoonlijk",W302="Zoon",W302="Dochter"),X302,OR(Y302="Persoonlijk",Y302="Zoon",Y302="Dochter"),Z302,U302="Vader",V302,W302="Vader",X302,Y302="Vader",Z302,U302="Moeder",V302,W302="Moeder",X302,Y302="Moeder",Z302,TRUE,IF(V302&lt;&gt;"",V302,IF(X302&lt;&gt;"",X302,IF(Z302&lt;&gt;"",Z302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+32472041772</v>
      </c>
    </row>
    <row r="303" spans="1:40" x14ac:dyDescent="0.3">
      <c r="A303">
        <v>10452550</v>
      </c>
      <c r="B303" t="s">
        <v>1250</v>
      </c>
      <c r="C303" t="s">
        <v>1251</v>
      </c>
      <c r="D303" t="s">
        <v>39</v>
      </c>
      <c r="E303" t="s">
        <v>40</v>
      </c>
      <c r="F303" t="s">
        <v>1252</v>
      </c>
      <c r="G303" t="s">
        <v>1253</v>
      </c>
      <c r="H303">
        <v>18</v>
      </c>
      <c r="Q303" t="s">
        <v>53</v>
      </c>
      <c r="R303" t="s">
        <v>1254</v>
      </c>
      <c r="V303" t="s">
        <v>1255</v>
      </c>
      <c r="AF303">
        <v>1010452550</v>
      </c>
      <c r="AJ303" t="s">
        <v>442</v>
      </c>
      <c r="AK303" t="s">
        <v>61</v>
      </c>
      <c r="AM303" t="str" cm="1">
        <f t="array" ref="AM303">_xlfn.IFS(OR(O303="Persoonlijk",O303="Zoon",O303="Dochter"),P303,OR(Q303="Persoonlijk",Q303="Zoon",Q303="Dochter"),R303,OR(S303="Persoonlijk",S303="Zoon",S303="Dochter"),T303,O303="Vader",P303,Q303="Vader",R303,S303="Vader",T303,O303="Moeder",P303,Q303="Moeder",R303,S303="Moeder",T303,TRUE,IF(P303&lt;&gt;"",P303,IF(R303&lt;&gt;"",R303,IF(T303&lt;&gt;"",T303,""))))</f>
        <v>lievemoyaert@icloud.com</v>
      </c>
      <c r="AN303" t="str" cm="1">
        <f t="array" ref="AN303">_xlfn.LET(_xlpm.raw,_xlfn.IFS(OR(U303="Persoonlijk",U303="Zoon",U303="Dochter"),V303,OR(W303="Persoonlijk",W303="Zoon",W303="Dochter"),X303,OR(Y303="Persoonlijk",Y303="Zoon",Y303="Dochter"),Z303,U303="Vader",V303,W303="Vader",X303,Y303="Vader",Z303,U303="Moeder",V303,W303="Moeder",X303,Y303="Moeder",Z303,TRUE,IF(V303&lt;&gt;"",V303,IF(X303&lt;&gt;"",X303,IF(Z303&lt;&gt;"",Z303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+32495653737</v>
      </c>
    </row>
    <row r="304" spans="1:40" x14ac:dyDescent="0.3">
      <c r="A304">
        <v>2182876</v>
      </c>
      <c r="B304" t="s">
        <v>1250</v>
      </c>
      <c r="C304" t="s">
        <v>1256</v>
      </c>
      <c r="D304" t="s">
        <v>39</v>
      </c>
      <c r="E304" t="s">
        <v>49</v>
      </c>
      <c r="F304" t="s">
        <v>1257</v>
      </c>
      <c r="G304" t="s">
        <v>92</v>
      </c>
      <c r="H304">
        <v>43</v>
      </c>
      <c r="V304">
        <v>320495653737</v>
      </c>
      <c r="AC304" t="s">
        <v>1258</v>
      </c>
      <c r="AF304">
        <v>1002182876</v>
      </c>
      <c r="AG304">
        <v>267006</v>
      </c>
      <c r="AM304" t="str" cm="1">
        <f t="array" ref="AM304">_xlfn.IFS(OR(O304="Persoonlijk",O304="Zoon",O304="Dochter"),P304,OR(Q304="Persoonlijk",Q304="Zoon",Q304="Dochter"),R304,OR(S304="Persoonlijk",S304="Zoon",S304="Dochter"),T304,O304="Vader",P304,Q304="Vader",R304,S304="Vader",T304,O304="Moeder",P304,Q304="Moeder",R304,S304="Moeder",T304,TRUE,IF(P304&lt;&gt;"",P304,IF(R304&lt;&gt;"",R304,IF(T304&lt;&gt;"",T304,""))))</f>
        <v/>
      </c>
      <c r="AN304" t="str" cm="1">
        <f t="array" ref="AN304">_xlfn.LET(_xlpm.raw,_xlfn.IFS(OR(U304="Persoonlijk",U304="Zoon",U304="Dochter"),V304,OR(W304="Persoonlijk",W304="Zoon",W304="Dochter"),X304,OR(Y304="Persoonlijk",Y304="Zoon",Y304="Dochter"),Z304,U304="Vader",V304,W304="Vader",X304,Y304="Vader",Z304,U304="Moeder",V304,W304="Moeder",X304,Y304="Moeder",Z304,TRUE,IF(V304&lt;&gt;"",V304,IF(X304&lt;&gt;"",X304,IF(Z304&lt;&gt;"",Z304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+32495653737</v>
      </c>
    </row>
    <row r="305" spans="1:40" x14ac:dyDescent="0.3">
      <c r="A305">
        <v>3324599</v>
      </c>
      <c r="B305" t="s">
        <v>1250</v>
      </c>
      <c r="C305" t="s">
        <v>1259</v>
      </c>
      <c r="D305" t="s">
        <v>39</v>
      </c>
      <c r="E305" t="s">
        <v>49</v>
      </c>
      <c r="F305" t="s">
        <v>1260</v>
      </c>
      <c r="G305" t="s">
        <v>1261</v>
      </c>
      <c r="H305">
        <v>21</v>
      </c>
      <c r="V305">
        <v>0</v>
      </c>
      <c r="X305">
        <v>0</v>
      </c>
      <c r="Z305">
        <v>0</v>
      </c>
      <c r="AA305">
        <v>0</v>
      </c>
      <c r="AC305" t="s">
        <v>1262</v>
      </c>
      <c r="AF305">
        <v>1003324599</v>
      </c>
      <c r="AG305">
        <v>742390</v>
      </c>
      <c r="AM305" t="str" cm="1">
        <f t="array" ref="AM305">_xlfn.IFS(OR(O305="Persoonlijk",O305="Zoon",O305="Dochter"),P305,OR(Q305="Persoonlijk",Q305="Zoon",Q305="Dochter"),R305,OR(S305="Persoonlijk",S305="Zoon",S305="Dochter"),T305,O305="Vader",P305,Q305="Vader",R305,S305="Vader",T305,O305="Moeder",P305,Q305="Moeder",R305,S305="Moeder",T305,TRUE,IF(P305&lt;&gt;"",P305,IF(R305&lt;&gt;"",R305,IF(T305&lt;&gt;"",T305,""))))</f>
        <v/>
      </c>
      <c r="AN305" t="str" cm="1">
        <f t="array" ref="AN305">_xlfn.LET(_xlpm.raw,_xlfn.IFS(OR(U305="Persoonlijk",U305="Zoon",U305="Dochter"),V305,OR(W305="Persoonlijk",W305="Zoon",W305="Dochter"),X305,OR(Y305="Persoonlijk",Y305="Zoon",Y305="Dochter"),Z305,U305="Vader",V305,W305="Vader",X305,Y305="Vader",Z305,U305="Moeder",V305,W305="Moeder",X305,Y305="Moeder",Z305,TRUE,IF(V305&lt;&gt;"",V305,IF(X305&lt;&gt;"",X305,IF(Z305&lt;&gt;"",Z305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06" spans="1:40" x14ac:dyDescent="0.3">
      <c r="A306">
        <v>3412871</v>
      </c>
      <c r="B306" t="s">
        <v>1250</v>
      </c>
      <c r="C306" t="s">
        <v>1263</v>
      </c>
      <c r="D306" t="s">
        <v>39</v>
      </c>
      <c r="E306" t="s">
        <v>49</v>
      </c>
      <c r="F306" t="s">
        <v>1264</v>
      </c>
      <c r="G306" t="s">
        <v>1265</v>
      </c>
      <c r="H306">
        <v>8</v>
      </c>
      <c r="U306" t="s">
        <v>46</v>
      </c>
      <c r="V306">
        <v>472595888</v>
      </c>
      <c r="X306">
        <v>0</v>
      </c>
      <c r="Z306">
        <v>0</v>
      </c>
      <c r="AA306">
        <v>0</v>
      </c>
      <c r="AF306">
        <v>1003412871</v>
      </c>
      <c r="AG306">
        <v>258653</v>
      </c>
      <c r="AM306" t="str" cm="1">
        <f t="array" ref="AM306">_xlfn.IFS(OR(O306="Persoonlijk",O306="Zoon",O306="Dochter"),P306,OR(Q306="Persoonlijk",Q306="Zoon",Q306="Dochter"),R306,OR(S306="Persoonlijk",S306="Zoon",S306="Dochter"),T306,O306="Vader",P306,Q306="Vader",R306,S306="Vader",T306,O306="Moeder",P306,Q306="Moeder",R306,S306="Moeder",T306,TRUE,IF(P306&lt;&gt;"",P306,IF(R306&lt;&gt;"",R306,IF(T306&lt;&gt;"",T306,""))))</f>
        <v/>
      </c>
      <c r="AN306" t="str" cm="1">
        <f t="array" ref="AN306">_xlfn.LET(_xlpm.raw,_xlfn.IFS(OR(U306="Persoonlijk",U306="Zoon",U306="Dochter"),V306,OR(W306="Persoonlijk",W306="Zoon",W306="Dochter"),X306,OR(Y306="Persoonlijk",Y306="Zoon",Y306="Dochter"),Z306,U306="Vader",V306,W306="Vader",X306,Y306="Vader",Z306,U306="Moeder",V306,W306="Moeder",X306,Y306="Moeder",Z306,TRUE,IF(V306&lt;&gt;"",V306,IF(X306&lt;&gt;"",X306,IF(Z306&lt;&gt;"",Z306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+32472595888</v>
      </c>
    </row>
    <row r="307" spans="1:40" x14ac:dyDescent="0.3">
      <c r="A307">
        <v>3324602</v>
      </c>
      <c r="B307" t="s">
        <v>1250</v>
      </c>
      <c r="C307" t="s">
        <v>1266</v>
      </c>
      <c r="D307" t="s">
        <v>39</v>
      </c>
      <c r="E307" t="s">
        <v>49</v>
      </c>
      <c r="F307" t="s">
        <v>1267</v>
      </c>
      <c r="G307" t="s">
        <v>1261</v>
      </c>
      <c r="H307">
        <v>21</v>
      </c>
      <c r="V307">
        <v>0</v>
      </c>
      <c r="X307">
        <v>0</v>
      </c>
      <c r="Z307">
        <v>0</v>
      </c>
      <c r="AA307">
        <v>0</v>
      </c>
      <c r="AC307" t="s">
        <v>1268</v>
      </c>
      <c r="AF307">
        <v>1003324602</v>
      </c>
      <c r="AG307">
        <v>742391</v>
      </c>
      <c r="AM307" t="str" cm="1">
        <f t="array" ref="AM307">_xlfn.IFS(OR(O307="Persoonlijk",O307="Zoon",O307="Dochter"),P307,OR(Q307="Persoonlijk",Q307="Zoon",Q307="Dochter"),R307,OR(S307="Persoonlijk",S307="Zoon",S307="Dochter"),T307,O307="Vader",P307,Q307="Vader",R307,S307="Vader",T307,O307="Moeder",P307,Q307="Moeder",R307,S307="Moeder",T307,TRUE,IF(P307&lt;&gt;"",P307,IF(R307&lt;&gt;"",R307,IF(T307&lt;&gt;"",T307,""))))</f>
        <v/>
      </c>
      <c r="AN307" t="str" cm="1">
        <f t="array" ref="AN307">_xlfn.LET(_xlpm.raw,_xlfn.IFS(OR(U307="Persoonlijk",U307="Zoon",U307="Dochter"),V307,OR(W307="Persoonlijk",W307="Zoon",W307="Dochter"),X307,OR(Y307="Persoonlijk",Y307="Zoon",Y307="Dochter"),Z307,U307="Vader",V307,W307="Vader",X307,Y307="Vader",Z307,U307="Moeder",V307,W307="Moeder",X307,Y307="Moeder",Z307,TRUE,IF(V307&lt;&gt;"",V307,IF(X307&lt;&gt;"",X307,IF(Z307&lt;&gt;"",Z307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08" spans="1:40" x14ac:dyDescent="0.3">
      <c r="A308">
        <v>3435383</v>
      </c>
      <c r="B308" t="s">
        <v>1250</v>
      </c>
      <c r="C308" t="s">
        <v>1269</v>
      </c>
      <c r="D308" t="s">
        <v>39</v>
      </c>
      <c r="E308" t="s">
        <v>40</v>
      </c>
      <c r="F308" t="s">
        <v>1270</v>
      </c>
      <c r="G308" t="s">
        <v>1253</v>
      </c>
      <c r="H308">
        <v>18</v>
      </c>
      <c r="Q308" t="s">
        <v>53</v>
      </c>
      <c r="R308" t="s">
        <v>1271</v>
      </c>
      <c r="AF308">
        <v>1003435383</v>
      </c>
      <c r="AJ308" t="s">
        <v>88</v>
      </c>
      <c r="AK308" t="s">
        <v>61</v>
      </c>
      <c r="AM308" t="str" cm="1">
        <f t="array" ref="AM308">_xlfn.IFS(OR(O308="Persoonlijk",O308="Zoon",O308="Dochter"),P308,OR(Q308="Persoonlijk",Q308="Zoon",Q308="Dochter"),R308,OR(S308="Persoonlijk",S308="Zoon",S308="Dochter"),T308,O308="Vader",P308,Q308="Vader",R308,S308="Vader",T308,O308="Moeder",P308,Q308="Moeder",R308,S308="Moeder",T308,TRUE,IF(P308&lt;&gt;"",P308,IF(R308&lt;&gt;"",R308,IF(T308&lt;&gt;"",T308,""))))</f>
        <v>Lievemoyaert@icloud.com</v>
      </c>
      <c r="AN308" t="str" cm="1">
        <f t="array" ref="AN308">_xlfn.LET(_xlpm.raw,_xlfn.IFS(OR(U308="Persoonlijk",U308="Zoon",U308="Dochter"),V308,OR(W308="Persoonlijk",W308="Zoon",W308="Dochter"),X308,OR(Y308="Persoonlijk",Y308="Zoon",Y308="Dochter"),Z308,U308="Vader",V308,W308="Vader",X308,Y308="Vader",Z308,U308="Moeder",V308,W308="Moeder",X308,Y308="Moeder",Z308,TRUE,IF(V308&lt;&gt;"",V308,IF(X308&lt;&gt;"",X308,IF(Z308&lt;&gt;"",Z308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09" spans="1:40" x14ac:dyDescent="0.3">
      <c r="A309">
        <v>3435383</v>
      </c>
      <c r="B309" t="s">
        <v>1250</v>
      </c>
      <c r="C309" t="s">
        <v>1269</v>
      </c>
      <c r="D309" t="s">
        <v>39</v>
      </c>
      <c r="E309" t="s">
        <v>40</v>
      </c>
      <c r="F309" t="s">
        <v>1270</v>
      </c>
      <c r="G309" t="s">
        <v>1253</v>
      </c>
      <c r="H309">
        <v>18</v>
      </c>
      <c r="Q309" t="s">
        <v>53</v>
      </c>
      <c r="R309" t="s">
        <v>1271</v>
      </c>
      <c r="AF309">
        <v>1003435383</v>
      </c>
      <c r="AJ309" t="s">
        <v>87</v>
      </c>
      <c r="AK309" t="s">
        <v>61</v>
      </c>
      <c r="AM309" t="str" cm="1">
        <f t="array" ref="AM309">_xlfn.IFS(OR(O309="Persoonlijk",O309="Zoon",O309="Dochter"),P309,OR(Q309="Persoonlijk",Q309="Zoon",Q309="Dochter"),R309,OR(S309="Persoonlijk",S309="Zoon",S309="Dochter"),T309,O309="Vader",P309,Q309="Vader",R309,S309="Vader",T309,O309="Moeder",P309,Q309="Moeder",R309,S309="Moeder",T309,TRUE,IF(P309&lt;&gt;"",P309,IF(R309&lt;&gt;"",R309,IF(T309&lt;&gt;"",T309,""))))</f>
        <v>Lievemoyaert@icloud.com</v>
      </c>
      <c r="AN309" t="str" cm="1">
        <f t="array" ref="AN309">_xlfn.LET(_xlpm.raw,_xlfn.IFS(OR(U309="Persoonlijk",U309="Zoon",U309="Dochter"),V309,OR(W309="Persoonlijk",W309="Zoon",W309="Dochter"),X309,OR(Y309="Persoonlijk",Y309="Zoon",Y309="Dochter"),Z309,U309="Vader",V309,W309="Vader",X309,Y309="Vader",Z309,U309="Moeder",V309,W309="Moeder",X309,Y309="Moeder",Z309,TRUE,IF(V309&lt;&gt;"",V309,IF(X309&lt;&gt;"",X309,IF(Z309&lt;&gt;"",Z309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10" spans="1:40" x14ac:dyDescent="0.3">
      <c r="A310">
        <v>5566412</v>
      </c>
      <c r="B310" t="s">
        <v>1250</v>
      </c>
      <c r="C310" t="s">
        <v>1272</v>
      </c>
      <c r="D310" t="s">
        <v>39</v>
      </c>
      <c r="E310" t="s">
        <v>49</v>
      </c>
      <c r="F310" t="s">
        <v>1273</v>
      </c>
      <c r="G310" t="s">
        <v>1253</v>
      </c>
      <c r="H310">
        <v>18</v>
      </c>
      <c r="Q310" t="s">
        <v>53</v>
      </c>
      <c r="R310" t="s">
        <v>1254</v>
      </c>
      <c r="V310" t="s">
        <v>1255</v>
      </c>
      <c r="AF310">
        <v>1005566412</v>
      </c>
      <c r="AJ310" t="s">
        <v>192</v>
      </c>
      <c r="AK310" t="s">
        <v>61</v>
      </c>
      <c r="AM310" t="str" cm="1">
        <f t="array" ref="AM310">_xlfn.IFS(OR(O310="Persoonlijk",O310="Zoon",O310="Dochter"),P310,OR(Q310="Persoonlijk",Q310="Zoon",Q310="Dochter"),R310,OR(S310="Persoonlijk",S310="Zoon",S310="Dochter"),T310,O310="Vader",P310,Q310="Vader",R310,S310="Vader",T310,O310="Moeder",P310,Q310="Moeder",R310,S310="Moeder",T310,TRUE,IF(P310&lt;&gt;"",P310,IF(R310&lt;&gt;"",R310,IF(T310&lt;&gt;"",T310,""))))</f>
        <v>lievemoyaert@icloud.com</v>
      </c>
      <c r="AN310" t="str" cm="1">
        <f t="array" ref="AN310">_xlfn.LET(_xlpm.raw,_xlfn.IFS(OR(U310="Persoonlijk",U310="Zoon",U310="Dochter"),V310,OR(W310="Persoonlijk",W310="Zoon",W310="Dochter"),X310,OR(Y310="Persoonlijk",Y310="Zoon",Y310="Dochter"),Z310,U310="Vader",V310,W310="Vader",X310,Y310="Vader",Z310,U310="Moeder",V310,W310="Moeder",X310,Y310="Moeder",Z310,TRUE,IF(V310&lt;&gt;"",V310,IF(X310&lt;&gt;"",X310,IF(Z310&lt;&gt;"",Z310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+32495653737</v>
      </c>
    </row>
    <row r="311" spans="1:40" x14ac:dyDescent="0.3">
      <c r="A311">
        <v>2182881</v>
      </c>
      <c r="B311" t="s">
        <v>1274</v>
      </c>
      <c r="C311" t="s">
        <v>1275</v>
      </c>
      <c r="D311" t="s">
        <v>39</v>
      </c>
      <c r="E311" t="s">
        <v>49</v>
      </c>
      <c r="F311" t="s">
        <v>1276</v>
      </c>
      <c r="G311" t="s">
        <v>1277</v>
      </c>
      <c r="H311">
        <v>20</v>
      </c>
      <c r="AC311" t="s">
        <v>1278</v>
      </c>
      <c r="AF311">
        <v>1002182881</v>
      </c>
      <c r="AM311" t="str" cm="1">
        <f t="array" ref="AM311">_xlfn.IFS(OR(O311="Persoonlijk",O311="Zoon",O311="Dochter"),P311,OR(Q311="Persoonlijk",Q311="Zoon",Q311="Dochter"),R311,OR(S311="Persoonlijk",S311="Zoon",S311="Dochter"),T311,O311="Vader",P311,Q311="Vader",R311,S311="Vader",T311,O311="Moeder",P311,Q311="Moeder",R311,S311="Moeder",T311,TRUE,IF(P311&lt;&gt;"",P311,IF(R311&lt;&gt;"",R311,IF(T311&lt;&gt;"",T311,""))))</f>
        <v/>
      </c>
      <c r="AN311" t="str" cm="1">
        <f t="array" ref="AN311">_xlfn.LET(_xlpm.raw,_xlfn.IFS(OR(U311="Persoonlijk",U311="Zoon",U311="Dochter"),V311,OR(W311="Persoonlijk",W311="Zoon",W311="Dochter"),X311,OR(Y311="Persoonlijk",Y311="Zoon",Y311="Dochter"),Z311,U311="Vader",V311,W311="Vader",X311,Y311="Vader",Z311,U311="Moeder",V311,W311="Moeder",X311,Y311="Moeder",Z311,TRUE,IF(V311&lt;&gt;"",V311,IF(X311&lt;&gt;"",X311,IF(Z311&lt;&gt;"",Z311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12" spans="1:40" x14ac:dyDescent="0.3">
      <c r="A312">
        <v>3463922</v>
      </c>
      <c r="B312" t="s">
        <v>1279</v>
      </c>
      <c r="C312" t="s">
        <v>145</v>
      </c>
      <c r="D312" t="s">
        <v>39</v>
      </c>
      <c r="E312" t="s">
        <v>40</v>
      </c>
      <c r="F312" t="s">
        <v>1280</v>
      </c>
      <c r="G312" t="s">
        <v>1281</v>
      </c>
      <c r="H312">
        <v>21</v>
      </c>
      <c r="Q312" t="s">
        <v>53</v>
      </c>
      <c r="R312" t="s">
        <v>1282</v>
      </c>
      <c r="S312" t="s">
        <v>46</v>
      </c>
      <c r="T312" t="s">
        <v>1283</v>
      </c>
      <c r="U312" t="s">
        <v>46</v>
      </c>
      <c r="V312" t="s">
        <v>1284</v>
      </c>
      <c r="W312" t="s">
        <v>53</v>
      </c>
      <c r="X312" t="s">
        <v>1285</v>
      </c>
      <c r="Y312" t="s">
        <v>51</v>
      </c>
      <c r="Z312" t="s">
        <v>1286</v>
      </c>
      <c r="AB312" t="s">
        <v>1287</v>
      </c>
      <c r="AC312" t="s">
        <v>1288</v>
      </c>
      <c r="AF312">
        <v>1003463922</v>
      </c>
      <c r="AG312">
        <v>749137</v>
      </c>
      <c r="AJ312" t="s">
        <v>286</v>
      </c>
      <c r="AK312" t="s">
        <v>61</v>
      </c>
      <c r="AL312" t="s">
        <v>62</v>
      </c>
      <c r="AM312" t="str" cm="1">
        <f t="array" ref="AM312">_xlfn.IFS(OR(O312="Persoonlijk",O312="Zoon",O312="Dochter"),P312,OR(Q312="Persoonlijk",Q312="Zoon",Q312="Dochter"),R312,OR(S312="Persoonlijk",S312="Zoon",S312="Dochter"),T312,O312="Vader",P312,Q312="Vader",R312,S312="Vader",T312,O312="Moeder",P312,Q312="Moeder",R312,S312="Moeder",T312,TRUE,IF(P312&lt;&gt;"",P312,IF(R312&lt;&gt;"",R312,IF(T312&lt;&gt;"",T312,""))))</f>
        <v>jasper.espeel@gmail.com</v>
      </c>
      <c r="AN312" t="str" cm="1">
        <f t="array" ref="AN312">_xlfn.LET(_xlpm.raw,_xlfn.IFS(OR(U312="Persoonlijk",U312="Zoon",U312="Dochter"),V312,OR(W312="Persoonlijk",W312="Zoon",W312="Dochter"),X312,OR(Y312="Persoonlijk",Y312="Zoon",Y312="Dochter"),Z312,U312="Vader",V312,W312="Vader",X312,Y312="Vader",Z312,U312="Moeder",V312,W312="Moeder",X312,Y312="Moeder",Z312,TRUE,IF(V312&lt;&gt;"",V312,IF(X312&lt;&gt;"",X312,IF(Z312&lt;&gt;"",Z312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+32496150874</v>
      </c>
    </row>
    <row r="313" spans="1:40" x14ac:dyDescent="0.3">
      <c r="A313">
        <v>3463922</v>
      </c>
      <c r="B313" t="s">
        <v>1279</v>
      </c>
      <c r="C313" t="s">
        <v>145</v>
      </c>
      <c r="D313" t="s">
        <v>39</v>
      </c>
      <c r="E313" t="s">
        <v>40</v>
      </c>
      <c r="F313" t="s">
        <v>1280</v>
      </c>
      <c r="G313" t="s">
        <v>1281</v>
      </c>
      <c r="H313">
        <v>21</v>
      </c>
      <c r="Q313" t="s">
        <v>53</v>
      </c>
      <c r="R313" t="s">
        <v>1282</v>
      </c>
      <c r="S313" t="s">
        <v>46</v>
      </c>
      <c r="T313" t="s">
        <v>1283</v>
      </c>
      <c r="U313" t="s">
        <v>46</v>
      </c>
      <c r="V313" t="s">
        <v>1284</v>
      </c>
      <c r="W313" t="s">
        <v>53</v>
      </c>
      <c r="X313" t="s">
        <v>1285</v>
      </c>
      <c r="Y313" t="s">
        <v>51</v>
      </c>
      <c r="Z313" t="s">
        <v>1286</v>
      </c>
      <c r="AB313" t="s">
        <v>1287</v>
      </c>
      <c r="AC313" t="s">
        <v>1288</v>
      </c>
      <c r="AF313">
        <v>1003463922</v>
      </c>
      <c r="AG313">
        <v>749137</v>
      </c>
      <c r="AL313" t="s">
        <v>62</v>
      </c>
      <c r="AM313" t="str" cm="1">
        <f t="array" ref="AM313">_xlfn.IFS(OR(O313="Persoonlijk",O313="Zoon",O313="Dochter"),P313,OR(Q313="Persoonlijk",Q313="Zoon",Q313="Dochter"),R313,OR(S313="Persoonlijk",S313="Zoon",S313="Dochter"),T313,O313="Vader",P313,Q313="Vader",R313,S313="Vader",T313,O313="Moeder",P313,Q313="Moeder",R313,S313="Moeder",T313,TRUE,IF(P313&lt;&gt;"",P313,IF(R313&lt;&gt;"",R313,IF(T313&lt;&gt;"",T313,""))))</f>
        <v>jasper.espeel@gmail.com</v>
      </c>
      <c r="AN313" t="str" cm="1">
        <f t="array" ref="AN313">_xlfn.LET(_xlpm.raw,_xlfn.IFS(OR(U313="Persoonlijk",U313="Zoon",U313="Dochter"),V313,OR(W313="Persoonlijk",W313="Zoon",W313="Dochter"),X313,OR(Y313="Persoonlijk",Y313="Zoon",Y313="Dochter"),Z313,U313="Vader",V313,W313="Vader",X313,Y313="Vader",Z313,U313="Moeder",V313,W313="Moeder",X313,Y313="Moeder",Z313,TRUE,IF(V313&lt;&gt;"",V313,IF(X313&lt;&gt;"",X313,IF(Z313&lt;&gt;"",Z313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+32496150874</v>
      </c>
    </row>
    <row r="314" spans="1:40" x14ac:dyDescent="0.3">
      <c r="A314">
        <v>6417328</v>
      </c>
      <c r="B314" t="s">
        <v>1279</v>
      </c>
      <c r="C314" t="s">
        <v>335</v>
      </c>
      <c r="D314" t="s">
        <v>39</v>
      </c>
      <c r="E314" t="s">
        <v>40</v>
      </c>
      <c r="F314" t="s">
        <v>1289</v>
      </c>
      <c r="G314" t="s">
        <v>1281</v>
      </c>
      <c r="H314">
        <v>21</v>
      </c>
      <c r="U314" t="s">
        <v>53</v>
      </c>
      <c r="V314" t="s">
        <v>1285</v>
      </c>
      <c r="AF314">
        <v>1006417328</v>
      </c>
      <c r="AJ314" t="s">
        <v>75</v>
      </c>
      <c r="AK314" t="s">
        <v>61</v>
      </c>
      <c r="AM314" t="str" cm="1">
        <f t="array" ref="AM314">_xlfn.IFS(OR(O314="Persoonlijk",O314="Zoon",O314="Dochter"),P314,OR(Q314="Persoonlijk",Q314="Zoon",Q314="Dochter"),R314,OR(S314="Persoonlijk",S314="Zoon",S314="Dochter"),T314,O314="Vader",P314,Q314="Vader",R314,S314="Vader",T314,O314="Moeder",P314,Q314="Moeder",R314,S314="Moeder",T314,TRUE,IF(P314&lt;&gt;"",P314,IF(R314&lt;&gt;"",R314,IF(T314&lt;&gt;"",T314,""))))</f>
        <v/>
      </c>
      <c r="AN314" t="str" cm="1">
        <f t="array" ref="AN314">_xlfn.LET(_xlpm.raw,_xlfn.IFS(OR(U314="Persoonlijk",U314="Zoon",U314="Dochter"),V314,OR(W314="Persoonlijk",W314="Zoon",W314="Dochter"),X314,OR(Y314="Persoonlijk",Y314="Zoon",Y314="Dochter"),Z314,U314="Vader",V314,W314="Vader",X314,Y314="Vader",Z314,U314="Moeder",V314,W314="Moeder",X314,Y314="Moeder",Z314,TRUE,IF(V314&lt;&gt;"",V314,IF(X314&lt;&gt;"",X314,IF(Z314&lt;&gt;"",Z314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+32485070328</v>
      </c>
    </row>
    <row r="315" spans="1:40" x14ac:dyDescent="0.3">
      <c r="A315">
        <v>11855241</v>
      </c>
      <c r="B315" t="s">
        <v>1290</v>
      </c>
      <c r="C315" t="s">
        <v>1291</v>
      </c>
      <c r="D315" t="s">
        <v>39</v>
      </c>
      <c r="E315" t="s">
        <v>40</v>
      </c>
      <c r="F315" t="s">
        <v>1292</v>
      </c>
      <c r="G315" t="s">
        <v>1293</v>
      </c>
      <c r="H315">
        <v>106</v>
      </c>
      <c r="U315" t="s">
        <v>46</v>
      </c>
      <c r="V315" t="s">
        <v>1294</v>
      </c>
      <c r="X315">
        <v>0</v>
      </c>
      <c r="Z315">
        <v>0</v>
      </c>
      <c r="AA315">
        <v>0</v>
      </c>
      <c r="AC315" t="s">
        <v>1295</v>
      </c>
      <c r="AF315">
        <v>1011855241</v>
      </c>
      <c r="AG315">
        <v>648536</v>
      </c>
      <c r="AJ315" t="s">
        <v>743</v>
      </c>
      <c r="AK315" t="s">
        <v>61</v>
      </c>
      <c r="AM315" t="str" cm="1">
        <f t="array" ref="AM315">_xlfn.IFS(OR(O315="Persoonlijk",O315="Zoon",O315="Dochter"),P315,OR(Q315="Persoonlijk",Q315="Zoon",Q315="Dochter"),R315,OR(S315="Persoonlijk",S315="Zoon",S315="Dochter"),T315,O315="Vader",P315,Q315="Vader",R315,S315="Vader",T315,O315="Moeder",P315,Q315="Moeder",R315,S315="Moeder",T315,TRUE,IF(P315&lt;&gt;"",P315,IF(R315&lt;&gt;"",R315,IF(T315&lt;&gt;"",T315,""))))</f>
        <v/>
      </c>
      <c r="AN315" t="str" cm="1">
        <f t="array" ref="AN315">_xlfn.LET(_xlpm.raw,_xlfn.IFS(OR(U315="Persoonlijk",U315="Zoon",U315="Dochter"),V315,OR(W315="Persoonlijk",W315="Zoon",W315="Dochter"),X315,OR(Y315="Persoonlijk",Y315="Zoon",Y315="Dochter"),Z315,U315="Vader",V315,W315="Vader",X315,Y315="Vader",Z315,U315="Moeder",V315,W315="Moeder",X315,Y315="Moeder",Z315,TRUE,IF(V315&lt;&gt;"",V315,IF(X315&lt;&gt;"",X315,IF(Z315&lt;&gt;"",Z315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+32493339044</v>
      </c>
    </row>
    <row r="316" spans="1:40" x14ac:dyDescent="0.3">
      <c r="A316">
        <v>11846391</v>
      </c>
      <c r="B316" t="s">
        <v>1296</v>
      </c>
      <c r="C316" t="s">
        <v>1297</v>
      </c>
      <c r="D316" t="s">
        <v>39</v>
      </c>
      <c r="E316" t="s">
        <v>49</v>
      </c>
      <c r="F316" t="s">
        <v>1298</v>
      </c>
      <c r="G316" t="s">
        <v>1299</v>
      </c>
      <c r="V316" t="s">
        <v>1300</v>
      </c>
      <c r="AF316">
        <v>1011846391</v>
      </c>
      <c r="AJ316" t="s">
        <v>164</v>
      </c>
      <c r="AK316" t="s">
        <v>61</v>
      </c>
      <c r="AM316" t="str" cm="1">
        <f t="array" ref="AM316">_xlfn.IFS(OR(O316="Persoonlijk",O316="Zoon",O316="Dochter"),P316,OR(Q316="Persoonlijk",Q316="Zoon",Q316="Dochter"),R316,OR(S316="Persoonlijk",S316="Zoon",S316="Dochter"),T316,O316="Vader",P316,Q316="Vader",R316,S316="Vader",T316,O316="Moeder",P316,Q316="Moeder",R316,S316="Moeder",T316,TRUE,IF(P316&lt;&gt;"",P316,IF(R316&lt;&gt;"",R316,IF(T316&lt;&gt;"",T316,""))))</f>
        <v/>
      </c>
      <c r="AN316" t="str" cm="1">
        <f t="array" ref="AN316">_xlfn.LET(_xlpm.raw,_xlfn.IFS(OR(U316="Persoonlijk",U316="Zoon",U316="Dochter"),V316,OR(W316="Persoonlijk",W316="Zoon",W316="Dochter"),X316,OR(Y316="Persoonlijk",Y316="Zoon",Y316="Dochter"),Z316,U316="Vader",V316,W316="Vader",X316,Y316="Vader",Z316,U316="Moeder",V316,W316="Moeder",X316,Y316="Moeder",Z316,TRUE,IF(V316&lt;&gt;"",V316,IF(X316&lt;&gt;"",X316,IF(Z316&lt;&gt;"",Z316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+32470221432</v>
      </c>
    </row>
    <row r="317" spans="1:40" x14ac:dyDescent="0.3">
      <c r="A317">
        <v>9617396</v>
      </c>
      <c r="B317" t="s">
        <v>1296</v>
      </c>
      <c r="C317" t="s">
        <v>1301</v>
      </c>
      <c r="D317" t="s">
        <v>39</v>
      </c>
      <c r="E317" t="s">
        <v>49</v>
      </c>
      <c r="F317" t="s">
        <v>1302</v>
      </c>
      <c r="G317" t="s">
        <v>1299</v>
      </c>
      <c r="V317" t="s">
        <v>1300</v>
      </c>
      <c r="AF317">
        <v>1009617396</v>
      </c>
      <c r="AJ317" t="s">
        <v>97</v>
      </c>
      <c r="AK317" t="s">
        <v>61</v>
      </c>
      <c r="AM317" t="str" cm="1">
        <f t="array" ref="AM317">_xlfn.IFS(OR(O317="Persoonlijk",O317="Zoon",O317="Dochter"),P317,OR(Q317="Persoonlijk",Q317="Zoon",Q317="Dochter"),R317,OR(S317="Persoonlijk",S317="Zoon",S317="Dochter"),T317,O317="Vader",P317,Q317="Vader",R317,S317="Vader",T317,O317="Moeder",P317,Q317="Moeder",R317,S317="Moeder",T317,TRUE,IF(P317&lt;&gt;"",P317,IF(R317&lt;&gt;"",R317,IF(T317&lt;&gt;"",T317,""))))</f>
        <v/>
      </c>
      <c r="AN317" t="str" cm="1">
        <f t="array" ref="AN317">_xlfn.LET(_xlpm.raw,_xlfn.IFS(OR(U317="Persoonlijk",U317="Zoon",U317="Dochter"),V317,OR(W317="Persoonlijk",W317="Zoon",W317="Dochter"),X317,OR(Y317="Persoonlijk",Y317="Zoon",Y317="Dochter"),Z317,U317="Vader",V317,W317="Vader",X317,Y317="Vader",Z317,U317="Moeder",V317,W317="Moeder",X317,Y317="Moeder",Z317,TRUE,IF(V317&lt;&gt;"",V317,IF(X317&lt;&gt;"",X317,IF(Z317&lt;&gt;"",Z317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+32470221432</v>
      </c>
    </row>
    <row r="318" spans="1:40" x14ac:dyDescent="0.3">
      <c r="A318">
        <v>5532461</v>
      </c>
      <c r="B318" t="s">
        <v>1303</v>
      </c>
      <c r="C318" t="s">
        <v>1304</v>
      </c>
      <c r="D318" t="s">
        <v>39</v>
      </c>
      <c r="E318" t="s">
        <v>49</v>
      </c>
      <c r="F318" t="s">
        <v>1305</v>
      </c>
      <c r="G318" t="s">
        <v>1306</v>
      </c>
      <c r="H318">
        <v>21</v>
      </c>
      <c r="R318" t="s">
        <v>1307</v>
      </c>
      <c r="V318" t="s">
        <v>1308</v>
      </c>
      <c r="X318" t="s">
        <v>1309</v>
      </c>
      <c r="Z318">
        <v>0</v>
      </c>
      <c r="AA318">
        <v>0</v>
      </c>
      <c r="AF318">
        <v>1005532461</v>
      </c>
      <c r="AM318" t="str" cm="1">
        <f t="array" ref="AM318">_xlfn.IFS(OR(O318="Persoonlijk",O318="Zoon",O318="Dochter"),P318,OR(Q318="Persoonlijk",Q318="Zoon",Q318="Dochter"),R318,OR(S318="Persoonlijk",S318="Zoon",S318="Dochter"),T318,O318="Vader",P318,Q318="Vader",R318,S318="Vader",T318,O318="Moeder",P318,Q318="Moeder",R318,S318="Moeder",T318,TRUE,IF(P318&lt;&gt;"",P318,IF(R318&lt;&gt;"",R318,IF(T318&lt;&gt;"",T318,""))))</f>
        <v>evrard143@gmail.com</v>
      </c>
      <c r="AN318" t="str" cm="1">
        <f t="array" ref="AN318">_xlfn.LET(_xlpm.raw,_xlfn.IFS(OR(U318="Persoonlijk",U318="Zoon",U318="Dochter"),V318,OR(W318="Persoonlijk",W318="Zoon",W318="Dochter"),X318,OR(Y318="Persoonlijk",Y318="Zoon",Y318="Dochter"),Z318,U318="Vader",V318,W318="Vader",X318,Y318="Vader",Z318,U318="Moeder",V318,W318="Moeder",X318,Y318="Moeder",Z318,TRUE,IF(V318&lt;&gt;"",V318,IF(X318&lt;&gt;"",X318,IF(Z318&lt;&gt;"",Z318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+32473223315</v>
      </c>
    </row>
    <row r="319" spans="1:40" x14ac:dyDescent="0.3">
      <c r="A319">
        <v>4276094</v>
      </c>
      <c r="B319" t="s">
        <v>1310</v>
      </c>
      <c r="C319" t="s">
        <v>1311</v>
      </c>
      <c r="D319" t="s">
        <v>39</v>
      </c>
      <c r="E319" t="s">
        <v>49</v>
      </c>
      <c r="F319" t="s">
        <v>1312</v>
      </c>
      <c r="G319" t="s">
        <v>633</v>
      </c>
      <c r="H319">
        <v>2</v>
      </c>
      <c r="U319" t="s">
        <v>51</v>
      </c>
      <c r="V319" t="s">
        <v>1313</v>
      </c>
      <c r="AE319" t="s">
        <v>1314</v>
      </c>
      <c r="AF319">
        <v>1004276094</v>
      </c>
      <c r="AJ319" t="s">
        <v>97</v>
      </c>
      <c r="AK319" t="s">
        <v>61</v>
      </c>
      <c r="AL319" t="s">
        <v>62</v>
      </c>
      <c r="AM319" t="str" cm="1">
        <f t="array" ref="AM319">_xlfn.IFS(OR(O319="Persoonlijk",O319="Zoon",O319="Dochter"),P319,OR(Q319="Persoonlijk",Q319="Zoon",Q319="Dochter"),R319,OR(S319="Persoonlijk",S319="Zoon",S319="Dochter"),T319,O319="Vader",P319,Q319="Vader",R319,S319="Vader",T319,O319="Moeder",P319,Q319="Moeder",R319,S319="Moeder",T319,TRUE,IF(P319&lt;&gt;"",P319,IF(R319&lt;&gt;"",R319,IF(T319&lt;&gt;"",T319,""))))</f>
        <v/>
      </c>
      <c r="AN319" t="str" cm="1">
        <f t="array" ref="AN319">_xlfn.LET(_xlpm.raw,_xlfn.IFS(OR(U319="Persoonlijk",U319="Zoon",U319="Dochter"),V319,OR(W319="Persoonlijk",W319="Zoon",W319="Dochter"),X319,OR(Y319="Persoonlijk",Y319="Zoon",Y319="Dochter"),Z319,U319="Vader",V319,W319="Vader",X319,Y319="Vader",Z319,U319="Moeder",V319,W319="Moeder",X319,Y319="Moeder",Z319,TRUE,IF(V319&lt;&gt;"",V319,IF(X319&lt;&gt;"",X319,IF(Z319&lt;&gt;"",Z319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+32472960602</v>
      </c>
    </row>
    <row r="320" spans="1:40" x14ac:dyDescent="0.3">
      <c r="A320">
        <v>4276094</v>
      </c>
      <c r="B320" t="s">
        <v>1310</v>
      </c>
      <c r="C320" t="s">
        <v>1311</v>
      </c>
      <c r="D320" t="s">
        <v>39</v>
      </c>
      <c r="E320" t="s">
        <v>49</v>
      </c>
      <c r="F320" t="s">
        <v>1312</v>
      </c>
      <c r="G320" t="s">
        <v>633</v>
      </c>
      <c r="H320">
        <v>2</v>
      </c>
      <c r="U320" t="s">
        <v>51</v>
      </c>
      <c r="V320" t="s">
        <v>1313</v>
      </c>
      <c r="AE320" t="s">
        <v>1314</v>
      </c>
      <c r="AF320">
        <v>1004276094</v>
      </c>
      <c r="AJ320" t="s">
        <v>63</v>
      </c>
      <c r="AK320" t="s">
        <v>61</v>
      </c>
      <c r="AM320" t="str" cm="1">
        <f t="array" ref="AM320">_xlfn.IFS(OR(O320="Persoonlijk",O320="Zoon",O320="Dochter"),P320,OR(Q320="Persoonlijk",Q320="Zoon",Q320="Dochter"),R320,OR(S320="Persoonlijk",S320="Zoon",S320="Dochter"),T320,O320="Vader",P320,Q320="Vader",R320,S320="Vader",T320,O320="Moeder",P320,Q320="Moeder",R320,S320="Moeder",T320,TRUE,IF(P320&lt;&gt;"",P320,IF(R320&lt;&gt;"",R320,IF(T320&lt;&gt;"",T320,""))))</f>
        <v/>
      </c>
      <c r="AN320" t="str" cm="1">
        <f t="array" ref="AN320">_xlfn.LET(_xlpm.raw,_xlfn.IFS(OR(U320="Persoonlijk",U320="Zoon",U320="Dochter"),V320,OR(W320="Persoonlijk",W320="Zoon",W320="Dochter"),X320,OR(Y320="Persoonlijk",Y320="Zoon",Y320="Dochter"),Z320,U320="Vader",V320,W320="Vader",X320,Y320="Vader",Z320,U320="Moeder",V320,W320="Moeder",X320,Y320="Moeder",Z320,TRUE,IF(V320&lt;&gt;"",V320,IF(X320&lt;&gt;"",X320,IF(Z320&lt;&gt;"",Z320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+32472960602</v>
      </c>
    </row>
    <row r="321" spans="1:40" x14ac:dyDescent="0.3">
      <c r="A321">
        <v>3581792</v>
      </c>
      <c r="B321" t="s">
        <v>1315</v>
      </c>
      <c r="C321" t="s">
        <v>1316</v>
      </c>
      <c r="D321" t="s">
        <v>39</v>
      </c>
      <c r="E321" t="s">
        <v>40</v>
      </c>
      <c r="F321" t="s">
        <v>1014</v>
      </c>
      <c r="G321" t="s">
        <v>1317</v>
      </c>
      <c r="H321">
        <v>11</v>
      </c>
      <c r="U321" t="s">
        <v>51</v>
      </c>
      <c r="V321">
        <v>32473663542</v>
      </c>
      <c r="X321">
        <v>471063501</v>
      </c>
      <c r="Z321">
        <v>0</v>
      </c>
      <c r="AA321">
        <v>0</v>
      </c>
      <c r="AF321">
        <v>1003581792</v>
      </c>
      <c r="AM321" t="str" cm="1">
        <f t="array" ref="AM321">_xlfn.IFS(OR(O321="Persoonlijk",O321="Zoon",O321="Dochter"),P321,OR(Q321="Persoonlijk",Q321="Zoon",Q321="Dochter"),R321,OR(S321="Persoonlijk",S321="Zoon",S321="Dochter"),T321,O321="Vader",P321,Q321="Vader",R321,S321="Vader",T321,O321="Moeder",P321,Q321="Moeder",R321,S321="Moeder",T321,TRUE,IF(P321&lt;&gt;"",P321,IF(R321&lt;&gt;"",R321,IF(T321&lt;&gt;"",T321,""))))</f>
        <v/>
      </c>
      <c r="AN321" t="str" cm="1">
        <f t="array" ref="AN321">_xlfn.LET(_xlpm.raw,_xlfn.IFS(OR(U321="Persoonlijk",U321="Zoon",U321="Dochter"),V321,OR(W321="Persoonlijk",W321="Zoon",W321="Dochter"),X321,OR(Y321="Persoonlijk",Y321="Zoon",Y321="Dochter"),Z321,U321="Vader",V321,W321="Vader",X321,Y321="Vader",Z321,U321="Moeder",V321,W321="Moeder",X321,Y321="Moeder",Z321,TRUE,IF(V321&lt;&gt;"",V321,IF(X321&lt;&gt;"",X321,IF(Z321&lt;&gt;"",Z321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+32473663542</v>
      </c>
    </row>
    <row r="322" spans="1:40" x14ac:dyDescent="0.3">
      <c r="A322">
        <v>2650960</v>
      </c>
      <c r="B322" t="s">
        <v>1318</v>
      </c>
      <c r="C322" t="s">
        <v>1319</v>
      </c>
      <c r="D322" t="s">
        <v>39</v>
      </c>
      <c r="E322" t="s">
        <v>40</v>
      </c>
      <c r="F322" t="s">
        <v>1320</v>
      </c>
      <c r="G322" t="s">
        <v>1321</v>
      </c>
      <c r="H322">
        <v>10</v>
      </c>
      <c r="V322">
        <v>477187671</v>
      </c>
      <c r="AA322">
        <v>55457865</v>
      </c>
      <c r="AC322" t="s">
        <v>1322</v>
      </c>
      <c r="AF322">
        <v>1002650960</v>
      </c>
      <c r="AM322" t="str" cm="1">
        <f t="array" ref="AM322">_xlfn.IFS(OR(O322="Persoonlijk",O322="Zoon",O322="Dochter"),P322,OR(Q322="Persoonlijk",Q322="Zoon",Q322="Dochter"),R322,OR(S322="Persoonlijk",S322="Zoon",S322="Dochter"),T322,O322="Vader",P322,Q322="Vader",R322,S322="Vader",T322,O322="Moeder",P322,Q322="Moeder",R322,S322="Moeder",T322,TRUE,IF(P322&lt;&gt;"",P322,IF(R322&lt;&gt;"",R322,IF(T322&lt;&gt;"",T322,""))))</f>
        <v/>
      </c>
      <c r="AN322" t="str" cm="1">
        <f t="array" ref="AN322">_xlfn.LET(_xlpm.raw,_xlfn.IFS(OR(U322="Persoonlijk",U322="Zoon",U322="Dochter"),V322,OR(W322="Persoonlijk",W322="Zoon",W322="Dochter"),X322,OR(Y322="Persoonlijk",Y322="Zoon",Y322="Dochter"),Z322,U322="Vader",V322,W322="Vader",X322,Y322="Vader",Z322,U322="Moeder",V322,W322="Moeder",X322,Y322="Moeder",Z322,TRUE,IF(V322&lt;&gt;"",V322,IF(X322&lt;&gt;"",X322,IF(Z322&lt;&gt;"",Z322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+32477187671</v>
      </c>
    </row>
    <row r="323" spans="1:40" x14ac:dyDescent="0.3">
      <c r="A323">
        <v>7663249</v>
      </c>
      <c r="B323" t="s">
        <v>1323</v>
      </c>
      <c r="C323" t="s">
        <v>1324</v>
      </c>
      <c r="D323" t="s">
        <v>39</v>
      </c>
      <c r="E323" t="s">
        <v>49</v>
      </c>
      <c r="G323" t="s">
        <v>944</v>
      </c>
      <c r="H323">
        <v>42</v>
      </c>
      <c r="AF323">
        <v>1007663249</v>
      </c>
      <c r="AM323" t="str" cm="1">
        <f t="array" ref="AM323">_xlfn.IFS(OR(O323="Persoonlijk",O323="Zoon",O323="Dochter"),P323,OR(Q323="Persoonlijk",Q323="Zoon",Q323="Dochter"),R323,OR(S323="Persoonlijk",S323="Zoon",S323="Dochter"),T323,O323="Vader",P323,Q323="Vader",R323,S323="Vader",T323,O323="Moeder",P323,Q323="Moeder",R323,S323="Moeder",T323,TRUE,IF(P323&lt;&gt;"",P323,IF(R323&lt;&gt;"",R323,IF(T323&lt;&gt;"",T323,""))))</f>
        <v/>
      </c>
      <c r="AN323" t="str" cm="1">
        <f t="array" ref="AN323">_xlfn.LET(_xlpm.raw,_xlfn.IFS(OR(U323="Persoonlijk",U323="Zoon",U323="Dochter"),V323,OR(W323="Persoonlijk",W323="Zoon",W323="Dochter"),X323,OR(Y323="Persoonlijk",Y323="Zoon",Y323="Dochter"),Z323,U323="Vader",V323,W323="Vader",X323,Y323="Vader",Z323,U323="Moeder",V323,W323="Moeder",X323,Y323="Moeder",Z323,TRUE,IF(V323&lt;&gt;"",V323,IF(X323&lt;&gt;"",X323,IF(Z323&lt;&gt;"",Z323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24" spans="1:40" x14ac:dyDescent="0.3">
      <c r="A324">
        <v>2668160</v>
      </c>
      <c r="B324" t="s">
        <v>1325</v>
      </c>
      <c r="C324" t="s">
        <v>1326</v>
      </c>
      <c r="D324" t="s">
        <v>39</v>
      </c>
      <c r="E324" t="s">
        <v>40</v>
      </c>
      <c r="F324" t="s">
        <v>1327</v>
      </c>
      <c r="G324" t="s">
        <v>1328</v>
      </c>
      <c r="H324">
        <v>9</v>
      </c>
      <c r="AC324" t="s">
        <v>1329</v>
      </c>
      <c r="AF324">
        <v>1002668160</v>
      </c>
      <c r="AM324" t="str" cm="1">
        <f t="array" ref="AM324">_xlfn.IFS(OR(O324="Persoonlijk",O324="Zoon",O324="Dochter"),P324,OR(Q324="Persoonlijk",Q324="Zoon",Q324="Dochter"),R324,OR(S324="Persoonlijk",S324="Zoon",S324="Dochter"),T324,O324="Vader",P324,Q324="Vader",R324,S324="Vader",T324,O324="Moeder",P324,Q324="Moeder",R324,S324="Moeder",T324,TRUE,IF(P324&lt;&gt;"",P324,IF(R324&lt;&gt;"",R324,IF(T324&lt;&gt;"",T324,""))))</f>
        <v/>
      </c>
      <c r="AN324" t="str" cm="1">
        <f t="array" ref="AN324">_xlfn.LET(_xlpm.raw,_xlfn.IFS(OR(U324="Persoonlijk",U324="Zoon",U324="Dochter"),V324,OR(W324="Persoonlijk",W324="Zoon",W324="Dochter"),X324,OR(Y324="Persoonlijk",Y324="Zoon",Y324="Dochter"),Z324,U324="Vader",V324,W324="Vader",X324,Y324="Vader",Z324,U324="Moeder",V324,W324="Moeder",X324,Y324="Moeder",Z324,TRUE,IF(V324&lt;&gt;"",V324,IF(X324&lt;&gt;"",X324,IF(Z324&lt;&gt;"",Z324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25" spans="1:40" x14ac:dyDescent="0.3">
      <c r="A325">
        <v>2182896</v>
      </c>
      <c r="B325" t="s">
        <v>1325</v>
      </c>
      <c r="C325" t="s">
        <v>1330</v>
      </c>
      <c r="D325" t="s">
        <v>39</v>
      </c>
      <c r="E325" t="s">
        <v>40</v>
      </c>
      <c r="F325" t="s">
        <v>1331</v>
      </c>
      <c r="G325" t="s">
        <v>1328</v>
      </c>
      <c r="H325">
        <v>9</v>
      </c>
      <c r="AC325" t="s">
        <v>1332</v>
      </c>
      <c r="AF325">
        <v>1002182896</v>
      </c>
      <c r="AG325">
        <v>646498</v>
      </c>
      <c r="AM325" t="str" cm="1">
        <f t="array" ref="AM325">_xlfn.IFS(OR(O325="Persoonlijk",O325="Zoon",O325="Dochter"),P325,OR(Q325="Persoonlijk",Q325="Zoon",Q325="Dochter"),R325,OR(S325="Persoonlijk",S325="Zoon",S325="Dochter"),T325,O325="Vader",P325,Q325="Vader",R325,S325="Vader",T325,O325="Moeder",P325,Q325="Moeder",R325,S325="Moeder",T325,TRUE,IF(P325&lt;&gt;"",P325,IF(R325&lt;&gt;"",R325,IF(T325&lt;&gt;"",T325,""))))</f>
        <v/>
      </c>
      <c r="AN325" t="str" cm="1">
        <f t="array" ref="AN325">_xlfn.LET(_xlpm.raw,_xlfn.IFS(OR(U325="Persoonlijk",U325="Zoon",U325="Dochter"),V325,OR(W325="Persoonlijk",W325="Zoon",W325="Dochter"),X325,OR(Y325="Persoonlijk",Y325="Zoon",Y325="Dochter"),Z325,U325="Vader",V325,W325="Vader",X325,Y325="Vader",Z325,U325="Moeder",V325,W325="Moeder",X325,Y325="Moeder",Z325,TRUE,IF(V325&lt;&gt;"",V325,IF(X325&lt;&gt;"",X325,IF(Z325&lt;&gt;"",Z325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26" spans="1:40" x14ac:dyDescent="0.3">
      <c r="A326">
        <v>8614145</v>
      </c>
      <c r="B326" t="s">
        <v>1333</v>
      </c>
      <c r="C326" t="s">
        <v>1334</v>
      </c>
      <c r="D326" t="s">
        <v>39</v>
      </c>
      <c r="E326" t="s">
        <v>49</v>
      </c>
      <c r="F326" t="s">
        <v>1335</v>
      </c>
      <c r="G326" t="s">
        <v>1336</v>
      </c>
      <c r="H326" t="s">
        <v>1337</v>
      </c>
      <c r="Q326" t="s">
        <v>51</v>
      </c>
      <c r="R326" t="s">
        <v>1338</v>
      </c>
      <c r="U326" t="s">
        <v>53</v>
      </c>
      <c r="V326" t="s">
        <v>1339</v>
      </c>
      <c r="W326" t="s">
        <v>51</v>
      </c>
      <c r="X326">
        <v>32494195355</v>
      </c>
      <c r="AF326">
        <v>1008614145</v>
      </c>
      <c r="AJ326" t="s">
        <v>164</v>
      </c>
      <c r="AK326" t="s">
        <v>61</v>
      </c>
      <c r="AM326" t="str" cm="1">
        <f t="array" ref="AM326">_xlfn.IFS(OR(O326="Persoonlijk",O326="Zoon",O326="Dochter"),P326,OR(Q326="Persoonlijk",Q326="Zoon",Q326="Dochter"),R326,OR(S326="Persoonlijk",S326="Zoon",S326="Dochter"),T326,O326="Vader",P326,Q326="Vader",R326,S326="Vader",T326,O326="Moeder",P326,Q326="Moeder",R326,S326="Moeder",T326,TRUE,IF(P326&lt;&gt;"",P326,IF(R326&lt;&gt;"",R326,IF(T326&lt;&gt;"",T326,""))))</f>
        <v>stephengeenens@gmail.com</v>
      </c>
      <c r="AN326" t="str" cm="1">
        <f t="array" ref="AN326">_xlfn.LET(_xlpm.raw,_xlfn.IFS(OR(U326="Persoonlijk",U326="Zoon",U326="Dochter"),V326,OR(W326="Persoonlijk",W326="Zoon",W326="Dochter"),X326,OR(Y326="Persoonlijk",Y326="Zoon",Y326="Dochter"),Z326,U326="Vader",V326,W326="Vader",X326,Y326="Vader",Z326,U326="Moeder",V326,W326="Moeder",X326,Y326="Moeder",Z326,TRUE,IF(V326&lt;&gt;"",V326,IF(X326&lt;&gt;"",X326,IF(Z326&lt;&gt;"",Z326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+32494195355</v>
      </c>
    </row>
    <row r="327" spans="1:40" x14ac:dyDescent="0.3">
      <c r="A327">
        <v>8614145</v>
      </c>
      <c r="B327" t="s">
        <v>1333</v>
      </c>
      <c r="C327" t="s">
        <v>1334</v>
      </c>
      <c r="D327" t="s">
        <v>39</v>
      </c>
      <c r="E327" t="s">
        <v>49</v>
      </c>
      <c r="F327" t="s">
        <v>1335</v>
      </c>
      <c r="G327" t="s">
        <v>1336</v>
      </c>
      <c r="H327" t="s">
        <v>1337</v>
      </c>
      <c r="Q327" t="s">
        <v>51</v>
      </c>
      <c r="R327" t="s">
        <v>1338</v>
      </c>
      <c r="U327" t="s">
        <v>53</v>
      </c>
      <c r="V327" t="s">
        <v>1339</v>
      </c>
      <c r="W327" t="s">
        <v>51</v>
      </c>
      <c r="X327">
        <v>32494195355</v>
      </c>
      <c r="AF327">
        <v>1008614145</v>
      </c>
      <c r="AJ327" t="s">
        <v>87</v>
      </c>
      <c r="AK327" t="s">
        <v>61</v>
      </c>
      <c r="AM327" t="str" cm="1">
        <f t="array" ref="AM327">_xlfn.IFS(OR(O327="Persoonlijk",O327="Zoon",O327="Dochter"),P327,OR(Q327="Persoonlijk",Q327="Zoon",Q327="Dochter"),R327,OR(S327="Persoonlijk",S327="Zoon",S327="Dochter"),T327,O327="Vader",P327,Q327="Vader",R327,S327="Vader",T327,O327="Moeder",P327,Q327="Moeder",R327,S327="Moeder",T327,TRUE,IF(P327&lt;&gt;"",P327,IF(R327&lt;&gt;"",R327,IF(T327&lt;&gt;"",T327,""))))</f>
        <v>stephengeenens@gmail.com</v>
      </c>
      <c r="AN327" t="str" cm="1">
        <f t="array" ref="AN327">_xlfn.LET(_xlpm.raw,_xlfn.IFS(OR(U327="Persoonlijk",U327="Zoon",U327="Dochter"),V327,OR(W327="Persoonlijk",W327="Zoon",W327="Dochter"),X327,OR(Y327="Persoonlijk",Y327="Zoon",Y327="Dochter"),Z327,U327="Vader",V327,W327="Vader",X327,Y327="Vader",Z327,U327="Moeder",V327,W327="Moeder",X327,Y327="Moeder",Z327,TRUE,IF(V327&lt;&gt;"",V327,IF(X327&lt;&gt;"",X327,IF(Z327&lt;&gt;"",Z327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+32494195355</v>
      </c>
    </row>
    <row r="328" spans="1:40" x14ac:dyDescent="0.3">
      <c r="A328">
        <v>6119134</v>
      </c>
      <c r="B328" t="s">
        <v>1333</v>
      </c>
      <c r="C328" t="s">
        <v>255</v>
      </c>
      <c r="D328" t="s">
        <v>39</v>
      </c>
      <c r="E328" t="s">
        <v>49</v>
      </c>
      <c r="F328" t="s">
        <v>1340</v>
      </c>
      <c r="G328" t="s">
        <v>1336</v>
      </c>
      <c r="H328" t="s">
        <v>1337</v>
      </c>
      <c r="Q328" t="s">
        <v>51</v>
      </c>
      <c r="R328" t="s">
        <v>1338</v>
      </c>
      <c r="U328" t="s">
        <v>53</v>
      </c>
      <c r="V328" t="s">
        <v>1339</v>
      </c>
      <c r="W328" t="s">
        <v>51</v>
      </c>
      <c r="X328">
        <v>32494195355</v>
      </c>
      <c r="AC328" t="s">
        <v>1341</v>
      </c>
      <c r="AF328">
        <v>1006119134</v>
      </c>
      <c r="AJ328" t="s">
        <v>63</v>
      </c>
      <c r="AK328" t="s">
        <v>61</v>
      </c>
      <c r="AM328" t="str" cm="1">
        <f t="array" ref="AM328">_xlfn.IFS(OR(O328="Persoonlijk",O328="Zoon",O328="Dochter"),P328,OR(Q328="Persoonlijk",Q328="Zoon",Q328="Dochter"),R328,OR(S328="Persoonlijk",S328="Zoon",S328="Dochter"),T328,O328="Vader",P328,Q328="Vader",R328,S328="Vader",T328,O328="Moeder",P328,Q328="Moeder",R328,S328="Moeder",T328,TRUE,IF(P328&lt;&gt;"",P328,IF(R328&lt;&gt;"",R328,IF(T328&lt;&gt;"",T328,""))))</f>
        <v>stephengeenens@gmail.com</v>
      </c>
      <c r="AN328" t="str" cm="1">
        <f t="array" ref="AN328">_xlfn.LET(_xlpm.raw,_xlfn.IFS(OR(U328="Persoonlijk",U328="Zoon",U328="Dochter"),V328,OR(W328="Persoonlijk",W328="Zoon",W328="Dochter"),X328,OR(Y328="Persoonlijk",Y328="Zoon",Y328="Dochter"),Z328,U328="Vader",V328,W328="Vader",X328,Y328="Vader",Z328,U328="Moeder",V328,W328="Moeder",X328,Y328="Moeder",Z328,TRUE,IF(V328&lt;&gt;"",V328,IF(X328&lt;&gt;"",X328,IF(Z328&lt;&gt;"",Z328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+32494195355</v>
      </c>
    </row>
    <row r="329" spans="1:40" x14ac:dyDescent="0.3">
      <c r="A329">
        <v>6119134</v>
      </c>
      <c r="B329" t="s">
        <v>1333</v>
      </c>
      <c r="C329" t="s">
        <v>255</v>
      </c>
      <c r="D329" t="s">
        <v>39</v>
      </c>
      <c r="E329" t="s">
        <v>49</v>
      </c>
      <c r="F329" t="s">
        <v>1340</v>
      </c>
      <c r="G329" t="s">
        <v>1336</v>
      </c>
      <c r="H329" t="s">
        <v>1337</v>
      </c>
      <c r="Q329" t="s">
        <v>51</v>
      </c>
      <c r="R329" t="s">
        <v>1338</v>
      </c>
      <c r="U329" t="s">
        <v>53</v>
      </c>
      <c r="V329" t="s">
        <v>1339</v>
      </c>
      <c r="W329" t="s">
        <v>51</v>
      </c>
      <c r="X329">
        <v>32494195355</v>
      </c>
      <c r="AC329" t="s">
        <v>1341</v>
      </c>
      <c r="AF329">
        <v>1006119134</v>
      </c>
      <c r="AJ329" t="s">
        <v>127</v>
      </c>
      <c r="AK329" t="s">
        <v>61</v>
      </c>
      <c r="AM329" t="str" cm="1">
        <f t="array" ref="AM329">_xlfn.IFS(OR(O329="Persoonlijk",O329="Zoon",O329="Dochter"),P329,OR(Q329="Persoonlijk",Q329="Zoon",Q329="Dochter"),R329,OR(S329="Persoonlijk",S329="Zoon",S329="Dochter"),T329,O329="Vader",P329,Q329="Vader",R329,S329="Vader",T329,O329="Moeder",P329,Q329="Moeder",R329,S329="Moeder",T329,TRUE,IF(P329&lt;&gt;"",P329,IF(R329&lt;&gt;"",R329,IF(T329&lt;&gt;"",T329,""))))</f>
        <v>stephengeenens@gmail.com</v>
      </c>
      <c r="AN329" t="str" cm="1">
        <f t="array" ref="AN329">_xlfn.LET(_xlpm.raw,_xlfn.IFS(OR(U329="Persoonlijk",U329="Zoon",U329="Dochter"),V329,OR(W329="Persoonlijk",W329="Zoon",W329="Dochter"),X329,OR(Y329="Persoonlijk",Y329="Zoon",Y329="Dochter"),Z329,U329="Vader",V329,W329="Vader",X329,Y329="Vader",Z329,U329="Moeder",V329,W329="Moeder",X329,Y329="Moeder",Z329,TRUE,IF(V329&lt;&gt;"",V329,IF(X329&lt;&gt;"",X329,IF(Z329&lt;&gt;"",Z329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+32494195355</v>
      </c>
    </row>
    <row r="330" spans="1:40" x14ac:dyDescent="0.3">
      <c r="A330">
        <v>10377574</v>
      </c>
      <c r="B330" t="s">
        <v>1333</v>
      </c>
      <c r="C330" t="s">
        <v>562</v>
      </c>
      <c r="D330" t="s">
        <v>39</v>
      </c>
      <c r="E330" t="s">
        <v>40</v>
      </c>
      <c r="F330" t="s">
        <v>1342</v>
      </c>
      <c r="G330" t="s">
        <v>1343</v>
      </c>
      <c r="H330">
        <v>30</v>
      </c>
      <c r="U330" t="s">
        <v>53</v>
      </c>
      <c r="V330" t="s">
        <v>1344</v>
      </c>
      <c r="W330" t="s">
        <v>51</v>
      </c>
      <c r="X330" t="s">
        <v>1345</v>
      </c>
      <c r="AC330" t="s">
        <v>1346</v>
      </c>
      <c r="AE330" t="s">
        <v>1347</v>
      </c>
      <c r="AF330">
        <v>1010377574</v>
      </c>
      <c r="AJ330" t="s">
        <v>104</v>
      </c>
      <c r="AK330" t="s">
        <v>61</v>
      </c>
      <c r="AM330" t="str" cm="1">
        <f t="array" ref="AM330">_xlfn.IFS(OR(O330="Persoonlijk",O330="Zoon",O330="Dochter"),P330,OR(Q330="Persoonlijk",Q330="Zoon",Q330="Dochter"),R330,OR(S330="Persoonlijk",S330="Zoon",S330="Dochter"),T330,O330="Vader",P330,Q330="Vader",R330,S330="Vader",T330,O330="Moeder",P330,Q330="Moeder",R330,S330="Moeder",T330,TRUE,IF(P330&lt;&gt;"",P330,IF(R330&lt;&gt;"",R330,IF(T330&lt;&gt;"",T330,""))))</f>
        <v/>
      </c>
      <c r="AN330" t="str" cm="1">
        <f t="array" ref="AN330">_xlfn.LET(_xlpm.raw,_xlfn.IFS(OR(U330="Persoonlijk",U330="Zoon",U330="Dochter"),V330,OR(W330="Persoonlijk",W330="Zoon",W330="Dochter"),X330,OR(Y330="Persoonlijk",Y330="Zoon",Y330="Dochter"),Z330,U330="Vader",V330,W330="Vader",X330,Y330="Vader",Z330,U330="Moeder",V330,W330="Moeder",X330,Y330="Moeder",Z330,TRUE,IF(V330&lt;&gt;"",V330,IF(X330&lt;&gt;"",X330,IF(Z330&lt;&gt;"",Z330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+32479858482</v>
      </c>
    </row>
    <row r="331" spans="1:40" x14ac:dyDescent="0.3">
      <c r="A331">
        <v>11244586</v>
      </c>
      <c r="B331" t="s">
        <v>1333</v>
      </c>
      <c r="C331" t="s">
        <v>1348</v>
      </c>
      <c r="D331" t="s">
        <v>39</v>
      </c>
      <c r="E331" t="s">
        <v>40</v>
      </c>
      <c r="F331" t="s">
        <v>1349</v>
      </c>
      <c r="G331" t="s">
        <v>1336</v>
      </c>
      <c r="H331" t="s">
        <v>1337</v>
      </c>
      <c r="V331" t="s">
        <v>1350</v>
      </c>
      <c r="AC331" t="s">
        <v>1351</v>
      </c>
      <c r="AF331">
        <v>1011244586</v>
      </c>
      <c r="AG331">
        <v>773025</v>
      </c>
      <c r="AL331" t="s">
        <v>621</v>
      </c>
      <c r="AM331" t="str" cm="1">
        <f t="array" ref="AM331">_xlfn.IFS(OR(O331="Persoonlijk",O331="Zoon",O331="Dochter"),P331,OR(Q331="Persoonlijk",Q331="Zoon",Q331="Dochter"),R331,OR(S331="Persoonlijk",S331="Zoon",S331="Dochter"),T331,O331="Vader",P331,Q331="Vader",R331,S331="Vader",T331,O331="Moeder",P331,Q331="Moeder",R331,S331="Moeder",T331,TRUE,IF(P331&lt;&gt;"",P331,IF(R331&lt;&gt;"",R331,IF(T331&lt;&gt;"",T331,""))))</f>
        <v/>
      </c>
      <c r="AN331" t="str" cm="1">
        <f t="array" ref="AN331">_xlfn.LET(_xlpm.raw,_xlfn.IFS(OR(U331="Persoonlijk",U331="Zoon",U331="Dochter"),V331,OR(W331="Persoonlijk",W331="Zoon",W331="Dochter"),X331,OR(Y331="Persoonlijk",Y331="Zoon",Y331="Dochter"),Z331,U331="Vader",V331,W331="Vader",X331,Y331="Vader",Z331,U331="Moeder",V331,W331="Moeder",X331,Y331="Moeder",Z331,TRUE,IF(V331&lt;&gt;"",V331,IF(X331&lt;&gt;"",X331,IF(Z331&lt;&gt;"",Z331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+32494195355</v>
      </c>
    </row>
    <row r="332" spans="1:40" x14ac:dyDescent="0.3">
      <c r="A332">
        <v>11244586</v>
      </c>
      <c r="B332" t="s">
        <v>1333</v>
      </c>
      <c r="C332" t="s">
        <v>1348</v>
      </c>
      <c r="D332" t="s">
        <v>39</v>
      </c>
      <c r="E332" t="s">
        <v>40</v>
      </c>
      <c r="F332" t="s">
        <v>1349</v>
      </c>
      <c r="G332" t="s">
        <v>1336</v>
      </c>
      <c r="H332" t="s">
        <v>1337</v>
      </c>
      <c r="V332" t="s">
        <v>1350</v>
      </c>
      <c r="AC332" t="s">
        <v>1351</v>
      </c>
      <c r="AF332">
        <v>1011244586</v>
      </c>
      <c r="AG332">
        <v>773025</v>
      </c>
      <c r="AL332" t="s">
        <v>620</v>
      </c>
      <c r="AM332" t="str" cm="1">
        <f t="array" ref="AM332">_xlfn.IFS(OR(O332="Persoonlijk",O332="Zoon",O332="Dochter"),P332,OR(Q332="Persoonlijk",Q332="Zoon",Q332="Dochter"),R332,OR(S332="Persoonlijk",S332="Zoon",S332="Dochter"),T332,O332="Vader",P332,Q332="Vader",R332,S332="Vader",T332,O332="Moeder",P332,Q332="Moeder",R332,S332="Moeder",T332,TRUE,IF(P332&lt;&gt;"",P332,IF(R332&lt;&gt;"",R332,IF(T332&lt;&gt;"",T332,""))))</f>
        <v/>
      </c>
      <c r="AN332" t="str" cm="1">
        <f t="array" ref="AN332">_xlfn.LET(_xlpm.raw,_xlfn.IFS(OR(U332="Persoonlijk",U332="Zoon",U332="Dochter"),V332,OR(W332="Persoonlijk",W332="Zoon",W332="Dochter"),X332,OR(Y332="Persoonlijk",Y332="Zoon",Y332="Dochter"),Z332,U332="Vader",V332,W332="Vader",X332,Y332="Vader",Z332,U332="Moeder",V332,W332="Moeder",X332,Y332="Moeder",Z332,TRUE,IF(V332&lt;&gt;"",V332,IF(X332&lt;&gt;"",X332,IF(Z332&lt;&gt;"",Z332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+32494195355</v>
      </c>
    </row>
    <row r="333" spans="1:40" x14ac:dyDescent="0.3">
      <c r="A333">
        <v>3405198</v>
      </c>
      <c r="B333" t="s">
        <v>1352</v>
      </c>
      <c r="C333" t="s">
        <v>380</v>
      </c>
      <c r="D333" t="s">
        <v>39</v>
      </c>
      <c r="E333" t="s">
        <v>40</v>
      </c>
      <c r="F333" t="s">
        <v>1353</v>
      </c>
      <c r="G333" t="s">
        <v>1354</v>
      </c>
      <c r="H333">
        <v>25</v>
      </c>
      <c r="V333" t="s">
        <v>1355</v>
      </c>
      <c r="X333" t="s">
        <v>1356</v>
      </c>
      <c r="AF333">
        <v>1003405198</v>
      </c>
      <c r="AM333" t="str" cm="1">
        <f t="array" ref="AM333">_xlfn.IFS(OR(O333="Persoonlijk",O333="Zoon",O333="Dochter"),P333,OR(Q333="Persoonlijk",Q333="Zoon",Q333="Dochter"),R333,OR(S333="Persoonlijk",S333="Zoon",S333="Dochter"),T333,O333="Vader",P333,Q333="Vader",R333,S333="Vader",T333,O333="Moeder",P333,Q333="Moeder",R333,S333="Moeder",T333,TRUE,IF(P333&lt;&gt;"",P333,IF(R333&lt;&gt;"",R333,IF(T333&lt;&gt;"",T333,""))))</f>
        <v/>
      </c>
      <c r="AN333" t="str" cm="1">
        <f t="array" ref="AN333">_xlfn.LET(_xlpm.raw,_xlfn.IFS(OR(U333="Persoonlijk",U333="Zoon",U333="Dochter"),V333,OR(W333="Persoonlijk",W333="Zoon",W333="Dochter"),X333,OR(Y333="Persoonlijk",Y333="Zoon",Y333="Dochter"),Z333,U333="Vader",V333,W333="Vader",X333,Y333="Vader",Z333,U333="Moeder",V333,W333="Moeder",X333,Y333="Moeder",Z333,TRUE,IF(V333&lt;&gt;"",V333,IF(X333&lt;&gt;"",X333,IF(Z333&lt;&gt;"",Z333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+32499132186</v>
      </c>
    </row>
    <row r="334" spans="1:40" x14ac:dyDescent="0.3">
      <c r="A334">
        <v>10753754</v>
      </c>
      <c r="B334" t="s">
        <v>1352</v>
      </c>
      <c r="C334" t="s">
        <v>1357</v>
      </c>
      <c r="D334" t="s">
        <v>39</v>
      </c>
      <c r="E334" t="s">
        <v>40</v>
      </c>
      <c r="F334" t="s">
        <v>1358</v>
      </c>
      <c r="Q334" t="s">
        <v>51</v>
      </c>
      <c r="R334" t="s">
        <v>1359</v>
      </c>
      <c r="S334" t="s">
        <v>46</v>
      </c>
      <c r="T334" t="s">
        <v>1360</v>
      </c>
      <c r="U334" t="s">
        <v>53</v>
      </c>
      <c r="V334" t="s">
        <v>1361</v>
      </c>
      <c r="W334" t="s">
        <v>51</v>
      </c>
      <c r="X334" t="s">
        <v>1362</v>
      </c>
      <c r="Y334" t="s">
        <v>46</v>
      </c>
      <c r="Z334" t="s">
        <v>1363</v>
      </c>
      <c r="AF334">
        <v>1010753754</v>
      </c>
      <c r="AJ334" t="s">
        <v>143</v>
      </c>
      <c r="AK334" t="s">
        <v>61</v>
      </c>
      <c r="AM334" t="str" cm="1">
        <f t="array" ref="AM334">_xlfn.IFS(OR(O334="Persoonlijk",O334="Zoon",O334="Dochter"),P334,OR(Q334="Persoonlijk",Q334="Zoon",Q334="Dochter"),R334,OR(S334="Persoonlijk",S334="Zoon",S334="Dochter"),T334,O334="Vader",P334,Q334="Vader",R334,S334="Vader",T334,O334="Moeder",P334,Q334="Moeder",R334,S334="Moeder",T334,TRUE,IF(P334&lt;&gt;"",P334,IF(R334&lt;&gt;"",R334,IF(T334&lt;&gt;"",T334,""))))</f>
        <v>victorgeiregat@gmail.com</v>
      </c>
      <c r="AN334" t="str" cm="1">
        <f t="array" ref="AN334">_xlfn.LET(_xlpm.raw,_xlfn.IFS(OR(U334="Persoonlijk",U334="Zoon",U334="Dochter"),V334,OR(W334="Persoonlijk",W334="Zoon",W334="Dochter"),X334,OR(Y334="Persoonlijk",Y334="Zoon",Y334="Dochter"),Z334,U334="Vader",V334,W334="Vader",X334,Y334="Vader",Z334,U334="Moeder",V334,W334="Moeder",X334,Y334="Moeder",Z334,TRUE,IF(V334&lt;&gt;"",V334,IF(X334&lt;&gt;"",X334,IF(Z334&lt;&gt;"",Z334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+32467007382</v>
      </c>
    </row>
    <row r="335" spans="1:40" x14ac:dyDescent="0.3">
      <c r="A335">
        <v>10753754</v>
      </c>
      <c r="B335" t="s">
        <v>1352</v>
      </c>
      <c r="C335" t="s">
        <v>1357</v>
      </c>
      <c r="D335" t="s">
        <v>39</v>
      </c>
      <c r="E335" t="s">
        <v>40</v>
      </c>
      <c r="F335" t="s">
        <v>1358</v>
      </c>
      <c r="Q335" t="s">
        <v>51</v>
      </c>
      <c r="R335" t="s">
        <v>1359</v>
      </c>
      <c r="S335" t="s">
        <v>46</v>
      </c>
      <c r="T335" t="s">
        <v>1360</v>
      </c>
      <c r="U335" t="s">
        <v>53</v>
      </c>
      <c r="V335" t="s">
        <v>1361</v>
      </c>
      <c r="W335" t="s">
        <v>51</v>
      </c>
      <c r="X335" t="s">
        <v>1362</v>
      </c>
      <c r="Y335" t="s">
        <v>46</v>
      </c>
      <c r="Z335" t="s">
        <v>1363</v>
      </c>
      <c r="AF335">
        <v>1010753754</v>
      </c>
      <c r="AJ335" t="s">
        <v>63</v>
      </c>
      <c r="AK335" t="s">
        <v>61</v>
      </c>
      <c r="AM335" t="str" cm="1">
        <f t="array" ref="AM335">_xlfn.IFS(OR(O335="Persoonlijk",O335="Zoon",O335="Dochter"),P335,OR(Q335="Persoonlijk",Q335="Zoon",Q335="Dochter"),R335,OR(S335="Persoonlijk",S335="Zoon",S335="Dochter"),T335,O335="Vader",P335,Q335="Vader",R335,S335="Vader",T335,O335="Moeder",P335,Q335="Moeder",R335,S335="Moeder",T335,TRUE,IF(P335&lt;&gt;"",P335,IF(R335&lt;&gt;"",R335,IF(T335&lt;&gt;"",T335,""))))</f>
        <v>victorgeiregat@gmail.com</v>
      </c>
      <c r="AN335" t="str" cm="1">
        <f t="array" ref="AN335">_xlfn.LET(_xlpm.raw,_xlfn.IFS(OR(U335="Persoonlijk",U335="Zoon",U335="Dochter"),V335,OR(W335="Persoonlijk",W335="Zoon",W335="Dochter"),X335,OR(Y335="Persoonlijk",Y335="Zoon",Y335="Dochter"),Z335,U335="Vader",V335,W335="Vader",X335,Y335="Vader",Z335,U335="Moeder",V335,W335="Moeder",X335,Y335="Moeder",Z335,TRUE,IF(V335&lt;&gt;"",V335,IF(X335&lt;&gt;"",X335,IF(Z335&lt;&gt;"",Z335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+32467007382</v>
      </c>
    </row>
    <row r="336" spans="1:40" x14ac:dyDescent="0.3">
      <c r="A336">
        <v>8579142</v>
      </c>
      <c r="B336" t="s">
        <v>1364</v>
      </c>
      <c r="C336" t="s">
        <v>1365</v>
      </c>
      <c r="D336" t="s">
        <v>39</v>
      </c>
      <c r="E336" t="s">
        <v>40</v>
      </c>
      <c r="F336" t="s">
        <v>1366</v>
      </c>
      <c r="G336" t="s">
        <v>1367</v>
      </c>
      <c r="H336" t="s">
        <v>1368</v>
      </c>
      <c r="Q336" t="s">
        <v>116</v>
      </c>
      <c r="R336" t="s">
        <v>1369</v>
      </c>
      <c r="U336" t="s">
        <v>51</v>
      </c>
      <c r="V336" t="s">
        <v>1370</v>
      </c>
      <c r="AC336" t="s">
        <v>1371</v>
      </c>
      <c r="AE336" t="s">
        <v>1372</v>
      </c>
      <c r="AF336">
        <v>1008579142</v>
      </c>
      <c r="AJ336" t="s">
        <v>202</v>
      </c>
      <c r="AK336" t="s">
        <v>61</v>
      </c>
      <c r="AM336" t="str" cm="1">
        <f t="array" ref="AM336">_xlfn.IFS(OR(O336="Persoonlijk",O336="Zoon",O336="Dochter"),P336,OR(Q336="Persoonlijk",Q336="Zoon",Q336="Dochter"),R336,OR(S336="Persoonlijk",S336="Zoon",S336="Dochter"),T336,O336="Vader",P336,Q336="Vader",R336,S336="Vader",T336,O336="Moeder",P336,Q336="Moeder",R336,S336="Moeder",T336,TRUE,IF(P336&lt;&gt;"",P336,IF(R336&lt;&gt;"",R336,IF(T336&lt;&gt;"",T336,""))))</f>
        <v>basiel.genbrugge@gmail.com</v>
      </c>
      <c r="AN336" t="str" cm="1">
        <f t="array" ref="AN336">_xlfn.LET(_xlpm.raw,_xlfn.IFS(OR(U336="Persoonlijk",U336="Zoon",U336="Dochter"),V336,OR(W336="Persoonlijk",W336="Zoon",W336="Dochter"),X336,OR(Y336="Persoonlijk",Y336="Zoon",Y336="Dochter"),Z336,U336="Vader",V336,W336="Vader",X336,Y336="Vader",Z336,U336="Moeder",V336,W336="Moeder",X336,Y336="Moeder",Z336,TRUE,IF(V336&lt;&gt;"",V336,IF(X336&lt;&gt;"",X336,IF(Z336&lt;&gt;"",Z336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+32486314030</v>
      </c>
    </row>
    <row r="337" spans="1:40" x14ac:dyDescent="0.3">
      <c r="A337">
        <v>8579142</v>
      </c>
      <c r="B337" t="s">
        <v>1364</v>
      </c>
      <c r="C337" t="s">
        <v>1365</v>
      </c>
      <c r="D337" t="s">
        <v>39</v>
      </c>
      <c r="E337" t="s">
        <v>40</v>
      </c>
      <c r="F337" t="s">
        <v>1366</v>
      </c>
      <c r="G337" t="s">
        <v>1367</v>
      </c>
      <c r="H337" t="s">
        <v>1368</v>
      </c>
      <c r="Q337" t="s">
        <v>116</v>
      </c>
      <c r="R337" t="s">
        <v>1369</v>
      </c>
      <c r="U337" t="s">
        <v>51</v>
      </c>
      <c r="V337" t="s">
        <v>1370</v>
      </c>
      <c r="AC337" t="s">
        <v>1371</v>
      </c>
      <c r="AE337" t="s">
        <v>1372</v>
      </c>
      <c r="AF337">
        <v>1008579142</v>
      </c>
      <c r="AJ337" t="s">
        <v>63</v>
      </c>
      <c r="AK337" t="s">
        <v>61</v>
      </c>
      <c r="AM337" t="str" cm="1">
        <f t="array" ref="AM337">_xlfn.IFS(OR(O337="Persoonlijk",O337="Zoon",O337="Dochter"),P337,OR(Q337="Persoonlijk",Q337="Zoon",Q337="Dochter"),R337,OR(S337="Persoonlijk",S337="Zoon",S337="Dochter"),T337,O337="Vader",P337,Q337="Vader",R337,S337="Vader",T337,O337="Moeder",P337,Q337="Moeder",R337,S337="Moeder",T337,TRUE,IF(P337&lt;&gt;"",P337,IF(R337&lt;&gt;"",R337,IF(T337&lt;&gt;"",T337,""))))</f>
        <v>basiel.genbrugge@gmail.com</v>
      </c>
      <c r="AN337" t="str" cm="1">
        <f t="array" ref="AN337">_xlfn.LET(_xlpm.raw,_xlfn.IFS(OR(U337="Persoonlijk",U337="Zoon",U337="Dochter"),V337,OR(W337="Persoonlijk",W337="Zoon",W337="Dochter"),X337,OR(Y337="Persoonlijk",Y337="Zoon",Y337="Dochter"),Z337,U337="Vader",V337,W337="Vader",X337,Y337="Vader",Z337,U337="Moeder",V337,W337="Moeder",X337,Y337="Moeder",Z337,TRUE,IF(V337&lt;&gt;"",V337,IF(X337&lt;&gt;"",X337,IF(Z337&lt;&gt;"",Z337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+32486314030</v>
      </c>
    </row>
    <row r="338" spans="1:40" x14ac:dyDescent="0.3">
      <c r="A338">
        <v>11278064</v>
      </c>
      <c r="B338" t="s">
        <v>1364</v>
      </c>
      <c r="C338" t="s">
        <v>1373</v>
      </c>
      <c r="D338" t="s">
        <v>39</v>
      </c>
      <c r="E338" t="s">
        <v>40</v>
      </c>
      <c r="F338" t="s">
        <v>1374</v>
      </c>
      <c r="G338" t="s">
        <v>1367</v>
      </c>
      <c r="H338" t="s">
        <v>1375</v>
      </c>
      <c r="V338" t="s">
        <v>1370</v>
      </c>
      <c r="AB338" t="s">
        <v>1376</v>
      </c>
      <c r="AC338" t="s">
        <v>1377</v>
      </c>
      <c r="AF338">
        <v>1011278064</v>
      </c>
      <c r="AJ338" t="s">
        <v>64</v>
      </c>
      <c r="AK338" t="s">
        <v>65</v>
      </c>
      <c r="AM338" t="str" cm="1">
        <f t="array" ref="AM338">_xlfn.IFS(OR(O338="Persoonlijk",O338="Zoon",O338="Dochter"),P338,OR(Q338="Persoonlijk",Q338="Zoon",Q338="Dochter"),R338,OR(S338="Persoonlijk",S338="Zoon",S338="Dochter"),T338,O338="Vader",P338,Q338="Vader",R338,S338="Vader",T338,O338="Moeder",P338,Q338="Moeder",R338,S338="Moeder",T338,TRUE,IF(P338&lt;&gt;"",P338,IF(R338&lt;&gt;"",R338,IF(T338&lt;&gt;"",T338,""))))</f>
        <v/>
      </c>
      <c r="AN338" t="str" cm="1">
        <f t="array" ref="AN338">_xlfn.LET(_xlpm.raw,_xlfn.IFS(OR(U338="Persoonlijk",U338="Zoon",U338="Dochter"),V338,OR(W338="Persoonlijk",W338="Zoon",W338="Dochter"),X338,OR(Y338="Persoonlijk",Y338="Zoon",Y338="Dochter"),Z338,U338="Vader",V338,W338="Vader",X338,Y338="Vader",Z338,U338="Moeder",V338,W338="Moeder",X338,Y338="Moeder",Z338,TRUE,IF(V338&lt;&gt;"",V338,IF(X338&lt;&gt;"",X338,IF(Z338&lt;&gt;"",Z338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+32486314030</v>
      </c>
    </row>
    <row r="339" spans="1:40" x14ac:dyDescent="0.3">
      <c r="A339">
        <v>2182901</v>
      </c>
      <c r="B339" t="s">
        <v>1378</v>
      </c>
      <c r="C339" t="s">
        <v>1379</v>
      </c>
      <c r="D339" t="s">
        <v>39</v>
      </c>
      <c r="E339" t="s">
        <v>49</v>
      </c>
      <c r="F339" t="s">
        <v>1380</v>
      </c>
      <c r="G339" t="s">
        <v>1381</v>
      </c>
      <c r="H339">
        <v>1</v>
      </c>
      <c r="R339" t="s">
        <v>1382</v>
      </c>
      <c r="U339" t="s">
        <v>46</v>
      </c>
      <c r="V339">
        <v>32497236008</v>
      </c>
      <c r="AE339" t="s">
        <v>1383</v>
      </c>
      <c r="AF339">
        <v>1002182901</v>
      </c>
      <c r="AM339" t="str" cm="1">
        <f t="array" ref="AM339">_xlfn.IFS(OR(O339="Persoonlijk",O339="Zoon",O339="Dochter"),P339,OR(Q339="Persoonlijk",Q339="Zoon",Q339="Dochter"),R339,OR(S339="Persoonlijk",S339="Zoon",S339="Dochter"),T339,O339="Vader",P339,Q339="Vader",R339,S339="Vader",T339,O339="Moeder",P339,Q339="Moeder",R339,S339="Moeder",T339,TRUE,IF(P339&lt;&gt;"",P339,IF(R339&lt;&gt;"",R339,IF(T339&lt;&gt;"",T339,""))))</f>
        <v>amber.gheysen@gmail.com</v>
      </c>
      <c r="AN339" t="str" cm="1">
        <f t="array" ref="AN339">_xlfn.LET(_xlpm.raw,_xlfn.IFS(OR(U339="Persoonlijk",U339="Zoon",U339="Dochter"),V339,OR(W339="Persoonlijk",W339="Zoon",W339="Dochter"),X339,OR(Y339="Persoonlijk",Y339="Zoon",Y339="Dochter"),Z339,U339="Vader",V339,W339="Vader",X339,Y339="Vader",Z339,U339="Moeder",V339,W339="Moeder",X339,Y339="Moeder",Z339,TRUE,IF(V339&lt;&gt;"",V339,IF(X339&lt;&gt;"",X339,IF(Z339&lt;&gt;"",Z339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+32497236008</v>
      </c>
    </row>
    <row r="340" spans="1:40" x14ac:dyDescent="0.3">
      <c r="A340">
        <v>3050641</v>
      </c>
      <c r="B340" t="s">
        <v>1378</v>
      </c>
      <c r="C340" t="s">
        <v>1384</v>
      </c>
      <c r="D340" t="s">
        <v>39</v>
      </c>
      <c r="E340" t="s">
        <v>40</v>
      </c>
      <c r="F340" t="s">
        <v>1385</v>
      </c>
      <c r="G340" t="s">
        <v>1381</v>
      </c>
      <c r="H340">
        <v>1</v>
      </c>
      <c r="U340" t="s">
        <v>46</v>
      </c>
      <c r="V340">
        <v>320493192487</v>
      </c>
      <c r="AC340" t="s">
        <v>1386</v>
      </c>
      <c r="AF340">
        <v>1003050641</v>
      </c>
      <c r="AG340">
        <v>619160</v>
      </c>
      <c r="AM340" t="str" cm="1">
        <f t="array" ref="AM340">_xlfn.IFS(OR(O340="Persoonlijk",O340="Zoon",O340="Dochter"),P340,OR(Q340="Persoonlijk",Q340="Zoon",Q340="Dochter"),R340,OR(S340="Persoonlijk",S340="Zoon",S340="Dochter"),T340,O340="Vader",P340,Q340="Vader",R340,S340="Vader",T340,O340="Moeder",P340,Q340="Moeder",R340,S340="Moeder",T340,TRUE,IF(P340&lt;&gt;"",P340,IF(R340&lt;&gt;"",R340,IF(T340&lt;&gt;"",T340,""))))</f>
        <v/>
      </c>
      <c r="AN340" t="str" cm="1">
        <f t="array" ref="AN340">_xlfn.LET(_xlpm.raw,_xlfn.IFS(OR(U340="Persoonlijk",U340="Zoon",U340="Dochter"),V340,OR(W340="Persoonlijk",W340="Zoon",W340="Dochter"),X340,OR(Y340="Persoonlijk",Y340="Zoon",Y340="Dochter"),Z340,U340="Vader",V340,W340="Vader",X340,Y340="Vader",Z340,U340="Moeder",V340,W340="Moeder",X340,Y340="Moeder",Z340,TRUE,IF(V340&lt;&gt;"",V340,IF(X340&lt;&gt;"",X340,IF(Z340&lt;&gt;"",Z340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+32493192487</v>
      </c>
    </row>
    <row r="341" spans="1:40" x14ac:dyDescent="0.3">
      <c r="A341">
        <v>2650932</v>
      </c>
      <c r="B341" t="s">
        <v>1378</v>
      </c>
      <c r="C341" t="s">
        <v>786</v>
      </c>
      <c r="D341" t="s">
        <v>39</v>
      </c>
      <c r="E341" t="s">
        <v>49</v>
      </c>
      <c r="F341" t="s">
        <v>1387</v>
      </c>
      <c r="AF341">
        <v>1002650932</v>
      </c>
      <c r="AM341" t="str" cm="1">
        <f t="array" ref="AM341">_xlfn.IFS(OR(O341="Persoonlijk",O341="Zoon",O341="Dochter"),P341,OR(Q341="Persoonlijk",Q341="Zoon",Q341="Dochter"),R341,OR(S341="Persoonlijk",S341="Zoon",S341="Dochter"),T341,O341="Vader",P341,Q341="Vader",R341,S341="Vader",T341,O341="Moeder",P341,Q341="Moeder",R341,S341="Moeder",T341,TRUE,IF(P341&lt;&gt;"",P341,IF(R341&lt;&gt;"",R341,IF(T341&lt;&gt;"",T341,""))))</f>
        <v/>
      </c>
      <c r="AN341" t="str" cm="1">
        <f t="array" ref="AN341">_xlfn.LET(_xlpm.raw,_xlfn.IFS(OR(U341="Persoonlijk",U341="Zoon",U341="Dochter"),V341,OR(W341="Persoonlijk",W341="Zoon",W341="Dochter"),X341,OR(Y341="Persoonlijk",Y341="Zoon",Y341="Dochter"),Z341,U341="Vader",V341,W341="Vader",X341,Y341="Vader",Z341,U341="Moeder",V341,W341="Moeder",X341,Y341="Moeder",Z341,TRUE,IF(V341&lt;&gt;"",V341,IF(X341&lt;&gt;"",X341,IF(Z341&lt;&gt;"",Z341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42" spans="1:40" x14ac:dyDescent="0.3">
      <c r="A342">
        <v>6094387</v>
      </c>
      <c r="B342" t="s">
        <v>1388</v>
      </c>
      <c r="C342" t="s">
        <v>1389</v>
      </c>
      <c r="D342" t="s">
        <v>39</v>
      </c>
      <c r="E342" t="s">
        <v>40</v>
      </c>
      <c r="F342" t="s">
        <v>1390</v>
      </c>
      <c r="G342" t="s">
        <v>1391</v>
      </c>
      <c r="H342">
        <v>102</v>
      </c>
      <c r="Q342" t="s">
        <v>53</v>
      </c>
      <c r="R342" t="s">
        <v>1392</v>
      </c>
      <c r="V342" t="s">
        <v>1393</v>
      </c>
      <c r="AF342">
        <v>1006094387</v>
      </c>
      <c r="AM342" t="str" cm="1">
        <f t="array" ref="AM342">_xlfn.IFS(OR(O342="Persoonlijk",O342="Zoon",O342="Dochter"),P342,OR(Q342="Persoonlijk",Q342="Zoon",Q342="Dochter"),R342,OR(S342="Persoonlijk",S342="Zoon",S342="Dochter"),T342,O342="Vader",P342,Q342="Vader",R342,S342="Vader",T342,O342="Moeder",P342,Q342="Moeder",R342,S342="Moeder",T342,TRUE,IF(P342&lt;&gt;"",P342,IF(R342&lt;&gt;"",R342,IF(T342&lt;&gt;"",T342,""))))</f>
        <v>jonifoucart@hotmail.com</v>
      </c>
      <c r="AN342" t="str" cm="1">
        <f t="array" ref="AN342">_xlfn.LET(_xlpm.raw,_xlfn.IFS(OR(U342="Persoonlijk",U342="Zoon",U342="Dochter"),V342,OR(W342="Persoonlijk",W342="Zoon",W342="Dochter"),X342,OR(Y342="Persoonlijk",Y342="Zoon",Y342="Dochter"),Z342,U342="Vader",V342,W342="Vader",X342,Y342="Vader",Z342,U342="Moeder",V342,W342="Moeder",X342,Y342="Moeder",Z342,TRUE,IF(V342&lt;&gt;"",V342,IF(X342&lt;&gt;"",X342,IF(Z342&lt;&gt;"",Z342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+32485336563</v>
      </c>
    </row>
    <row r="343" spans="1:40" x14ac:dyDescent="0.3">
      <c r="A343">
        <v>2182906</v>
      </c>
      <c r="B343" t="s">
        <v>1388</v>
      </c>
      <c r="C343" t="s">
        <v>1394</v>
      </c>
      <c r="D343" t="s">
        <v>39</v>
      </c>
      <c r="E343" t="s">
        <v>49</v>
      </c>
      <c r="F343" t="s">
        <v>1395</v>
      </c>
      <c r="G343" t="s">
        <v>429</v>
      </c>
      <c r="H343">
        <v>186</v>
      </c>
      <c r="AF343">
        <v>1002182906</v>
      </c>
      <c r="AM343" t="str" cm="1">
        <f t="array" ref="AM343">_xlfn.IFS(OR(O343="Persoonlijk",O343="Zoon",O343="Dochter"),P343,OR(Q343="Persoonlijk",Q343="Zoon",Q343="Dochter"),R343,OR(S343="Persoonlijk",S343="Zoon",S343="Dochter"),T343,O343="Vader",P343,Q343="Vader",R343,S343="Vader",T343,O343="Moeder",P343,Q343="Moeder",R343,S343="Moeder",T343,TRUE,IF(P343&lt;&gt;"",P343,IF(R343&lt;&gt;"",R343,IF(T343&lt;&gt;"",T343,""))))</f>
        <v/>
      </c>
      <c r="AN343" t="str" cm="1">
        <f t="array" ref="AN343">_xlfn.LET(_xlpm.raw,_xlfn.IFS(OR(U343="Persoonlijk",U343="Zoon",U343="Dochter"),V343,OR(W343="Persoonlijk",W343="Zoon",W343="Dochter"),X343,OR(Y343="Persoonlijk",Y343="Zoon",Y343="Dochter"),Z343,U343="Vader",V343,W343="Vader",X343,Y343="Vader",Z343,U343="Moeder",V343,W343="Moeder",X343,Y343="Moeder",Z343,TRUE,IF(V343&lt;&gt;"",V343,IF(X343&lt;&gt;"",X343,IF(Z343&lt;&gt;"",Z343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44" spans="1:40" x14ac:dyDescent="0.3">
      <c r="A344">
        <v>11861360</v>
      </c>
      <c r="B344" t="s">
        <v>1396</v>
      </c>
      <c r="C344" t="s">
        <v>1397</v>
      </c>
      <c r="D344" t="s">
        <v>39</v>
      </c>
      <c r="E344" t="s">
        <v>40</v>
      </c>
      <c r="F344" t="s">
        <v>1398</v>
      </c>
      <c r="G344" t="s">
        <v>1399</v>
      </c>
      <c r="H344">
        <v>12</v>
      </c>
      <c r="I344">
        <v>2</v>
      </c>
      <c r="U344" t="s">
        <v>46</v>
      </c>
      <c r="V344" t="s">
        <v>1400</v>
      </c>
      <c r="AC344" t="s">
        <v>1401</v>
      </c>
      <c r="AF344">
        <v>1011861360</v>
      </c>
      <c r="AJ344" t="s">
        <v>180</v>
      </c>
      <c r="AK344" t="s">
        <v>61</v>
      </c>
      <c r="AM344" t="str" cm="1">
        <f t="array" ref="AM344">_xlfn.IFS(OR(O344="Persoonlijk",O344="Zoon",O344="Dochter"),P344,OR(Q344="Persoonlijk",Q344="Zoon",Q344="Dochter"),R344,OR(S344="Persoonlijk",S344="Zoon",S344="Dochter"),T344,O344="Vader",P344,Q344="Vader",R344,S344="Vader",T344,O344="Moeder",P344,Q344="Moeder",R344,S344="Moeder",T344,TRUE,IF(P344&lt;&gt;"",P344,IF(R344&lt;&gt;"",R344,IF(T344&lt;&gt;"",T344,""))))</f>
        <v/>
      </c>
      <c r="AN344" t="str" cm="1">
        <f t="array" ref="AN344">_xlfn.LET(_xlpm.raw,_xlfn.IFS(OR(U344="Persoonlijk",U344="Zoon",U344="Dochter"),V344,OR(W344="Persoonlijk",W344="Zoon",W344="Dochter"),X344,OR(Y344="Persoonlijk",Y344="Zoon",Y344="Dochter"),Z344,U344="Vader",V344,W344="Vader",X344,Y344="Vader",Z344,U344="Moeder",V344,W344="Moeder",X344,Y344="Moeder",Z344,TRUE,IF(V344&lt;&gt;"",V344,IF(X344&lt;&gt;"",X344,IF(Z344&lt;&gt;"",Z344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+32466419783</v>
      </c>
    </row>
    <row r="345" spans="1:40" x14ac:dyDescent="0.3">
      <c r="A345">
        <v>2714005</v>
      </c>
      <c r="B345" t="s">
        <v>1402</v>
      </c>
      <c r="C345" t="s">
        <v>1403</v>
      </c>
      <c r="D345" t="s">
        <v>39</v>
      </c>
      <c r="E345" t="s">
        <v>49</v>
      </c>
      <c r="F345" t="s">
        <v>1404</v>
      </c>
      <c r="G345" t="s">
        <v>747</v>
      </c>
      <c r="H345">
        <v>14</v>
      </c>
      <c r="Q345" t="s">
        <v>51</v>
      </c>
      <c r="R345" t="s">
        <v>748</v>
      </c>
      <c r="V345">
        <v>4721630933</v>
      </c>
      <c r="AC345" t="s">
        <v>1405</v>
      </c>
      <c r="AF345">
        <v>1002714005</v>
      </c>
      <c r="AM345" t="str" cm="1">
        <f t="array" ref="AM345">_xlfn.IFS(OR(O345="Persoonlijk",O345="Zoon",O345="Dochter"),P345,OR(Q345="Persoonlijk",Q345="Zoon",Q345="Dochter"),R345,OR(S345="Persoonlijk",S345="Zoon",S345="Dochter"),T345,O345="Vader",P345,Q345="Vader",R345,S345="Vader",T345,O345="Moeder",P345,Q345="Moeder",R345,S345="Moeder",T345,TRUE,IF(P345&lt;&gt;"",P345,IF(R345&lt;&gt;"",R345,IF(T345&lt;&gt;"",T345,""))))</f>
        <v>Nico.demaertelaere@live.be</v>
      </c>
      <c r="AN345" t="str" cm="1">
        <f t="array" ref="AN345">_xlfn.LET(_xlpm.raw,_xlfn.IFS(OR(U345="Persoonlijk",U345="Zoon",U345="Dochter"),V345,OR(W345="Persoonlijk",W345="Zoon",W345="Dochter"),X345,OR(Y345="Persoonlijk",Y345="Zoon",Y345="Dochter"),Z345,U345="Vader",V345,W345="Vader",X345,Y345="Vader",Z345,U345="Moeder",V345,W345="Moeder",X345,Y345="Moeder",Z345,TRUE,IF(V345&lt;&gt;"",V345,IF(X345&lt;&gt;"",X345,IF(Z345&lt;&gt;"",Z345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+324721630933</v>
      </c>
    </row>
    <row r="346" spans="1:40" x14ac:dyDescent="0.3">
      <c r="A346">
        <v>11859963</v>
      </c>
      <c r="B346" t="s">
        <v>1406</v>
      </c>
      <c r="C346" t="s">
        <v>1407</v>
      </c>
      <c r="D346" t="s">
        <v>39</v>
      </c>
      <c r="E346" t="s">
        <v>49</v>
      </c>
      <c r="F346" t="s">
        <v>1408</v>
      </c>
      <c r="U346" t="s">
        <v>53</v>
      </c>
      <c r="V346" t="s">
        <v>1409</v>
      </c>
      <c r="X346">
        <v>0</v>
      </c>
      <c r="Z346">
        <v>0</v>
      </c>
      <c r="AA346">
        <v>0</v>
      </c>
      <c r="AF346">
        <v>1011859963</v>
      </c>
      <c r="AJ346" t="s">
        <v>164</v>
      </c>
      <c r="AK346" t="s">
        <v>61</v>
      </c>
      <c r="AM346" t="str" cm="1">
        <f t="array" ref="AM346">_xlfn.IFS(OR(O346="Persoonlijk",O346="Zoon",O346="Dochter"),P346,OR(Q346="Persoonlijk",Q346="Zoon",Q346="Dochter"),R346,OR(S346="Persoonlijk",S346="Zoon",S346="Dochter"),T346,O346="Vader",P346,Q346="Vader",R346,S346="Vader",T346,O346="Moeder",P346,Q346="Moeder",R346,S346="Moeder",T346,TRUE,IF(P346&lt;&gt;"",P346,IF(R346&lt;&gt;"",R346,IF(T346&lt;&gt;"",T346,""))))</f>
        <v/>
      </c>
      <c r="AN346" t="str" cm="1">
        <f t="array" ref="AN346">_xlfn.LET(_xlpm.raw,_xlfn.IFS(OR(U346="Persoonlijk",U346="Zoon",U346="Dochter"),V346,OR(W346="Persoonlijk",W346="Zoon",W346="Dochter"),X346,OR(Y346="Persoonlijk",Y346="Zoon",Y346="Dochter"),Z346,U346="Vader",V346,W346="Vader",X346,Y346="Vader",Z346,U346="Moeder",V346,W346="Moeder",X346,Y346="Moeder",Z346,TRUE,IF(V346&lt;&gt;"",V346,IF(X346&lt;&gt;"",X346,IF(Z346&lt;&gt;"",Z346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+32465136417</v>
      </c>
    </row>
    <row r="347" spans="1:40" x14ac:dyDescent="0.3">
      <c r="A347">
        <v>7212699</v>
      </c>
      <c r="B347" t="s">
        <v>1410</v>
      </c>
      <c r="C347" t="s">
        <v>481</v>
      </c>
      <c r="D347" t="s">
        <v>39</v>
      </c>
      <c r="E347" t="s">
        <v>40</v>
      </c>
      <c r="F347" t="s">
        <v>1411</v>
      </c>
      <c r="G347" t="s">
        <v>1412</v>
      </c>
      <c r="H347">
        <v>27</v>
      </c>
      <c r="U347" t="s">
        <v>46</v>
      </c>
      <c r="V347" t="s">
        <v>1413</v>
      </c>
      <c r="AF347">
        <v>1007212699</v>
      </c>
      <c r="AG347">
        <v>747253</v>
      </c>
      <c r="AM347" t="str" cm="1">
        <f t="array" ref="AM347">_xlfn.IFS(OR(O347="Persoonlijk",O347="Zoon",O347="Dochter"),P347,OR(Q347="Persoonlijk",Q347="Zoon",Q347="Dochter"),R347,OR(S347="Persoonlijk",S347="Zoon",S347="Dochter"),T347,O347="Vader",P347,Q347="Vader",R347,S347="Vader",T347,O347="Moeder",P347,Q347="Moeder",R347,S347="Moeder",T347,TRUE,IF(P347&lt;&gt;"",P347,IF(R347&lt;&gt;"",R347,IF(T347&lt;&gt;"",T347,""))))</f>
        <v/>
      </c>
      <c r="AN347" t="str" cm="1">
        <f t="array" ref="AN347">_xlfn.LET(_xlpm.raw,_xlfn.IFS(OR(U347="Persoonlijk",U347="Zoon",U347="Dochter"),V347,OR(W347="Persoonlijk",W347="Zoon",W347="Dochter"),X347,OR(Y347="Persoonlijk",Y347="Zoon",Y347="Dochter"),Z347,U347="Vader",V347,W347="Vader",X347,Y347="Vader",Z347,U347="Moeder",V347,W347="Moeder",X347,Y347="Moeder",Z347,TRUE,IF(V347&lt;&gt;"",V347,IF(X347&lt;&gt;"",X347,IF(Z347&lt;&gt;"",Z347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+32473683008</v>
      </c>
    </row>
    <row r="348" spans="1:40" x14ac:dyDescent="0.3">
      <c r="A348">
        <v>4200263</v>
      </c>
      <c r="B348" t="s">
        <v>1410</v>
      </c>
      <c r="C348" t="s">
        <v>1414</v>
      </c>
      <c r="D348" t="s">
        <v>39</v>
      </c>
      <c r="E348" t="s">
        <v>40</v>
      </c>
      <c r="F348" t="s">
        <v>1415</v>
      </c>
      <c r="G348" t="s">
        <v>1412</v>
      </c>
      <c r="H348">
        <v>27</v>
      </c>
      <c r="U348" t="s">
        <v>51</v>
      </c>
      <c r="V348">
        <v>320473683008</v>
      </c>
      <c r="X348">
        <v>0</v>
      </c>
      <c r="Z348">
        <v>0</v>
      </c>
      <c r="AA348">
        <v>0</v>
      </c>
      <c r="AC348" t="s">
        <v>1416</v>
      </c>
      <c r="AF348">
        <v>1004200263</v>
      </c>
      <c r="AM348" t="str" cm="1">
        <f t="array" ref="AM348">_xlfn.IFS(OR(O348="Persoonlijk",O348="Zoon",O348="Dochter"),P348,OR(Q348="Persoonlijk",Q348="Zoon",Q348="Dochter"),R348,OR(S348="Persoonlijk",S348="Zoon",S348="Dochter"),T348,O348="Vader",P348,Q348="Vader",R348,S348="Vader",T348,O348="Moeder",P348,Q348="Moeder",R348,S348="Moeder",T348,TRUE,IF(P348&lt;&gt;"",P348,IF(R348&lt;&gt;"",R348,IF(T348&lt;&gt;"",T348,""))))</f>
        <v/>
      </c>
      <c r="AN348" t="str" cm="1">
        <f t="array" ref="AN348">_xlfn.LET(_xlpm.raw,_xlfn.IFS(OR(U348="Persoonlijk",U348="Zoon",U348="Dochter"),V348,OR(W348="Persoonlijk",W348="Zoon",W348="Dochter"),X348,OR(Y348="Persoonlijk",Y348="Zoon",Y348="Dochter"),Z348,U348="Vader",V348,W348="Vader",X348,Y348="Vader",Z348,U348="Moeder",V348,W348="Moeder",X348,Y348="Moeder",Z348,TRUE,IF(V348&lt;&gt;"",V348,IF(X348&lt;&gt;"",X348,IF(Z348&lt;&gt;"",Z348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+32473683008</v>
      </c>
    </row>
    <row r="349" spans="1:40" x14ac:dyDescent="0.3">
      <c r="A349">
        <v>9681283</v>
      </c>
      <c r="B349" t="s">
        <v>1417</v>
      </c>
      <c r="C349" t="s">
        <v>1418</v>
      </c>
      <c r="D349" t="s">
        <v>39</v>
      </c>
      <c r="E349" t="s">
        <v>40</v>
      </c>
      <c r="F349" t="s">
        <v>1419</v>
      </c>
      <c r="U349" t="s">
        <v>53</v>
      </c>
      <c r="V349" t="s">
        <v>1420</v>
      </c>
      <c r="AF349">
        <v>1009681283</v>
      </c>
      <c r="AJ349" t="s">
        <v>83</v>
      </c>
      <c r="AK349" t="s">
        <v>61</v>
      </c>
      <c r="AM349" t="str" cm="1">
        <f t="array" ref="AM349">_xlfn.IFS(OR(O349="Persoonlijk",O349="Zoon",O349="Dochter"),P349,OR(Q349="Persoonlijk",Q349="Zoon",Q349="Dochter"),R349,OR(S349="Persoonlijk",S349="Zoon",S349="Dochter"),T349,O349="Vader",P349,Q349="Vader",R349,S349="Vader",T349,O349="Moeder",P349,Q349="Moeder",R349,S349="Moeder",T349,TRUE,IF(P349&lt;&gt;"",P349,IF(R349&lt;&gt;"",R349,IF(T349&lt;&gt;"",T349,""))))</f>
        <v/>
      </c>
      <c r="AN349" t="str" cm="1">
        <f t="array" ref="AN349">_xlfn.LET(_xlpm.raw,_xlfn.IFS(OR(U349="Persoonlijk",U349="Zoon",U349="Dochter"),V349,OR(W349="Persoonlijk",W349="Zoon",W349="Dochter"),X349,OR(Y349="Persoonlijk",Y349="Zoon",Y349="Dochter"),Z349,U349="Vader",V349,W349="Vader",X349,Y349="Vader",Z349,U349="Moeder",V349,W349="Moeder",X349,Y349="Moeder",Z349,TRUE,IF(V349&lt;&gt;"",V349,IF(X349&lt;&gt;"",X349,IF(Z349&lt;&gt;"",Z349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+32497885450</v>
      </c>
    </row>
    <row r="350" spans="1:40" x14ac:dyDescent="0.3">
      <c r="A350">
        <v>2182911</v>
      </c>
      <c r="B350" t="s">
        <v>1421</v>
      </c>
      <c r="C350" t="s">
        <v>1422</v>
      </c>
      <c r="D350" t="s">
        <v>39</v>
      </c>
      <c r="E350" t="s">
        <v>40</v>
      </c>
      <c r="F350" t="s">
        <v>1423</v>
      </c>
      <c r="G350" t="s">
        <v>219</v>
      </c>
      <c r="H350">
        <v>18</v>
      </c>
      <c r="Q350" t="s">
        <v>51</v>
      </c>
      <c r="R350" t="s">
        <v>221</v>
      </c>
      <c r="S350" t="s">
        <v>46</v>
      </c>
      <c r="T350" t="s">
        <v>222</v>
      </c>
      <c r="U350" t="s">
        <v>53</v>
      </c>
      <c r="V350">
        <v>320497948892</v>
      </c>
      <c r="W350" t="s">
        <v>51</v>
      </c>
      <c r="X350">
        <v>320478766076</v>
      </c>
      <c r="Y350" t="s">
        <v>46</v>
      </c>
      <c r="Z350">
        <v>320495362023</v>
      </c>
      <c r="AF350">
        <v>1002182911</v>
      </c>
      <c r="AG350">
        <v>735147</v>
      </c>
      <c r="AJ350" t="s">
        <v>202</v>
      </c>
      <c r="AK350" t="s">
        <v>61</v>
      </c>
      <c r="AL350" t="s">
        <v>62</v>
      </c>
      <c r="AM350" t="str" cm="1">
        <f t="array" ref="AM350">_xlfn.IFS(OR(O350="Persoonlijk",O350="Zoon",O350="Dochter"),P350,OR(Q350="Persoonlijk",Q350="Zoon",Q350="Dochter"),R350,OR(S350="Persoonlijk",S350="Zoon",S350="Dochter"),T350,O350="Vader",P350,Q350="Vader",R350,S350="Vader",T350,O350="Moeder",P350,Q350="Moeder",R350,S350="Moeder",T350,TRUE,IF(P350&lt;&gt;"",P350,IF(R350&lt;&gt;"",R350,IF(T350&lt;&gt;"",T350,""))))</f>
        <v>slimmerik.briek@gmail.com</v>
      </c>
      <c r="AN350" t="str" cm="1">
        <f t="array" ref="AN350">_xlfn.LET(_xlpm.raw,_xlfn.IFS(OR(U350="Persoonlijk",U350="Zoon",U350="Dochter"),V350,OR(W350="Persoonlijk",W350="Zoon",W350="Dochter"),X350,OR(Y350="Persoonlijk",Y350="Zoon",Y350="Dochter"),Z350,U350="Vader",V350,W350="Vader",X350,Y350="Vader",Z350,U350="Moeder",V350,W350="Moeder",X350,Y350="Moeder",Z350,TRUE,IF(V350&lt;&gt;"",V350,IF(X350&lt;&gt;"",X350,IF(Z350&lt;&gt;"",Z350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+32495362023</v>
      </c>
    </row>
    <row r="351" spans="1:40" x14ac:dyDescent="0.3">
      <c r="A351">
        <v>2182911</v>
      </c>
      <c r="B351" t="s">
        <v>1421</v>
      </c>
      <c r="C351" t="s">
        <v>1422</v>
      </c>
      <c r="D351" t="s">
        <v>39</v>
      </c>
      <c r="E351" t="s">
        <v>40</v>
      </c>
      <c r="F351" t="s">
        <v>1423</v>
      </c>
      <c r="G351" t="s">
        <v>219</v>
      </c>
      <c r="H351">
        <v>18</v>
      </c>
      <c r="Q351" t="s">
        <v>51</v>
      </c>
      <c r="R351" t="s">
        <v>221</v>
      </c>
      <c r="S351" t="s">
        <v>46</v>
      </c>
      <c r="T351" t="s">
        <v>222</v>
      </c>
      <c r="U351" t="s">
        <v>53</v>
      </c>
      <c r="V351">
        <v>320497948892</v>
      </c>
      <c r="W351" t="s">
        <v>51</v>
      </c>
      <c r="X351">
        <v>320478766076</v>
      </c>
      <c r="Y351" t="s">
        <v>46</v>
      </c>
      <c r="Z351">
        <v>320495362023</v>
      </c>
      <c r="AF351">
        <v>1002182911</v>
      </c>
      <c r="AG351">
        <v>735147</v>
      </c>
      <c r="AJ351" t="s">
        <v>63</v>
      </c>
      <c r="AK351" t="s">
        <v>61</v>
      </c>
      <c r="AM351" t="str" cm="1">
        <f t="array" ref="AM351">_xlfn.IFS(OR(O351="Persoonlijk",O351="Zoon",O351="Dochter"),P351,OR(Q351="Persoonlijk",Q351="Zoon",Q351="Dochter"),R351,OR(S351="Persoonlijk",S351="Zoon",S351="Dochter"),T351,O351="Vader",P351,Q351="Vader",R351,S351="Vader",T351,O351="Moeder",P351,Q351="Moeder",R351,S351="Moeder",T351,TRUE,IF(P351&lt;&gt;"",P351,IF(R351&lt;&gt;"",R351,IF(T351&lt;&gt;"",T351,""))))</f>
        <v>slimmerik.briek@gmail.com</v>
      </c>
      <c r="AN351" t="str" cm="1">
        <f t="array" ref="AN351">_xlfn.LET(_xlpm.raw,_xlfn.IFS(OR(U351="Persoonlijk",U351="Zoon",U351="Dochter"),V351,OR(W351="Persoonlijk",W351="Zoon",W351="Dochter"),X351,OR(Y351="Persoonlijk",Y351="Zoon",Y351="Dochter"),Z351,U351="Vader",V351,W351="Vader",X351,Y351="Vader",Z351,U351="Moeder",V351,W351="Moeder",X351,Y351="Moeder",Z351,TRUE,IF(V351&lt;&gt;"",V351,IF(X351&lt;&gt;"",X351,IF(Z351&lt;&gt;"",Z351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+32495362023</v>
      </c>
    </row>
    <row r="352" spans="1:40" x14ac:dyDescent="0.3">
      <c r="A352">
        <v>2182916</v>
      </c>
      <c r="B352" t="s">
        <v>1421</v>
      </c>
      <c r="C352" t="s">
        <v>1424</v>
      </c>
      <c r="D352" t="s">
        <v>39</v>
      </c>
      <c r="E352" t="s">
        <v>40</v>
      </c>
      <c r="F352" t="s">
        <v>1425</v>
      </c>
      <c r="G352" t="s">
        <v>1426</v>
      </c>
      <c r="H352">
        <v>74</v>
      </c>
      <c r="AA352">
        <v>0</v>
      </c>
      <c r="AF352">
        <v>1002182916</v>
      </c>
      <c r="AG352">
        <v>727876</v>
      </c>
      <c r="AM352" t="str" cm="1">
        <f t="array" ref="AM352">_xlfn.IFS(OR(O352="Persoonlijk",O352="Zoon",O352="Dochter"),P352,OR(Q352="Persoonlijk",Q352="Zoon",Q352="Dochter"),R352,OR(S352="Persoonlijk",S352="Zoon",S352="Dochter"),T352,O352="Vader",P352,Q352="Vader",R352,S352="Vader",T352,O352="Moeder",P352,Q352="Moeder",R352,S352="Moeder",T352,TRUE,IF(P352&lt;&gt;"",P352,IF(R352&lt;&gt;"",R352,IF(T352&lt;&gt;"",T352,""))))</f>
        <v/>
      </c>
      <c r="AN352" t="str" cm="1">
        <f t="array" ref="AN352">_xlfn.LET(_xlpm.raw,_xlfn.IFS(OR(U352="Persoonlijk",U352="Zoon",U352="Dochter"),V352,OR(W352="Persoonlijk",W352="Zoon",W352="Dochter"),X352,OR(Y352="Persoonlijk",Y352="Zoon",Y352="Dochter"),Z352,U352="Vader",V352,W352="Vader",X352,Y352="Vader",Z352,U352="Moeder",V352,W352="Moeder",X352,Y352="Moeder",Z352,TRUE,IF(V352&lt;&gt;"",V352,IF(X352&lt;&gt;"",X352,IF(Z352&lt;&gt;"",Z352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53" spans="1:40" x14ac:dyDescent="0.3">
      <c r="A353">
        <v>2934245</v>
      </c>
      <c r="B353" t="s">
        <v>1421</v>
      </c>
      <c r="C353" t="s">
        <v>1427</v>
      </c>
      <c r="D353" t="s">
        <v>39</v>
      </c>
      <c r="E353" t="s">
        <v>40</v>
      </c>
      <c r="F353" t="s">
        <v>1428</v>
      </c>
      <c r="G353" t="s">
        <v>1429</v>
      </c>
      <c r="H353">
        <v>74</v>
      </c>
      <c r="AC353" t="s">
        <v>1430</v>
      </c>
      <c r="AE353" t="s">
        <v>1431</v>
      </c>
      <c r="AF353">
        <v>1002934245</v>
      </c>
      <c r="AG353">
        <v>711026</v>
      </c>
      <c r="AM353" t="str" cm="1">
        <f t="array" ref="AM353">_xlfn.IFS(OR(O353="Persoonlijk",O353="Zoon",O353="Dochter"),P353,OR(Q353="Persoonlijk",Q353="Zoon",Q353="Dochter"),R353,OR(S353="Persoonlijk",S353="Zoon",S353="Dochter"),T353,O353="Vader",P353,Q353="Vader",R353,S353="Vader",T353,O353="Moeder",P353,Q353="Moeder",R353,S353="Moeder",T353,TRUE,IF(P353&lt;&gt;"",P353,IF(R353&lt;&gt;"",R353,IF(T353&lt;&gt;"",T353,""))))</f>
        <v/>
      </c>
      <c r="AN353" t="str" cm="1">
        <f t="array" ref="AN353">_xlfn.LET(_xlpm.raw,_xlfn.IFS(OR(U353="Persoonlijk",U353="Zoon",U353="Dochter"),V353,OR(W353="Persoonlijk",W353="Zoon",W353="Dochter"),X353,OR(Y353="Persoonlijk",Y353="Zoon",Y353="Dochter"),Z353,U353="Vader",V353,W353="Vader",X353,Y353="Vader",Z353,U353="Moeder",V353,W353="Moeder",X353,Y353="Moeder",Z353,TRUE,IF(V353&lt;&gt;"",V353,IF(X353&lt;&gt;"",X353,IF(Z353&lt;&gt;"",Z353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54" spans="1:40" x14ac:dyDescent="0.3">
      <c r="A354">
        <v>2182921</v>
      </c>
      <c r="B354" t="s">
        <v>1421</v>
      </c>
      <c r="C354" t="s">
        <v>413</v>
      </c>
      <c r="D354" t="s">
        <v>39</v>
      </c>
      <c r="E354" t="s">
        <v>40</v>
      </c>
      <c r="F354" t="s">
        <v>1432</v>
      </c>
      <c r="G354" t="s">
        <v>1429</v>
      </c>
      <c r="H354">
        <v>74</v>
      </c>
      <c r="V354" t="s">
        <v>1433</v>
      </c>
      <c r="AE354" t="s">
        <v>1434</v>
      </c>
      <c r="AF354">
        <v>1002182921</v>
      </c>
      <c r="AG354">
        <v>708299</v>
      </c>
      <c r="AJ354" t="s">
        <v>179</v>
      </c>
      <c r="AK354" t="s">
        <v>61</v>
      </c>
      <c r="AM354" t="str" cm="1">
        <f t="array" ref="AM354">_xlfn.IFS(OR(O354="Persoonlijk",O354="Zoon",O354="Dochter"),P354,OR(Q354="Persoonlijk",Q354="Zoon",Q354="Dochter"),R354,OR(S354="Persoonlijk",S354="Zoon",S354="Dochter"),T354,O354="Vader",P354,Q354="Vader",R354,S354="Vader",T354,O354="Moeder",P354,Q354="Moeder",R354,S354="Moeder",T354,TRUE,IF(P354&lt;&gt;"",P354,IF(R354&lt;&gt;"",R354,IF(T354&lt;&gt;"",T354,""))))</f>
        <v/>
      </c>
      <c r="AN354" t="str" cm="1">
        <f t="array" ref="AN354">_xlfn.LET(_xlpm.raw,_xlfn.IFS(OR(U354="Persoonlijk",U354="Zoon",U354="Dochter"),V354,OR(W354="Persoonlijk",W354="Zoon",W354="Dochter"),X354,OR(Y354="Persoonlijk",Y354="Zoon",Y354="Dochter"),Z354,U354="Vader",V354,W354="Vader",X354,Y354="Vader",Z354,U354="Moeder",V354,W354="Moeder",X354,Y354="Moeder",Z354,TRUE,IF(V354&lt;&gt;"",V354,IF(X354&lt;&gt;"",X354,IF(Z354&lt;&gt;"",Z354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+32477281468</v>
      </c>
    </row>
    <row r="355" spans="1:40" x14ac:dyDescent="0.3">
      <c r="A355">
        <v>2182921</v>
      </c>
      <c r="B355" t="s">
        <v>1421</v>
      </c>
      <c r="C355" t="s">
        <v>413</v>
      </c>
      <c r="D355" t="s">
        <v>39</v>
      </c>
      <c r="E355" t="s">
        <v>40</v>
      </c>
      <c r="F355" t="s">
        <v>1432</v>
      </c>
      <c r="G355" t="s">
        <v>1429</v>
      </c>
      <c r="H355">
        <v>74</v>
      </c>
      <c r="V355" t="s">
        <v>1433</v>
      </c>
      <c r="AE355" t="s">
        <v>1434</v>
      </c>
      <c r="AF355">
        <v>1002182921</v>
      </c>
      <c r="AG355">
        <v>708299</v>
      </c>
      <c r="AJ355" t="s">
        <v>180</v>
      </c>
      <c r="AK355" t="s">
        <v>61</v>
      </c>
      <c r="AM355" t="str" cm="1">
        <f t="array" ref="AM355">_xlfn.IFS(OR(O355="Persoonlijk",O355="Zoon",O355="Dochter"),P355,OR(Q355="Persoonlijk",Q355="Zoon",Q355="Dochter"),R355,OR(S355="Persoonlijk",S355="Zoon",S355="Dochter"),T355,O355="Vader",P355,Q355="Vader",R355,S355="Vader",T355,O355="Moeder",P355,Q355="Moeder",R355,S355="Moeder",T355,TRUE,IF(P355&lt;&gt;"",P355,IF(R355&lt;&gt;"",R355,IF(T355&lt;&gt;"",T355,""))))</f>
        <v/>
      </c>
      <c r="AN355" t="str" cm="1">
        <f t="array" ref="AN355">_xlfn.LET(_xlpm.raw,_xlfn.IFS(OR(U355="Persoonlijk",U355="Zoon",U355="Dochter"),V355,OR(W355="Persoonlijk",W355="Zoon",W355="Dochter"),X355,OR(Y355="Persoonlijk",Y355="Zoon",Y355="Dochter"),Z355,U355="Vader",V355,W355="Vader",X355,Y355="Vader",Z355,U355="Moeder",V355,W355="Moeder",X355,Y355="Moeder",Z355,TRUE,IF(V355&lt;&gt;"",V355,IF(X355&lt;&gt;"",X355,IF(Z355&lt;&gt;"",Z355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+32477281468</v>
      </c>
    </row>
    <row r="356" spans="1:40" x14ac:dyDescent="0.3">
      <c r="A356">
        <v>2182927</v>
      </c>
      <c r="B356" t="s">
        <v>1421</v>
      </c>
      <c r="C356" t="s">
        <v>1373</v>
      </c>
      <c r="D356" t="s">
        <v>39</v>
      </c>
      <c r="E356" t="s">
        <v>40</v>
      </c>
      <c r="F356" t="s">
        <v>1435</v>
      </c>
      <c r="G356" t="s">
        <v>219</v>
      </c>
      <c r="H356">
        <v>18</v>
      </c>
      <c r="Q356" t="s">
        <v>51</v>
      </c>
      <c r="R356" t="s">
        <v>221</v>
      </c>
      <c r="S356" t="s">
        <v>46</v>
      </c>
      <c r="T356" t="s">
        <v>1436</v>
      </c>
      <c r="U356" t="s">
        <v>53</v>
      </c>
      <c r="V356">
        <v>320497948892</v>
      </c>
      <c r="W356" t="s">
        <v>51</v>
      </c>
      <c r="X356">
        <v>320478766076</v>
      </c>
      <c r="AC356" t="s">
        <v>1437</v>
      </c>
      <c r="AF356">
        <v>1002182927</v>
      </c>
      <c r="AG356">
        <v>735148</v>
      </c>
      <c r="AJ356" t="s">
        <v>83</v>
      </c>
      <c r="AK356" t="s">
        <v>61</v>
      </c>
      <c r="AM356" t="str" cm="1">
        <f t="array" ref="AM356">_xlfn.IFS(OR(O356="Persoonlijk",O356="Zoon",O356="Dochter"),P356,OR(Q356="Persoonlijk",Q356="Zoon",Q356="Dochter"),R356,OR(S356="Persoonlijk",S356="Zoon",S356="Dochter"),T356,O356="Vader",P356,Q356="Vader",R356,S356="Vader",T356,O356="Moeder",P356,Q356="Moeder",R356,S356="Moeder",T356,TRUE,IF(P356&lt;&gt;"",P356,IF(R356&lt;&gt;"",R356,IF(T356&lt;&gt;"",T356,""))))</f>
        <v>vrolijke.tuur@gmail.com</v>
      </c>
      <c r="AN356" t="str" cm="1">
        <f t="array" ref="AN356">_xlfn.LET(_xlpm.raw,_xlfn.IFS(OR(U356="Persoonlijk",U356="Zoon",U356="Dochter"),V356,OR(W356="Persoonlijk",W356="Zoon",W356="Dochter"),X356,OR(Y356="Persoonlijk",Y356="Zoon",Y356="Dochter"),Z356,U356="Vader",V356,W356="Vader",X356,Y356="Vader",Z356,U356="Moeder",V356,W356="Moeder",X356,Y356="Moeder",Z356,TRUE,IF(V356&lt;&gt;"",V356,IF(X356&lt;&gt;"",X356,IF(Z356&lt;&gt;"",Z356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+32478766076</v>
      </c>
    </row>
    <row r="357" spans="1:40" x14ac:dyDescent="0.3">
      <c r="A357">
        <v>2669946</v>
      </c>
      <c r="B357" t="s">
        <v>1438</v>
      </c>
      <c r="C357" t="s">
        <v>1439</v>
      </c>
      <c r="D357" t="s">
        <v>39</v>
      </c>
      <c r="E357" t="s">
        <v>49</v>
      </c>
      <c r="F357" t="s">
        <v>1440</v>
      </c>
      <c r="G357" t="s">
        <v>1441</v>
      </c>
      <c r="H357">
        <v>12</v>
      </c>
      <c r="Q357" t="s">
        <v>46</v>
      </c>
      <c r="R357" t="s">
        <v>1442</v>
      </c>
      <c r="U357" t="s">
        <v>53</v>
      </c>
      <c r="V357" t="s">
        <v>1443</v>
      </c>
      <c r="W357" t="s">
        <v>46</v>
      </c>
      <c r="X357" t="s">
        <v>1444</v>
      </c>
      <c r="AC357" t="s">
        <v>1445</v>
      </c>
      <c r="AF357">
        <v>1002669946</v>
      </c>
      <c r="AG357">
        <v>727038</v>
      </c>
      <c r="AJ357" t="s">
        <v>60</v>
      </c>
      <c r="AK357" t="s">
        <v>61</v>
      </c>
      <c r="AM357" t="str" cm="1">
        <f t="array" ref="AM357">_xlfn.IFS(OR(O357="Persoonlijk",O357="Zoon",O357="Dochter"),P357,OR(Q357="Persoonlijk",Q357="Zoon",Q357="Dochter"),R357,OR(S357="Persoonlijk",S357="Zoon",S357="Dochter"),T357,O357="Vader",P357,Q357="Vader",R357,S357="Vader",T357,O357="Moeder",P357,Q357="Moeder",R357,S357="Moeder",T357,TRUE,IF(P357&lt;&gt;"",P357,IF(R357&lt;&gt;"",R357,IF(T357&lt;&gt;"",T357,""))))</f>
        <v>Heike.guenter@telenet.be</v>
      </c>
      <c r="AN357" t="str" cm="1">
        <f t="array" ref="AN357">_xlfn.LET(_xlpm.raw,_xlfn.IFS(OR(U357="Persoonlijk",U357="Zoon",U357="Dochter"),V357,OR(W357="Persoonlijk",W357="Zoon",W357="Dochter"),X357,OR(Y357="Persoonlijk",Y357="Zoon",Y357="Dochter"),Z357,U357="Vader",V357,W357="Vader",X357,Y357="Vader",Z357,U357="Moeder",V357,W357="Moeder",X357,Y357="Moeder",Z357,TRUE,IF(V357&lt;&gt;"",V357,IF(X357&lt;&gt;"",X357,IF(Z357&lt;&gt;"",Z357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+32456085054</v>
      </c>
    </row>
    <row r="358" spans="1:40" x14ac:dyDescent="0.3">
      <c r="A358">
        <v>2669946</v>
      </c>
      <c r="B358" t="s">
        <v>1438</v>
      </c>
      <c r="C358" t="s">
        <v>1439</v>
      </c>
      <c r="D358" t="s">
        <v>39</v>
      </c>
      <c r="E358" t="s">
        <v>49</v>
      </c>
      <c r="F358" t="s">
        <v>1440</v>
      </c>
      <c r="G358" t="s">
        <v>1441</v>
      </c>
      <c r="H358">
        <v>12</v>
      </c>
      <c r="Q358" t="s">
        <v>46</v>
      </c>
      <c r="R358" t="s">
        <v>1442</v>
      </c>
      <c r="U358" t="s">
        <v>53</v>
      </c>
      <c r="V358" t="s">
        <v>1443</v>
      </c>
      <c r="W358" t="s">
        <v>46</v>
      </c>
      <c r="X358" t="s">
        <v>1444</v>
      </c>
      <c r="AC358" t="s">
        <v>1445</v>
      </c>
      <c r="AF358">
        <v>1002669946</v>
      </c>
      <c r="AG358">
        <v>727038</v>
      </c>
      <c r="AJ358" t="s">
        <v>63</v>
      </c>
      <c r="AK358" t="s">
        <v>61</v>
      </c>
      <c r="AM358" t="str" cm="1">
        <f t="array" ref="AM358">_xlfn.IFS(OR(O358="Persoonlijk",O358="Zoon",O358="Dochter"),P358,OR(Q358="Persoonlijk",Q358="Zoon",Q358="Dochter"),R358,OR(S358="Persoonlijk",S358="Zoon",S358="Dochter"),T358,O358="Vader",P358,Q358="Vader",R358,S358="Vader",T358,O358="Moeder",P358,Q358="Moeder",R358,S358="Moeder",T358,TRUE,IF(P358&lt;&gt;"",P358,IF(R358&lt;&gt;"",R358,IF(T358&lt;&gt;"",T358,""))))</f>
        <v>Heike.guenter@telenet.be</v>
      </c>
      <c r="AN358" t="str" cm="1">
        <f t="array" ref="AN358">_xlfn.LET(_xlpm.raw,_xlfn.IFS(OR(U358="Persoonlijk",U358="Zoon",U358="Dochter"),V358,OR(W358="Persoonlijk",W358="Zoon",W358="Dochter"),X358,OR(Y358="Persoonlijk",Y358="Zoon",Y358="Dochter"),Z358,U358="Vader",V358,W358="Vader",X358,Y358="Vader",Z358,U358="Moeder",V358,W358="Moeder",X358,Y358="Moeder",Z358,TRUE,IF(V358&lt;&gt;"",V358,IF(X358&lt;&gt;"",X358,IF(Z358&lt;&gt;"",Z358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+32456085054</v>
      </c>
    </row>
    <row r="359" spans="1:40" x14ac:dyDescent="0.3">
      <c r="A359">
        <v>2669946</v>
      </c>
      <c r="B359" t="s">
        <v>1438</v>
      </c>
      <c r="C359" t="s">
        <v>1439</v>
      </c>
      <c r="D359" t="s">
        <v>39</v>
      </c>
      <c r="E359" t="s">
        <v>49</v>
      </c>
      <c r="F359" t="s">
        <v>1440</v>
      </c>
      <c r="G359" t="s">
        <v>1441</v>
      </c>
      <c r="H359">
        <v>12</v>
      </c>
      <c r="Q359" t="s">
        <v>46</v>
      </c>
      <c r="R359" t="s">
        <v>1442</v>
      </c>
      <c r="U359" t="s">
        <v>53</v>
      </c>
      <c r="V359" t="s">
        <v>1443</v>
      </c>
      <c r="W359" t="s">
        <v>46</v>
      </c>
      <c r="X359" t="s">
        <v>1444</v>
      </c>
      <c r="AC359" t="s">
        <v>1445</v>
      </c>
      <c r="AF359">
        <v>1002669946</v>
      </c>
      <c r="AG359">
        <v>727038</v>
      </c>
      <c r="AJ359" t="s">
        <v>323</v>
      </c>
      <c r="AK359" t="s">
        <v>61</v>
      </c>
      <c r="AM359" t="str" cm="1">
        <f t="array" ref="AM359">_xlfn.IFS(OR(O359="Persoonlijk",O359="Zoon",O359="Dochter"),P359,OR(Q359="Persoonlijk",Q359="Zoon",Q359="Dochter"),R359,OR(S359="Persoonlijk",S359="Zoon",S359="Dochter"),T359,O359="Vader",P359,Q359="Vader",R359,S359="Vader",T359,O359="Moeder",P359,Q359="Moeder",R359,S359="Moeder",T359,TRUE,IF(P359&lt;&gt;"",P359,IF(R359&lt;&gt;"",R359,IF(T359&lt;&gt;"",T359,""))))</f>
        <v>Heike.guenter@telenet.be</v>
      </c>
      <c r="AN359" t="str" cm="1">
        <f t="array" ref="AN359">_xlfn.LET(_xlpm.raw,_xlfn.IFS(OR(U359="Persoonlijk",U359="Zoon",U359="Dochter"),V359,OR(W359="Persoonlijk",W359="Zoon",W359="Dochter"),X359,OR(Y359="Persoonlijk",Y359="Zoon",Y359="Dochter"),Z359,U359="Vader",V359,W359="Vader",X359,Y359="Vader",Z359,U359="Moeder",V359,W359="Moeder",X359,Y359="Moeder",Z359,TRUE,IF(V359&lt;&gt;"",V359,IF(X359&lt;&gt;"",X359,IF(Z359&lt;&gt;"",Z359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+32456085054</v>
      </c>
    </row>
    <row r="360" spans="1:40" x14ac:dyDescent="0.3">
      <c r="A360">
        <v>6125412</v>
      </c>
      <c r="B360" t="s">
        <v>1151</v>
      </c>
      <c r="C360" t="s">
        <v>1446</v>
      </c>
      <c r="D360" t="s">
        <v>39</v>
      </c>
      <c r="E360" t="s">
        <v>40</v>
      </c>
      <c r="F360" t="s">
        <v>1447</v>
      </c>
      <c r="G360" t="s">
        <v>597</v>
      </c>
      <c r="H360">
        <v>81</v>
      </c>
      <c r="Q360" t="s">
        <v>51</v>
      </c>
      <c r="R360" t="s">
        <v>1448</v>
      </c>
      <c r="U360" t="s">
        <v>53</v>
      </c>
      <c r="V360" t="s">
        <v>1449</v>
      </c>
      <c r="W360" t="s">
        <v>51</v>
      </c>
      <c r="X360" t="s">
        <v>1450</v>
      </c>
      <c r="AF360">
        <v>1006125412</v>
      </c>
      <c r="AJ360" t="s">
        <v>131</v>
      </c>
      <c r="AK360" t="s">
        <v>61</v>
      </c>
      <c r="AM360" t="str" cm="1">
        <f t="array" ref="AM360">_xlfn.IFS(OR(O360="Persoonlijk",O360="Zoon",O360="Dochter"),P360,OR(Q360="Persoonlijk",Q360="Zoon",Q360="Dochter"),R360,OR(S360="Persoonlijk",S360="Zoon",S360="Dochter"),T360,O360="Vader",P360,Q360="Vader",R360,S360="Vader",T360,O360="Moeder",P360,Q360="Moeder",R360,S360="Moeder",T360,TRUE,IF(P360&lt;&gt;"",P360,IF(R360&lt;&gt;"",R360,IF(T360&lt;&gt;"",T360,""))))</f>
        <v>Dieter.Guillaume@gmail.com</v>
      </c>
      <c r="AN360" t="str" cm="1">
        <f t="array" ref="AN360">_xlfn.LET(_xlpm.raw,_xlfn.IFS(OR(U360="Persoonlijk",U360="Zoon",U360="Dochter"),V360,OR(W360="Persoonlijk",W360="Zoon",W360="Dochter"),X360,OR(Y360="Persoonlijk",Y360="Zoon",Y360="Dochter"),Z360,U360="Vader",V360,W360="Vader",X360,Y360="Vader",Z360,U360="Moeder",V360,W360="Moeder",X360,Y360="Moeder",Z360,TRUE,IF(V360&lt;&gt;"",V360,IF(X360&lt;&gt;"",X360,IF(Z360&lt;&gt;"",Z360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+32486392021</v>
      </c>
    </row>
    <row r="361" spans="1:40" x14ac:dyDescent="0.3">
      <c r="A361">
        <v>6067229</v>
      </c>
      <c r="B361" t="s">
        <v>1451</v>
      </c>
      <c r="C361" t="s">
        <v>378</v>
      </c>
      <c r="D361" t="s">
        <v>39</v>
      </c>
      <c r="E361" t="s">
        <v>49</v>
      </c>
      <c r="F361" t="s">
        <v>1452</v>
      </c>
      <c r="G361" t="s">
        <v>1453</v>
      </c>
      <c r="H361">
        <v>38</v>
      </c>
      <c r="Q361" t="s">
        <v>53</v>
      </c>
      <c r="R361" t="s">
        <v>1454</v>
      </c>
      <c r="U361" t="s">
        <v>51</v>
      </c>
      <c r="V361" t="s">
        <v>1455</v>
      </c>
      <c r="AF361">
        <v>1006067229</v>
      </c>
      <c r="AM361" t="str" cm="1">
        <f t="array" ref="AM361">_xlfn.IFS(OR(O361="Persoonlijk",O361="Zoon",O361="Dochter"),P361,OR(Q361="Persoonlijk",Q361="Zoon",Q361="Dochter"),R361,OR(S361="Persoonlijk",S361="Zoon",S361="Dochter"),T361,O361="Vader",P361,Q361="Vader",R361,S361="Vader",T361,O361="Moeder",P361,Q361="Moeder",R361,S361="Moeder",T361,TRUE,IF(P361&lt;&gt;"",P361,IF(R361&lt;&gt;"",R361,IF(T361&lt;&gt;"",T361,""))))</f>
        <v>haffner.r@hotmail.com</v>
      </c>
      <c r="AN361" t="str" cm="1">
        <f t="array" ref="AN361">_xlfn.LET(_xlpm.raw,_xlfn.IFS(OR(U361="Persoonlijk",U361="Zoon",U361="Dochter"),V361,OR(W361="Persoonlijk",W361="Zoon",W361="Dochter"),X361,OR(Y361="Persoonlijk",Y361="Zoon",Y361="Dochter"),Z361,U361="Vader",V361,W361="Vader",X361,Y361="Vader",Z361,U361="Moeder",V361,W361="Moeder",X361,Y361="Moeder",Z361,TRUE,IF(V361&lt;&gt;"",V361,IF(X361&lt;&gt;"",X361,IF(Z361&lt;&gt;"",Z361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+32470654159</v>
      </c>
    </row>
    <row r="362" spans="1:40" x14ac:dyDescent="0.3">
      <c r="A362">
        <v>2182947</v>
      </c>
      <c r="B362" t="s">
        <v>1456</v>
      </c>
      <c r="C362" t="s">
        <v>1457</v>
      </c>
      <c r="D362" t="s">
        <v>39</v>
      </c>
      <c r="E362" t="s">
        <v>49</v>
      </c>
      <c r="F362" t="s">
        <v>1458</v>
      </c>
      <c r="G362" t="s">
        <v>1459</v>
      </c>
      <c r="H362">
        <v>5</v>
      </c>
      <c r="V362" t="s">
        <v>1460</v>
      </c>
      <c r="AC362" t="s">
        <v>1461</v>
      </c>
      <c r="AF362">
        <v>1002182947</v>
      </c>
      <c r="AG362">
        <v>721092</v>
      </c>
      <c r="AJ362" t="s">
        <v>97</v>
      </c>
      <c r="AK362" t="s">
        <v>61</v>
      </c>
      <c r="AM362" t="str" cm="1">
        <f t="array" ref="AM362">_xlfn.IFS(OR(O362="Persoonlijk",O362="Zoon",O362="Dochter"),P362,OR(Q362="Persoonlijk",Q362="Zoon",Q362="Dochter"),R362,OR(S362="Persoonlijk",S362="Zoon",S362="Dochter"),T362,O362="Vader",P362,Q362="Vader",R362,S362="Vader",T362,O362="Moeder",P362,Q362="Moeder",R362,S362="Moeder",T362,TRUE,IF(P362&lt;&gt;"",P362,IF(R362&lt;&gt;"",R362,IF(T362&lt;&gt;"",T362,""))))</f>
        <v/>
      </c>
      <c r="AN362" t="str" cm="1">
        <f t="array" ref="AN362">_xlfn.LET(_xlpm.raw,_xlfn.IFS(OR(U362="Persoonlijk",U362="Zoon",U362="Dochter"),V362,OR(W362="Persoonlijk",W362="Zoon",W362="Dochter"),X362,OR(Y362="Persoonlijk",Y362="Zoon",Y362="Dochter"),Z362,U362="Vader",V362,W362="Vader",X362,Y362="Vader",Z362,U362="Moeder",V362,W362="Moeder",X362,Y362="Moeder",Z362,TRUE,IF(V362&lt;&gt;"",V362,IF(X362&lt;&gt;"",X362,IF(Z362&lt;&gt;"",Z362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+32496950967</v>
      </c>
    </row>
    <row r="363" spans="1:40" x14ac:dyDescent="0.3">
      <c r="A363">
        <v>2182947</v>
      </c>
      <c r="B363" t="s">
        <v>1456</v>
      </c>
      <c r="C363" t="s">
        <v>1457</v>
      </c>
      <c r="D363" t="s">
        <v>39</v>
      </c>
      <c r="E363" t="s">
        <v>49</v>
      </c>
      <c r="F363" t="s">
        <v>1458</v>
      </c>
      <c r="G363" t="s">
        <v>1459</v>
      </c>
      <c r="H363">
        <v>5</v>
      </c>
      <c r="V363" t="s">
        <v>1460</v>
      </c>
      <c r="AC363" t="s">
        <v>1461</v>
      </c>
      <c r="AF363">
        <v>1002182947</v>
      </c>
      <c r="AG363">
        <v>721092</v>
      </c>
      <c r="AJ363" t="s">
        <v>63</v>
      </c>
      <c r="AK363" t="s">
        <v>61</v>
      </c>
      <c r="AM363" t="str" cm="1">
        <f t="array" ref="AM363">_xlfn.IFS(OR(O363="Persoonlijk",O363="Zoon",O363="Dochter"),P363,OR(Q363="Persoonlijk",Q363="Zoon",Q363="Dochter"),R363,OR(S363="Persoonlijk",S363="Zoon",S363="Dochter"),T363,O363="Vader",P363,Q363="Vader",R363,S363="Vader",T363,O363="Moeder",P363,Q363="Moeder",R363,S363="Moeder",T363,TRUE,IF(P363&lt;&gt;"",P363,IF(R363&lt;&gt;"",R363,IF(T363&lt;&gt;"",T363,""))))</f>
        <v/>
      </c>
      <c r="AN363" t="str" cm="1">
        <f t="array" ref="AN363">_xlfn.LET(_xlpm.raw,_xlfn.IFS(OR(U363="Persoonlijk",U363="Zoon",U363="Dochter"),V363,OR(W363="Persoonlijk",W363="Zoon",W363="Dochter"),X363,OR(Y363="Persoonlijk",Y363="Zoon",Y363="Dochter"),Z363,U363="Vader",V363,W363="Vader",X363,Y363="Vader",Z363,U363="Moeder",V363,W363="Moeder",X363,Y363="Moeder",Z363,TRUE,IF(V363&lt;&gt;"",V363,IF(X363&lt;&gt;"",X363,IF(Z363&lt;&gt;"",Z363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+32496950967</v>
      </c>
    </row>
    <row r="364" spans="1:40" x14ac:dyDescent="0.3">
      <c r="A364">
        <v>3627079</v>
      </c>
      <c r="B364" t="s">
        <v>1456</v>
      </c>
      <c r="C364" t="s">
        <v>1462</v>
      </c>
      <c r="D364" t="s">
        <v>39</v>
      </c>
      <c r="E364" t="s">
        <v>40</v>
      </c>
      <c r="F364" t="s">
        <v>1463</v>
      </c>
      <c r="G364" t="s">
        <v>1459</v>
      </c>
      <c r="H364">
        <v>5</v>
      </c>
      <c r="U364" t="s">
        <v>51</v>
      </c>
      <c r="V364" t="s">
        <v>1460</v>
      </c>
      <c r="W364" t="s">
        <v>46</v>
      </c>
      <c r="X364" t="s">
        <v>1464</v>
      </c>
      <c r="AF364">
        <v>1003627079</v>
      </c>
      <c r="AJ364" t="s">
        <v>179</v>
      </c>
      <c r="AK364" t="s">
        <v>61</v>
      </c>
      <c r="AM364" t="str" cm="1">
        <f t="array" ref="AM364">_xlfn.IFS(OR(O364="Persoonlijk",O364="Zoon",O364="Dochter"),P364,OR(Q364="Persoonlijk",Q364="Zoon",Q364="Dochter"),R364,OR(S364="Persoonlijk",S364="Zoon",S364="Dochter"),T364,O364="Vader",P364,Q364="Vader",R364,S364="Vader",T364,O364="Moeder",P364,Q364="Moeder",R364,S364="Moeder",T364,TRUE,IF(P364&lt;&gt;"",P364,IF(R364&lt;&gt;"",R364,IF(T364&lt;&gt;"",T364,""))))</f>
        <v/>
      </c>
      <c r="AN364" t="str" cm="1">
        <f t="array" ref="AN364">_xlfn.LET(_xlpm.raw,_xlfn.IFS(OR(U364="Persoonlijk",U364="Zoon",U364="Dochter"),V364,OR(W364="Persoonlijk",W364="Zoon",W364="Dochter"),X364,OR(Y364="Persoonlijk",Y364="Zoon",Y364="Dochter"),Z364,U364="Vader",V364,W364="Vader",X364,Y364="Vader",Z364,U364="Moeder",V364,W364="Moeder",X364,Y364="Moeder",Z364,TRUE,IF(V364&lt;&gt;"",V364,IF(X364&lt;&gt;"",X364,IF(Z364&lt;&gt;"",Z364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+32467059655</v>
      </c>
    </row>
    <row r="365" spans="1:40" x14ac:dyDescent="0.3">
      <c r="A365">
        <v>3627079</v>
      </c>
      <c r="B365" t="s">
        <v>1456</v>
      </c>
      <c r="C365" t="s">
        <v>1462</v>
      </c>
      <c r="D365" t="s">
        <v>39</v>
      </c>
      <c r="E365" t="s">
        <v>40</v>
      </c>
      <c r="F365" t="s">
        <v>1463</v>
      </c>
      <c r="G365" t="s">
        <v>1459</v>
      </c>
      <c r="H365">
        <v>5</v>
      </c>
      <c r="U365" t="s">
        <v>51</v>
      </c>
      <c r="V365" t="s">
        <v>1460</v>
      </c>
      <c r="W365" t="s">
        <v>46</v>
      </c>
      <c r="X365" t="s">
        <v>1464</v>
      </c>
      <c r="AF365">
        <v>1003627079</v>
      </c>
      <c r="AJ365" t="s">
        <v>180</v>
      </c>
      <c r="AK365" t="s">
        <v>61</v>
      </c>
      <c r="AM365" t="str" cm="1">
        <f t="array" ref="AM365">_xlfn.IFS(OR(O365="Persoonlijk",O365="Zoon",O365="Dochter"),P365,OR(Q365="Persoonlijk",Q365="Zoon",Q365="Dochter"),R365,OR(S365="Persoonlijk",S365="Zoon",S365="Dochter"),T365,O365="Vader",P365,Q365="Vader",R365,S365="Vader",T365,O365="Moeder",P365,Q365="Moeder",R365,S365="Moeder",T365,TRUE,IF(P365&lt;&gt;"",P365,IF(R365&lt;&gt;"",R365,IF(T365&lt;&gt;"",T365,""))))</f>
        <v/>
      </c>
      <c r="AN365" t="str" cm="1">
        <f t="array" ref="AN365">_xlfn.LET(_xlpm.raw,_xlfn.IFS(OR(U365="Persoonlijk",U365="Zoon",U365="Dochter"),V365,OR(W365="Persoonlijk",W365="Zoon",W365="Dochter"),X365,OR(Y365="Persoonlijk",Y365="Zoon",Y365="Dochter"),Z365,U365="Vader",V365,W365="Vader",X365,Y365="Vader",Z365,U365="Moeder",V365,W365="Moeder",X365,Y365="Moeder",Z365,TRUE,IF(V365&lt;&gt;"",V365,IF(X365&lt;&gt;"",X365,IF(Z365&lt;&gt;"",Z365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+32467059655</v>
      </c>
    </row>
    <row r="366" spans="1:40" x14ac:dyDescent="0.3">
      <c r="A366">
        <v>2182952</v>
      </c>
      <c r="B366" t="s">
        <v>1465</v>
      </c>
      <c r="C366" t="s">
        <v>1151</v>
      </c>
      <c r="D366" t="s">
        <v>39</v>
      </c>
      <c r="E366" t="s">
        <v>40</v>
      </c>
      <c r="F366" t="s">
        <v>1466</v>
      </c>
      <c r="G366" t="s">
        <v>1467</v>
      </c>
      <c r="H366">
        <v>33</v>
      </c>
      <c r="R366" t="s">
        <v>1468</v>
      </c>
      <c r="AC366" t="s">
        <v>1469</v>
      </c>
      <c r="AF366">
        <v>1002182952</v>
      </c>
      <c r="AG366">
        <v>630471</v>
      </c>
      <c r="AM366" t="str" cm="1">
        <f t="array" ref="AM366">_xlfn.IFS(OR(O366="Persoonlijk",O366="Zoon",O366="Dochter"),P366,OR(Q366="Persoonlijk",Q366="Zoon",Q366="Dochter"),R366,OR(S366="Persoonlijk",S366="Zoon",S366="Dochter"),T366,O366="Vader",P366,Q366="Vader",R366,S366="Vader",T366,O366="Moeder",P366,Q366="Moeder",R366,S366="Moeder",T366,TRUE,IF(P366&lt;&gt;"",P366,IF(R366&lt;&gt;"",R366,IF(T366&lt;&gt;"",T366,""))))</f>
        <v>guillaume.hardeel@outlook.be</v>
      </c>
      <c r="AN366" t="str" cm="1">
        <f t="array" ref="AN366">_xlfn.LET(_xlpm.raw,_xlfn.IFS(OR(U366="Persoonlijk",U366="Zoon",U366="Dochter"),V366,OR(W366="Persoonlijk",W366="Zoon",W366="Dochter"),X366,OR(Y366="Persoonlijk",Y366="Zoon",Y366="Dochter"),Z366,U366="Vader",V366,W366="Vader",X366,Y366="Vader",Z366,U366="Moeder",V366,W366="Moeder",X366,Y366="Moeder",Z366,TRUE,IF(V366&lt;&gt;"",V366,IF(X366&lt;&gt;"",X366,IF(Z366&lt;&gt;"",Z366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67" spans="1:40" x14ac:dyDescent="0.3">
      <c r="A367">
        <v>6085560</v>
      </c>
      <c r="B367" t="s">
        <v>1470</v>
      </c>
      <c r="C367" t="s">
        <v>1471</v>
      </c>
      <c r="D367" t="s">
        <v>39</v>
      </c>
      <c r="E367" t="s">
        <v>40</v>
      </c>
      <c r="F367" t="s">
        <v>1472</v>
      </c>
      <c r="G367" t="s">
        <v>1473</v>
      </c>
      <c r="H367">
        <v>121</v>
      </c>
      <c r="Q367" t="s">
        <v>51</v>
      </c>
      <c r="R367" t="s">
        <v>1474</v>
      </c>
      <c r="U367" t="s">
        <v>53</v>
      </c>
      <c r="V367" t="s">
        <v>1475</v>
      </c>
      <c r="W367" t="s">
        <v>51</v>
      </c>
      <c r="X367" t="s">
        <v>1476</v>
      </c>
      <c r="AF367">
        <v>1006085560</v>
      </c>
      <c r="AM367" t="str" cm="1">
        <f t="array" ref="AM367">_xlfn.IFS(OR(O367="Persoonlijk",O367="Zoon",O367="Dochter"),P367,OR(Q367="Persoonlijk",Q367="Zoon",Q367="Dochter"),R367,OR(S367="Persoonlijk",S367="Zoon",S367="Dochter"),T367,O367="Vader",P367,Q367="Vader",R367,S367="Vader",T367,O367="Moeder",P367,Q367="Moeder",R367,S367="Moeder",T367,TRUE,IF(P367&lt;&gt;"",P367,IF(R367&lt;&gt;"",R367,IF(T367&lt;&gt;"",T367,""))))</f>
        <v>bhebbelynck@gmail.com</v>
      </c>
      <c r="AN367" t="str" cm="1">
        <f t="array" ref="AN367">_xlfn.LET(_xlpm.raw,_xlfn.IFS(OR(U367="Persoonlijk",U367="Zoon",U367="Dochter"),V367,OR(W367="Persoonlijk",W367="Zoon",W367="Dochter"),X367,OR(Y367="Persoonlijk",Y367="Zoon",Y367="Dochter"),Z367,U367="Vader",V367,W367="Vader",X367,Y367="Vader",Z367,U367="Moeder",V367,W367="Moeder",X367,Y367="Moeder",Z367,TRUE,IF(V367&lt;&gt;"",V367,IF(X367&lt;&gt;"",X367,IF(Z367&lt;&gt;"",Z367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+32498670082</v>
      </c>
    </row>
    <row r="368" spans="1:40" x14ac:dyDescent="0.3">
      <c r="A368">
        <v>2182957</v>
      </c>
      <c r="B368" t="s">
        <v>1477</v>
      </c>
      <c r="C368" t="s">
        <v>1478</v>
      </c>
      <c r="D368" t="s">
        <v>39</v>
      </c>
      <c r="E368" t="s">
        <v>40</v>
      </c>
      <c r="F368" t="s">
        <v>1479</v>
      </c>
      <c r="G368" t="s">
        <v>1480</v>
      </c>
      <c r="H368">
        <v>1</v>
      </c>
      <c r="AA368">
        <v>0</v>
      </c>
      <c r="AF368">
        <v>1002182957</v>
      </c>
      <c r="AM368" t="str" cm="1">
        <f t="array" ref="AM368">_xlfn.IFS(OR(O368="Persoonlijk",O368="Zoon",O368="Dochter"),P368,OR(Q368="Persoonlijk",Q368="Zoon",Q368="Dochter"),R368,OR(S368="Persoonlijk",S368="Zoon",S368="Dochter"),T368,O368="Vader",P368,Q368="Vader",R368,S368="Vader",T368,O368="Moeder",P368,Q368="Moeder",R368,S368="Moeder",T368,TRUE,IF(P368&lt;&gt;"",P368,IF(R368&lt;&gt;"",R368,IF(T368&lt;&gt;"",T368,""))))</f>
        <v/>
      </c>
      <c r="AN368" t="str" cm="1">
        <f t="array" ref="AN368">_xlfn.LET(_xlpm.raw,_xlfn.IFS(OR(U368="Persoonlijk",U368="Zoon",U368="Dochter"),V368,OR(W368="Persoonlijk",W368="Zoon",W368="Dochter"),X368,OR(Y368="Persoonlijk",Y368="Zoon",Y368="Dochter"),Z368,U368="Vader",V368,W368="Vader",X368,Y368="Vader",Z368,U368="Moeder",V368,W368="Moeder",X368,Y368="Moeder",Z368,TRUE,IF(V368&lt;&gt;"",V368,IF(X368&lt;&gt;"",X368,IF(Z368&lt;&gt;"",Z368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69" spans="1:40" x14ac:dyDescent="0.3">
      <c r="A369">
        <v>2182962</v>
      </c>
      <c r="B369" t="s">
        <v>1477</v>
      </c>
      <c r="C369" t="s">
        <v>1481</v>
      </c>
      <c r="D369" t="s">
        <v>39</v>
      </c>
      <c r="E369" t="s">
        <v>49</v>
      </c>
      <c r="F369" t="s">
        <v>1482</v>
      </c>
      <c r="G369" t="s">
        <v>970</v>
      </c>
      <c r="H369">
        <v>1</v>
      </c>
      <c r="V369" t="s">
        <v>1483</v>
      </c>
      <c r="AE369" t="s">
        <v>1484</v>
      </c>
      <c r="AF369">
        <v>1002182962</v>
      </c>
      <c r="AG369">
        <v>668596</v>
      </c>
      <c r="AM369" t="str" cm="1">
        <f t="array" ref="AM369">_xlfn.IFS(OR(O369="Persoonlijk",O369="Zoon",O369="Dochter"),P369,OR(Q369="Persoonlijk",Q369="Zoon",Q369="Dochter"),R369,OR(S369="Persoonlijk",S369="Zoon",S369="Dochter"),T369,O369="Vader",P369,Q369="Vader",R369,S369="Vader",T369,O369="Moeder",P369,Q369="Moeder",R369,S369="Moeder",T369,TRUE,IF(P369&lt;&gt;"",P369,IF(R369&lt;&gt;"",R369,IF(T369&lt;&gt;"",T369,""))))</f>
        <v/>
      </c>
      <c r="AN369" t="str" cm="1">
        <f t="array" ref="AN369">_xlfn.LET(_xlpm.raw,_xlfn.IFS(OR(U369="Persoonlijk",U369="Zoon",U369="Dochter"),V369,OR(W369="Persoonlijk",W369="Zoon",W369="Dochter"),X369,OR(Y369="Persoonlijk",Y369="Zoon",Y369="Dochter"),Z369,U369="Vader",V369,W369="Vader",X369,Y369="Vader",Z369,U369="Moeder",V369,W369="Moeder",X369,Y369="Moeder",Z369,TRUE,IF(V369&lt;&gt;"",V369,IF(X369&lt;&gt;"",X369,IF(Z369&lt;&gt;"",Z369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+32494139188</v>
      </c>
    </row>
    <row r="370" spans="1:40" x14ac:dyDescent="0.3">
      <c r="A370">
        <v>2182967</v>
      </c>
      <c r="B370" t="s">
        <v>1477</v>
      </c>
      <c r="C370" t="s">
        <v>1485</v>
      </c>
      <c r="D370" t="s">
        <v>39</v>
      </c>
      <c r="E370" t="s">
        <v>40</v>
      </c>
      <c r="F370" t="s">
        <v>1486</v>
      </c>
      <c r="G370" t="s">
        <v>970</v>
      </c>
      <c r="H370">
        <v>1</v>
      </c>
      <c r="V370" t="s">
        <v>1483</v>
      </c>
      <c r="AE370" t="s">
        <v>1487</v>
      </c>
      <c r="AF370">
        <v>1002182967</v>
      </c>
      <c r="AG370">
        <v>668593</v>
      </c>
      <c r="AM370" t="str" cm="1">
        <f t="array" ref="AM370">_xlfn.IFS(OR(O370="Persoonlijk",O370="Zoon",O370="Dochter"),P370,OR(Q370="Persoonlijk",Q370="Zoon",Q370="Dochter"),R370,OR(S370="Persoonlijk",S370="Zoon",S370="Dochter"),T370,O370="Vader",P370,Q370="Vader",R370,S370="Vader",T370,O370="Moeder",P370,Q370="Moeder",R370,S370="Moeder",T370,TRUE,IF(P370&lt;&gt;"",P370,IF(R370&lt;&gt;"",R370,IF(T370&lt;&gt;"",T370,""))))</f>
        <v/>
      </c>
      <c r="AN370" t="str" cm="1">
        <f t="array" ref="AN370">_xlfn.LET(_xlpm.raw,_xlfn.IFS(OR(U370="Persoonlijk",U370="Zoon",U370="Dochter"),V370,OR(W370="Persoonlijk",W370="Zoon",W370="Dochter"),X370,OR(Y370="Persoonlijk",Y370="Zoon",Y370="Dochter"),Z370,U370="Vader",V370,W370="Vader",X370,Y370="Vader",Z370,U370="Moeder",V370,W370="Moeder",X370,Y370="Moeder",Z370,TRUE,IF(V370&lt;&gt;"",V370,IF(X370&lt;&gt;"",X370,IF(Z370&lt;&gt;"",Z370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+32494139188</v>
      </c>
    </row>
    <row r="371" spans="1:40" x14ac:dyDescent="0.3">
      <c r="A371">
        <v>11850507</v>
      </c>
      <c r="B371" t="s">
        <v>1488</v>
      </c>
      <c r="C371" t="s">
        <v>1489</v>
      </c>
      <c r="D371" t="s">
        <v>39</v>
      </c>
      <c r="E371" t="s">
        <v>40</v>
      </c>
      <c r="F371" t="s">
        <v>1490</v>
      </c>
      <c r="U371" t="s">
        <v>46</v>
      </c>
      <c r="V371" t="s">
        <v>1491</v>
      </c>
      <c r="AF371">
        <v>1011850507</v>
      </c>
      <c r="AJ371" t="s">
        <v>97</v>
      </c>
      <c r="AK371" t="s">
        <v>65</v>
      </c>
      <c r="AM371" t="str" cm="1">
        <f t="array" ref="AM371">_xlfn.IFS(OR(O371="Persoonlijk",O371="Zoon",O371="Dochter"),P371,OR(Q371="Persoonlijk",Q371="Zoon",Q371="Dochter"),R371,OR(S371="Persoonlijk",S371="Zoon",S371="Dochter"),T371,O371="Vader",P371,Q371="Vader",R371,S371="Vader",T371,O371="Moeder",P371,Q371="Moeder",R371,S371="Moeder",T371,TRUE,IF(P371&lt;&gt;"",P371,IF(R371&lt;&gt;"",R371,IF(T371&lt;&gt;"",T371,""))))</f>
        <v/>
      </c>
      <c r="AN371" t="str" cm="1">
        <f t="array" ref="AN371">_xlfn.LET(_xlpm.raw,_xlfn.IFS(OR(U371="Persoonlijk",U371="Zoon",U371="Dochter"),V371,OR(W371="Persoonlijk",W371="Zoon",W371="Dochter"),X371,OR(Y371="Persoonlijk",Y371="Zoon",Y371="Dochter"),Z371,U371="Vader",V371,W371="Vader",X371,Y371="Vader",Z371,U371="Moeder",V371,W371="Moeder",X371,Y371="Moeder",Z371,TRUE,IF(V371&lt;&gt;"",V371,IF(X371&lt;&gt;"",X371,IF(Z371&lt;&gt;"",Z371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+32468152536</v>
      </c>
    </row>
    <row r="372" spans="1:40" x14ac:dyDescent="0.3">
      <c r="A372">
        <v>2182972</v>
      </c>
      <c r="B372" t="s">
        <v>1492</v>
      </c>
      <c r="C372" t="s">
        <v>1493</v>
      </c>
      <c r="D372" t="s">
        <v>39</v>
      </c>
      <c r="E372" t="s">
        <v>49</v>
      </c>
      <c r="F372" t="s">
        <v>1494</v>
      </c>
      <c r="G372" t="s">
        <v>1495</v>
      </c>
      <c r="H372">
        <v>27</v>
      </c>
      <c r="AC372" t="s">
        <v>1496</v>
      </c>
      <c r="AF372">
        <v>1002182972</v>
      </c>
      <c r="AM372" t="str" cm="1">
        <f t="array" ref="AM372">_xlfn.IFS(OR(O372="Persoonlijk",O372="Zoon",O372="Dochter"),P372,OR(Q372="Persoonlijk",Q372="Zoon",Q372="Dochter"),R372,OR(S372="Persoonlijk",S372="Zoon",S372="Dochter"),T372,O372="Vader",P372,Q372="Vader",R372,S372="Vader",T372,O372="Moeder",P372,Q372="Moeder",R372,S372="Moeder",T372,TRUE,IF(P372&lt;&gt;"",P372,IF(R372&lt;&gt;"",R372,IF(T372&lt;&gt;"",T372,""))))</f>
        <v/>
      </c>
      <c r="AN372" t="str" cm="1">
        <f t="array" ref="AN372">_xlfn.LET(_xlpm.raw,_xlfn.IFS(OR(U372="Persoonlijk",U372="Zoon",U372="Dochter"),V372,OR(W372="Persoonlijk",W372="Zoon",W372="Dochter"),X372,OR(Y372="Persoonlijk",Y372="Zoon",Y372="Dochter"),Z372,U372="Vader",V372,W372="Vader",X372,Y372="Vader",Z372,U372="Moeder",V372,W372="Moeder",X372,Y372="Moeder",Z372,TRUE,IF(V372&lt;&gt;"",V372,IF(X372&lt;&gt;"",X372,IF(Z372&lt;&gt;"",Z372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73" spans="1:40" x14ac:dyDescent="0.3">
      <c r="A373">
        <v>2936177</v>
      </c>
      <c r="B373" t="s">
        <v>1497</v>
      </c>
      <c r="C373" t="s">
        <v>1498</v>
      </c>
      <c r="D373" t="s">
        <v>39</v>
      </c>
      <c r="E373" t="s">
        <v>40</v>
      </c>
      <c r="F373" t="s">
        <v>1499</v>
      </c>
      <c r="V373">
        <v>0</v>
      </c>
      <c r="X373">
        <v>0</v>
      </c>
      <c r="Z373">
        <v>0</v>
      </c>
      <c r="AA373">
        <v>0</v>
      </c>
      <c r="AF373">
        <v>1002936177</v>
      </c>
      <c r="AM373" t="str" cm="1">
        <f t="array" ref="AM373">_xlfn.IFS(OR(O373="Persoonlijk",O373="Zoon",O373="Dochter"),P373,OR(Q373="Persoonlijk",Q373="Zoon",Q373="Dochter"),R373,OR(S373="Persoonlijk",S373="Zoon",S373="Dochter"),T373,O373="Vader",P373,Q373="Vader",R373,S373="Vader",T373,O373="Moeder",P373,Q373="Moeder",R373,S373="Moeder",T373,TRUE,IF(P373&lt;&gt;"",P373,IF(R373&lt;&gt;"",R373,IF(T373&lt;&gt;"",T373,""))))</f>
        <v/>
      </c>
      <c r="AN373" t="str" cm="1">
        <f t="array" ref="AN373">_xlfn.LET(_xlpm.raw,_xlfn.IFS(OR(U373="Persoonlijk",U373="Zoon",U373="Dochter"),V373,OR(W373="Persoonlijk",W373="Zoon",W373="Dochter"),X373,OR(Y373="Persoonlijk",Y373="Zoon",Y373="Dochter"),Z373,U373="Vader",V373,W373="Vader",X373,Y373="Vader",Z373,U373="Moeder",V373,W373="Moeder",X373,Y373="Moeder",Z373,TRUE,IF(V373&lt;&gt;"",V373,IF(X373&lt;&gt;"",X373,IF(Z373&lt;&gt;"",Z373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74" spans="1:40" x14ac:dyDescent="0.3">
      <c r="A374">
        <v>2182987</v>
      </c>
      <c r="B374" t="s">
        <v>1500</v>
      </c>
      <c r="C374" t="s">
        <v>1501</v>
      </c>
      <c r="D374" t="s">
        <v>39</v>
      </c>
      <c r="E374" t="s">
        <v>49</v>
      </c>
      <c r="F374" t="s">
        <v>1502</v>
      </c>
      <c r="G374" t="s">
        <v>448</v>
      </c>
      <c r="H374">
        <v>135</v>
      </c>
      <c r="AC374" t="s">
        <v>1503</v>
      </c>
      <c r="AF374">
        <v>1002182987</v>
      </c>
      <c r="AM374" t="str" cm="1">
        <f t="array" ref="AM374">_xlfn.IFS(OR(O374="Persoonlijk",O374="Zoon",O374="Dochter"),P374,OR(Q374="Persoonlijk",Q374="Zoon",Q374="Dochter"),R374,OR(S374="Persoonlijk",S374="Zoon",S374="Dochter"),T374,O374="Vader",P374,Q374="Vader",R374,S374="Vader",T374,O374="Moeder",P374,Q374="Moeder",R374,S374="Moeder",T374,TRUE,IF(P374&lt;&gt;"",P374,IF(R374&lt;&gt;"",R374,IF(T374&lt;&gt;"",T374,""))))</f>
        <v/>
      </c>
      <c r="AN374" t="str" cm="1">
        <f t="array" ref="AN374">_xlfn.LET(_xlpm.raw,_xlfn.IFS(OR(U374="Persoonlijk",U374="Zoon",U374="Dochter"),V374,OR(W374="Persoonlijk",W374="Zoon",W374="Dochter"),X374,OR(Y374="Persoonlijk",Y374="Zoon",Y374="Dochter"),Z374,U374="Vader",V374,W374="Vader",X374,Y374="Vader",Z374,U374="Moeder",V374,W374="Moeder",X374,Y374="Moeder",Z374,TRUE,IF(V374&lt;&gt;"",V374,IF(X374&lt;&gt;"",X374,IF(Z374&lt;&gt;"",Z374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75" spans="1:40" x14ac:dyDescent="0.3">
      <c r="A375">
        <v>11852342</v>
      </c>
      <c r="B375" t="s">
        <v>1504</v>
      </c>
      <c r="C375" t="s">
        <v>1505</v>
      </c>
      <c r="D375" t="s">
        <v>39</v>
      </c>
      <c r="E375" t="s">
        <v>40</v>
      </c>
      <c r="F375" t="s">
        <v>1506</v>
      </c>
      <c r="G375" t="s">
        <v>1507</v>
      </c>
      <c r="H375">
        <v>16</v>
      </c>
      <c r="U375" t="s">
        <v>46</v>
      </c>
      <c r="V375" t="s">
        <v>1508</v>
      </c>
      <c r="W375" t="s">
        <v>51</v>
      </c>
      <c r="X375" t="s">
        <v>1509</v>
      </c>
      <c r="AC375" t="s">
        <v>1510</v>
      </c>
      <c r="AF375">
        <v>1011852342</v>
      </c>
      <c r="AG375">
        <v>665927</v>
      </c>
      <c r="AJ375" t="s">
        <v>179</v>
      </c>
      <c r="AK375" t="s">
        <v>61</v>
      </c>
      <c r="AM375" t="str" cm="1">
        <f t="array" ref="AM375">_xlfn.IFS(OR(O375="Persoonlijk",O375="Zoon",O375="Dochter"),P375,OR(Q375="Persoonlijk",Q375="Zoon",Q375="Dochter"),R375,OR(S375="Persoonlijk",S375="Zoon",S375="Dochter"),T375,O375="Vader",P375,Q375="Vader",R375,S375="Vader",T375,O375="Moeder",P375,Q375="Moeder",R375,S375="Moeder",T375,TRUE,IF(P375&lt;&gt;"",P375,IF(R375&lt;&gt;"",R375,IF(T375&lt;&gt;"",T375,""))))</f>
        <v/>
      </c>
      <c r="AN375" t="str" cm="1">
        <f t="array" ref="AN375">_xlfn.LET(_xlpm.raw,_xlfn.IFS(OR(U375="Persoonlijk",U375="Zoon",U375="Dochter"),V375,OR(W375="Persoonlijk",W375="Zoon",W375="Dochter"),X375,OR(Y375="Persoonlijk",Y375="Zoon",Y375="Dochter"),Z375,U375="Vader",V375,W375="Vader",X375,Y375="Vader",Z375,U375="Moeder",V375,W375="Moeder",X375,Y375="Moeder",Z375,TRUE,IF(V375&lt;&gt;"",V375,IF(X375&lt;&gt;"",X375,IF(Z375&lt;&gt;"",Z375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+32479480500</v>
      </c>
    </row>
    <row r="376" spans="1:40" x14ac:dyDescent="0.3">
      <c r="A376">
        <v>11852342</v>
      </c>
      <c r="B376" t="s">
        <v>1504</v>
      </c>
      <c r="C376" t="s">
        <v>1505</v>
      </c>
      <c r="D376" t="s">
        <v>39</v>
      </c>
      <c r="E376" t="s">
        <v>40</v>
      </c>
      <c r="F376" t="s">
        <v>1506</v>
      </c>
      <c r="G376" t="s">
        <v>1507</v>
      </c>
      <c r="H376">
        <v>16</v>
      </c>
      <c r="U376" t="s">
        <v>46</v>
      </c>
      <c r="V376" t="s">
        <v>1508</v>
      </c>
      <c r="W376" t="s">
        <v>51</v>
      </c>
      <c r="X376" t="s">
        <v>1509</v>
      </c>
      <c r="AC376" t="s">
        <v>1510</v>
      </c>
      <c r="AF376">
        <v>1011852342</v>
      </c>
      <c r="AG376">
        <v>665927</v>
      </c>
      <c r="AJ376" t="s">
        <v>180</v>
      </c>
      <c r="AK376" t="s">
        <v>61</v>
      </c>
      <c r="AM376" t="str" cm="1">
        <f t="array" ref="AM376">_xlfn.IFS(OR(O376="Persoonlijk",O376="Zoon",O376="Dochter"),P376,OR(Q376="Persoonlijk",Q376="Zoon",Q376="Dochter"),R376,OR(S376="Persoonlijk",S376="Zoon",S376="Dochter"),T376,O376="Vader",P376,Q376="Vader",R376,S376="Vader",T376,O376="Moeder",P376,Q376="Moeder",R376,S376="Moeder",T376,TRUE,IF(P376&lt;&gt;"",P376,IF(R376&lt;&gt;"",R376,IF(T376&lt;&gt;"",T376,""))))</f>
        <v/>
      </c>
      <c r="AN376" t="str" cm="1">
        <f t="array" ref="AN376">_xlfn.LET(_xlpm.raw,_xlfn.IFS(OR(U376="Persoonlijk",U376="Zoon",U376="Dochter"),V376,OR(W376="Persoonlijk",W376="Zoon",W376="Dochter"),X376,OR(Y376="Persoonlijk",Y376="Zoon",Y376="Dochter"),Z376,U376="Vader",V376,W376="Vader",X376,Y376="Vader",Z376,U376="Moeder",V376,W376="Moeder",X376,Y376="Moeder",Z376,TRUE,IF(V376&lt;&gt;"",V376,IF(X376&lt;&gt;"",X376,IF(Z376&lt;&gt;"",Z376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+32479480500</v>
      </c>
    </row>
    <row r="377" spans="1:40" x14ac:dyDescent="0.3">
      <c r="A377">
        <v>2182992</v>
      </c>
      <c r="B377" t="s">
        <v>1511</v>
      </c>
      <c r="C377" t="s">
        <v>1512</v>
      </c>
      <c r="D377" t="s">
        <v>39</v>
      </c>
      <c r="E377" t="s">
        <v>49</v>
      </c>
      <c r="F377" t="s">
        <v>1513</v>
      </c>
      <c r="G377" t="s">
        <v>768</v>
      </c>
      <c r="H377" t="s">
        <v>864</v>
      </c>
      <c r="V377">
        <v>320493707989</v>
      </c>
      <c r="AC377" t="s">
        <v>1514</v>
      </c>
      <c r="AD377">
        <v>9</v>
      </c>
      <c r="AF377">
        <v>1002182992</v>
      </c>
      <c r="AG377">
        <v>633338</v>
      </c>
      <c r="AM377" t="str" cm="1">
        <f t="array" ref="AM377">_xlfn.IFS(OR(O377="Persoonlijk",O377="Zoon",O377="Dochter"),P377,OR(Q377="Persoonlijk",Q377="Zoon",Q377="Dochter"),R377,OR(S377="Persoonlijk",S377="Zoon",S377="Dochter"),T377,O377="Vader",P377,Q377="Vader",R377,S377="Vader",T377,O377="Moeder",P377,Q377="Moeder",R377,S377="Moeder",T377,TRUE,IF(P377&lt;&gt;"",P377,IF(R377&lt;&gt;"",R377,IF(T377&lt;&gt;"",T377,""))))</f>
        <v/>
      </c>
      <c r="AN377" t="str" cm="1">
        <f t="array" ref="AN377">_xlfn.LET(_xlpm.raw,_xlfn.IFS(OR(U377="Persoonlijk",U377="Zoon",U377="Dochter"),V377,OR(W377="Persoonlijk",W377="Zoon",W377="Dochter"),X377,OR(Y377="Persoonlijk",Y377="Zoon",Y377="Dochter"),Z377,U377="Vader",V377,W377="Vader",X377,Y377="Vader",Z377,U377="Moeder",V377,W377="Moeder",X377,Y377="Moeder",Z377,TRUE,IF(V377&lt;&gt;"",V377,IF(X377&lt;&gt;"",X377,IF(Z377&lt;&gt;"",Z377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+32493707989</v>
      </c>
    </row>
    <row r="378" spans="1:40" x14ac:dyDescent="0.3">
      <c r="A378">
        <v>2668117</v>
      </c>
      <c r="B378" t="s">
        <v>1511</v>
      </c>
      <c r="C378" t="s">
        <v>1515</v>
      </c>
      <c r="D378" t="s">
        <v>39</v>
      </c>
      <c r="E378" t="s">
        <v>40</v>
      </c>
      <c r="F378" t="s">
        <v>1516</v>
      </c>
      <c r="U378" t="s">
        <v>46</v>
      </c>
      <c r="V378">
        <v>476590142</v>
      </c>
      <c r="AC378" t="s">
        <v>1517</v>
      </c>
      <c r="AF378">
        <v>1002668117</v>
      </c>
      <c r="AM378" t="str" cm="1">
        <f t="array" ref="AM378">_xlfn.IFS(OR(O378="Persoonlijk",O378="Zoon",O378="Dochter"),P378,OR(Q378="Persoonlijk",Q378="Zoon",Q378="Dochter"),R378,OR(S378="Persoonlijk",S378="Zoon",S378="Dochter"),T378,O378="Vader",P378,Q378="Vader",R378,S378="Vader",T378,O378="Moeder",P378,Q378="Moeder",R378,S378="Moeder",T378,TRUE,IF(P378&lt;&gt;"",P378,IF(R378&lt;&gt;"",R378,IF(T378&lt;&gt;"",T378,""))))</f>
        <v/>
      </c>
      <c r="AN378" t="str" cm="1">
        <f t="array" ref="AN378">_xlfn.LET(_xlpm.raw,_xlfn.IFS(OR(U378="Persoonlijk",U378="Zoon",U378="Dochter"),V378,OR(W378="Persoonlijk",W378="Zoon",W378="Dochter"),X378,OR(Y378="Persoonlijk",Y378="Zoon",Y378="Dochter"),Z378,U378="Vader",V378,W378="Vader",X378,Y378="Vader",Z378,U378="Moeder",V378,W378="Moeder",X378,Y378="Moeder",Z378,TRUE,IF(V378&lt;&gt;"",V378,IF(X378&lt;&gt;"",X378,IF(Z378&lt;&gt;"",Z378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+32476590142</v>
      </c>
    </row>
    <row r="379" spans="1:40" x14ac:dyDescent="0.3">
      <c r="A379">
        <v>2182997</v>
      </c>
      <c r="B379" t="s">
        <v>1518</v>
      </c>
      <c r="C379" t="s">
        <v>1519</v>
      </c>
      <c r="D379" t="s">
        <v>39</v>
      </c>
      <c r="E379" t="s">
        <v>40</v>
      </c>
      <c r="F379" t="s">
        <v>1520</v>
      </c>
      <c r="G379" t="s">
        <v>1521</v>
      </c>
      <c r="H379">
        <v>15</v>
      </c>
      <c r="R379" t="s">
        <v>1522</v>
      </c>
      <c r="AA379">
        <v>0</v>
      </c>
      <c r="AF379">
        <v>1002182997</v>
      </c>
      <c r="AM379" t="str" cm="1">
        <f t="array" ref="AM379">_xlfn.IFS(OR(O379="Persoonlijk",O379="Zoon",O379="Dochter"),P379,OR(Q379="Persoonlijk",Q379="Zoon",Q379="Dochter"),R379,OR(S379="Persoonlijk",S379="Zoon",S379="Dochter"),T379,O379="Vader",P379,Q379="Vader",R379,S379="Vader",T379,O379="Moeder",P379,Q379="Moeder",R379,S379="Moeder",T379,TRUE,IF(P379&lt;&gt;"",P379,IF(R379&lt;&gt;"",R379,IF(T379&lt;&gt;"",T379,""))))</f>
        <v>katty.tallieu@pandora.be</v>
      </c>
      <c r="AN379" t="str" cm="1">
        <f t="array" ref="AN379">_xlfn.LET(_xlpm.raw,_xlfn.IFS(OR(U379="Persoonlijk",U379="Zoon",U379="Dochter"),V379,OR(W379="Persoonlijk",W379="Zoon",W379="Dochter"),X379,OR(Y379="Persoonlijk",Y379="Zoon",Y379="Dochter"),Z379,U379="Vader",V379,W379="Vader",X379,Y379="Vader",Z379,U379="Moeder",V379,W379="Moeder",X379,Y379="Moeder",Z379,TRUE,IF(V379&lt;&gt;"",V379,IF(X379&lt;&gt;"",X379,IF(Z379&lt;&gt;"",Z379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80" spans="1:40" x14ac:dyDescent="0.3">
      <c r="A380">
        <v>2669996</v>
      </c>
      <c r="B380" t="s">
        <v>1523</v>
      </c>
      <c r="C380" t="s">
        <v>427</v>
      </c>
      <c r="D380" t="s">
        <v>39</v>
      </c>
      <c r="E380" t="s">
        <v>40</v>
      </c>
      <c r="F380" t="s">
        <v>1524</v>
      </c>
      <c r="V380">
        <v>320472994952</v>
      </c>
      <c r="AC380" t="s">
        <v>1525</v>
      </c>
      <c r="AF380">
        <v>1002669996</v>
      </c>
      <c r="AG380">
        <v>601162</v>
      </c>
      <c r="AM380" t="str" cm="1">
        <f t="array" ref="AM380">_xlfn.IFS(OR(O380="Persoonlijk",O380="Zoon",O380="Dochter"),P380,OR(Q380="Persoonlijk",Q380="Zoon",Q380="Dochter"),R380,OR(S380="Persoonlijk",S380="Zoon",S380="Dochter"),T380,O380="Vader",P380,Q380="Vader",R380,S380="Vader",T380,O380="Moeder",P380,Q380="Moeder",R380,S380="Moeder",T380,TRUE,IF(P380&lt;&gt;"",P380,IF(R380&lt;&gt;"",R380,IF(T380&lt;&gt;"",T380,""))))</f>
        <v/>
      </c>
      <c r="AN380" t="str" cm="1">
        <f t="array" ref="AN380">_xlfn.LET(_xlpm.raw,_xlfn.IFS(OR(U380="Persoonlijk",U380="Zoon",U380="Dochter"),V380,OR(W380="Persoonlijk",W380="Zoon",W380="Dochter"),X380,OR(Y380="Persoonlijk",Y380="Zoon",Y380="Dochter"),Z380,U380="Vader",V380,W380="Vader",X380,Y380="Vader",Z380,U380="Moeder",V380,W380="Moeder",X380,Y380="Moeder",Z380,TRUE,IF(V380&lt;&gt;"",V380,IF(X380&lt;&gt;"",X380,IF(Z380&lt;&gt;"",Z380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+32472994952</v>
      </c>
    </row>
    <row r="381" spans="1:40" x14ac:dyDescent="0.3">
      <c r="A381">
        <v>7501932</v>
      </c>
      <c r="B381" t="s">
        <v>1526</v>
      </c>
      <c r="C381" t="s">
        <v>1527</v>
      </c>
      <c r="D381" t="s">
        <v>39</v>
      </c>
      <c r="E381" t="s">
        <v>40</v>
      </c>
      <c r="F381" t="s">
        <v>1528</v>
      </c>
      <c r="G381" t="s">
        <v>1529</v>
      </c>
      <c r="H381">
        <v>44</v>
      </c>
      <c r="V381" t="s">
        <v>1530</v>
      </c>
      <c r="AC381" t="s">
        <v>1531</v>
      </c>
      <c r="AF381">
        <v>1007501932</v>
      </c>
      <c r="AM381" t="str" cm="1">
        <f t="array" ref="AM381">_xlfn.IFS(OR(O381="Persoonlijk",O381="Zoon",O381="Dochter"),P381,OR(Q381="Persoonlijk",Q381="Zoon",Q381="Dochter"),R381,OR(S381="Persoonlijk",S381="Zoon",S381="Dochter"),T381,O381="Vader",P381,Q381="Vader",R381,S381="Vader",T381,O381="Moeder",P381,Q381="Moeder",R381,S381="Moeder",T381,TRUE,IF(P381&lt;&gt;"",P381,IF(R381&lt;&gt;"",R381,IF(T381&lt;&gt;"",T381,""))))</f>
        <v/>
      </c>
      <c r="AN381" t="str" cm="1">
        <f t="array" ref="AN381">_xlfn.LET(_xlpm.raw,_xlfn.IFS(OR(U381="Persoonlijk",U381="Zoon",U381="Dochter"),V381,OR(W381="Persoonlijk",W381="Zoon",W381="Dochter"),X381,OR(Y381="Persoonlijk",Y381="Zoon",Y381="Dochter"),Z381,U381="Vader",V381,W381="Vader",X381,Y381="Vader",Z381,U381="Moeder",V381,W381="Moeder",X381,Y381="Moeder",Z381,TRUE,IF(V381&lt;&gt;"",V381,IF(X381&lt;&gt;"",X381,IF(Z381&lt;&gt;"",Z381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+32465557955</v>
      </c>
    </row>
    <row r="382" spans="1:40" x14ac:dyDescent="0.3">
      <c r="A382">
        <v>2714018</v>
      </c>
      <c r="B382" t="s">
        <v>1532</v>
      </c>
      <c r="C382" t="s">
        <v>1533</v>
      </c>
      <c r="D382" t="s">
        <v>39</v>
      </c>
      <c r="E382" t="s">
        <v>49</v>
      </c>
      <c r="F382" t="s">
        <v>1534</v>
      </c>
      <c r="G382" t="s">
        <v>691</v>
      </c>
      <c r="H382">
        <v>90</v>
      </c>
      <c r="V382">
        <v>474721420</v>
      </c>
      <c r="X382">
        <v>0</v>
      </c>
      <c r="Z382">
        <v>0</v>
      </c>
      <c r="AA382">
        <v>0</v>
      </c>
      <c r="AC382" t="s">
        <v>1535</v>
      </c>
      <c r="AF382">
        <v>1002714018</v>
      </c>
      <c r="AG382">
        <v>742177</v>
      </c>
      <c r="AM382" t="str" cm="1">
        <f t="array" ref="AM382">_xlfn.IFS(OR(O382="Persoonlijk",O382="Zoon",O382="Dochter"),P382,OR(Q382="Persoonlijk",Q382="Zoon",Q382="Dochter"),R382,OR(S382="Persoonlijk",S382="Zoon",S382="Dochter"),T382,O382="Vader",P382,Q382="Vader",R382,S382="Vader",T382,O382="Moeder",P382,Q382="Moeder",R382,S382="Moeder",T382,TRUE,IF(P382&lt;&gt;"",P382,IF(R382&lt;&gt;"",R382,IF(T382&lt;&gt;"",T382,""))))</f>
        <v/>
      </c>
      <c r="AN382" t="str" cm="1">
        <f t="array" ref="AN382">_xlfn.LET(_xlpm.raw,_xlfn.IFS(OR(U382="Persoonlijk",U382="Zoon",U382="Dochter"),V382,OR(W382="Persoonlijk",W382="Zoon",W382="Dochter"),X382,OR(Y382="Persoonlijk",Y382="Zoon",Y382="Dochter"),Z382,U382="Vader",V382,W382="Vader",X382,Y382="Vader",Z382,U382="Moeder",V382,W382="Moeder",X382,Y382="Moeder",Z382,TRUE,IF(V382&lt;&gt;"",V382,IF(X382&lt;&gt;"",X382,IF(Z382&lt;&gt;"",Z382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+32474721420</v>
      </c>
    </row>
    <row r="383" spans="1:40" x14ac:dyDescent="0.3">
      <c r="A383">
        <v>2183002</v>
      </c>
      <c r="B383" t="s">
        <v>1536</v>
      </c>
      <c r="C383" t="s">
        <v>1537</v>
      </c>
      <c r="D383" t="s">
        <v>39</v>
      </c>
      <c r="E383" t="s">
        <v>40</v>
      </c>
      <c r="F383" t="s">
        <v>1538</v>
      </c>
      <c r="G383" t="s">
        <v>1539</v>
      </c>
      <c r="H383">
        <v>66</v>
      </c>
      <c r="U383" t="s">
        <v>53</v>
      </c>
      <c r="V383">
        <v>32498104852</v>
      </c>
      <c r="W383" t="s">
        <v>51</v>
      </c>
      <c r="X383">
        <v>32498103578</v>
      </c>
      <c r="AF383">
        <v>1002183002</v>
      </c>
      <c r="AG383">
        <v>735041</v>
      </c>
      <c r="AJ383" t="s">
        <v>75</v>
      </c>
      <c r="AK383" t="s">
        <v>61</v>
      </c>
      <c r="AM383" t="str" cm="1">
        <f t="array" ref="AM383">_xlfn.IFS(OR(O383="Persoonlijk",O383="Zoon",O383="Dochter"),P383,OR(Q383="Persoonlijk",Q383="Zoon",Q383="Dochter"),R383,OR(S383="Persoonlijk",S383="Zoon",S383="Dochter"),T383,O383="Vader",P383,Q383="Vader",R383,S383="Vader",T383,O383="Moeder",P383,Q383="Moeder",R383,S383="Moeder",T383,TRUE,IF(P383&lt;&gt;"",P383,IF(R383&lt;&gt;"",R383,IF(T383&lt;&gt;"",T383,""))))</f>
        <v/>
      </c>
      <c r="AN383" t="str" cm="1">
        <f t="array" ref="AN383">_xlfn.LET(_xlpm.raw,_xlfn.IFS(OR(U383="Persoonlijk",U383="Zoon",U383="Dochter"),V383,OR(W383="Persoonlijk",W383="Zoon",W383="Dochter"),X383,OR(Y383="Persoonlijk",Y383="Zoon",Y383="Dochter"),Z383,U383="Vader",V383,W383="Vader",X383,Y383="Vader",Z383,U383="Moeder",V383,W383="Moeder",X383,Y383="Moeder",Z383,TRUE,IF(V383&lt;&gt;"",V383,IF(X383&lt;&gt;"",X383,IF(Z383&lt;&gt;"",Z383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+32498103578</v>
      </c>
    </row>
    <row r="384" spans="1:40" x14ac:dyDescent="0.3">
      <c r="A384">
        <v>2183002</v>
      </c>
      <c r="B384" t="s">
        <v>1536</v>
      </c>
      <c r="C384" t="s">
        <v>1537</v>
      </c>
      <c r="D384" t="s">
        <v>39</v>
      </c>
      <c r="E384" t="s">
        <v>40</v>
      </c>
      <c r="F384" t="s">
        <v>1538</v>
      </c>
      <c r="G384" t="s">
        <v>1539</v>
      </c>
      <c r="H384">
        <v>66</v>
      </c>
      <c r="U384" t="s">
        <v>53</v>
      </c>
      <c r="V384">
        <v>32498104852</v>
      </c>
      <c r="W384" t="s">
        <v>51</v>
      </c>
      <c r="X384">
        <v>32498103578</v>
      </c>
      <c r="AF384">
        <v>1002183002</v>
      </c>
      <c r="AG384">
        <v>735041</v>
      </c>
      <c r="AJ384" t="s">
        <v>63</v>
      </c>
      <c r="AK384" t="s">
        <v>61</v>
      </c>
      <c r="AM384" t="str" cm="1">
        <f t="array" ref="AM384">_xlfn.IFS(OR(O384="Persoonlijk",O384="Zoon",O384="Dochter"),P384,OR(Q384="Persoonlijk",Q384="Zoon",Q384="Dochter"),R384,OR(S384="Persoonlijk",S384="Zoon",S384="Dochter"),T384,O384="Vader",P384,Q384="Vader",R384,S384="Vader",T384,O384="Moeder",P384,Q384="Moeder",R384,S384="Moeder",T384,TRUE,IF(P384&lt;&gt;"",P384,IF(R384&lt;&gt;"",R384,IF(T384&lt;&gt;"",T384,""))))</f>
        <v/>
      </c>
      <c r="AN384" t="str" cm="1">
        <f t="array" ref="AN384">_xlfn.LET(_xlpm.raw,_xlfn.IFS(OR(U384="Persoonlijk",U384="Zoon",U384="Dochter"),V384,OR(W384="Persoonlijk",W384="Zoon",W384="Dochter"),X384,OR(Y384="Persoonlijk",Y384="Zoon",Y384="Dochter"),Z384,U384="Vader",V384,W384="Vader",X384,Y384="Vader",Z384,U384="Moeder",V384,W384="Moeder",X384,Y384="Moeder",Z384,TRUE,IF(V384&lt;&gt;"",V384,IF(X384&lt;&gt;"",X384,IF(Z384&lt;&gt;"",Z384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+32498103578</v>
      </c>
    </row>
    <row r="385" spans="1:40" x14ac:dyDescent="0.3">
      <c r="A385">
        <v>2650962</v>
      </c>
      <c r="B385" t="s">
        <v>1540</v>
      </c>
      <c r="C385" t="s">
        <v>818</v>
      </c>
      <c r="D385" t="s">
        <v>39</v>
      </c>
      <c r="E385" t="s">
        <v>40</v>
      </c>
      <c r="F385" t="s">
        <v>1541</v>
      </c>
      <c r="G385" t="s">
        <v>1473</v>
      </c>
      <c r="H385">
        <v>235</v>
      </c>
      <c r="Q385" t="s">
        <v>46</v>
      </c>
      <c r="R385" t="s">
        <v>1542</v>
      </c>
      <c r="V385" t="s">
        <v>1543</v>
      </c>
      <c r="X385" t="s">
        <v>1544</v>
      </c>
      <c r="AC385" t="s">
        <v>1545</v>
      </c>
      <c r="AF385">
        <v>1002650962</v>
      </c>
      <c r="AG385">
        <v>741745</v>
      </c>
      <c r="AM385" t="str" cm="1">
        <f t="array" ref="AM385">_xlfn.IFS(OR(O385="Persoonlijk",O385="Zoon",O385="Dochter"),P385,OR(Q385="Persoonlijk",Q385="Zoon",Q385="Dochter"),R385,OR(S385="Persoonlijk",S385="Zoon",S385="Dochter"),T385,O385="Vader",P385,Q385="Vader",R385,S385="Vader",T385,O385="Moeder",P385,Q385="Moeder",R385,S385="Moeder",T385,TRUE,IF(P385&lt;&gt;"",P385,IF(R385&lt;&gt;"",R385,IF(T385&lt;&gt;"",T385,""))))</f>
        <v>huysman_felix@gmail.com</v>
      </c>
      <c r="AN385" t="str" cm="1">
        <f t="array" ref="AN385">_xlfn.LET(_xlpm.raw,_xlfn.IFS(OR(U385="Persoonlijk",U385="Zoon",U385="Dochter"),V385,OR(W385="Persoonlijk",W385="Zoon",W385="Dochter"),X385,OR(Y385="Persoonlijk",Y385="Zoon",Y385="Dochter"),Z385,U385="Vader",V385,W385="Vader",X385,Y385="Vader",Z385,U385="Moeder",V385,W385="Moeder",X385,Y385="Moeder",Z385,TRUE,IF(V385&lt;&gt;"",V385,IF(X385&lt;&gt;"",X385,IF(Z385&lt;&gt;"",Z385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+32474884540</v>
      </c>
    </row>
    <row r="386" spans="1:40" x14ac:dyDescent="0.3">
      <c r="A386">
        <v>10335270</v>
      </c>
      <c r="B386" t="s">
        <v>1540</v>
      </c>
      <c r="C386" t="s">
        <v>1231</v>
      </c>
      <c r="D386" t="s">
        <v>39</v>
      </c>
      <c r="E386" t="s">
        <v>40</v>
      </c>
      <c r="F386" t="s">
        <v>1546</v>
      </c>
      <c r="G386" t="s">
        <v>1473</v>
      </c>
      <c r="H386">
        <v>135</v>
      </c>
      <c r="Q386" t="s">
        <v>46</v>
      </c>
      <c r="R386" t="s">
        <v>1547</v>
      </c>
      <c r="V386" t="s">
        <v>1543</v>
      </c>
      <c r="AA386">
        <v>3255239015</v>
      </c>
      <c r="AF386">
        <v>1010335270</v>
      </c>
      <c r="AM386" t="str" cm="1">
        <f t="array" ref="AM386">_xlfn.IFS(OR(O386="Persoonlijk",O386="Zoon",O386="Dochter"),P386,OR(Q386="Persoonlijk",Q386="Zoon",Q386="Dochter"),R386,OR(S386="Persoonlijk",S386="Zoon",S386="Dochter"),T386,O386="Vader",P386,Q386="Vader",R386,S386="Vader",T386,O386="Moeder",P386,Q386="Moeder",R386,S386="Moeder",T386,TRUE,IF(P386&lt;&gt;"",P386,IF(R386&lt;&gt;"",R386,IF(T386&lt;&gt;"",T386,""))))</f>
        <v>stijn.huysman@outlook.com</v>
      </c>
      <c r="AN386" t="str" cm="1">
        <f t="array" ref="AN386">_xlfn.LET(_xlpm.raw,_xlfn.IFS(OR(U386="Persoonlijk",U386="Zoon",U386="Dochter"),V386,OR(W386="Persoonlijk",W386="Zoon",W386="Dochter"),X386,OR(Y386="Persoonlijk",Y386="Zoon",Y386="Dochter"),Z386,U386="Vader",V386,W386="Vader",X386,Y386="Vader",Z386,U386="Moeder",V386,W386="Moeder",X386,Y386="Moeder",Z386,TRUE,IF(V386&lt;&gt;"",V386,IF(X386&lt;&gt;"",X386,IF(Z386&lt;&gt;"",Z386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+32474884540</v>
      </c>
    </row>
    <row r="387" spans="1:40" x14ac:dyDescent="0.3">
      <c r="A387">
        <v>2936186</v>
      </c>
      <c r="B387" t="s">
        <v>1540</v>
      </c>
      <c r="C387" t="s">
        <v>266</v>
      </c>
      <c r="D387" t="s">
        <v>39</v>
      </c>
      <c r="E387" t="s">
        <v>40</v>
      </c>
      <c r="F387" t="s">
        <v>1548</v>
      </c>
      <c r="G387" t="s">
        <v>1473</v>
      </c>
      <c r="H387">
        <v>135</v>
      </c>
      <c r="V387">
        <v>474884540</v>
      </c>
      <c r="AE387" t="s">
        <v>1549</v>
      </c>
      <c r="AF387">
        <v>1002936186</v>
      </c>
      <c r="AG387">
        <v>744354</v>
      </c>
      <c r="AJ387" t="s">
        <v>286</v>
      </c>
      <c r="AK387" t="s">
        <v>61</v>
      </c>
      <c r="AM387" t="str" cm="1">
        <f t="array" ref="AM387">_xlfn.IFS(OR(O387="Persoonlijk",O387="Zoon",O387="Dochter"),P387,OR(Q387="Persoonlijk",Q387="Zoon",Q387="Dochter"),R387,OR(S387="Persoonlijk",S387="Zoon",S387="Dochter"),T387,O387="Vader",P387,Q387="Vader",R387,S387="Vader",T387,O387="Moeder",P387,Q387="Moeder",R387,S387="Moeder",T387,TRUE,IF(P387&lt;&gt;"",P387,IF(R387&lt;&gt;"",R387,IF(T387&lt;&gt;"",T387,""))))</f>
        <v/>
      </c>
      <c r="AN387" t="str" cm="1">
        <f t="array" ref="AN387">_xlfn.LET(_xlpm.raw,_xlfn.IFS(OR(U387="Persoonlijk",U387="Zoon",U387="Dochter"),V387,OR(W387="Persoonlijk",W387="Zoon",W387="Dochter"),X387,OR(Y387="Persoonlijk",Y387="Zoon",Y387="Dochter"),Z387,U387="Vader",V387,W387="Vader",X387,Y387="Vader",Z387,U387="Moeder",V387,W387="Moeder",X387,Y387="Moeder",Z387,TRUE,IF(V387&lt;&gt;"",V387,IF(X387&lt;&gt;"",X387,IF(Z387&lt;&gt;"",Z387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+32474884540</v>
      </c>
    </row>
    <row r="388" spans="1:40" x14ac:dyDescent="0.3">
      <c r="A388">
        <v>2936186</v>
      </c>
      <c r="B388" t="s">
        <v>1540</v>
      </c>
      <c r="C388" t="s">
        <v>266</v>
      </c>
      <c r="D388" t="s">
        <v>39</v>
      </c>
      <c r="E388" t="s">
        <v>40</v>
      </c>
      <c r="F388" t="s">
        <v>1548</v>
      </c>
      <c r="G388" t="s">
        <v>1473</v>
      </c>
      <c r="H388">
        <v>135</v>
      </c>
      <c r="V388">
        <v>474884540</v>
      </c>
      <c r="AE388" t="s">
        <v>1549</v>
      </c>
      <c r="AF388">
        <v>1002936186</v>
      </c>
      <c r="AG388">
        <v>744354</v>
      </c>
      <c r="AJ388" t="s">
        <v>63</v>
      </c>
      <c r="AK388" t="s">
        <v>61</v>
      </c>
      <c r="AM388" t="str" cm="1">
        <f t="array" ref="AM388">_xlfn.IFS(OR(O388="Persoonlijk",O388="Zoon",O388="Dochter"),P388,OR(Q388="Persoonlijk",Q388="Zoon",Q388="Dochter"),R388,OR(S388="Persoonlijk",S388="Zoon",S388="Dochter"),T388,O388="Vader",P388,Q388="Vader",R388,S388="Vader",T388,O388="Moeder",P388,Q388="Moeder",R388,S388="Moeder",T388,TRUE,IF(P388&lt;&gt;"",P388,IF(R388&lt;&gt;"",R388,IF(T388&lt;&gt;"",T388,""))))</f>
        <v/>
      </c>
      <c r="AN388" t="str" cm="1">
        <f t="array" ref="AN388">_xlfn.LET(_xlpm.raw,_xlfn.IFS(OR(U388="Persoonlijk",U388="Zoon",U388="Dochter"),V388,OR(W388="Persoonlijk",W388="Zoon",W388="Dochter"),X388,OR(Y388="Persoonlijk",Y388="Zoon",Y388="Dochter"),Z388,U388="Vader",V388,W388="Vader",X388,Y388="Vader",Z388,U388="Moeder",V388,W388="Moeder",X388,Y388="Moeder",Z388,TRUE,IF(V388&lt;&gt;"",V388,IF(X388&lt;&gt;"",X388,IF(Z388&lt;&gt;"",Z388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+32474884540</v>
      </c>
    </row>
    <row r="389" spans="1:40" x14ac:dyDescent="0.3">
      <c r="A389">
        <v>2936186</v>
      </c>
      <c r="B389" t="s">
        <v>1540</v>
      </c>
      <c r="C389" t="s">
        <v>266</v>
      </c>
      <c r="D389" t="s">
        <v>39</v>
      </c>
      <c r="E389" t="s">
        <v>40</v>
      </c>
      <c r="F389" t="s">
        <v>1548</v>
      </c>
      <c r="G389" t="s">
        <v>1473</v>
      </c>
      <c r="H389">
        <v>135</v>
      </c>
      <c r="V389">
        <v>474884540</v>
      </c>
      <c r="AE389" t="s">
        <v>1549</v>
      </c>
      <c r="AF389">
        <v>1002936186</v>
      </c>
      <c r="AG389">
        <v>744354</v>
      </c>
      <c r="AJ389" t="s">
        <v>180</v>
      </c>
      <c r="AK389" t="s">
        <v>61</v>
      </c>
      <c r="AM389" t="str" cm="1">
        <f t="array" ref="AM389">_xlfn.IFS(OR(O389="Persoonlijk",O389="Zoon",O389="Dochter"),P389,OR(Q389="Persoonlijk",Q389="Zoon",Q389="Dochter"),R389,OR(S389="Persoonlijk",S389="Zoon",S389="Dochter"),T389,O389="Vader",P389,Q389="Vader",R389,S389="Vader",T389,O389="Moeder",P389,Q389="Moeder",R389,S389="Moeder",T389,TRUE,IF(P389&lt;&gt;"",P389,IF(R389&lt;&gt;"",R389,IF(T389&lt;&gt;"",T389,""))))</f>
        <v/>
      </c>
      <c r="AN389" t="str" cm="1">
        <f t="array" ref="AN389">_xlfn.LET(_xlpm.raw,_xlfn.IFS(OR(U389="Persoonlijk",U389="Zoon",U389="Dochter"),V389,OR(W389="Persoonlijk",W389="Zoon",W389="Dochter"),X389,OR(Y389="Persoonlijk",Y389="Zoon",Y389="Dochter"),Z389,U389="Vader",V389,W389="Vader",X389,Y389="Vader",Z389,U389="Moeder",V389,W389="Moeder",X389,Y389="Moeder",Z389,TRUE,IF(V389&lt;&gt;"",V389,IF(X389&lt;&gt;"",X389,IF(Z389&lt;&gt;"",Z389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+32474884540</v>
      </c>
    </row>
    <row r="390" spans="1:40" x14ac:dyDescent="0.3">
      <c r="A390">
        <v>2183007</v>
      </c>
      <c r="B390" t="s">
        <v>1550</v>
      </c>
      <c r="C390" t="s">
        <v>1551</v>
      </c>
      <c r="D390" t="s">
        <v>39</v>
      </c>
      <c r="E390" t="s">
        <v>40</v>
      </c>
      <c r="F390" t="s">
        <v>1552</v>
      </c>
      <c r="G390" t="s">
        <v>1553</v>
      </c>
      <c r="H390">
        <v>33</v>
      </c>
      <c r="U390" t="s">
        <v>46</v>
      </c>
      <c r="V390">
        <v>320456548873</v>
      </c>
      <c r="AC390" t="s">
        <v>1554</v>
      </c>
      <c r="AF390">
        <v>1002183007</v>
      </c>
      <c r="AG390">
        <v>631406</v>
      </c>
      <c r="AM390" t="str" cm="1">
        <f t="array" ref="AM390">_xlfn.IFS(OR(O390="Persoonlijk",O390="Zoon",O390="Dochter"),P390,OR(Q390="Persoonlijk",Q390="Zoon",Q390="Dochter"),R390,OR(S390="Persoonlijk",S390="Zoon",S390="Dochter"),T390,O390="Vader",P390,Q390="Vader",R390,S390="Vader",T390,O390="Moeder",P390,Q390="Moeder",R390,S390="Moeder",T390,TRUE,IF(P390&lt;&gt;"",P390,IF(R390&lt;&gt;"",R390,IF(T390&lt;&gt;"",T390,""))))</f>
        <v/>
      </c>
      <c r="AN390" t="str" cm="1">
        <f t="array" ref="AN390">_xlfn.LET(_xlpm.raw,_xlfn.IFS(OR(U390="Persoonlijk",U390="Zoon",U390="Dochter"),V390,OR(W390="Persoonlijk",W390="Zoon",W390="Dochter"),X390,OR(Y390="Persoonlijk",Y390="Zoon",Y390="Dochter"),Z390,U390="Vader",V390,W390="Vader",X390,Y390="Vader",Z390,U390="Moeder",V390,W390="Moeder",X390,Y390="Moeder",Z390,TRUE,IF(V390&lt;&gt;"",V390,IF(X390&lt;&gt;"",X390,IF(Z390&lt;&gt;"",Z390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+32456548873</v>
      </c>
    </row>
    <row r="391" spans="1:40" x14ac:dyDescent="0.3">
      <c r="A391">
        <v>6709437</v>
      </c>
      <c r="B391" t="s">
        <v>1550</v>
      </c>
      <c r="C391" t="s">
        <v>1555</v>
      </c>
      <c r="D391" t="s">
        <v>39</v>
      </c>
      <c r="E391" t="s">
        <v>40</v>
      </c>
      <c r="F391" t="s">
        <v>1556</v>
      </c>
      <c r="G391" t="s">
        <v>1557</v>
      </c>
      <c r="H391">
        <v>128</v>
      </c>
      <c r="AC391" t="s">
        <v>1558</v>
      </c>
      <c r="AF391">
        <v>1006709437</v>
      </c>
      <c r="AG391">
        <v>612532</v>
      </c>
      <c r="AM391" t="str" cm="1">
        <f t="array" ref="AM391">_xlfn.IFS(OR(O391="Persoonlijk",O391="Zoon",O391="Dochter"),P391,OR(Q391="Persoonlijk",Q391="Zoon",Q391="Dochter"),R391,OR(S391="Persoonlijk",S391="Zoon",S391="Dochter"),T391,O391="Vader",P391,Q391="Vader",R391,S391="Vader",T391,O391="Moeder",P391,Q391="Moeder",R391,S391="Moeder",T391,TRUE,IF(P391&lt;&gt;"",P391,IF(R391&lt;&gt;"",R391,IF(T391&lt;&gt;"",T391,""))))</f>
        <v/>
      </c>
      <c r="AN391" t="str" cm="1">
        <f t="array" ref="AN391">_xlfn.LET(_xlpm.raw,_xlfn.IFS(OR(U391="Persoonlijk",U391="Zoon",U391="Dochter"),V391,OR(W391="Persoonlijk",W391="Zoon",W391="Dochter"),X391,OR(Y391="Persoonlijk",Y391="Zoon",Y391="Dochter"),Z391,U391="Vader",V391,W391="Vader",X391,Y391="Vader",Z391,U391="Moeder",V391,W391="Moeder",X391,Y391="Moeder",Z391,TRUE,IF(V391&lt;&gt;"",V391,IF(X391&lt;&gt;"",X391,IF(Z391&lt;&gt;"",Z391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92" spans="1:40" x14ac:dyDescent="0.3">
      <c r="A392">
        <v>8482996</v>
      </c>
      <c r="B392" t="s">
        <v>1559</v>
      </c>
      <c r="C392" t="s">
        <v>1560</v>
      </c>
      <c r="D392" t="s">
        <v>39</v>
      </c>
      <c r="E392" t="s">
        <v>49</v>
      </c>
      <c r="F392" t="s">
        <v>1561</v>
      </c>
      <c r="G392" t="s">
        <v>1562</v>
      </c>
      <c r="H392">
        <v>91</v>
      </c>
      <c r="R392" t="s">
        <v>1563</v>
      </c>
      <c r="V392" t="s">
        <v>1564</v>
      </c>
      <c r="AF392">
        <v>1008482996</v>
      </c>
      <c r="AM392" t="str" cm="1">
        <f t="array" ref="AM392">_xlfn.IFS(OR(O392="Persoonlijk",O392="Zoon",O392="Dochter"),P392,OR(Q392="Persoonlijk",Q392="Zoon",Q392="Dochter"),R392,OR(S392="Persoonlijk",S392="Zoon",S392="Dochter"),T392,O392="Vader",P392,Q392="Vader",R392,S392="Vader",T392,O392="Moeder",P392,Q392="Moeder",R392,S392="Moeder",T392,TRUE,IF(P392&lt;&gt;"",P392,IF(R392&lt;&gt;"",R392,IF(T392&lt;&gt;"",T392,""))))</f>
        <v>feritamg@gmail.com</v>
      </c>
      <c r="AN392" t="str" cm="1">
        <f t="array" ref="AN392">_xlfn.LET(_xlpm.raw,_xlfn.IFS(OR(U392="Persoonlijk",U392="Zoon",U392="Dochter"),V392,OR(W392="Persoonlijk",W392="Zoon",W392="Dochter"),X392,OR(Y392="Persoonlijk",Y392="Zoon",Y392="Dochter"),Z392,U392="Vader",V392,W392="Vader",X392,Y392="Vader",Z392,U392="Moeder",V392,W392="Moeder",X392,Y392="Moeder",Z392,TRUE,IF(V392&lt;&gt;"",V392,IF(X392&lt;&gt;"",X392,IF(Z392&lt;&gt;"",Z392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+32486670994</v>
      </c>
    </row>
    <row r="393" spans="1:40" x14ac:dyDescent="0.3">
      <c r="A393">
        <v>2669942</v>
      </c>
      <c r="B393" t="s">
        <v>1565</v>
      </c>
      <c r="C393" t="s">
        <v>1566</v>
      </c>
      <c r="D393" t="s">
        <v>39</v>
      </c>
      <c r="E393" t="s">
        <v>49</v>
      </c>
      <c r="F393" t="s">
        <v>1567</v>
      </c>
      <c r="G393" t="s">
        <v>1568</v>
      </c>
      <c r="H393">
        <v>221</v>
      </c>
      <c r="Q393" t="s">
        <v>53</v>
      </c>
      <c r="R393" t="s">
        <v>1569</v>
      </c>
      <c r="T393" t="s">
        <v>1570</v>
      </c>
      <c r="AD393">
        <v>6</v>
      </c>
      <c r="AE393" t="s">
        <v>1571</v>
      </c>
      <c r="AF393">
        <v>1002669942</v>
      </c>
      <c r="AG393">
        <v>704269</v>
      </c>
      <c r="AL393" t="s">
        <v>62</v>
      </c>
      <c r="AM393" t="str" cm="1">
        <f t="array" ref="AM393">_xlfn.IFS(OR(O393="Persoonlijk",O393="Zoon",O393="Dochter"),P393,OR(Q393="Persoonlijk",Q393="Zoon",Q393="Dochter"),R393,OR(S393="Persoonlijk",S393="Zoon",S393="Dochter"),T393,O393="Vader",P393,Q393="Vader",R393,S393="Vader",T393,O393="Moeder",P393,Q393="Moeder",R393,S393="Moeder",T393,TRUE,IF(P393&lt;&gt;"",P393,IF(R393&lt;&gt;"",R393,IF(T393&lt;&gt;"",T393,""))))</f>
        <v>Lies.Vanlerberghe@gmaiil.com</v>
      </c>
      <c r="AN393" t="str" cm="1">
        <f t="array" ref="AN393">_xlfn.LET(_xlpm.raw,_xlfn.IFS(OR(U393="Persoonlijk",U393="Zoon",U393="Dochter"),V393,OR(W393="Persoonlijk",W393="Zoon",W393="Dochter"),X393,OR(Y393="Persoonlijk",Y393="Zoon",Y393="Dochter"),Z393,U393="Vader",V393,W393="Vader",X393,Y393="Vader",Z393,U393="Moeder",V393,W393="Moeder",X393,Y393="Moeder",Z393,TRUE,IF(V393&lt;&gt;"",V393,IF(X393&lt;&gt;"",X393,IF(Z393&lt;&gt;"",Z393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94" spans="1:40" x14ac:dyDescent="0.3">
      <c r="A394">
        <v>2669942</v>
      </c>
      <c r="B394" t="s">
        <v>1565</v>
      </c>
      <c r="C394" t="s">
        <v>1566</v>
      </c>
      <c r="D394" t="s">
        <v>39</v>
      </c>
      <c r="E394" t="s">
        <v>49</v>
      </c>
      <c r="F394" t="s">
        <v>1567</v>
      </c>
      <c r="G394" t="s">
        <v>1568</v>
      </c>
      <c r="H394">
        <v>221</v>
      </c>
      <c r="Q394" t="s">
        <v>53</v>
      </c>
      <c r="R394" t="s">
        <v>1569</v>
      </c>
      <c r="T394" t="s">
        <v>1570</v>
      </c>
      <c r="AD394">
        <v>6</v>
      </c>
      <c r="AE394" t="s">
        <v>1571</v>
      </c>
      <c r="AF394">
        <v>1002669942</v>
      </c>
      <c r="AG394">
        <v>704269</v>
      </c>
      <c r="AL394" t="s">
        <v>62</v>
      </c>
      <c r="AM394" t="str" cm="1">
        <f t="array" ref="AM394">_xlfn.IFS(OR(O394="Persoonlijk",O394="Zoon",O394="Dochter"),P394,OR(Q394="Persoonlijk",Q394="Zoon",Q394="Dochter"),R394,OR(S394="Persoonlijk",S394="Zoon",S394="Dochter"),T394,O394="Vader",P394,Q394="Vader",R394,S394="Vader",T394,O394="Moeder",P394,Q394="Moeder",R394,S394="Moeder",T394,TRUE,IF(P394&lt;&gt;"",P394,IF(R394&lt;&gt;"",R394,IF(T394&lt;&gt;"",T394,""))))</f>
        <v>Lies.Vanlerberghe@gmaiil.com</v>
      </c>
      <c r="AN394" t="str" cm="1">
        <f t="array" ref="AN394">_xlfn.LET(_xlpm.raw,_xlfn.IFS(OR(U394="Persoonlijk",U394="Zoon",U394="Dochter"),V394,OR(W394="Persoonlijk",W394="Zoon",W394="Dochter"),X394,OR(Y394="Persoonlijk",Y394="Zoon",Y394="Dochter"),Z394,U394="Vader",V394,W394="Vader",X394,Y394="Vader",Z394,U394="Moeder",V394,W394="Moeder",X394,Y394="Moeder",Z394,TRUE,IF(V394&lt;&gt;"",V394,IF(X394&lt;&gt;"",X394,IF(Z394&lt;&gt;"",Z394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95" spans="1:40" x14ac:dyDescent="0.3">
      <c r="A395">
        <v>1933520</v>
      </c>
      <c r="B395" t="s">
        <v>1565</v>
      </c>
      <c r="C395" t="s">
        <v>1572</v>
      </c>
      <c r="D395" t="s">
        <v>39</v>
      </c>
      <c r="E395" t="s">
        <v>40</v>
      </c>
      <c r="F395" t="s">
        <v>1573</v>
      </c>
      <c r="G395" t="s">
        <v>603</v>
      </c>
      <c r="H395">
        <v>6</v>
      </c>
      <c r="I395">
        <v>202</v>
      </c>
      <c r="V395" t="s">
        <v>1574</v>
      </c>
      <c r="AC395" t="s">
        <v>1575</v>
      </c>
      <c r="AF395">
        <v>1001933520</v>
      </c>
      <c r="AG395">
        <v>80412</v>
      </c>
      <c r="AL395" t="s">
        <v>621</v>
      </c>
      <c r="AM395" t="str" cm="1">
        <f t="array" ref="AM395">_xlfn.IFS(OR(O395="Persoonlijk",O395="Zoon",O395="Dochter"),P395,OR(Q395="Persoonlijk",Q395="Zoon",Q395="Dochter"),R395,OR(S395="Persoonlijk",S395="Zoon",S395="Dochter"),T395,O395="Vader",P395,Q395="Vader",R395,S395="Vader",T395,O395="Moeder",P395,Q395="Moeder",R395,S395="Moeder",T395,TRUE,IF(P395&lt;&gt;"",P395,IF(R395&lt;&gt;"",R395,IF(T395&lt;&gt;"",T395,""))))</f>
        <v/>
      </c>
      <c r="AN395" t="str" cm="1">
        <f t="array" ref="AN395">_xlfn.LET(_xlpm.raw,_xlfn.IFS(OR(U395="Persoonlijk",U395="Zoon",U395="Dochter"),V395,OR(W395="Persoonlijk",W395="Zoon",W395="Dochter"),X395,OR(Y395="Persoonlijk",Y395="Zoon",Y395="Dochter"),Z395,U395="Vader",V395,W395="Vader",X395,Y395="Vader",Z395,U395="Moeder",V395,W395="Moeder",X395,Y395="Moeder",Z395,TRUE,IF(V395&lt;&gt;"",V395,IF(X395&lt;&gt;"",X395,IF(Z395&lt;&gt;"",Z395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+32486756760</v>
      </c>
    </row>
    <row r="396" spans="1:40" x14ac:dyDescent="0.3">
      <c r="A396">
        <v>11852347</v>
      </c>
      <c r="B396" t="s">
        <v>1576</v>
      </c>
      <c r="C396" t="s">
        <v>1577</v>
      </c>
      <c r="D396" t="s">
        <v>39</v>
      </c>
      <c r="E396" t="s">
        <v>40</v>
      </c>
      <c r="F396" t="s">
        <v>1578</v>
      </c>
      <c r="G396" t="s">
        <v>1579</v>
      </c>
      <c r="H396" t="s">
        <v>1580</v>
      </c>
      <c r="Q396" t="s">
        <v>430</v>
      </c>
      <c r="R396" t="s">
        <v>1581</v>
      </c>
      <c r="AF396">
        <v>1011852347</v>
      </c>
      <c r="AG396">
        <v>280658</v>
      </c>
      <c r="AJ396" t="s">
        <v>180</v>
      </c>
      <c r="AK396" t="s">
        <v>61</v>
      </c>
      <c r="AM396" t="str" cm="1">
        <f t="array" ref="AM396">_xlfn.IFS(OR(O396="Persoonlijk",O396="Zoon",O396="Dochter"),P396,OR(Q396="Persoonlijk",Q396="Zoon",Q396="Dochter"),R396,OR(S396="Persoonlijk",S396="Zoon",S396="Dochter"),T396,O396="Vader",P396,Q396="Vader",R396,S396="Vader",T396,O396="Moeder",P396,Q396="Moeder",R396,S396="Moeder",T396,TRUE,IF(P396&lt;&gt;"",P396,IF(R396&lt;&gt;"",R396,IF(T396&lt;&gt;"",T396,""))))</f>
        <v>alex@inolel.com</v>
      </c>
      <c r="AN396" t="str" cm="1">
        <f t="array" ref="AN396">_xlfn.LET(_xlpm.raw,_xlfn.IFS(OR(U396="Persoonlijk",U396="Zoon",U396="Dochter"),V396,OR(W396="Persoonlijk",W396="Zoon",W396="Dochter"),X396,OR(Y396="Persoonlijk",Y396="Zoon",Y396="Dochter"),Z396,U396="Vader",V396,W396="Vader",X396,Y396="Vader",Z396,U396="Moeder",V396,W396="Moeder",X396,Y396="Moeder",Z396,TRUE,IF(V396&lt;&gt;"",V396,IF(X396&lt;&gt;"",X396,IF(Z396&lt;&gt;"",Z396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97" spans="1:40" x14ac:dyDescent="0.3">
      <c r="A397">
        <v>2183017</v>
      </c>
      <c r="B397" t="s">
        <v>1582</v>
      </c>
      <c r="C397" t="s">
        <v>501</v>
      </c>
      <c r="D397" t="s">
        <v>39</v>
      </c>
      <c r="E397" t="s">
        <v>40</v>
      </c>
      <c r="F397" t="s">
        <v>1583</v>
      </c>
      <c r="G397" t="s">
        <v>1584</v>
      </c>
      <c r="H397">
        <v>128</v>
      </c>
      <c r="U397" t="s">
        <v>46</v>
      </c>
      <c r="V397" t="s">
        <v>1585</v>
      </c>
      <c r="AC397" t="s">
        <v>1586</v>
      </c>
      <c r="AE397" t="s">
        <v>1587</v>
      </c>
      <c r="AF397">
        <v>1002183017</v>
      </c>
      <c r="AG397">
        <v>233069</v>
      </c>
      <c r="AM397" t="str" cm="1">
        <f t="array" ref="AM397">_xlfn.IFS(OR(O397="Persoonlijk",O397="Zoon",O397="Dochter"),P397,OR(Q397="Persoonlijk",Q397="Zoon",Q397="Dochter"),R397,OR(S397="Persoonlijk",S397="Zoon",S397="Dochter"),T397,O397="Vader",P397,Q397="Vader",R397,S397="Vader",T397,O397="Moeder",P397,Q397="Moeder",R397,S397="Moeder",T397,TRUE,IF(P397&lt;&gt;"",P397,IF(R397&lt;&gt;"",R397,IF(T397&lt;&gt;"",T397,""))))</f>
        <v/>
      </c>
      <c r="AN397" t="str" cm="1">
        <f t="array" ref="AN397">_xlfn.LET(_xlpm.raw,_xlfn.IFS(OR(U397="Persoonlijk",U397="Zoon",U397="Dochter"),V397,OR(W397="Persoonlijk",W397="Zoon",W397="Dochter"),X397,OR(Y397="Persoonlijk",Y397="Zoon",Y397="Dochter"),Z397,U397="Vader",V397,W397="Vader",X397,Y397="Vader",Z397,U397="Moeder",V397,W397="Moeder",X397,Y397="Moeder",Z397,TRUE,IF(V397&lt;&gt;"",V397,IF(X397&lt;&gt;"",X397,IF(Z397&lt;&gt;"",Z397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+32472298312</v>
      </c>
    </row>
    <row r="398" spans="1:40" x14ac:dyDescent="0.3">
      <c r="A398">
        <v>2183037</v>
      </c>
      <c r="B398" t="s">
        <v>1588</v>
      </c>
      <c r="C398" t="s">
        <v>1589</v>
      </c>
      <c r="D398" t="s">
        <v>39</v>
      </c>
      <c r="E398" t="s">
        <v>40</v>
      </c>
      <c r="F398" t="s">
        <v>1590</v>
      </c>
      <c r="G398" t="s">
        <v>1591</v>
      </c>
      <c r="H398" t="s">
        <v>1592</v>
      </c>
      <c r="R398" t="s">
        <v>1593</v>
      </c>
      <c r="U398" t="s">
        <v>46</v>
      </c>
      <c r="V398">
        <v>32479376759</v>
      </c>
      <c r="AC398" t="s">
        <v>1594</v>
      </c>
      <c r="AF398">
        <v>1002183037</v>
      </c>
      <c r="AG398">
        <v>92637</v>
      </c>
      <c r="AJ398" t="s">
        <v>75</v>
      </c>
      <c r="AK398" t="s">
        <v>65</v>
      </c>
      <c r="AM398" t="str" cm="1">
        <f t="array" ref="AM398">_xlfn.IFS(OR(O398="Persoonlijk",O398="Zoon",O398="Dochter"),P398,OR(Q398="Persoonlijk",Q398="Zoon",Q398="Dochter"),R398,OR(S398="Persoonlijk",S398="Zoon",S398="Dochter"),T398,O398="Vader",P398,Q398="Vader",R398,S398="Vader",T398,O398="Moeder",P398,Q398="Moeder",R398,S398="Moeder",T398,TRUE,IF(P398&lt;&gt;"",P398,IF(R398&lt;&gt;"",R398,IF(T398&lt;&gt;"",T398,""))))</f>
        <v>filip.lhommelet@myweb4u.be</v>
      </c>
      <c r="AN398" t="str" cm="1">
        <f t="array" ref="AN398">_xlfn.LET(_xlpm.raw,_xlfn.IFS(OR(U398="Persoonlijk",U398="Zoon",U398="Dochter"),V398,OR(W398="Persoonlijk",W398="Zoon",W398="Dochter"),X398,OR(Y398="Persoonlijk",Y398="Zoon",Y398="Dochter"),Z398,U398="Vader",V398,W398="Vader",X398,Y398="Vader",Z398,U398="Moeder",V398,W398="Moeder",X398,Y398="Moeder",Z398,TRUE,IF(V398&lt;&gt;"",V398,IF(X398&lt;&gt;"",X398,IF(Z398&lt;&gt;"",Z398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+32479376759</v>
      </c>
    </row>
    <row r="399" spans="1:40" x14ac:dyDescent="0.3">
      <c r="A399">
        <v>2183042</v>
      </c>
      <c r="B399" t="s">
        <v>1588</v>
      </c>
      <c r="C399" t="s">
        <v>297</v>
      </c>
      <c r="D399" t="s">
        <v>39</v>
      </c>
      <c r="E399" t="s">
        <v>40</v>
      </c>
      <c r="F399" t="s">
        <v>1595</v>
      </c>
      <c r="G399" t="s">
        <v>1596</v>
      </c>
      <c r="H399" t="s">
        <v>1592</v>
      </c>
      <c r="Q399" t="s">
        <v>53</v>
      </c>
      <c r="R399" t="s">
        <v>1597</v>
      </c>
      <c r="V399">
        <v>479376759</v>
      </c>
      <c r="AF399">
        <v>1002183042</v>
      </c>
      <c r="AG399">
        <v>733228</v>
      </c>
      <c r="AJ399" t="s">
        <v>75</v>
      </c>
      <c r="AK399" t="s">
        <v>61</v>
      </c>
      <c r="AM399" t="str" cm="1">
        <f t="array" ref="AM399">_xlfn.IFS(OR(O399="Persoonlijk",O399="Zoon",O399="Dochter"),P399,OR(Q399="Persoonlijk",Q399="Zoon",Q399="Dochter"),R399,OR(S399="Persoonlijk",S399="Zoon",S399="Dochter"),T399,O399="Vader",P399,Q399="Vader",R399,S399="Vader",T399,O399="Moeder",P399,Q399="Moeder",R399,S399="Moeder",T399,TRUE,IF(P399&lt;&gt;"",P399,IF(R399&lt;&gt;"",R399,IF(T399&lt;&gt;"",T399,""))))</f>
        <v>els.bourgois@gmail.com</v>
      </c>
      <c r="AN399" t="str" cm="1">
        <f t="array" ref="AN399">_xlfn.LET(_xlpm.raw,_xlfn.IFS(OR(U399="Persoonlijk",U399="Zoon",U399="Dochter"),V399,OR(W399="Persoonlijk",W399="Zoon",W399="Dochter"),X399,OR(Y399="Persoonlijk",Y399="Zoon",Y399="Dochter"),Z399,U399="Vader",V399,W399="Vader",X399,Y399="Vader",Z399,U399="Moeder",V399,W399="Moeder",X399,Y399="Moeder",Z399,TRUE,IF(V399&lt;&gt;"",V399,IF(X399&lt;&gt;"",X399,IF(Z399&lt;&gt;"",Z399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+32479376759</v>
      </c>
    </row>
    <row r="400" spans="1:40" x14ac:dyDescent="0.3">
      <c r="A400">
        <v>2183042</v>
      </c>
      <c r="B400" t="s">
        <v>1588</v>
      </c>
      <c r="C400" t="s">
        <v>297</v>
      </c>
      <c r="D400" t="s">
        <v>39</v>
      </c>
      <c r="E400" t="s">
        <v>40</v>
      </c>
      <c r="F400" t="s">
        <v>1595</v>
      </c>
      <c r="G400" t="s">
        <v>1596</v>
      </c>
      <c r="H400" t="s">
        <v>1592</v>
      </c>
      <c r="Q400" t="s">
        <v>53</v>
      </c>
      <c r="R400" t="s">
        <v>1597</v>
      </c>
      <c r="V400">
        <v>479376759</v>
      </c>
      <c r="AF400">
        <v>1002183042</v>
      </c>
      <c r="AG400">
        <v>733228</v>
      </c>
      <c r="AJ400" t="s">
        <v>63</v>
      </c>
      <c r="AK400" t="s">
        <v>61</v>
      </c>
      <c r="AM400" t="str" cm="1">
        <f t="array" ref="AM400">_xlfn.IFS(OR(O400="Persoonlijk",O400="Zoon",O400="Dochter"),P400,OR(Q400="Persoonlijk",Q400="Zoon",Q400="Dochter"),R400,OR(S400="Persoonlijk",S400="Zoon",S400="Dochter"),T400,O400="Vader",P400,Q400="Vader",R400,S400="Vader",T400,O400="Moeder",P400,Q400="Moeder",R400,S400="Moeder",T400,TRUE,IF(P400&lt;&gt;"",P400,IF(R400&lt;&gt;"",R400,IF(T400&lt;&gt;"",T400,""))))</f>
        <v>els.bourgois@gmail.com</v>
      </c>
      <c r="AN400" t="str" cm="1">
        <f t="array" ref="AN400">_xlfn.LET(_xlpm.raw,_xlfn.IFS(OR(U400="Persoonlijk",U400="Zoon",U400="Dochter"),V400,OR(W400="Persoonlijk",W400="Zoon",W400="Dochter"),X400,OR(Y400="Persoonlijk",Y400="Zoon",Y400="Dochter"),Z400,U400="Vader",V400,W400="Vader",X400,Y400="Vader",Z400,U400="Moeder",V400,W400="Moeder",X400,Y400="Moeder",Z400,TRUE,IF(V400&lt;&gt;"",V400,IF(X400&lt;&gt;"",X400,IF(Z400&lt;&gt;"",Z400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+32479376759</v>
      </c>
    </row>
    <row r="401" spans="1:40" x14ac:dyDescent="0.3">
      <c r="A401">
        <v>7284400</v>
      </c>
      <c r="B401" t="s">
        <v>1598</v>
      </c>
      <c r="C401" t="s">
        <v>1599</v>
      </c>
      <c r="D401" t="s">
        <v>39</v>
      </c>
      <c r="E401" t="s">
        <v>49</v>
      </c>
      <c r="F401" t="s">
        <v>1600</v>
      </c>
      <c r="G401" t="s">
        <v>1601</v>
      </c>
      <c r="H401">
        <v>16</v>
      </c>
      <c r="Q401" t="s">
        <v>53</v>
      </c>
      <c r="R401" t="s">
        <v>1602</v>
      </c>
      <c r="U401" t="s">
        <v>51</v>
      </c>
      <c r="V401" t="s">
        <v>1603</v>
      </c>
      <c r="W401" t="s">
        <v>53</v>
      </c>
      <c r="X401">
        <v>32485592473</v>
      </c>
      <c r="AC401" t="s">
        <v>1604</v>
      </c>
      <c r="AD401">
        <v>9</v>
      </c>
      <c r="AE401" t="s">
        <v>1605</v>
      </c>
      <c r="AF401">
        <v>1007284400</v>
      </c>
      <c r="AG401">
        <v>764842</v>
      </c>
      <c r="AJ401" t="s">
        <v>174</v>
      </c>
      <c r="AK401" t="s">
        <v>61</v>
      </c>
      <c r="AL401" t="s">
        <v>62</v>
      </c>
      <c r="AM401" t="str" cm="1">
        <f t="array" ref="AM401">_xlfn.IFS(OR(O401="Persoonlijk",O401="Zoon",O401="Dochter"),P401,OR(Q401="Persoonlijk",Q401="Zoon",Q401="Dochter"),R401,OR(S401="Persoonlijk",S401="Zoon",S401="Dochter"),T401,O401="Vader",P401,Q401="Vader",R401,S401="Vader",T401,O401="Moeder",P401,Q401="Moeder",R401,S401="Moeder",T401,TRUE,IF(P401&lt;&gt;"",P401,IF(R401&lt;&gt;"",R401,IF(T401&lt;&gt;"",T401,""))))</f>
        <v>taelman.elke@gmail.com</v>
      </c>
      <c r="AN401" t="str" cm="1">
        <f t="array" ref="AN401">_xlfn.LET(_xlpm.raw,_xlfn.IFS(OR(U401="Persoonlijk",U401="Zoon",U401="Dochter"),V401,OR(W401="Persoonlijk",W401="Zoon",W401="Dochter"),X401,OR(Y401="Persoonlijk",Y401="Zoon",Y401="Dochter"),Z401,U401="Vader",V401,W401="Vader",X401,Y401="Vader",Z401,U401="Moeder",V401,W401="Moeder",X401,Y401="Moeder",Z401,TRUE,IF(V401&lt;&gt;"",V401,IF(X401&lt;&gt;"",X401,IF(Z401&lt;&gt;"",Z401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+32486264195</v>
      </c>
    </row>
    <row r="402" spans="1:40" x14ac:dyDescent="0.3">
      <c r="A402">
        <v>10761826</v>
      </c>
      <c r="B402" t="s">
        <v>1606</v>
      </c>
      <c r="C402" t="s">
        <v>1607</v>
      </c>
      <c r="D402" t="s">
        <v>39</v>
      </c>
      <c r="E402" t="s">
        <v>40</v>
      </c>
      <c r="F402" t="s">
        <v>1608</v>
      </c>
      <c r="G402" t="s">
        <v>1609</v>
      </c>
      <c r="H402">
        <v>34</v>
      </c>
      <c r="Q402" t="s">
        <v>46</v>
      </c>
      <c r="R402" t="s">
        <v>1610</v>
      </c>
      <c r="S402" t="s">
        <v>51</v>
      </c>
      <c r="T402" t="s">
        <v>1611</v>
      </c>
      <c r="V402">
        <v>32486615053</v>
      </c>
      <c r="X402">
        <v>32471247514</v>
      </c>
      <c r="Z402">
        <v>0</v>
      </c>
      <c r="AA402">
        <v>0</v>
      </c>
      <c r="AF402">
        <v>1010761826</v>
      </c>
      <c r="AM402" t="str" cm="1">
        <f t="array" ref="AM402">_xlfn.IFS(OR(O402="Persoonlijk",O402="Zoon",O402="Dochter"),P402,OR(Q402="Persoonlijk",Q402="Zoon",Q402="Dochter"),R402,OR(S402="Persoonlijk",S402="Zoon",S402="Dochter"),T402,O402="Vader",P402,Q402="Vader",R402,S402="Vader",T402,O402="Moeder",P402,Q402="Moeder",R402,S402="Moeder",T402,TRUE,IF(P402&lt;&gt;"",P402,IF(R402&lt;&gt;"",R402,IF(T402&lt;&gt;"",T402,""))))</f>
        <v>Ruubelagae@gmail.com</v>
      </c>
      <c r="AN402" t="str" cm="1">
        <f t="array" ref="AN402">_xlfn.LET(_xlpm.raw,_xlfn.IFS(OR(U402="Persoonlijk",U402="Zoon",U402="Dochter"),V402,OR(W402="Persoonlijk",W402="Zoon",W402="Dochter"),X402,OR(Y402="Persoonlijk",Y402="Zoon",Y402="Dochter"),Z402,U402="Vader",V402,W402="Vader",X402,Y402="Vader",Z402,U402="Moeder",V402,W402="Moeder",X402,Y402="Moeder",Z402,TRUE,IF(V402&lt;&gt;"",V402,IF(X402&lt;&gt;"",X402,IF(Z402&lt;&gt;"",Z402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+32486615053</v>
      </c>
    </row>
    <row r="403" spans="1:40" x14ac:dyDescent="0.3">
      <c r="A403">
        <v>6358737</v>
      </c>
      <c r="B403" t="s">
        <v>1606</v>
      </c>
      <c r="C403" t="s">
        <v>1612</v>
      </c>
      <c r="D403" t="s">
        <v>39</v>
      </c>
      <c r="E403" t="s">
        <v>40</v>
      </c>
      <c r="F403" t="s">
        <v>1613</v>
      </c>
      <c r="G403" t="s">
        <v>1609</v>
      </c>
      <c r="H403">
        <v>34</v>
      </c>
      <c r="Q403" t="s">
        <v>46</v>
      </c>
      <c r="R403" t="s">
        <v>1610</v>
      </c>
      <c r="S403" t="s">
        <v>51</v>
      </c>
      <c r="T403" t="s">
        <v>1611</v>
      </c>
      <c r="U403" t="s">
        <v>53</v>
      </c>
      <c r="V403">
        <v>32486615053</v>
      </c>
      <c r="W403" t="s">
        <v>46</v>
      </c>
      <c r="X403">
        <v>32471247514</v>
      </c>
      <c r="AC403" t="s">
        <v>1614</v>
      </c>
      <c r="AF403">
        <v>1006358737</v>
      </c>
      <c r="AJ403" t="s">
        <v>75</v>
      </c>
      <c r="AK403" t="s">
        <v>61</v>
      </c>
      <c r="AM403" t="str" cm="1">
        <f t="array" ref="AM403">_xlfn.IFS(OR(O403="Persoonlijk",O403="Zoon",O403="Dochter"),P403,OR(Q403="Persoonlijk",Q403="Zoon",Q403="Dochter"),R403,OR(S403="Persoonlijk",S403="Zoon",S403="Dochter"),T403,O403="Vader",P403,Q403="Vader",R403,S403="Vader",T403,O403="Moeder",P403,Q403="Moeder",R403,S403="Moeder",T403,TRUE,IF(P403&lt;&gt;"",P403,IF(R403&lt;&gt;"",R403,IF(T403&lt;&gt;"",T403,""))))</f>
        <v>Ruubelagae@gmail.com</v>
      </c>
      <c r="AN403" t="str" cm="1">
        <f t="array" ref="AN403">_xlfn.LET(_xlpm.raw,_xlfn.IFS(OR(U403="Persoonlijk",U403="Zoon",U403="Dochter"),V403,OR(W403="Persoonlijk",W403="Zoon",W403="Dochter"),X403,OR(Y403="Persoonlijk",Y403="Zoon",Y403="Dochter"),Z403,U403="Vader",V403,W403="Vader",X403,Y403="Vader",Z403,U403="Moeder",V403,W403="Moeder",X403,Y403="Moeder",Z403,TRUE,IF(V403&lt;&gt;"",V403,IF(X403&lt;&gt;"",X403,IF(Z403&lt;&gt;"",Z403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+32471247514</v>
      </c>
    </row>
    <row r="404" spans="1:40" x14ac:dyDescent="0.3">
      <c r="A404">
        <v>6358737</v>
      </c>
      <c r="B404" t="s">
        <v>1606</v>
      </c>
      <c r="C404" t="s">
        <v>1612</v>
      </c>
      <c r="D404" t="s">
        <v>39</v>
      </c>
      <c r="E404" t="s">
        <v>40</v>
      </c>
      <c r="F404" t="s">
        <v>1613</v>
      </c>
      <c r="G404" t="s">
        <v>1609</v>
      </c>
      <c r="H404">
        <v>34</v>
      </c>
      <c r="Q404" t="s">
        <v>46</v>
      </c>
      <c r="R404" t="s">
        <v>1610</v>
      </c>
      <c r="S404" t="s">
        <v>51</v>
      </c>
      <c r="T404" t="s">
        <v>1611</v>
      </c>
      <c r="U404" t="s">
        <v>53</v>
      </c>
      <c r="V404">
        <v>32486615053</v>
      </c>
      <c r="W404" t="s">
        <v>46</v>
      </c>
      <c r="X404">
        <v>32471247514</v>
      </c>
      <c r="AC404" t="s">
        <v>1614</v>
      </c>
      <c r="AF404">
        <v>1006358737</v>
      </c>
      <c r="AJ404" t="s">
        <v>63</v>
      </c>
      <c r="AK404" t="s">
        <v>61</v>
      </c>
      <c r="AM404" t="str" cm="1">
        <f t="array" ref="AM404">_xlfn.IFS(OR(O404="Persoonlijk",O404="Zoon",O404="Dochter"),P404,OR(Q404="Persoonlijk",Q404="Zoon",Q404="Dochter"),R404,OR(S404="Persoonlijk",S404="Zoon",S404="Dochter"),T404,O404="Vader",P404,Q404="Vader",R404,S404="Vader",T404,O404="Moeder",P404,Q404="Moeder",R404,S404="Moeder",T404,TRUE,IF(P404&lt;&gt;"",P404,IF(R404&lt;&gt;"",R404,IF(T404&lt;&gt;"",T404,""))))</f>
        <v>Ruubelagae@gmail.com</v>
      </c>
      <c r="AN404" t="str" cm="1">
        <f t="array" ref="AN404">_xlfn.LET(_xlpm.raw,_xlfn.IFS(OR(U404="Persoonlijk",U404="Zoon",U404="Dochter"),V404,OR(W404="Persoonlijk",W404="Zoon",W404="Dochter"),X404,OR(Y404="Persoonlijk",Y404="Zoon",Y404="Dochter"),Z404,U404="Vader",V404,W404="Vader",X404,Y404="Vader",Z404,U404="Moeder",V404,W404="Moeder",X404,Y404="Moeder",Z404,TRUE,IF(V404&lt;&gt;"",V404,IF(X404&lt;&gt;"",X404,IF(Z404&lt;&gt;"",Z404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+32471247514</v>
      </c>
    </row>
    <row r="405" spans="1:40" x14ac:dyDescent="0.3">
      <c r="A405">
        <v>2650870</v>
      </c>
      <c r="B405" t="s">
        <v>1615</v>
      </c>
      <c r="C405" t="s">
        <v>1616</v>
      </c>
      <c r="D405" t="s">
        <v>39</v>
      </c>
      <c r="E405" t="s">
        <v>49</v>
      </c>
      <c r="F405" t="s">
        <v>1617</v>
      </c>
      <c r="G405" t="s">
        <v>238</v>
      </c>
      <c r="H405">
        <v>12</v>
      </c>
      <c r="V405">
        <v>474613344</v>
      </c>
      <c r="AC405" t="s">
        <v>1618</v>
      </c>
      <c r="AF405">
        <v>1002650870</v>
      </c>
      <c r="AM405" t="str" cm="1">
        <f t="array" ref="AM405">_xlfn.IFS(OR(O405="Persoonlijk",O405="Zoon",O405="Dochter"),P405,OR(Q405="Persoonlijk",Q405="Zoon",Q405="Dochter"),R405,OR(S405="Persoonlijk",S405="Zoon",S405="Dochter"),T405,O405="Vader",P405,Q405="Vader",R405,S405="Vader",T405,O405="Moeder",P405,Q405="Moeder",R405,S405="Moeder",T405,TRUE,IF(P405&lt;&gt;"",P405,IF(R405&lt;&gt;"",R405,IF(T405&lt;&gt;"",T405,""))))</f>
        <v/>
      </c>
      <c r="AN405" t="str" cm="1">
        <f t="array" ref="AN405">_xlfn.LET(_xlpm.raw,_xlfn.IFS(OR(U405="Persoonlijk",U405="Zoon",U405="Dochter"),V405,OR(W405="Persoonlijk",W405="Zoon",W405="Dochter"),X405,OR(Y405="Persoonlijk",Y405="Zoon",Y405="Dochter"),Z405,U405="Vader",V405,W405="Vader",X405,Y405="Vader",Z405,U405="Moeder",V405,W405="Moeder",X405,Y405="Moeder",Z405,TRUE,IF(V405&lt;&gt;"",V405,IF(X405&lt;&gt;"",X405,IF(Z405&lt;&gt;"",Z405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+32474613344</v>
      </c>
    </row>
    <row r="406" spans="1:40" x14ac:dyDescent="0.3">
      <c r="A406">
        <v>2669937</v>
      </c>
      <c r="B406" t="s">
        <v>1619</v>
      </c>
      <c r="C406" t="s">
        <v>1620</v>
      </c>
      <c r="D406" t="s">
        <v>39</v>
      </c>
      <c r="E406" t="s">
        <v>49</v>
      </c>
      <c r="F406" t="s">
        <v>1621</v>
      </c>
      <c r="G406" t="s">
        <v>1622</v>
      </c>
      <c r="H406">
        <v>64</v>
      </c>
      <c r="Q406" t="s">
        <v>51</v>
      </c>
      <c r="R406" t="s">
        <v>1623</v>
      </c>
      <c r="S406" t="s">
        <v>46</v>
      </c>
      <c r="T406" t="s">
        <v>1624</v>
      </c>
      <c r="AC406" t="s">
        <v>1625</v>
      </c>
      <c r="AF406">
        <v>1002669937</v>
      </c>
      <c r="AG406">
        <v>717008</v>
      </c>
      <c r="AM406" t="str" cm="1">
        <f t="array" ref="AM406">_xlfn.IFS(OR(O406="Persoonlijk",O406="Zoon",O406="Dochter"),P406,OR(Q406="Persoonlijk",Q406="Zoon",Q406="Dochter"),R406,OR(S406="Persoonlijk",S406="Zoon",S406="Dochter"),T406,O406="Vader",P406,Q406="Vader",R406,S406="Vader",T406,O406="Moeder",P406,Q406="Moeder",R406,S406="Moeder",T406,TRUE,IF(P406&lt;&gt;"",P406,IF(R406&lt;&gt;"",R406,IF(T406&lt;&gt;"",T406,""))))</f>
        <v>wiebelampens@gmail.com</v>
      </c>
      <c r="AN406" t="str" cm="1">
        <f t="array" ref="AN406">_xlfn.LET(_xlpm.raw,_xlfn.IFS(OR(U406="Persoonlijk",U406="Zoon",U406="Dochter"),V406,OR(W406="Persoonlijk",W406="Zoon",W406="Dochter"),X406,OR(Y406="Persoonlijk",Y406="Zoon",Y406="Dochter"),Z406,U406="Vader",V406,W406="Vader",X406,Y406="Vader",Z406,U406="Moeder",V406,W406="Moeder",X406,Y406="Moeder",Z406,TRUE,IF(V406&lt;&gt;"",V406,IF(X406&lt;&gt;"",X406,IF(Z406&lt;&gt;"",Z406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07" spans="1:40" x14ac:dyDescent="0.3">
      <c r="A407">
        <v>2183047</v>
      </c>
      <c r="B407" t="s">
        <v>1626</v>
      </c>
      <c r="C407" t="s">
        <v>1627</v>
      </c>
      <c r="D407" t="s">
        <v>39</v>
      </c>
      <c r="E407" t="s">
        <v>49</v>
      </c>
      <c r="F407" t="s">
        <v>1628</v>
      </c>
      <c r="G407" t="s">
        <v>673</v>
      </c>
      <c r="H407">
        <v>50</v>
      </c>
      <c r="AC407" t="s">
        <v>1629</v>
      </c>
      <c r="AF407">
        <v>1002183047</v>
      </c>
      <c r="AG407">
        <v>640293</v>
      </c>
      <c r="AM407" t="str" cm="1">
        <f t="array" ref="AM407">_xlfn.IFS(OR(O407="Persoonlijk",O407="Zoon",O407="Dochter"),P407,OR(Q407="Persoonlijk",Q407="Zoon",Q407="Dochter"),R407,OR(S407="Persoonlijk",S407="Zoon",S407="Dochter"),T407,O407="Vader",P407,Q407="Vader",R407,S407="Vader",T407,O407="Moeder",P407,Q407="Moeder",R407,S407="Moeder",T407,TRUE,IF(P407&lt;&gt;"",P407,IF(R407&lt;&gt;"",R407,IF(T407&lt;&gt;"",T407,""))))</f>
        <v/>
      </c>
      <c r="AN407" t="str" cm="1">
        <f t="array" ref="AN407">_xlfn.LET(_xlpm.raw,_xlfn.IFS(OR(U407="Persoonlijk",U407="Zoon",U407="Dochter"),V407,OR(W407="Persoonlijk",W407="Zoon",W407="Dochter"),X407,OR(Y407="Persoonlijk",Y407="Zoon",Y407="Dochter"),Z407,U407="Vader",V407,W407="Vader",X407,Y407="Vader",Z407,U407="Moeder",V407,W407="Moeder",X407,Y407="Moeder",Z407,TRUE,IF(V407&lt;&gt;"",V407,IF(X407&lt;&gt;"",X407,IF(Z407&lt;&gt;"",Z407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08" spans="1:40" x14ac:dyDescent="0.3">
      <c r="A408">
        <v>2183052</v>
      </c>
      <c r="B408" t="s">
        <v>1630</v>
      </c>
      <c r="C408" t="s">
        <v>1631</v>
      </c>
      <c r="D408" t="s">
        <v>39</v>
      </c>
      <c r="E408" t="s">
        <v>40</v>
      </c>
      <c r="F408" t="s">
        <v>1632</v>
      </c>
      <c r="G408" t="s">
        <v>611</v>
      </c>
      <c r="H408">
        <v>2</v>
      </c>
      <c r="AC408" t="s">
        <v>1633</v>
      </c>
      <c r="AF408">
        <v>1002183052</v>
      </c>
      <c r="AG408">
        <v>638439</v>
      </c>
      <c r="AM408" t="str" cm="1">
        <f t="array" ref="AM408">_xlfn.IFS(OR(O408="Persoonlijk",O408="Zoon",O408="Dochter"),P408,OR(Q408="Persoonlijk",Q408="Zoon",Q408="Dochter"),R408,OR(S408="Persoonlijk",S408="Zoon",S408="Dochter"),T408,O408="Vader",P408,Q408="Vader",R408,S408="Vader",T408,O408="Moeder",P408,Q408="Moeder",R408,S408="Moeder",T408,TRUE,IF(P408&lt;&gt;"",P408,IF(R408&lt;&gt;"",R408,IF(T408&lt;&gt;"",T408,""))))</f>
        <v/>
      </c>
      <c r="AN408" t="str" cm="1">
        <f t="array" ref="AN408">_xlfn.LET(_xlpm.raw,_xlfn.IFS(OR(U408="Persoonlijk",U408="Zoon",U408="Dochter"),V408,OR(W408="Persoonlijk",W408="Zoon",W408="Dochter"),X408,OR(Y408="Persoonlijk",Y408="Zoon",Y408="Dochter"),Z408,U408="Vader",V408,W408="Vader",X408,Y408="Vader",Z408,U408="Moeder",V408,W408="Moeder",X408,Y408="Moeder",Z408,TRUE,IF(V408&lt;&gt;"",V408,IF(X408&lt;&gt;"",X408,IF(Z408&lt;&gt;"",Z408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09" spans="1:40" x14ac:dyDescent="0.3">
      <c r="A409">
        <v>2183057</v>
      </c>
      <c r="B409" t="s">
        <v>1630</v>
      </c>
      <c r="C409" t="s">
        <v>1634</v>
      </c>
      <c r="D409" t="s">
        <v>39</v>
      </c>
      <c r="E409" t="s">
        <v>40</v>
      </c>
      <c r="F409" t="s">
        <v>1635</v>
      </c>
      <c r="G409" t="s">
        <v>611</v>
      </c>
      <c r="H409">
        <v>2</v>
      </c>
      <c r="U409" t="s">
        <v>46</v>
      </c>
      <c r="V409">
        <v>32468406427</v>
      </c>
      <c r="AC409" t="s">
        <v>1636</v>
      </c>
      <c r="AF409">
        <v>1002183057</v>
      </c>
      <c r="AG409">
        <v>661064</v>
      </c>
      <c r="AM409" t="str" cm="1">
        <f t="array" ref="AM409">_xlfn.IFS(OR(O409="Persoonlijk",O409="Zoon",O409="Dochter"),P409,OR(Q409="Persoonlijk",Q409="Zoon",Q409="Dochter"),R409,OR(S409="Persoonlijk",S409="Zoon",S409="Dochter"),T409,O409="Vader",P409,Q409="Vader",R409,S409="Vader",T409,O409="Moeder",P409,Q409="Moeder",R409,S409="Moeder",T409,TRUE,IF(P409&lt;&gt;"",P409,IF(R409&lt;&gt;"",R409,IF(T409&lt;&gt;"",T409,""))))</f>
        <v/>
      </c>
      <c r="AN409" t="str" cm="1">
        <f t="array" ref="AN409">_xlfn.LET(_xlpm.raw,_xlfn.IFS(OR(U409="Persoonlijk",U409="Zoon",U409="Dochter"),V409,OR(W409="Persoonlijk",W409="Zoon",W409="Dochter"),X409,OR(Y409="Persoonlijk",Y409="Zoon",Y409="Dochter"),Z409,U409="Vader",V409,W409="Vader",X409,Y409="Vader",Z409,U409="Moeder",V409,W409="Moeder",X409,Y409="Moeder",Z409,TRUE,IF(V409&lt;&gt;"",V409,IF(X409&lt;&gt;"",X409,IF(Z409&lt;&gt;"",Z409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+32468406427</v>
      </c>
    </row>
    <row r="410" spans="1:40" x14ac:dyDescent="0.3">
      <c r="A410">
        <v>2934326</v>
      </c>
      <c r="B410" t="s">
        <v>1637</v>
      </c>
      <c r="C410" t="s">
        <v>1170</v>
      </c>
      <c r="D410" t="s">
        <v>39</v>
      </c>
      <c r="E410" t="s">
        <v>40</v>
      </c>
      <c r="F410" t="s">
        <v>1638</v>
      </c>
      <c r="G410" t="s">
        <v>1639</v>
      </c>
      <c r="H410">
        <v>44</v>
      </c>
      <c r="U410" t="s">
        <v>46</v>
      </c>
      <c r="V410" t="s">
        <v>1640</v>
      </c>
      <c r="AC410" t="s">
        <v>1641</v>
      </c>
      <c r="AF410">
        <v>1002934326</v>
      </c>
      <c r="AG410">
        <v>214428</v>
      </c>
      <c r="AM410" t="str" cm="1">
        <f t="array" ref="AM410">_xlfn.IFS(OR(O410="Persoonlijk",O410="Zoon",O410="Dochter"),P410,OR(Q410="Persoonlijk",Q410="Zoon",Q410="Dochter"),R410,OR(S410="Persoonlijk",S410="Zoon",S410="Dochter"),T410,O410="Vader",P410,Q410="Vader",R410,S410="Vader",T410,O410="Moeder",P410,Q410="Moeder",R410,S410="Moeder",T410,TRUE,IF(P410&lt;&gt;"",P410,IF(R410&lt;&gt;"",R410,IF(T410&lt;&gt;"",T410,""))))</f>
        <v/>
      </c>
      <c r="AN410" t="str" cm="1">
        <f t="array" ref="AN410">_xlfn.LET(_xlpm.raw,_xlfn.IFS(OR(U410="Persoonlijk",U410="Zoon",U410="Dochter"),V410,OR(W410="Persoonlijk",W410="Zoon",W410="Dochter"),X410,OR(Y410="Persoonlijk",Y410="Zoon",Y410="Dochter"),Z410,U410="Vader",V410,W410="Vader",X410,Y410="Vader",Z410,U410="Moeder",V410,W410="Moeder",X410,Y410="Moeder",Z410,TRUE,IF(V410&lt;&gt;"",V410,IF(X410&lt;&gt;"",X410,IF(Z410&lt;&gt;"",Z410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+32477590960</v>
      </c>
    </row>
    <row r="411" spans="1:40" x14ac:dyDescent="0.3">
      <c r="A411">
        <v>10452623</v>
      </c>
      <c r="B411" t="s">
        <v>1642</v>
      </c>
      <c r="C411" t="s">
        <v>1643</v>
      </c>
      <c r="D411" t="s">
        <v>39</v>
      </c>
      <c r="E411" t="s">
        <v>40</v>
      </c>
      <c r="F411" t="s">
        <v>1644</v>
      </c>
      <c r="G411" t="s">
        <v>1645</v>
      </c>
      <c r="H411">
        <v>1</v>
      </c>
      <c r="R411" t="s">
        <v>1646</v>
      </c>
      <c r="V411" t="s">
        <v>1647</v>
      </c>
      <c r="AF411">
        <v>1010452623</v>
      </c>
      <c r="AM411" t="str" cm="1">
        <f t="array" ref="AM411">_xlfn.IFS(OR(O411="Persoonlijk",O411="Zoon",O411="Dochter"),P411,OR(Q411="Persoonlijk",Q411="Zoon",Q411="Dochter"),R411,OR(S411="Persoonlijk",S411="Zoon",S411="Dochter"),T411,O411="Vader",P411,Q411="Vader",R411,S411="Vader",T411,O411="Moeder",P411,Q411="Moeder",R411,S411="Moeder",T411,TRUE,IF(P411&lt;&gt;"",P411,IF(R411&lt;&gt;"",R411,IF(T411&lt;&gt;"",T411,""))))</f>
        <v>lasseeltom@gmail.com</v>
      </c>
      <c r="AN411" t="str" cm="1">
        <f t="array" ref="AN411">_xlfn.LET(_xlpm.raw,_xlfn.IFS(OR(U411="Persoonlijk",U411="Zoon",U411="Dochter"),V411,OR(W411="Persoonlijk",W411="Zoon",W411="Dochter"),X411,OR(Y411="Persoonlijk",Y411="Zoon",Y411="Dochter"),Z411,U411="Vader",V411,W411="Vader",X411,Y411="Vader",Z411,U411="Moeder",V411,W411="Moeder",X411,Y411="Moeder",Z411,TRUE,IF(V411&lt;&gt;"",V411,IF(X411&lt;&gt;"",X411,IF(Z411&lt;&gt;"",Z411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+32470351060</v>
      </c>
    </row>
    <row r="412" spans="1:40" x14ac:dyDescent="0.3">
      <c r="A412">
        <v>10447457</v>
      </c>
      <c r="B412" t="s">
        <v>1648</v>
      </c>
      <c r="C412" t="s">
        <v>1649</v>
      </c>
      <c r="D412" t="s">
        <v>39</v>
      </c>
      <c r="E412" t="s">
        <v>49</v>
      </c>
      <c r="F412" t="s">
        <v>1650</v>
      </c>
      <c r="G412" t="s">
        <v>850</v>
      </c>
      <c r="H412">
        <v>73</v>
      </c>
      <c r="U412" t="s">
        <v>51</v>
      </c>
      <c r="V412" t="s">
        <v>1651</v>
      </c>
      <c r="W412" t="s">
        <v>53</v>
      </c>
      <c r="X412" t="s">
        <v>1652</v>
      </c>
      <c r="AC412" t="s">
        <v>1653</v>
      </c>
      <c r="AF412">
        <v>1010447457</v>
      </c>
      <c r="AJ412" t="s">
        <v>174</v>
      </c>
      <c r="AK412" t="s">
        <v>61</v>
      </c>
      <c r="AM412" t="str" cm="1">
        <f t="array" ref="AM412">_xlfn.IFS(OR(O412="Persoonlijk",O412="Zoon",O412="Dochter"),P412,OR(Q412="Persoonlijk",Q412="Zoon",Q412="Dochter"),R412,OR(S412="Persoonlijk",S412="Zoon",S412="Dochter"),T412,O412="Vader",P412,Q412="Vader",R412,S412="Vader",T412,O412="Moeder",P412,Q412="Moeder",R412,S412="Moeder",T412,TRUE,IF(P412&lt;&gt;"",P412,IF(R412&lt;&gt;"",R412,IF(T412&lt;&gt;"",T412,""))))</f>
        <v/>
      </c>
      <c r="AN412" t="str" cm="1">
        <f t="array" ref="AN412">_xlfn.LET(_xlpm.raw,_xlfn.IFS(OR(U412="Persoonlijk",U412="Zoon",U412="Dochter"),V412,OR(W412="Persoonlijk",W412="Zoon",W412="Dochter"),X412,OR(Y412="Persoonlijk",Y412="Zoon",Y412="Dochter"),Z412,U412="Vader",V412,W412="Vader",X412,Y412="Vader",Z412,U412="Moeder",V412,W412="Moeder",X412,Y412="Moeder",Z412,TRUE,IF(V412&lt;&gt;"",V412,IF(X412&lt;&gt;"",X412,IF(Z412&lt;&gt;"",Z412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+32477501978</v>
      </c>
    </row>
    <row r="413" spans="1:40" x14ac:dyDescent="0.3">
      <c r="A413">
        <v>10452528</v>
      </c>
      <c r="B413" t="s">
        <v>1654</v>
      </c>
      <c r="C413" t="s">
        <v>1655</v>
      </c>
      <c r="D413" t="s">
        <v>39</v>
      </c>
      <c r="E413" t="s">
        <v>40</v>
      </c>
      <c r="F413" t="s">
        <v>1656</v>
      </c>
      <c r="G413" t="s">
        <v>1657</v>
      </c>
      <c r="H413">
        <v>39</v>
      </c>
      <c r="Q413" t="s">
        <v>51</v>
      </c>
      <c r="R413" t="s">
        <v>1658</v>
      </c>
      <c r="V413" t="s">
        <v>1659</v>
      </c>
      <c r="AF413">
        <v>1010452528</v>
      </c>
      <c r="AJ413" t="s">
        <v>656</v>
      </c>
      <c r="AK413" t="s">
        <v>61</v>
      </c>
      <c r="AM413" t="str" cm="1">
        <f t="array" ref="AM413">_xlfn.IFS(OR(O413="Persoonlijk",O413="Zoon",O413="Dochter"),P413,OR(Q413="Persoonlijk",Q413="Zoon",Q413="Dochter"),R413,OR(S413="Persoonlijk",S413="Zoon",S413="Dochter"),T413,O413="Vader",P413,Q413="Vader",R413,S413="Vader",T413,O413="Moeder",P413,Q413="Moeder",R413,S413="Moeder",T413,TRUE,IF(P413&lt;&gt;"",P413,IF(R413&lt;&gt;"",R413,IF(T413&lt;&gt;"",T413,""))))</f>
        <v>lauwereins.steven@gmail.com</v>
      </c>
      <c r="AN413" t="str" cm="1">
        <f t="array" ref="AN413">_xlfn.LET(_xlpm.raw,_xlfn.IFS(OR(U413="Persoonlijk",U413="Zoon",U413="Dochter"),V413,OR(W413="Persoonlijk",W413="Zoon",W413="Dochter"),X413,OR(Y413="Persoonlijk",Y413="Zoon",Y413="Dochter"),Z413,U413="Vader",V413,W413="Vader",X413,Y413="Vader",Z413,U413="Moeder",V413,W413="Moeder",X413,Y413="Moeder",Z413,TRUE,IF(V413&lt;&gt;"",V413,IF(X413&lt;&gt;"",X413,IF(Z413&lt;&gt;"",Z413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+32474317844</v>
      </c>
    </row>
    <row r="414" spans="1:40" x14ac:dyDescent="0.3">
      <c r="A414">
        <v>10452528</v>
      </c>
      <c r="B414" t="s">
        <v>1654</v>
      </c>
      <c r="C414" t="s">
        <v>1655</v>
      </c>
      <c r="D414" t="s">
        <v>39</v>
      </c>
      <c r="E414" t="s">
        <v>40</v>
      </c>
      <c r="F414" t="s">
        <v>1656</v>
      </c>
      <c r="G414" t="s">
        <v>1657</v>
      </c>
      <c r="H414">
        <v>39</v>
      </c>
      <c r="Q414" t="s">
        <v>51</v>
      </c>
      <c r="R414" t="s">
        <v>1658</v>
      </c>
      <c r="V414" t="s">
        <v>1659</v>
      </c>
      <c r="AF414">
        <v>1010452528</v>
      </c>
      <c r="AJ414" t="s">
        <v>295</v>
      </c>
      <c r="AK414" t="s">
        <v>61</v>
      </c>
      <c r="AM414" t="str" cm="1">
        <f t="array" ref="AM414">_xlfn.IFS(OR(O414="Persoonlijk",O414="Zoon",O414="Dochter"),P414,OR(Q414="Persoonlijk",Q414="Zoon",Q414="Dochter"),R414,OR(S414="Persoonlijk",S414="Zoon",S414="Dochter"),T414,O414="Vader",P414,Q414="Vader",R414,S414="Vader",T414,O414="Moeder",P414,Q414="Moeder",R414,S414="Moeder",T414,TRUE,IF(P414&lt;&gt;"",P414,IF(R414&lt;&gt;"",R414,IF(T414&lt;&gt;"",T414,""))))</f>
        <v>lauwereins.steven@gmail.com</v>
      </c>
      <c r="AN414" t="str" cm="1">
        <f t="array" ref="AN414">_xlfn.LET(_xlpm.raw,_xlfn.IFS(OR(U414="Persoonlijk",U414="Zoon",U414="Dochter"),V414,OR(W414="Persoonlijk",W414="Zoon",W414="Dochter"),X414,OR(Y414="Persoonlijk",Y414="Zoon",Y414="Dochter"),Z414,U414="Vader",V414,W414="Vader",X414,Y414="Vader",Z414,U414="Moeder",V414,W414="Moeder",X414,Y414="Moeder",Z414,TRUE,IF(V414&lt;&gt;"",V414,IF(X414&lt;&gt;"",X414,IF(Z414&lt;&gt;"",Z414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+32474317844</v>
      </c>
    </row>
    <row r="415" spans="1:40" x14ac:dyDescent="0.3">
      <c r="A415">
        <v>4303407</v>
      </c>
      <c r="B415" t="s">
        <v>1660</v>
      </c>
      <c r="C415" t="s">
        <v>1661</v>
      </c>
      <c r="D415" t="s">
        <v>39</v>
      </c>
      <c r="E415" t="s">
        <v>40</v>
      </c>
      <c r="F415" t="s">
        <v>1662</v>
      </c>
      <c r="G415" t="s">
        <v>1663</v>
      </c>
      <c r="H415">
        <v>1</v>
      </c>
      <c r="R415" t="s">
        <v>1664</v>
      </c>
      <c r="U415" t="s">
        <v>53</v>
      </c>
      <c r="V415" t="s">
        <v>1665</v>
      </c>
      <c r="AF415">
        <v>1004303407</v>
      </c>
      <c r="AG415">
        <v>758359</v>
      </c>
      <c r="AM415" t="str" cm="1">
        <f t="array" ref="AM415">_xlfn.IFS(OR(O415="Persoonlijk",O415="Zoon",O415="Dochter"),P415,OR(Q415="Persoonlijk",Q415="Zoon",Q415="Dochter"),R415,OR(S415="Persoonlijk",S415="Zoon",S415="Dochter"),T415,O415="Vader",P415,Q415="Vader",R415,S415="Vader",T415,O415="Moeder",P415,Q415="Moeder",R415,S415="Moeder",T415,TRUE,IF(P415&lt;&gt;"",P415,IF(R415&lt;&gt;"",R415,IF(T415&lt;&gt;"",T415,""))))</f>
        <v>lauwersvanzele@gmail.com</v>
      </c>
      <c r="AN415" t="str" cm="1">
        <f t="array" ref="AN415">_xlfn.LET(_xlpm.raw,_xlfn.IFS(OR(U415="Persoonlijk",U415="Zoon",U415="Dochter"),V415,OR(W415="Persoonlijk",W415="Zoon",W415="Dochter"),X415,OR(Y415="Persoonlijk",Y415="Zoon",Y415="Dochter"),Z415,U415="Vader",V415,W415="Vader",X415,Y415="Vader",Z415,U415="Moeder",V415,W415="Moeder",X415,Y415="Moeder",Z415,TRUE,IF(V415&lt;&gt;"",V415,IF(X415&lt;&gt;"",X415,IF(Z415&lt;&gt;"",Z415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+32473974827</v>
      </c>
    </row>
    <row r="416" spans="1:40" x14ac:dyDescent="0.3">
      <c r="A416">
        <v>11858090</v>
      </c>
      <c r="B416" t="s">
        <v>1666</v>
      </c>
      <c r="C416" t="s">
        <v>1236</v>
      </c>
      <c r="D416" t="s">
        <v>39</v>
      </c>
      <c r="E416" t="s">
        <v>40</v>
      </c>
      <c r="F416" t="s">
        <v>1667</v>
      </c>
      <c r="G416" t="s">
        <v>1668</v>
      </c>
      <c r="H416">
        <v>27</v>
      </c>
      <c r="Q416" t="s">
        <v>53</v>
      </c>
      <c r="R416" t="s">
        <v>1669</v>
      </c>
      <c r="U416" t="s">
        <v>46</v>
      </c>
      <c r="V416" t="s">
        <v>1670</v>
      </c>
      <c r="W416" t="s">
        <v>53</v>
      </c>
      <c r="X416" t="s">
        <v>1671</v>
      </c>
      <c r="AF416">
        <v>1011858090</v>
      </c>
      <c r="AJ416" t="s">
        <v>179</v>
      </c>
      <c r="AK416" t="s">
        <v>61</v>
      </c>
      <c r="AM416" t="str" cm="1">
        <f t="array" ref="AM416">_xlfn.IFS(OR(O416="Persoonlijk",O416="Zoon",O416="Dochter"),P416,OR(Q416="Persoonlijk",Q416="Zoon",Q416="Dochter"),R416,OR(S416="Persoonlijk",S416="Zoon",S416="Dochter"),T416,O416="Vader",P416,Q416="Vader",R416,S416="Vader",T416,O416="Moeder",P416,Q416="Moeder",R416,S416="Moeder",T416,TRUE,IF(P416&lt;&gt;"",P416,IF(R416&lt;&gt;"",R416,IF(T416&lt;&gt;"",T416,""))))</f>
        <v>marina.pd34@gmail</v>
      </c>
      <c r="AN416" t="str" cm="1">
        <f t="array" ref="AN416">_xlfn.LET(_xlpm.raw,_xlfn.IFS(OR(U416="Persoonlijk",U416="Zoon",U416="Dochter"),V416,OR(W416="Persoonlijk",W416="Zoon",W416="Dochter"),X416,OR(Y416="Persoonlijk",Y416="Zoon",Y416="Dochter"),Z416,U416="Vader",V416,W416="Vader",X416,Y416="Vader",Z416,U416="Moeder",V416,W416="Moeder",X416,Y416="Moeder",Z416,TRUE,IF(V416&lt;&gt;"",V416,IF(X416&lt;&gt;"",X416,IF(Z416&lt;&gt;"",Z416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+32492948427</v>
      </c>
    </row>
    <row r="417" spans="1:40" x14ac:dyDescent="0.3">
      <c r="A417">
        <v>11858090</v>
      </c>
      <c r="B417" t="s">
        <v>1666</v>
      </c>
      <c r="C417" t="s">
        <v>1236</v>
      </c>
      <c r="D417" t="s">
        <v>39</v>
      </c>
      <c r="E417" t="s">
        <v>40</v>
      </c>
      <c r="F417" t="s">
        <v>1667</v>
      </c>
      <c r="G417" t="s">
        <v>1668</v>
      </c>
      <c r="H417">
        <v>27</v>
      </c>
      <c r="Q417" t="s">
        <v>53</v>
      </c>
      <c r="R417" t="s">
        <v>1669</v>
      </c>
      <c r="U417" t="s">
        <v>46</v>
      </c>
      <c r="V417" t="s">
        <v>1670</v>
      </c>
      <c r="W417" t="s">
        <v>53</v>
      </c>
      <c r="X417" t="s">
        <v>1671</v>
      </c>
      <c r="AF417">
        <v>1011858090</v>
      </c>
      <c r="AJ417" t="s">
        <v>286</v>
      </c>
      <c r="AK417" t="s">
        <v>61</v>
      </c>
      <c r="AM417" t="str" cm="1">
        <f t="array" ref="AM417">_xlfn.IFS(OR(O417="Persoonlijk",O417="Zoon",O417="Dochter"),P417,OR(Q417="Persoonlijk",Q417="Zoon",Q417="Dochter"),R417,OR(S417="Persoonlijk",S417="Zoon",S417="Dochter"),T417,O417="Vader",P417,Q417="Vader",R417,S417="Vader",T417,O417="Moeder",P417,Q417="Moeder",R417,S417="Moeder",T417,TRUE,IF(P417&lt;&gt;"",P417,IF(R417&lt;&gt;"",R417,IF(T417&lt;&gt;"",T417,""))))</f>
        <v>marina.pd34@gmail</v>
      </c>
      <c r="AN417" t="str" cm="1">
        <f t="array" ref="AN417">_xlfn.LET(_xlpm.raw,_xlfn.IFS(OR(U417="Persoonlijk",U417="Zoon",U417="Dochter"),V417,OR(W417="Persoonlijk",W417="Zoon",W417="Dochter"),X417,OR(Y417="Persoonlijk",Y417="Zoon",Y417="Dochter"),Z417,U417="Vader",V417,W417="Vader",X417,Y417="Vader",Z417,U417="Moeder",V417,W417="Moeder",X417,Y417="Moeder",Z417,TRUE,IF(V417&lt;&gt;"",V417,IF(X417&lt;&gt;"",X417,IF(Z417&lt;&gt;"",Z417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+32492948427</v>
      </c>
    </row>
    <row r="418" spans="1:40" x14ac:dyDescent="0.3">
      <c r="A418">
        <v>2183082</v>
      </c>
      <c r="B418" t="s">
        <v>1672</v>
      </c>
      <c r="C418" t="s">
        <v>1034</v>
      </c>
      <c r="D418" t="s">
        <v>39</v>
      </c>
      <c r="E418" t="s">
        <v>40</v>
      </c>
      <c r="F418" t="s">
        <v>1673</v>
      </c>
      <c r="G418" t="s">
        <v>1674</v>
      </c>
      <c r="H418">
        <v>51</v>
      </c>
      <c r="U418" t="s">
        <v>46</v>
      </c>
      <c r="V418">
        <v>320479175859</v>
      </c>
      <c r="AC418" t="s">
        <v>1675</v>
      </c>
      <c r="AF418">
        <v>1002183082</v>
      </c>
      <c r="AG418">
        <v>620445</v>
      </c>
      <c r="AM418" t="str" cm="1">
        <f t="array" ref="AM418">_xlfn.IFS(OR(O418="Persoonlijk",O418="Zoon",O418="Dochter"),P418,OR(Q418="Persoonlijk",Q418="Zoon",Q418="Dochter"),R418,OR(S418="Persoonlijk",S418="Zoon",S418="Dochter"),T418,O418="Vader",P418,Q418="Vader",R418,S418="Vader",T418,O418="Moeder",P418,Q418="Moeder",R418,S418="Moeder",T418,TRUE,IF(P418&lt;&gt;"",P418,IF(R418&lt;&gt;"",R418,IF(T418&lt;&gt;"",T418,""))))</f>
        <v/>
      </c>
      <c r="AN418" t="str" cm="1">
        <f t="array" ref="AN418">_xlfn.LET(_xlpm.raw,_xlfn.IFS(OR(U418="Persoonlijk",U418="Zoon",U418="Dochter"),V418,OR(W418="Persoonlijk",W418="Zoon",W418="Dochter"),X418,OR(Y418="Persoonlijk",Y418="Zoon",Y418="Dochter"),Z418,U418="Vader",V418,W418="Vader",X418,Y418="Vader",Z418,U418="Moeder",V418,W418="Moeder",X418,Y418="Moeder",Z418,TRUE,IF(V418&lt;&gt;"",V418,IF(X418&lt;&gt;"",X418,IF(Z418&lt;&gt;"",Z418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+32479175859</v>
      </c>
    </row>
    <row r="419" spans="1:40" x14ac:dyDescent="0.3">
      <c r="A419">
        <v>9680220</v>
      </c>
      <c r="B419" t="s">
        <v>1676</v>
      </c>
      <c r="C419" t="s">
        <v>1677</v>
      </c>
      <c r="D419" t="s">
        <v>39</v>
      </c>
      <c r="E419" t="s">
        <v>40</v>
      </c>
      <c r="F419" t="s">
        <v>1678</v>
      </c>
      <c r="G419" t="s">
        <v>1679</v>
      </c>
      <c r="H419">
        <v>115</v>
      </c>
      <c r="Q419" t="s">
        <v>51</v>
      </c>
      <c r="R419" t="s">
        <v>1680</v>
      </c>
      <c r="V419" t="s">
        <v>1681</v>
      </c>
      <c r="AE419" t="s">
        <v>1682</v>
      </c>
      <c r="AF419">
        <v>1009680220</v>
      </c>
      <c r="AJ419" t="s">
        <v>131</v>
      </c>
      <c r="AK419" t="s">
        <v>61</v>
      </c>
      <c r="AM419" t="str" cm="1">
        <f t="array" ref="AM419">_xlfn.IFS(OR(O419="Persoonlijk",O419="Zoon",O419="Dochter"),P419,OR(Q419="Persoonlijk",Q419="Zoon",Q419="Dochter"),R419,OR(S419="Persoonlijk",S419="Zoon",S419="Dochter"),T419,O419="Vader",P419,Q419="Vader",R419,S419="Vader",T419,O419="Moeder",P419,Q419="Moeder",R419,S419="Moeder",T419,TRUE,IF(P419&lt;&gt;"",P419,IF(R419&lt;&gt;"",R419,IF(T419&lt;&gt;"",T419,""))))</f>
        <v>huglemaire@hotmail.com</v>
      </c>
      <c r="AN419" t="str" cm="1">
        <f t="array" ref="AN419">_xlfn.LET(_xlpm.raw,_xlfn.IFS(OR(U419="Persoonlijk",U419="Zoon",U419="Dochter"),V419,OR(W419="Persoonlijk",W419="Zoon",W419="Dochter"),X419,OR(Y419="Persoonlijk",Y419="Zoon",Y419="Dochter"),Z419,U419="Vader",V419,W419="Vader",X419,Y419="Vader",Z419,U419="Moeder",V419,W419="Moeder",X419,Y419="Moeder",Z419,TRUE,IF(V419&lt;&gt;"",V419,IF(X419&lt;&gt;"",X419,IF(Z419&lt;&gt;"",Z419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+32485677282</v>
      </c>
    </row>
    <row r="420" spans="1:40" x14ac:dyDescent="0.3">
      <c r="A420">
        <v>10452680</v>
      </c>
      <c r="B420" t="s">
        <v>1683</v>
      </c>
      <c r="C420" t="s">
        <v>1684</v>
      </c>
      <c r="D420" t="s">
        <v>39</v>
      </c>
      <c r="E420" t="s">
        <v>49</v>
      </c>
      <c r="F420" t="s">
        <v>1685</v>
      </c>
      <c r="G420" t="s">
        <v>1686</v>
      </c>
      <c r="H420">
        <v>26</v>
      </c>
      <c r="R420" t="s">
        <v>1687</v>
      </c>
      <c r="U420" t="s">
        <v>53</v>
      </c>
      <c r="V420">
        <v>320478636087</v>
      </c>
      <c r="W420" t="s">
        <v>51</v>
      </c>
      <c r="X420">
        <v>32498735730</v>
      </c>
      <c r="AE420" t="s">
        <v>1688</v>
      </c>
      <c r="AF420">
        <v>1010452680</v>
      </c>
      <c r="AM420" t="str" cm="1">
        <f t="array" ref="AM420">_xlfn.IFS(OR(O420="Persoonlijk",O420="Zoon",O420="Dochter"),P420,OR(Q420="Persoonlijk",Q420="Zoon",Q420="Dochter"),R420,OR(S420="Persoonlijk",S420="Zoon",S420="Dochter"),T420,O420="Vader",P420,Q420="Vader",R420,S420="Vader",T420,O420="Moeder",P420,Q420="Moeder",R420,S420="Moeder",T420,TRUE,IF(P420&lt;&gt;"",P420,IF(R420&lt;&gt;"",R420,IF(T420&lt;&gt;"",T420,""))))</f>
        <v>timo.lepez@gmail.com</v>
      </c>
      <c r="AN420" t="str" cm="1">
        <f t="array" ref="AN420">_xlfn.LET(_xlpm.raw,_xlfn.IFS(OR(U420="Persoonlijk",U420="Zoon",U420="Dochter"),V420,OR(W420="Persoonlijk",W420="Zoon",W420="Dochter"),X420,OR(Y420="Persoonlijk",Y420="Zoon",Y420="Dochter"),Z420,U420="Vader",V420,W420="Vader",X420,Y420="Vader",Z420,U420="Moeder",V420,W420="Moeder",X420,Y420="Moeder",Z420,TRUE,IF(V420&lt;&gt;"",V420,IF(X420&lt;&gt;"",X420,IF(Z420&lt;&gt;"",Z420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+32498735730</v>
      </c>
    </row>
    <row r="421" spans="1:40" x14ac:dyDescent="0.3">
      <c r="A421">
        <v>4393791</v>
      </c>
      <c r="B421" t="s">
        <v>1689</v>
      </c>
      <c r="C421" t="s">
        <v>1690</v>
      </c>
      <c r="D421" t="s">
        <v>39</v>
      </c>
      <c r="E421" t="s">
        <v>40</v>
      </c>
      <c r="F421" t="s">
        <v>1691</v>
      </c>
      <c r="G421" t="s">
        <v>535</v>
      </c>
      <c r="H421">
        <v>70</v>
      </c>
      <c r="Q421" t="s">
        <v>51</v>
      </c>
      <c r="R421" t="s">
        <v>1692</v>
      </c>
      <c r="U421" t="s">
        <v>53</v>
      </c>
      <c r="V421" t="s">
        <v>1693</v>
      </c>
      <c r="W421" t="s">
        <v>51</v>
      </c>
      <c r="X421" t="s">
        <v>1694</v>
      </c>
      <c r="AE421" t="s">
        <v>1695</v>
      </c>
      <c r="AF421">
        <v>1004393791</v>
      </c>
      <c r="AG421">
        <v>758517</v>
      </c>
      <c r="AJ421" t="s">
        <v>63</v>
      </c>
      <c r="AK421" t="s">
        <v>61</v>
      </c>
      <c r="AM421" t="str" cm="1">
        <f t="array" ref="AM421">_xlfn.IFS(OR(O421="Persoonlijk",O421="Zoon",O421="Dochter"),P421,OR(Q421="Persoonlijk",Q421="Zoon",Q421="Dochter"),R421,OR(S421="Persoonlijk",S421="Zoon",S421="Dochter"),T421,O421="Vader",P421,Q421="Vader",R421,S421="Vader",T421,O421="Moeder",P421,Q421="Moeder",R421,S421="Moeder",T421,TRUE,IF(P421&lt;&gt;"",P421,IF(R421&lt;&gt;"",R421,IF(T421&lt;&gt;"",T421,""))))</f>
        <v>lessenne_frederic@yahoo.com</v>
      </c>
      <c r="AN421" t="str" cm="1">
        <f t="array" ref="AN421">_xlfn.LET(_xlpm.raw,_xlfn.IFS(OR(U421="Persoonlijk",U421="Zoon",U421="Dochter"),V421,OR(W421="Persoonlijk",W421="Zoon",W421="Dochter"),X421,OR(Y421="Persoonlijk",Y421="Zoon",Y421="Dochter"),Z421,U421="Vader",V421,W421="Vader",X421,Y421="Vader",Z421,U421="Moeder",V421,W421="Moeder",X421,Y421="Moeder",Z421,TRUE,IF(V421&lt;&gt;"",V421,IF(X421&lt;&gt;"",X421,IF(Z421&lt;&gt;"",Z421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+32477650341</v>
      </c>
    </row>
    <row r="422" spans="1:40" x14ac:dyDescent="0.3">
      <c r="A422">
        <v>4393791</v>
      </c>
      <c r="B422" t="s">
        <v>1689</v>
      </c>
      <c r="C422" t="s">
        <v>1690</v>
      </c>
      <c r="D422" t="s">
        <v>39</v>
      </c>
      <c r="E422" t="s">
        <v>40</v>
      </c>
      <c r="F422" t="s">
        <v>1691</v>
      </c>
      <c r="G422" t="s">
        <v>535</v>
      </c>
      <c r="H422">
        <v>70</v>
      </c>
      <c r="Q422" t="s">
        <v>51</v>
      </c>
      <c r="R422" t="s">
        <v>1692</v>
      </c>
      <c r="U422" t="s">
        <v>53</v>
      </c>
      <c r="V422" t="s">
        <v>1693</v>
      </c>
      <c r="W422" t="s">
        <v>51</v>
      </c>
      <c r="X422" t="s">
        <v>1694</v>
      </c>
      <c r="AE422" t="s">
        <v>1695</v>
      </c>
      <c r="AF422">
        <v>1004393791</v>
      </c>
      <c r="AG422">
        <v>758517</v>
      </c>
      <c r="AJ422" t="s">
        <v>744</v>
      </c>
      <c r="AK422" t="s">
        <v>61</v>
      </c>
      <c r="AM422" t="str" cm="1">
        <f t="array" ref="AM422">_xlfn.IFS(OR(O422="Persoonlijk",O422="Zoon",O422="Dochter"),P422,OR(Q422="Persoonlijk",Q422="Zoon",Q422="Dochter"),R422,OR(S422="Persoonlijk",S422="Zoon",S422="Dochter"),T422,O422="Vader",P422,Q422="Vader",R422,S422="Vader",T422,O422="Moeder",P422,Q422="Moeder",R422,S422="Moeder",T422,TRUE,IF(P422&lt;&gt;"",P422,IF(R422&lt;&gt;"",R422,IF(T422&lt;&gt;"",T422,""))))</f>
        <v>lessenne_frederic@yahoo.com</v>
      </c>
      <c r="AN422" t="str" cm="1">
        <f t="array" ref="AN422">_xlfn.LET(_xlpm.raw,_xlfn.IFS(OR(U422="Persoonlijk",U422="Zoon",U422="Dochter"),V422,OR(W422="Persoonlijk",W422="Zoon",W422="Dochter"),X422,OR(Y422="Persoonlijk",Y422="Zoon",Y422="Dochter"),Z422,U422="Vader",V422,W422="Vader",X422,Y422="Vader",Z422,U422="Moeder",V422,W422="Moeder",X422,Y422="Moeder",Z422,TRUE,IF(V422&lt;&gt;"",V422,IF(X422&lt;&gt;"",X422,IF(Z422&lt;&gt;"",Z422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+32477650341</v>
      </c>
    </row>
    <row r="423" spans="1:40" x14ac:dyDescent="0.3">
      <c r="A423">
        <v>3580747</v>
      </c>
      <c r="B423" t="s">
        <v>1689</v>
      </c>
      <c r="C423" t="s">
        <v>1414</v>
      </c>
      <c r="D423" t="s">
        <v>39</v>
      </c>
      <c r="E423" t="s">
        <v>40</v>
      </c>
      <c r="F423" t="s">
        <v>1696</v>
      </c>
      <c r="G423" t="s">
        <v>535</v>
      </c>
      <c r="H423">
        <v>70</v>
      </c>
      <c r="U423" t="s">
        <v>53</v>
      </c>
      <c r="V423">
        <v>32494240195</v>
      </c>
      <c r="X423">
        <v>0</v>
      </c>
      <c r="Z423">
        <v>0</v>
      </c>
      <c r="AA423">
        <v>0</v>
      </c>
      <c r="AE423" t="s">
        <v>1697</v>
      </c>
      <c r="AF423">
        <v>1003580747</v>
      </c>
      <c r="AJ423" t="s">
        <v>88</v>
      </c>
      <c r="AK423" t="s">
        <v>61</v>
      </c>
      <c r="AM423" t="str" cm="1">
        <f t="array" ref="AM423">_xlfn.IFS(OR(O423="Persoonlijk",O423="Zoon",O423="Dochter"),P423,OR(Q423="Persoonlijk",Q423="Zoon",Q423="Dochter"),R423,OR(S423="Persoonlijk",S423="Zoon",S423="Dochter"),T423,O423="Vader",P423,Q423="Vader",R423,S423="Vader",T423,O423="Moeder",P423,Q423="Moeder",R423,S423="Moeder",T423,TRUE,IF(P423&lt;&gt;"",P423,IF(R423&lt;&gt;"",R423,IF(T423&lt;&gt;"",T423,""))))</f>
        <v/>
      </c>
      <c r="AN423" t="str" cm="1">
        <f t="array" ref="AN423">_xlfn.LET(_xlpm.raw,_xlfn.IFS(OR(U423="Persoonlijk",U423="Zoon",U423="Dochter"),V423,OR(W423="Persoonlijk",W423="Zoon",W423="Dochter"),X423,OR(Y423="Persoonlijk",Y423="Zoon",Y423="Dochter"),Z423,U423="Vader",V423,W423="Vader",X423,Y423="Vader",Z423,U423="Moeder",V423,W423="Moeder",X423,Y423="Moeder",Z423,TRUE,IF(V423&lt;&gt;"",V423,IF(X423&lt;&gt;"",X423,IF(Z423&lt;&gt;"",Z423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+32494240195</v>
      </c>
    </row>
    <row r="424" spans="1:40" x14ac:dyDescent="0.3">
      <c r="A424">
        <v>6109381</v>
      </c>
      <c r="B424" t="s">
        <v>1698</v>
      </c>
      <c r="C424" t="s">
        <v>1699</v>
      </c>
      <c r="D424" t="s">
        <v>39</v>
      </c>
      <c r="E424" t="s">
        <v>49</v>
      </c>
      <c r="F424" t="s">
        <v>1700</v>
      </c>
      <c r="G424" t="s">
        <v>1701</v>
      </c>
      <c r="H424">
        <v>15</v>
      </c>
      <c r="AF424">
        <v>1006109381</v>
      </c>
      <c r="AM424" t="str" cm="1">
        <f t="array" ref="AM424">_xlfn.IFS(OR(O424="Persoonlijk",O424="Zoon",O424="Dochter"),P424,OR(Q424="Persoonlijk",Q424="Zoon",Q424="Dochter"),R424,OR(S424="Persoonlijk",S424="Zoon",S424="Dochter"),T424,O424="Vader",P424,Q424="Vader",R424,S424="Vader",T424,O424="Moeder",P424,Q424="Moeder",R424,S424="Moeder",T424,TRUE,IF(P424&lt;&gt;"",P424,IF(R424&lt;&gt;"",R424,IF(T424&lt;&gt;"",T424,""))))</f>
        <v/>
      </c>
      <c r="AN424" t="str" cm="1">
        <f t="array" ref="AN424">_xlfn.LET(_xlpm.raw,_xlfn.IFS(OR(U424="Persoonlijk",U424="Zoon",U424="Dochter"),V424,OR(W424="Persoonlijk",W424="Zoon",W424="Dochter"),X424,OR(Y424="Persoonlijk",Y424="Zoon",Y424="Dochter"),Z424,U424="Vader",V424,W424="Vader",X424,Y424="Vader",Z424,U424="Moeder",V424,W424="Moeder",X424,Y424="Moeder",Z424,TRUE,IF(V424&lt;&gt;"",V424,IF(X424&lt;&gt;"",X424,IF(Z424&lt;&gt;"",Z424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25" spans="1:40" x14ac:dyDescent="0.3">
      <c r="A425">
        <v>2183087</v>
      </c>
      <c r="B425" t="s">
        <v>1702</v>
      </c>
      <c r="C425" t="s">
        <v>908</v>
      </c>
      <c r="D425" t="s">
        <v>39</v>
      </c>
      <c r="E425" t="s">
        <v>40</v>
      </c>
      <c r="F425" t="s">
        <v>1703</v>
      </c>
      <c r="G425" t="s">
        <v>1704</v>
      </c>
      <c r="H425">
        <v>38</v>
      </c>
      <c r="Q425" t="s">
        <v>53</v>
      </c>
      <c r="R425" t="s">
        <v>1705</v>
      </c>
      <c r="U425" t="s">
        <v>51</v>
      </c>
      <c r="V425" t="s">
        <v>1706</v>
      </c>
      <c r="W425" t="s">
        <v>46</v>
      </c>
      <c r="X425" t="s">
        <v>1707</v>
      </c>
      <c r="Y425" t="s">
        <v>53</v>
      </c>
      <c r="Z425" t="s">
        <v>1708</v>
      </c>
      <c r="AA425" t="s">
        <v>1709</v>
      </c>
      <c r="AC425" t="s">
        <v>1710</v>
      </c>
      <c r="AF425">
        <v>1002183087</v>
      </c>
      <c r="AG425">
        <v>723668</v>
      </c>
      <c r="AJ425" t="s">
        <v>143</v>
      </c>
      <c r="AK425" t="s">
        <v>61</v>
      </c>
      <c r="AL425" t="s">
        <v>62</v>
      </c>
      <c r="AM425" t="str" cm="1">
        <f t="array" ref="AM425">_xlfn.IFS(OR(O425="Persoonlijk",O425="Zoon",O425="Dochter"),P425,OR(Q425="Persoonlijk",Q425="Zoon",Q425="Dochter"),R425,OR(S425="Persoonlijk",S425="Zoon",S425="Dochter"),T425,O425="Vader",P425,Q425="Vader",R425,S425="Vader",T425,O425="Moeder",P425,Q425="Moeder",R425,S425="Moeder",T425,TRUE,IF(P425&lt;&gt;"",P425,IF(R425&lt;&gt;"",R425,IF(T425&lt;&gt;"",T425,""))))</f>
        <v>s_ardenois@hotmail.com</v>
      </c>
      <c r="AN425" t="str" cm="1">
        <f t="array" ref="AN425">_xlfn.LET(_xlpm.raw,_xlfn.IFS(OR(U425="Persoonlijk",U425="Zoon",U425="Dochter"),V425,OR(W425="Persoonlijk",W425="Zoon",W425="Dochter"),X425,OR(Y425="Persoonlijk",Y425="Zoon",Y425="Dochter"),Z425,U425="Vader",V425,W425="Vader",X425,Y425="Vader",Z425,U425="Moeder",V425,W425="Moeder",X425,Y425="Moeder",Z425,TRUE,IF(V425&lt;&gt;"",V425,IF(X425&lt;&gt;"",X425,IF(Z425&lt;&gt;"",Z425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+32471396733</v>
      </c>
    </row>
    <row r="426" spans="1:40" x14ac:dyDescent="0.3">
      <c r="A426">
        <v>2183087</v>
      </c>
      <c r="B426" t="s">
        <v>1702</v>
      </c>
      <c r="C426" t="s">
        <v>908</v>
      </c>
      <c r="D426" t="s">
        <v>39</v>
      </c>
      <c r="E426" t="s">
        <v>40</v>
      </c>
      <c r="F426" t="s">
        <v>1703</v>
      </c>
      <c r="G426" t="s">
        <v>1704</v>
      </c>
      <c r="H426">
        <v>38</v>
      </c>
      <c r="Q426" t="s">
        <v>53</v>
      </c>
      <c r="R426" t="s">
        <v>1705</v>
      </c>
      <c r="U426" t="s">
        <v>51</v>
      </c>
      <c r="V426" t="s">
        <v>1706</v>
      </c>
      <c r="W426" t="s">
        <v>46</v>
      </c>
      <c r="X426" t="s">
        <v>1707</v>
      </c>
      <c r="Y426" t="s">
        <v>53</v>
      </c>
      <c r="Z426" t="s">
        <v>1708</v>
      </c>
      <c r="AA426" t="s">
        <v>1709</v>
      </c>
      <c r="AC426" t="s">
        <v>1710</v>
      </c>
      <c r="AF426">
        <v>1002183087</v>
      </c>
      <c r="AG426">
        <v>723668</v>
      </c>
      <c r="AJ426" t="s">
        <v>63</v>
      </c>
      <c r="AK426" t="s">
        <v>61</v>
      </c>
      <c r="AL426" t="s">
        <v>62</v>
      </c>
      <c r="AM426" t="str" cm="1">
        <f t="array" ref="AM426">_xlfn.IFS(OR(O426="Persoonlijk",O426="Zoon",O426="Dochter"),P426,OR(Q426="Persoonlijk",Q426="Zoon",Q426="Dochter"),R426,OR(S426="Persoonlijk",S426="Zoon",S426="Dochter"),T426,O426="Vader",P426,Q426="Vader",R426,S426="Vader",T426,O426="Moeder",P426,Q426="Moeder",R426,S426="Moeder",T426,TRUE,IF(P426&lt;&gt;"",P426,IF(R426&lt;&gt;"",R426,IF(T426&lt;&gt;"",T426,""))))</f>
        <v>s_ardenois@hotmail.com</v>
      </c>
      <c r="AN426" t="str" cm="1">
        <f t="array" ref="AN426">_xlfn.LET(_xlpm.raw,_xlfn.IFS(OR(U426="Persoonlijk",U426="Zoon",U426="Dochter"),V426,OR(W426="Persoonlijk",W426="Zoon",W426="Dochter"),X426,OR(Y426="Persoonlijk",Y426="Zoon",Y426="Dochter"),Z426,U426="Vader",V426,W426="Vader",X426,Y426="Vader",Z426,U426="Moeder",V426,W426="Moeder",X426,Y426="Moeder",Z426,TRUE,IF(V426&lt;&gt;"",V426,IF(X426&lt;&gt;"",X426,IF(Z426&lt;&gt;"",Z426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+32471396733</v>
      </c>
    </row>
    <row r="427" spans="1:40" x14ac:dyDescent="0.3">
      <c r="A427">
        <v>2183087</v>
      </c>
      <c r="B427" t="s">
        <v>1702</v>
      </c>
      <c r="C427" t="s">
        <v>908</v>
      </c>
      <c r="D427" t="s">
        <v>39</v>
      </c>
      <c r="E427" t="s">
        <v>40</v>
      </c>
      <c r="F427" t="s">
        <v>1703</v>
      </c>
      <c r="G427" t="s">
        <v>1704</v>
      </c>
      <c r="H427">
        <v>38</v>
      </c>
      <c r="Q427" t="s">
        <v>53</v>
      </c>
      <c r="R427" t="s">
        <v>1705</v>
      </c>
      <c r="U427" t="s">
        <v>51</v>
      </c>
      <c r="V427" t="s">
        <v>1706</v>
      </c>
      <c r="W427" t="s">
        <v>46</v>
      </c>
      <c r="X427" t="s">
        <v>1707</v>
      </c>
      <c r="Y427" t="s">
        <v>53</v>
      </c>
      <c r="Z427" t="s">
        <v>1708</v>
      </c>
      <c r="AA427" t="s">
        <v>1709</v>
      </c>
      <c r="AC427" t="s">
        <v>1710</v>
      </c>
      <c r="AF427">
        <v>1002183087</v>
      </c>
      <c r="AG427">
        <v>723668</v>
      </c>
      <c r="AL427" t="s">
        <v>62</v>
      </c>
      <c r="AM427" t="str" cm="1">
        <f t="array" ref="AM427">_xlfn.IFS(OR(O427="Persoonlijk",O427="Zoon",O427="Dochter"),P427,OR(Q427="Persoonlijk",Q427="Zoon",Q427="Dochter"),R427,OR(S427="Persoonlijk",S427="Zoon",S427="Dochter"),T427,O427="Vader",P427,Q427="Vader",R427,S427="Vader",T427,O427="Moeder",P427,Q427="Moeder",R427,S427="Moeder",T427,TRUE,IF(P427&lt;&gt;"",P427,IF(R427&lt;&gt;"",R427,IF(T427&lt;&gt;"",T427,""))))</f>
        <v>s_ardenois@hotmail.com</v>
      </c>
      <c r="AN427" t="str" cm="1">
        <f t="array" ref="AN427">_xlfn.LET(_xlpm.raw,_xlfn.IFS(OR(U427="Persoonlijk",U427="Zoon",U427="Dochter"),V427,OR(W427="Persoonlijk",W427="Zoon",W427="Dochter"),X427,OR(Y427="Persoonlijk",Y427="Zoon",Y427="Dochter"),Z427,U427="Vader",V427,W427="Vader",X427,Y427="Vader",Z427,U427="Moeder",V427,W427="Moeder",X427,Y427="Moeder",Z427,TRUE,IF(V427&lt;&gt;"",V427,IF(X427&lt;&gt;"",X427,IF(Z427&lt;&gt;"",Z427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+32471396733</v>
      </c>
    </row>
    <row r="428" spans="1:40" x14ac:dyDescent="0.3">
      <c r="A428">
        <v>2650866</v>
      </c>
      <c r="B428" t="s">
        <v>1702</v>
      </c>
      <c r="C428" t="s">
        <v>274</v>
      </c>
      <c r="D428" t="s">
        <v>39</v>
      </c>
      <c r="E428" t="s">
        <v>40</v>
      </c>
      <c r="G428" t="s">
        <v>1704</v>
      </c>
      <c r="H428">
        <v>38</v>
      </c>
      <c r="V428">
        <v>0</v>
      </c>
      <c r="X428">
        <v>0</v>
      </c>
      <c r="Z428">
        <v>0</v>
      </c>
      <c r="AA428">
        <v>0</v>
      </c>
      <c r="AC428" t="s">
        <v>1711</v>
      </c>
      <c r="AF428">
        <v>1002650866</v>
      </c>
      <c r="AM428" t="str" cm="1">
        <f t="array" ref="AM428">_xlfn.IFS(OR(O428="Persoonlijk",O428="Zoon",O428="Dochter"),P428,OR(Q428="Persoonlijk",Q428="Zoon",Q428="Dochter"),R428,OR(S428="Persoonlijk",S428="Zoon",S428="Dochter"),T428,O428="Vader",P428,Q428="Vader",R428,S428="Vader",T428,O428="Moeder",P428,Q428="Moeder",R428,S428="Moeder",T428,TRUE,IF(P428&lt;&gt;"",P428,IF(R428&lt;&gt;"",R428,IF(T428&lt;&gt;"",T428,""))))</f>
        <v/>
      </c>
      <c r="AN428" t="str" cm="1">
        <f t="array" ref="AN428">_xlfn.LET(_xlpm.raw,_xlfn.IFS(OR(U428="Persoonlijk",U428="Zoon",U428="Dochter"),V428,OR(W428="Persoonlijk",W428="Zoon",W428="Dochter"),X428,OR(Y428="Persoonlijk",Y428="Zoon",Y428="Dochter"),Z428,U428="Vader",V428,W428="Vader",X428,Y428="Vader",Z428,U428="Moeder",V428,W428="Moeder",X428,Y428="Moeder",Z428,TRUE,IF(V428&lt;&gt;"",V428,IF(X428&lt;&gt;"",X428,IF(Z428&lt;&gt;"",Z428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29" spans="1:40" x14ac:dyDescent="0.3">
      <c r="A429">
        <v>7279180</v>
      </c>
      <c r="B429" t="s">
        <v>1702</v>
      </c>
      <c r="C429" t="s">
        <v>1712</v>
      </c>
      <c r="D429" t="s">
        <v>39</v>
      </c>
      <c r="E429" t="s">
        <v>49</v>
      </c>
      <c r="F429" t="s">
        <v>1713</v>
      </c>
      <c r="G429" t="s">
        <v>581</v>
      </c>
      <c r="H429">
        <v>76</v>
      </c>
      <c r="U429" t="s">
        <v>51</v>
      </c>
      <c r="V429" t="s">
        <v>1714</v>
      </c>
      <c r="AD429">
        <v>10</v>
      </c>
      <c r="AE429" t="s">
        <v>1715</v>
      </c>
      <c r="AF429">
        <v>1007279180</v>
      </c>
      <c r="AG429">
        <v>762633</v>
      </c>
      <c r="AJ429" t="s">
        <v>174</v>
      </c>
      <c r="AK429" t="s">
        <v>61</v>
      </c>
      <c r="AM429" t="str" cm="1">
        <f t="array" ref="AM429">_xlfn.IFS(OR(O429="Persoonlijk",O429="Zoon",O429="Dochter"),P429,OR(Q429="Persoonlijk",Q429="Zoon",Q429="Dochter"),R429,OR(S429="Persoonlijk",S429="Zoon",S429="Dochter"),T429,O429="Vader",P429,Q429="Vader",R429,S429="Vader",T429,O429="Moeder",P429,Q429="Moeder",R429,S429="Moeder",T429,TRUE,IF(P429&lt;&gt;"",P429,IF(R429&lt;&gt;"",R429,IF(T429&lt;&gt;"",T429,""))))</f>
        <v/>
      </c>
      <c r="AN429" t="str" cm="1">
        <f t="array" ref="AN429">_xlfn.LET(_xlpm.raw,_xlfn.IFS(OR(U429="Persoonlijk",U429="Zoon",U429="Dochter"),V429,OR(W429="Persoonlijk",W429="Zoon",W429="Dochter"),X429,OR(Y429="Persoonlijk",Y429="Zoon",Y429="Dochter"),Z429,U429="Vader",V429,W429="Vader",X429,Y429="Vader",Z429,U429="Moeder",V429,W429="Moeder",X429,Y429="Moeder",Z429,TRUE,IF(V429&lt;&gt;"",V429,IF(X429&lt;&gt;"",X429,IF(Z429&lt;&gt;"",Z429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+32473780275</v>
      </c>
    </row>
    <row r="430" spans="1:40" x14ac:dyDescent="0.3">
      <c r="A430">
        <v>3445781</v>
      </c>
      <c r="B430" t="s">
        <v>1702</v>
      </c>
      <c r="C430" t="s">
        <v>344</v>
      </c>
      <c r="D430" t="s">
        <v>39</v>
      </c>
      <c r="E430" t="s">
        <v>40</v>
      </c>
      <c r="F430" t="s">
        <v>1716</v>
      </c>
      <c r="G430" t="s">
        <v>1704</v>
      </c>
      <c r="H430">
        <v>38</v>
      </c>
      <c r="Q430" t="s">
        <v>53</v>
      </c>
      <c r="R430" t="s">
        <v>1705</v>
      </c>
      <c r="U430" t="s">
        <v>53</v>
      </c>
      <c r="V430">
        <v>32474397512</v>
      </c>
      <c r="W430" t="s">
        <v>51</v>
      </c>
      <c r="X430">
        <v>479788543</v>
      </c>
      <c r="AF430">
        <v>1003445781</v>
      </c>
      <c r="AJ430" t="s">
        <v>63</v>
      </c>
      <c r="AK430" t="s">
        <v>61</v>
      </c>
      <c r="AM430" t="str" cm="1">
        <f t="array" ref="AM430">_xlfn.IFS(OR(O430="Persoonlijk",O430="Zoon",O430="Dochter"),P430,OR(Q430="Persoonlijk",Q430="Zoon",Q430="Dochter"),R430,OR(S430="Persoonlijk",S430="Zoon",S430="Dochter"),T430,O430="Vader",P430,Q430="Vader",R430,S430="Vader",T430,O430="Moeder",P430,Q430="Moeder",R430,S430="Moeder",T430,TRUE,IF(P430&lt;&gt;"",P430,IF(R430&lt;&gt;"",R430,IF(T430&lt;&gt;"",T430,""))))</f>
        <v>s_ardenois@hotmail.com</v>
      </c>
      <c r="AN430" t="str" cm="1">
        <f t="array" ref="AN430">_xlfn.LET(_xlpm.raw,_xlfn.IFS(OR(U430="Persoonlijk",U430="Zoon",U430="Dochter"),V430,OR(W430="Persoonlijk",W430="Zoon",W430="Dochter"),X430,OR(Y430="Persoonlijk",Y430="Zoon",Y430="Dochter"),Z430,U430="Vader",V430,W430="Vader",X430,Y430="Vader",Z430,U430="Moeder",V430,W430="Moeder",X430,Y430="Moeder",Z430,TRUE,IF(V430&lt;&gt;"",V430,IF(X430&lt;&gt;"",X430,IF(Z430&lt;&gt;"",Z430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+32479788543</v>
      </c>
    </row>
    <row r="431" spans="1:40" x14ac:dyDescent="0.3">
      <c r="A431">
        <v>3445781</v>
      </c>
      <c r="B431" t="s">
        <v>1702</v>
      </c>
      <c r="C431" t="s">
        <v>344</v>
      </c>
      <c r="D431" t="s">
        <v>39</v>
      </c>
      <c r="E431" t="s">
        <v>40</v>
      </c>
      <c r="F431" t="s">
        <v>1716</v>
      </c>
      <c r="G431" t="s">
        <v>1704</v>
      </c>
      <c r="H431">
        <v>38</v>
      </c>
      <c r="Q431" t="s">
        <v>53</v>
      </c>
      <c r="R431" t="s">
        <v>1705</v>
      </c>
      <c r="U431" t="s">
        <v>53</v>
      </c>
      <c r="V431">
        <v>32474397512</v>
      </c>
      <c r="W431" t="s">
        <v>51</v>
      </c>
      <c r="X431">
        <v>479788543</v>
      </c>
      <c r="AF431">
        <v>1003445781</v>
      </c>
      <c r="AJ431" t="s">
        <v>744</v>
      </c>
      <c r="AK431" t="s">
        <v>61</v>
      </c>
      <c r="AM431" t="str" cm="1">
        <f t="array" ref="AM431">_xlfn.IFS(OR(O431="Persoonlijk",O431="Zoon",O431="Dochter"),P431,OR(Q431="Persoonlijk",Q431="Zoon",Q431="Dochter"),R431,OR(S431="Persoonlijk",S431="Zoon",S431="Dochter"),T431,O431="Vader",P431,Q431="Vader",R431,S431="Vader",T431,O431="Moeder",P431,Q431="Moeder",R431,S431="Moeder",T431,TRUE,IF(P431&lt;&gt;"",P431,IF(R431&lt;&gt;"",R431,IF(T431&lt;&gt;"",T431,""))))</f>
        <v>s_ardenois@hotmail.com</v>
      </c>
      <c r="AN431" t="str" cm="1">
        <f t="array" ref="AN431">_xlfn.LET(_xlpm.raw,_xlfn.IFS(OR(U431="Persoonlijk",U431="Zoon",U431="Dochter"),V431,OR(W431="Persoonlijk",W431="Zoon",W431="Dochter"),X431,OR(Y431="Persoonlijk",Y431="Zoon",Y431="Dochter"),Z431,U431="Vader",V431,W431="Vader",X431,Y431="Vader",Z431,U431="Moeder",V431,W431="Moeder",X431,Y431="Moeder",Z431,TRUE,IF(V431&lt;&gt;"",V431,IF(X431&lt;&gt;"",X431,IF(Z431&lt;&gt;"",Z431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+32479788543</v>
      </c>
    </row>
    <row r="432" spans="1:40" x14ac:dyDescent="0.3">
      <c r="A432">
        <v>7493172</v>
      </c>
      <c r="B432" t="s">
        <v>1702</v>
      </c>
      <c r="C432" t="s">
        <v>1357</v>
      </c>
      <c r="D432" t="s">
        <v>39</v>
      </c>
      <c r="E432" t="s">
        <v>40</v>
      </c>
      <c r="F432" t="s">
        <v>1717</v>
      </c>
      <c r="G432" t="s">
        <v>581</v>
      </c>
      <c r="H432">
        <v>76</v>
      </c>
      <c r="V432" t="s">
        <v>1714</v>
      </c>
      <c r="AD432">
        <v>4</v>
      </c>
      <c r="AE432" t="s">
        <v>1718</v>
      </c>
      <c r="AF432">
        <v>1007493172</v>
      </c>
      <c r="AJ432" t="s">
        <v>131</v>
      </c>
      <c r="AK432" t="s">
        <v>61</v>
      </c>
      <c r="AM432" t="str" cm="1">
        <f t="array" ref="AM432">_xlfn.IFS(OR(O432="Persoonlijk",O432="Zoon",O432="Dochter"),P432,OR(Q432="Persoonlijk",Q432="Zoon",Q432="Dochter"),R432,OR(S432="Persoonlijk",S432="Zoon",S432="Dochter"),T432,O432="Vader",P432,Q432="Vader",R432,S432="Vader",T432,O432="Moeder",P432,Q432="Moeder",R432,S432="Moeder",T432,TRUE,IF(P432&lt;&gt;"",P432,IF(R432&lt;&gt;"",R432,IF(T432&lt;&gt;"",T432,""))))</f>
        <v/>
      </c>
      <c r="AN432" t="str" cm="1">
        <f t="array" ref="AN432">_xlfn.LET(_xlpm.raw,_xlfn.IFS(OR(U432="Persoonlijk",U432="Zoon",U432="Dochter"),V432,OR(W432="Persoonlijk",W432="Zoon",W432="Dochter"),X432,OR(Y432="Persoonlijk",Y432="Zoon",Y432="Dochter"),Z432,U432="Vader",V432,W432="Vader",X432,Y432="Vader",Z432,U432="Moeder",V432,W432="Moeder",X432,Y432="Moeder",Z432,TRUE,IF(V432&lt;&gt;"",V432,IF(X432&lt;&gt;"",X432,IF(Z432&lt;&gt;"",Z432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+32473780275</v>
      </c>
    </row>
    <row r="433" spans="1:40" x14ac:dyDescent="0.3">
      <c r="A433">
        <v>3475283</v>
      </c>
      <c r="B433" t="s">
        <v>1719</v>
      </c>
      <c r="C433" t="s">
        <v>1720</v>
      </c>
      <c r="D433" t="s">
        <v>39</v>
      </c>
      <c r="E433" t="s">
        <v>40</v>
      </c>
      <c r="F433" t="s">
        <v>1721</v>
      </c>
      <c r="G433" t="s">
        <v>252</v>
      </c>
      <c r="H433" t="s">
        <v>1722</v>
      </c>
      <c r="X433" t="s">
        <v>1723</v>
      </c>
      <c r="Z433" t="s">
        <v>1724</v>
      </c>
      <c r="AE433" t="s">
        <v>1725</v>
      </c>
      <c r="AF433">
        <v>1003475283</v>
      </c>
      <c r="AG433">
        <v>749236</v>
      </c>
      <c r="AJ433" t="s">
        <v>121</v>
      </c>
      <c r="AK433" t="s">
        <v>61</v>
      </c>
      <c r="AL433" t="s">
        <v>62</v>
      </c>
      <c r="AM433" t="str" cm="1">
        <f t="array" ref="AM433">_xlfn.IFS(OR(O433="Persoonlijk",O433="Zoon",O433="Dochter"),P433,OR(Q433="Persoonlijk",Q433="Zoon",Q433="Dochter"),R433,OR(S433="Persoonlijk",S433="Zoon",S433="Dochter"),T433,O433="Vader",P433,Q433="Vader",R433,S433="Vader",T433,O433="Moeder",P433,Q433="Moeder",R433,S433="Moeder",T433,TRUE,IF(P433&lt;&gt;"",P433,IF(R433&lt;&gt;"",R433,IF(T433&lt;&gt;"",T433,""))))</f>
        <v/>
      </c>
      <c r="AN433" t="str" cm="1">
        <f t="array" ref="AN433">_xlfn.LET(_xlpm.raw,_xlfn.IFS(OR(U433="Persoonlijk",U433="Zoon",U433="Dochter"),V433,OR(W433="Persoonlijk",W433="Zoon",W433="Dochter"),X433,OR(Y433="Persoonlijk",Y433="Zoon",Y433="Dochter"),Z433,U433="Vader",V433,W433="Vader",X433,Y433="Vader",Z433,U433="Moeder",V433,W433="Moeder",X433,Y433="Moeder",Z433,TRUE,IF(V433&lt;&gt;"",V433,IF(X433&lt;&gt;"",X433,IF(Z433&lt;&gt;"",Z433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+32478888243</v>
      </c>
    </row>
    <row r="434" spans="1:40" x14ac:dyDescent="0.3">
      <c r="A434">
        <v>3475283</v>
      </c>
      <c r="B434" t="s">
        <v>1719</v>
      </c>
      <c r="C434" t="s">
        <v>1720</v>
      </c>
      <c r="D434" t="s">
        <v>39</v>
      </c>
      <c r="E434" t="s">
        <v>40</v>
      </c>
      <c r="F434" t="s">
        <v>1721</v>
      </c>
      <c r="G434" t="s">
        <v>252</v>
      </c>
      <c r="H434" t="s">
        <v>1722</v>
      </c>
      <c r="X434" t="s">
        <v>1723</v>
      </c>
      <c r="Z434" t="s">
        <v>1724</v>
      </c>
      <c r="AE434" t="s">
        <v>1725</v>
      </c>
      <c r="AF434">
        <v>1003475283</v>
      </c>
      <c r="AG434">
        <v>749236</v>
      </c>
      <c r="AJ434" t="s">
        <v>63</v>
      </c>
      <c r="AK434" t="s">
        <v>61</v>
      </c>
      <c r="AM434" t="str" cm="1">
        <f t="array" ref="AM434">_xlfn.IFS(OR(O434="Persoonlijk",O434="Zoon",O434="Dochter"),P434,OR(Q434="Persoonlijk",Q434="Zoon",Q434="Dochter"),R434,OR(S434="Persoonlijk",S434="Zoon",S434="Dochter"),T434,O434="Vader",P434,Q434="Vader",R434,S434="Vader",T434,O434="Moeder",P434,Q434="Moeder",R434,S434="Moeder",T434,TRUE,IF(P434&lt;&gt;"",P434,IF(R434&lt;&gt;"",R434,IF(T434&lt;&gt;"",T434,""))))</f>
        <v/>
      </c>
      <c r="AN434" t="str" cm="1">
        <f t="array" ref="AN434">_xlfn.LET(_xlpm.raw,_xlfn.IFS(OR(U434="Persoonlijk",U434="Zoon",U434="Dochter"),V434,OR(W434="Persoonlijk",W434="Zoon",W434="Dochter"),X434,OR(Y434="Persoonlijk",Y434="Zoon",Y434="Dochter"),Z434,U434="Vader",V434,W434="Vader",X434,Y434="Vader",Z434,U434="Moeder",V434,W434="Moeder",X434,Y434="Moeder",Z434,TRUE,IF(V434&lt;&gt;"",V434,IF(X434&lt;&gt;"",X434,IF(Z434&lt;&gt;"",Z434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+32478888243</v>
      </c>
    </row>
    <row r="435" spans="1:40" x14ac:dyDescent="0.3">
      <c r="A435">
        <v>6049736</v>
      </c>
      <c r="B435" t="s">
        <v>1726</v>
      </c>
      <c r="C435" t="s">
        <v>1727</v>
      </c>
      <c r="D435" t="s">
        <v>39</v>
      </c>
      <c r="E435" t="s">
        <v>49</v>
      </c>
      <c r="F435" t="s">
        <v>1728</v>
      </c>
      <c r="G435" t="s">
        <v>1040</v>
      </c>
      <c r="H435">
        <v>23</v>
      </c>
      <c r="U435" t="s">
        <v>46</v>
      </c>
      <c r="V435" t="s">
        <v>1729</v>
      </c>
      <c r="X435">
        <v>0</v>
      </c>
      <c r="Z435">
        <v>0</v>
      </c>
      <c r="AA435">
        <v>0</v>
      </c>
      <c r="AF435">
        <v>1006049736</v>
      </c>
      <c r="AL435" t="s">
        <v>593</v>
      </c>
      <c r="AM435" t="str" cm="1">
        <f t="array" ref="AM435">_xlfn.IFS(OR(O435="Persoonlijk",O435="Zoon",O435="Dochter"),P435,OR(Q435="Persoonlijk",Q435="Zoon",Q435="Dochter"),R435,OR(S435="Persoonlijk",S435="Zoon",S435="Dochter"),T435,O435="Vader",P435,Q435="Vader",R435,S435="Vader",T435,O435="Moeder",P435,Q435="Moeder",R435,S435="Moeder",T435,TRUE,IF(P435&lt;&gt;"",P435,IF(R435&lt;&gt;"",R435,IF(T435&lt;&gt;"",T435,""))))</f>
        <v/>
      </c>
      <c r="AN435" t="str" cm="1">
        <f t="array" ref="AN435">_xlfn.LET(_xlpm.raw,_xlfn.IFS(OR(U435="Persoonlijk",U435="Zoon",U435="Dochter"),V435,OR(W435="Persoonlijk",W435="Zoon",W435="Dochter"),X435,OR(Y435="Persoonlijk",Y435="Zoon",Y435="Dochter"),Z435,U435="Vader",V435,W435="Vader",X435,Y435="Vader",Z435,U435="Moeder",V435,W435="Moeder",X435,Y435="Moeder",Z435,TRUE,IF(V435&lt;&gt;"",V435,IF(X435&lt;&gt;"",X435,IF(Z435&lt;&gt;"",Z435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+32478331198</v>
      </c>
    </row>
    <row r="436" spans="1:40" x14ac:dyDescent="0.3">
      <c r="A436">
        <v>9543046</v>
      </c>
      <c r="B436" t="s">
        <v>1730</v>
      </c>
      <c r="C436" t="s">
        <v>1731</v>
      </c>
      <c r="D436" t="s">
        <v>39</v>
      </c>
      <c r="E436" t="s">
        <v>40</v>
      </c>
      <c r="F436" t="s">
        <v>1732</v>
      </c>
      <c r="G436" t="s">
        <v>1733</v>
      </c>
      <c r="H436">
        <v>44</v>
      </c>
      <c r="U436" t="s">
        <v>46</v>
      </c>
      <c r="V436" t="s">
        <v>1734</v>
      </c>
      <c r="AC436" t="s">
        <v>1735</v>
      </c>
      <c r="AF436">
        <v>1009543046</v>
      </c>
      <c r="AG436">
        <v>287179</v>
      </c>
      <c r="AJ436" t="s">
        <v>743</v>
      </c>
      <c r="AK436" t="s">
        <v>61</v>
      </c>
      <c r="AM436" t="str" cm="1">
        <f t="array" ref="AM436">_xlfn.IFS(OR(O436="Persoonlijk",O436="Zoon",O436="Dochter"),P436,OR(Q436="Persoonlijk",Q436="Zoon",Q436="Dochter"),R436,OR(S436="Persoonlijk",S436="Zoon",S436="Dochter"),T436,O436="Vader",P436,Q436="Vader",R436,S436="Vader",T436,O436="Moeder",P436,Q436="Moeder",R436,S436="Moeder",T436,TRUE,IF(P436&lt;&gt;"",P436,IF(R436&lt;&gt;"",R436,IF(T436&lt;&gt;"",T436,""))))</f>
        <v/>
      </c>
      <c r="AN436" t="str" cm="1">
        <f t="array" ref="AN436">_xlfn.LET(_xlpm.raw,_xlfn.IFS(OR(U436="Persoonlijk",U436="Zoon",U436="Dochter"),V436,OR(W436="Persoonlijk",W436="Zoon",W436="Dochter"),X436,OR(Y436="Persoonlijk",Y436="Zoon",Y436="Dochter"),Z436,U436="Vader",V436,W436="Vader",X436,Y436="Vader",Z436,U436="Moeder",V436,W436="Moeder",X436,Y436="Moeder",Z436,TRUE,IF(V436&lt;&gt;"",V436,IF(X436&lt;&gt;"",X436,IF(Z436&lt;&gt;"",Z436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+32492223206</v>
      </c>
    </row>
    <row r="437" spans="1:40" x14ac:dyDescent="0.3">
      <c r="A437">
        <v>2650651</v>
      </c>
      <c r="B437" t="s">
        <v>1736</v>
      </c>
      <c r="C437" t="s">
        <v>1737</v>
      </c>
      <c r="D437" t="s">
        <v>39</v>
      </c>
      <c r="E437" t="s">
        <v>40</v>
      </c>
      <c r="F437" t="s">
        <v>1738</v>
      </c>
      <c r="G437" t="s">
        <v>411</v>
      </c>
      <c r="H437">
        <v>14</v>
      </c>
      <c r="V437">
        <v>495242000</v>
      </c>
      <c r="X437">
        <v>475821346</v>
      </c>
      <c r="Z437">
        <v>0</v>
      </c>
      <c r="AA437">
        <v>0</v>
      </c>
      <c r="AF437">
        <v>1002650651</v>
      </c>
      <c r="AM437" t="str" cm="1">
        <f t="array" ref="AM437">_xlfn.IFS(OR(O437="Persoonlijk",O437="Zoon",O437="Dochter"),P437,OR(Q437="Persoonlijk",Q437="Zoon",Q437="Dochter"),R437,OR(S437="Persoonlijk",S437="Zoon",S437="Dochter"),T437,O437="Vader",P437,Q437="Vader",R437,S437="Vader",T437,O437="Moeder",P437,Q437="Moeder",R437,S437="Moeder",T437,TRUE,IF(P437&lt;&gt;"",P437,IF(R437&lt;&gt;"",R437,IF(T437&lt;&gt;"",T437,""))))</f>
        <v/>
      </c>
      <c r="AN437" t="str" cm="1">
        <f t="array" ref="AN437">_xlfn.LET(_xlpm.raw,_xlfn.IFS(OR(U437="Persoonlijk",U437="Zoon",U437="Dochter"),V437,OR(W437="Persoonlijk",W437="Zoon",W437="Dochter"),X437,OR(Y437="Persoonlijk",Y437="Zoon",Y437="Dochter"),Z437,U437="Vader",V437,W437="Vader",X437,Y437="Vader",Z437,U437="Moeder",V437,W437="Moeder",X437,Y437="Moeder",Z437,TRUE,IF(V437&lt;&gt;"",V437,IF(X437&lt;&gt;"",X437,IF(Z437&lt;&gt;"",Z437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+32495242000</v>
      </c>
    </row>
    <row r="438" spans="1:40" x14ac:dyDescent="0.3">
      <c r="A438">
        <v>2650675</v>
      </c>
      <c r="B438" t="s">
        <v>1736</v>
      </c>
      <c r="C438" t="s">
        <v>1631</v>
      </c>
      <c r="D438" t="s">
        <v>39</v>
      </c>
      <c r="E438" t="s">
        <v>40</v>
      </c>
      <c r="F438" t="s">
        <v>1738</v>
      </c>
      <c r="G438" t="s">
        <v>411</v>
      </c>
      <c r="H438">
        <v>14</v>
      </c>
      <c r="V438">
        <v>495242000</v>
      </c>
      <c r="X438">
        <v>475821346</v>
      </c>
      <c r="Z438">
        <v>0</v>
      </c>
      <c r="AA438">
        <v>0</v>
      </c>
      <c r="AF438">
        <v>1002650675</v>
      </c>
      <c r="AM438" t="str" cm="1">
        <f t="array" ref="AM438">_xlfn.IFS(OR(O438="Persoonlijk",O438="Zoon",O438="Dochter"),P438,OR(Q438="Persoonlijk",Q438="Zoon",Q438="Dochter"),R438,OR(S438="Persoonlijk",S438="Zoon",S438="Dochter"),T438,O438="Vader",P438,Q438="Vader",R438,S438="Vader",T438,O438="Moeder",P438,Q438="Moeder",R438,S438="Moeder",T438,TRUE,IF(P438&lt;&gt;"",P438,IF(R438&lt;&gt;"",R438,IF(T438&lt;&gt;"",T438,""))))</f>
        <v/>
      </c>
      <c r="AN438" t="str" cm="1">
        <f t="array" ref="AN438">_xlfn.LET(_xlpm.raw,_xlfn.IFS(OR(U438="Persoonlijk",U438="Zoon",U438="Dochter"),V438,OR(W438="Persoonlijk",W438="Zoon",W438="Dochter"),X438,OR(Y438="Persoonlijk",Y438="Zoon",Y438="Dochter"),Z438,U438="Vader",V438,W438="Vader",X438,Y438="Vader",Z438,U438="Moeder",V438,W438="Moeder",X438,Y438="Moeder",Z438,TRUE,IF(V438&lt;&gt;"",V438,IF(X438&lt;&gt;"",X438,IF(Z438&lt;&gt;"",Z438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+32495242000</v>
      </c>
    </row>
    <row r="439" spans="1:40" x14ac:dyDescent="0.3">
      <c r="A439">
        <v>2650801</v>
      </c>
      <c r="B439" t="s">
        <v>1739</v>
      </c>
      <c r="C439" t="s">
        <v>1498</v>
      </c>
      <c r="D439" t="s">
        <v>39</v>
      </c>
      <c r="E439" t="s">
        <v>40</v>
      </c>
      <c r="F439" t="s">
        <v>1740</v>
      </c>
      <c r="G439" t="s">
        <v>1741</v>
      </c>
      <c r="H439">
        <v>3</v>
      </c>
      <c r="V439">
        <v>497030064</v>
      </c>
      <c r="AF439">
        <v>1002650801</v>
      </c>
      <c r="AG439">
        <v>740400</v>
      </c>
      <c r="AM439" t="str" cm="1">
        <f t="array" ref="AM439">_xlfn.IFS(OR(O439="Persoonlijk",O439="Zoon",O439="Dochter"),P439,OR(Q439="Persoonlijk",Q439="Zoon",Q439="Dochter"),R439,OR(S439="Persoonlijk",S439="Zoon",S439="Dochter"),T439,O439="Vader",P439,Q439="Vader",R439,S439="Vader",T439,O439="Moeder",P439,Q439="Moeder",R439,S439="Moeder",T439,TRUE,IF(P439&lt;&gt;"",P439,IF(R439&lt;&gt;"",R439,IF(T439&lt;&gt;"",T439,""))))</f>
        <v/>
      </c>
      <c r="AN439" t="str" cm="1">
        <f t="array" ref="AN439">_xlfn.LET(_xlpm.raw,_xlfn.IFS(OR(U439="Persoonlijk",U439="Zoon",U439="Dochter"),V439,OR(W439="Persoonlijk",W439="Zoon",W439="Dochter"),X439,OR(Y439="Persoonlijk",Y439="Zoon",Y439="Dochter"),Z439,U439="Vader",V439,W439="Vader",X439,Y439="Vader",Z439,U439="Moeder",V439,W439="Moeder",X439,Y439="Moeder",Z439,TRUE,IF(V439&lt;&gt;"",V439,IF(X439&lt;&gt;"",X439,IF(Z439&lt;&gt;"",Z439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+32497030064</v>
      </c>
    </row>
    <row r="440" spans="1:40" x14ac:dyDescent="0.3">
      <c r="A440">
        <v>3437308</v>
      </c>
      <c r="B440" t="s">
        <v>1742</v>
      </c>
      <c r="C440" t="s">
        <v>1743</v>
      </c>
      <c r="D440" t="s">
        <v>39</v>
      </c>
      <c r="E440" t="s">
        <v>40</v>
      </c>
      <c r="F440" t="s">
        <v>1744</v>
      </c>
      <c r="G440" t="s">
        <v>1745</v>
      </c>
      <c r="H440">
        <v>83</v>
      </c>
      <c r="Q440" t="s">
        <v>53</v>
      </c>
      <c r="R440" t="s">
        <v>1746</v>
      </c>
      <c r="U440" t="s">
        <v>51</v>
      </c>
      <c r="V440">
        <v>32499650150</v>
      </c>
      <c r="W440" t="s">
        <v>53</v>
      </c>
      <c r="X440">
        <v>32498760929</v>
      </c>
      <c r="AE440" t="s">
        <v>1747</v>
      </c>
      <c r="AF440">
        <v>1003437308</v>
      </c>
      <c r="AJ440" t="s">
        <v>88</v>
      </c>
      <c r="AK440" t="s">
        <v>61</v>
      </c>
      <c r="AM440" t="str" cm="1">
        <f t="array" ref="AM440">_xlfn.IFS(OR(O440="Persoonlijk",O440="Zoon",O440="Dochter"),P440,OR(Q440="Persoonlijk",Q440="Zoon",Q440="Dochter"),R440,OR(S440="Persoonlijk",S440="Zoon",S440="Dochter"),T440,O440="Vader",P440,Q440="Vader",R440,S440="Vader",T440,O440="Moeder",P440,Q440="Moeder",R440,S440="Moeder",T440,TRUE,IF(P440&lt;&gt;"",P440,IF(R440&lt;&gt;"",R440,IF(T440&lt;&gt;"",T440,""))))</f>
        <v>liesbeth_boudrez@hotmail.be</v>
      </c>
      <c r="AN440" t="str" cm="1">
        <f t="array" ref="AN440">_xlfn.LET(_xlpm.raw,_xlfn.IFS(OR(U440="Persoonlijk",U440="Zoon",U440="Dochter"),V440,OR(W440="Persoonlijk",W440="Zoon",W440="Dochter"),X440,OR(Y440="Persoonlijk",Y440="Zoon",Y440="Dochter"),Z440,U440="Vader",V440,W440="Vader",X440,Y440="Vader",Z440,U440="Moeder",V440,W440="Moeder",X440,Y440="Moeder",Z440,TRUE,IF(V440&lt;&gt;"",V440,IF(X440&lt;&gt;"",X440,IF(Z440&lt;&gt;"",Z440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+32499650150</v>
      </c>
    </row>
    <row r="441" spans="1:40" x14ac:dyDescent="0.3">
      <c r="A441">
        <v>2934251</v>
      </c>
      <c r="B441" t="s">
        <v>1742</v>
      </c>
      <c r="C441" t="s">
        <v>1748</v>
      </c>
      <c r="D441" t="s">
        <v>39</v>
      </c>
      <c r="E441" t="s">
        <v>40</v>
      </c>
      <c r="F441" t="s">
        <v>1749</v>
      </c>
      <c r="G441" t="s">
        <v>944</v>
      </c>
      <c r="H441">
        <v>61</v>
      </c>
      <c r="AF441">
        <v>1002934251</v>
      </c>
      <c r="AG441">
        <v>738763</v>
      </c>
      <c r="AM441" t="str" cm="1">
        <f t="array" ref="AM441">_xlfn.IFS(OR(O441="Persoonlijk",O441="Zoon",O441="Dochter"),P441,OR(Q441="Persoonlijk",Q441="Zoon",Q441="Dochter"),R441,OR(S441="Persoonlijk",S441="Zoon",S441="Dochter"),T441,O441="Vader",P441,Q441="Vader",R441,S441="Vader",T441,O441="Moeder",P441,Q441="Moeder",R441,S441="Moeder",T441,TRUE,IF(P441&lt;&gt;"",P441,IF(R441&lt;&gt;"",R441,IF(T441&lt;&gt;"",T441,""))))</f>
        <v/>
      </c>
      <c r="AN441" t="str" cm="1">
        <f t="array" ref="AN441">_xlfn.LET(_xlpm.raw,_xlfn.IFS(OR(U441="Persoonlijk",U441="Zoon",U441="Dochter"),V441,OR(W441="Persoonlijk",W441="Zoon",W441="Dochter"),X441,OR(Y441="Persoonlijk",Y441="Zoon",Y441="Dochter"),Z441,U441="Vader",V441,W441="Vader",X441,Y441="Vader",Z441,U441="Moeder",V441,W441="Moeder",X441,Y441="Moeder",Z441,TRUE,IF(V441&lt;&gt;"",V441,IF(X441&lt;&gt;"",X441,IF(Z441&lt;&gt;"",Z441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42" spans="1:40" x14ac:dyDescent="0.3">
      <c r="A442">
        <v>6067218</v>
      </c>
      <c r="B442" t="s">
        <v>1742</v>
      </c>
      <c r="C442" t="s">
        <v>1750</v>
      </c>
      <c r="D442" t="s">
        <v>39</v>
      </c>
      <c r="E442" t="s">
        <v>40</v>
      </c>
      <c r="F442" t="s">
        <v>1751</v>
      </c>
      <c r="G442" t="s">
        <v>1745</v>
      </c>
      <c r="H442">
        <v>83</v>
      </c>
      <c r="Q442" t="s">
        <v>53</v>
      </c>
      <c r="R442" t="s">
        <v>1746</v>
      </c>
      <c r="U442" t="s">
        <v>51</v>
      </c>
      <c r="V442">
        <v>32499650150</v>
      </c>
      <c r="W442" t="s">
        <v>53</v>
      </c>
      <c r="X442">
        <v>32498760929</v>
      </c>
      <c r="AE442" t="s">
        <v>1752</v>
      </c>
      <c r="AF442">
        <v>1006067218</v>
      </c>
      <c r="AJ442" t="s">
        <v>192</v>
      </c>
      <c r="AK442" t="s">
        <v>61</v>
      </c>
      <c r="AM442" t="str" cm="1">
        <f t="array" ref="AM442">_xlfn.IFS(OR(O442="Persoonlijk",O442="Zoon",O442="Dochter"),P442,OR(Q442="Persoonlijk",Q442="Zoon",Q442="Dochter"),R442,OR(S442="Persoonlijk",S442="Zoon",S442="Dochter"),T442,O442="Vader",P442,Q442="Vader",R442,S442="Vader",T442,O442="Moeder",P442,Q442="Moeder",R442,S442="Moeder",T442,TRUE,IF(P442&lt;&gt;"",P442,IF(R442&lt;&gt;"",R442,IF(T442&lt;&gt;"",T442,""))))</f>
        <v>liesbeth_boudrez@hotmail.be</v>
      </c>
      <c r="AN442" t="str" cm="1">
        <f t="array" ref="AN442">_xlfn.LET(_xlpm.raw,_xlfn.IFS(OR(U442="Persoonlijk",U442="Zoon",U442="Dochter"),V442,OR(W442="Persoonlijk",W442="Zoon",W442="Dochter"),X442,OR(Y442="Persoonlijk",Y442="Zoon",Y442="Dochter"),Z442,U442="Vader",V442,W442="Vader",X442,Y442="Vader",Z442,U442="Moeder",V442,W442="Moeder",X442,Y442="Moeder",Z442,TRUE,IF(V442&lt;&gt;"",V442,IF(X442&lt;&gt;"",X442,IF(Z442&lt;&gt;"",Z442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+32499650150</v>
      </c>
    </row>
    <row r="443" spans="1:40" x14ac:dyDescent="0.3">
      <c r="A443">
        <v>12000472</v>
      </c>
      <c r="B443" t="s">
        <v>1742</v>
      </c>
      <c r="C443" t="s">
        <v>1753</v>
      </c>
      <c r="D443" t="s">
        <v>39</v>
      </c>
      <c r="E443" t="s">
        <v>40</v>
      </c>
      <c r="G443" t="s">
        <v>1745</v>
      </c>
      <c r="H443">
        <v>83</v>
      </c>
      <c r="V443">
        <v>0</v>
      </c>
      <c r="X443">
        <v>0</v>
      </c>
      <c r="Z443">
        <v>0</v>
      </c>
      <c r="AA443">
        <v>0</v>
      </c>
      <c r="AF443">
        <v>1012000472</v>
      </c>
      <c r="AM443" t="str" cm="1">
        <f t="array" ref="AM443">_xlfn.IFS(OR(O443="Persoonlijk",O443="Zoon",O443="Dochter"),P443,OR(Q443="Persoonlijk",Q443="Zoon",Q443="Dochter"),R443,OR(S443="Persoonlijk",S443="Zoon",S443="Dochter"),T443,O443="Vader",P443,Q443="Vader",R443,S443="Vader",T443,O443="Moeder",P443,Q443="Moeder",R443,S443="Moeder",T443,TRUE,IF(P443&lt;&gt;"",P443,IF(R443&lt;&gt;"",R443,IF(T443&lt;&gt;"",T443,""))))</f>
        <v/>
      </c>
      <c r="AN443" t="str" cm="1">
        <f t="array" ref="AN443">_xlfn.LET(_xlpm.raw,_xlfn.IFS(OR(U443="Persoonlijk",U443="Zoon",U443="Dochter"),V443,OR(W443="Persoonlijk",W443="Zoon",W443="Dochter"),X443,OR(Y443="Persoonlijk",Y443="Zoon",Y443="Dochter"),Z443,U443="Vader",V443,W443="Vader",X443,Y443="Vader",Z443,U443="Moeder",V443,W443="Moeder",X443,Y443="Moeder",Z443,TRUE,IF(V443&lt;&gt;"",V443,IF(X443&lt;&gt;"",X443,IF(Z443&lt;&gt;"",Z443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44" spans="1:40" x14ac:dyDescent="0.3">
      <c r="A444">
        <v>2183032</v>
      </c>
      <c r="B444" t="s">
        <v>1754</v>
      </c>
      <c r="C444" t="s">
        <v>1446</v>
      </c>
      <c r="D444" t="s">
        <v>39</v>
      </c>
      <c r="E444" t="s">
        <v>40</v>
      </c>
      <c r="F444" t="s">
        <v>1755</v>
      </c>
      <c r="G444" t="s">
        <v>1596</v>
      </c>
      <c r="H444">
        <v>147</v>
      </c>
      <c r="Q444" t="s">
        <v>53</v>
      </c>
      <c r="R444" t="s">
        <v>1597</v>
      </c>
      <c r="V444">
        <v>479376759</v>
      </c>
      <c r="AF444">
        <v>1002183032</v>
      </c>
      <c r="AG444">
        <v>714059</v>
      </c>
      <c r="AJ444" t="s">
        <v>202</v>
      </c>
      <c r="AK444" t="s">
        <v>61</v>
      </c>
      <c r="AM444" t="str" cm="1">
        <f t="array" ref="AM444">_xlfn.IFS(OR(O444="Persoonlijk",O444="Zoon",O444="Dochter"),P444,OR(Q444="Persoonlijk",Q444="Zoon",Q444="Dochter"),R444,OR(S444="Persoonlijk",S444="Zoon",S444="Dochter"),T444,O444="Vader",P444,Q444="Vader",R444,S444="Vader",T444,O444="Moeder",P444,Q444="Moeder",R444,S444="Moeder",T444,TRUE,IF(P444&lt;&gt;"",P444,IF(R444&lt;&gt;"",R444,IF(T444&lt;&gt;"",T444,""))))</f>
        <v>els.bourgois@gmail.com</v>
      </c>
      <c r="AN444" t="str" cm="1">
        <f t="array" ref="AN444">_xlfn.LET(_xlpm.raw,_xlfn.IFS(OR(U444="Persoonlijk",U444="Zoon",U444="Dochter"),V444,OR(W444="Persoonlijk",W444="Zoon",W444="Dochter"),X444,OR(Y444="Persoonlijk",Y444="Zoon",Y444="Dochter"),Z444,U444="Vader",V444,W444="Vader",X444,Y444="Vader",Z444,U444="Moeder",V444,W444="Moeder",X444,Y444="Moeder",Z444,TRUE,IF(V444&lt;&gt;"",V444,IF(X444&lt;&gt;"",X444,IF(Z444&lt;&gt;"",Z444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+32479376759</v>
      </c>
    </row>
    <row r="445" spans="1:40" x14ac:dyDescent="0.3">
      <c r="A445">
        <v>2183032</v>
      </c>
      <c r="B445" t="s">
        <v>1754</v>
      </c>
      <c r="C445" t="s">
        <v>1446</v>
      </c>
      <c r="D445" t="s">
        <v>39</v>
      </c>
      <c r="E445" t="s">
        <v>40</v>
      </c>
      <c r="F445" t="s">
        <v>1755</v>
      </c>
      <c r="G445" t="s">
        <v>1596</v>
      </c>
      <c r="H445">
        <v>147</v>
      </c>
      <c r="Q445" t="s">
        <v>53</v>
      </c>
      <c r="R445" t="s">
        <v>1597</v>
      </c>
      <c r="V445">
        <v>479376759</v>
      </c>
      <c r="AF445">
        <v>1002183032</v>
      </c>
      <c r="AG445">
        <v>714059</v>
      </c>
      <c r="AJ445" t="s">
        <v>63</v>
      </c>
      <c r="AK445" t="s">
        <v>61</v>
      </c>
      <c r="AM445" t="str" cm="1">
        <f t="array" ref="AM445">_xlfn.IFS(OR(O445="Persoonlijk",O445="Zoon",O445="Dochter"),P445,OR(Q445="Persoonlijk",Q445="Zoon",Q445="Dochter"),R445,OR(S445="Persoonlijk",S445="Zoon",S445="Dochter"),T445,O445="Vader",P445,Q445="Vader",R445,S445="Vader",T445,O445="Moeder",P445,Q445="Moeder",R445,S445="Moeder",T445,TRUE,IF(P445&lt;&gt;"",P445,IF(R445&lt;&gt;"",R445,IF(T445&lt;&gt;"",T445,""))))</f>
        <v>els.bourgois@gmail.com</v>
      </c>
      <c r="AN445" t="str" cm="1">
        <f t="array" ref="AN445">_xlfn.LET(_xlpm.raw,_xlfn.IFS(OR(U445="Persoonlijk",U445="Zoon",U445="Dochter"),V445,OR(W445="Persoonlijk",W445="Zoon",W445="Dochter"),X445,OR(Y445="Persoonlijk",Y445="Zoon",Y445="Dochter"),Z445,U445="Vader",V445,W445="Vader",X445,Y445="Vader",Z445,U445="Moeder",V445,W445="Moeder",X445,Y445="Moeder",Z445,TRUE,IF(V445&lt;&gt;"",V445,IF(X445&lt;&gt;"",X445,IF(Z445&lt;&gt;"",Z445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+32479376759</v>
      </c>
    </row>
    <row r="446" spans="1:40" x14ac:dyDescent="0.3">
      <c r="A446">
        <v>3472587</v>
      </c>
      <c r="B446" t="s">
        <v>1756</v>
      </c>
      <c r="C446" t="s">
        <v>1757</v>
      </c>
      <c r="D446" t="s">
        <v>39</v>
      </c>
      <c r="E446" t="s">
        <v>40</v>
      </c>
      <c r="F446" t="s">
        <v>1758</v>
      </c>
      <c r="G446" t="s">
        <v>1759</v>
      </c>
      <c r="H446">
        <v>26</v>
      </c>
      <c r="U446" t="s">
        <v>53</v>
      </c>
      <c r="V446">
        <v>496392771</v>
      </c>
      <c r="X446">
        <v>492317080</v>
      </c>
      <c r="Z446">
        <v>0</v>
      </c>
      <c r="AA446">
        <v>0</v>
      </c>
      <c r="AF446">
        <v>1003472587</v>
      </c>
      <c r="AM446" t="str" cm="1">
        <f t="array" ref="AM446">_xlfn.IFS(OR(O446="Persoonlijk",O446="Zoon",O446="Dochter"),P446,OR(Q446="Persoonlijk",Q446="Zoon",Q446="Dochter"),R446,OR(S446="Persoonlijk",S446="Zoon",S446="Dochter"),T446,O446="Vader",P446,Q446="Vader",R446,S446="Vader",T446,O446="Moeder",P446,Q446="Moeder",R446,S446="Moeder",T446,TRUE,IF(P446&lt;&gt;"",P446,IF(R446&lt;&gt;"",R446,IF(T446&lt;&gt;"",T446,""))))</f>
        <v/>
      </c>
      <c r="AN446" t="str" cm="1">
        <f t="array" ref="AN446">_xlfn.LET(_xlpm.raw,_xlfn.IFS(OR(U446="Persoonlijk",U446="Zoon",U446="Dochter"),V446,OR(W446="Persoonlijk",W446="Zoon",W446="Dochter"),X446,OR(Y446="Persoonlijk",Y446="Zoon",Y446="Dochter"),Z446,U446="Vader",V446,W446="Vader",X446,Y446="Vader",Z446,U446="Moeder",V446,W446="Moeder",X446,Y446="Moeder",Z446,TRUE,IF(V446&lt;&gt;"",V446,IF(X446&lt;&gt;"",X446,IF(Z446&lt;&gt;"",Z446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+32496392771</v>
      </c>
    </row>
    <row r="447" spans="1:40" x14ac:dyDescent="0.3">
      <c r="A447">
        <v>9359547</v>
      </c>
      <c r="B447" t="s">
        <v>1760</v>
      </c>
      <c r="C447" t="s">
        <v>1105</v>
      </c>
      <c r="D447" t="s">
        <v>39</v>
      </c>
      <c r="E447" t="s">
        <v>40</v>
      </c>
      <c r="F447" t="s">
        <v>1761</v>
      </c>
      <c r="G447" t="s">
        <v>257</v>
      </c>
      <c r="H447">
        <v>137</v>
      </c>
      <c r="Q447" t="s">
        <v>53</v>
      </c>
      <c r="R447" t="s">
        <v>1762</v>
      </c>
      <c r="U447" t="s">
        <v>51</v>
      </c>
      <c r="V447" t="s">
        <v>1763</v>
      </c>
      <c r="W447" t="s">
        <v>53</v>
      </c>
      <c r="X447" t="s">
        <v>1764</v>
      </c>
      <c r="AE447" t="s">
        <v>1765</v>
      </c>
      <c r="AF447">
        <v>1009359547</v>
      </c>
      <c r="AJ447" t="s">
        <v>75</v>
      </c>
      <c r="AK447" t="s">
        <v>61</v>
      </c>
      <c r="AM447" t="str" cm="1">
        <f t="array" ref="AM447">_xlfn.IFS(OR(O447="Persoonlijk",O447="Zoon",O447="Dochter"),P447,OR(Q447="Persoonlijk",Q447="Zoon",Q447="Dochter"),R447,OR(S447="Persoonlijk",S447="Zoon",S447="Dochter"),T447,O447="Vader",P447,Q447="Vader",R447,S447="Vader",T447,O447="Moeder",P447,Q447="Moeder",R447,S447="Moeder",T447,TRUE,IF(P447&lt;&gt;"",P447,IF(R447&lt;&gt;"",R447,IF(T447&lt;&gt;"",T447,""))))</f>
        <v>jokespies@hotmail.com</v>
      </c>
      <c r="AN447" t="str" cm="1">
        <f t="array" ref="AN447">_xlfn.LET(_xlpm.raw,_xlfn.IFS(OR(U447="Persoonlijk",U447="Zoon",U447="Dochter"),V447,OR(W447="Persoonlijk",W447="Zoon",W447="Dochter"),X447,OR(Y447="Persoonlijk",Y447="Zoon",Y447="Dochter"),Z447,U447="Vader",V447,W447="Vader",X447,Y447="Vader",Z447,U447="Moeder",V447,W447="Moeder",X447,Y447="Moeder",Z447,TRUE,IF(V447&lt;&gt;"",V447,IF(X447&lt;&gt;"",X447,IF(Z447&lt;&gt;"",Z447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+32489178706</v>
      </c>
    </row>
    <row r="448" spans="1:40" x14ac:dyDescent="0.3">
      <c r="A448">
        <v>9359547</v>
      </c>
      <c r="B448" t="s">
        <v>1760</v>
      </c>
      <c r="C448" t="s">
        <v>1105</v>
      </c>
      <c r="D448" t="s">
        <v>39</v>
      </c>
      <c r="E448" t="s">
        <v>40</v>
      </c>
      <c r="F448" t="s">
        <v>1761</v>
      </c>
      <c r="G448" t="s">
        <v>257</v>
      </c>
      <c r="H448">
        <v>137</v>
      </c>
      <c r="Q448" t="s">
        <v>53</v>
      </c>
      <c r="R448" t="s">
        <v>1762</v>
      </c>
      <c r="U448" t="s">
        <v>51</v>
      </c>
      <c r="V448" t="s">
        <v>1763</v>
      </c>
      <c r="W448" t="s">
        <v>53</v>
      </c>
      <c r="X448" t="s">
        <v>1764</v>
      </c>
      <c r="AE448" t="s">
        <v>1765</v>
      </c>
      <c r="AF448">
        <v>1009359547</v>
      </c>
      <c r="AJ448" t="s">
        <v>63</v>
      </c>
      <c r="AK448" t="s">
        <v>61</v>
      </c>
      <c r="AM448" t="str" cm="1">
        <f t="array" ref="AM448">_xlfn.IFS(OR(O448="Persoonlijk",O448="Zoon",O448="Dochter"),P448,OR(Q448="Persoonlijk",Q448="Zoon",Q448="Dochter"),R448,OR(S448="Persoonlijk",S448="Zoon",S448="Dochter"),T448,O448="Vader",P448,Q448="Vader",R448,S448="Vader",T448,O448="Moeder",P448,Q448="Moeder",R448,S448="Moeder",T448,TRUE,IF(P448&lt;&gt;"",P448,IF(R448&lt;&gt;"",R448,IF(T448&lt;&gt;"",T448,""))))</f>
        <v>jokespies@hotmail.com</v>
      </c>
      <c r="AN448" t="str" cm="1">
        <f t="array" ref="AN448">_xlfn.LET(_xlpm.raw,_xlfn.IFS(OR(U448="Persoonlijk",U448="Zoon",U448="Dochter"),V448,OR(W448="Persoonlijk",W448="Zoon",W448="Dochter"),X448,OR(Y448="Persoonlijk",Y448="Zoon",Y448="Dochter"),Z448,U448="Vader",V448,W448="Vader",X448,Y448="Vader",Z448,U448="Moeder",V448,W448="Moeder",X448,Y448="Moeder",Z448,TRUE,IF(V448&lt;&gt;"",V448,IF(X448&lt;&gt;"",X448,IF(Z448&lt;&gt;"",Z448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+32489178706</v>
      </c>
    </row>
    <row r="449" spans="1:40" x14ac:dyDescent="0.3">
      <c r="A449">
        <v>2668083</v>
      </c>
      <c r="B449" t="s">
        <v>1766</v>
      </c>
      <c r="C449" t="s">
        <v>427</v>
      </c>
      <c r="D449" t="s">
        <v>39</v>
      </c>
      <c r="E449" t="s">
        <v>40</v>
      </c>
      <c r="F449" t="s">
        <v>1767</v>
      </c>
      <c r="G449" t="s">
        <v>1768</v>
      </c>
      <c r="H449">
        <v>1</v>
      </c>
      <c r="U449" t="s">
        <v>46</v>
      </c>
      <c r="V449">
        <v>477970937</v>
      </c>
      <c r="AC449" t="s">
        <v>1769</v>
      </c>
      <c r="AF449">
        <v>1002668083</v>
      </c>
      <c r="AG449">
        <v>95935</v>
      </c>
      <c r="AM449" t="str" cm="1">
        <f t="array" ref="AM449">_xlfn.IFS(OR(O449="Persoonlijk",O449="Zoon",O449="Dochter"),P449,OR(Q449="Persoonlijk",Q449="Zoon",Q449="Dochter"),R449,OR(S449="Persoonlijk",S449="Zoon",S449="Dochter"),T449,O449="Vader",P449,Q449="Vader",R449,S449="Vader",T449,O449="Moeder",P449,Q449="Moeder",R449,S449="Moeder",T449,TRUE,IF(P449&lt;&gt;"",P449,IF(R449&lt;&gt;"",R449,IF(T449&lt;&gt;"",T449,""))))</f>
        <v/>
      </c>
      <c r="AN449" t="str" cm="1">
        <f t="array" ref="AN449">_xlfn.LET(_xlpm.raw,_xlfn.IFS(OR(U449="Persoonlijk",U449="Zoon",U449="Dochter"),V449,OR(W449="Persoonlijk",W449="Zoon",W449="Dochter"),X449,OR(Y449="Persoonlijk",Y449="Zoon",Y449="Dochter"),Z449,U449="Vader",V449,W449="Vader",X449,Y449="Vader",Z449,U449="Moeder",V449,W449="Moeder",X449,Y449="Moeder",Z449,TRUE,IF(V449&lt;&gt;"",V449,IF(X449&lt;&gt;"",X449,IF(Z449&lt;&gt;"",Z449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+32477970937</v>
      </c>
    </row>
    <row r="450" spans="1:40" x14ac:dyDescent="0.3">
      <c r="A450">
        <v>3412861</v>
      </c>
      <c r="B450" t="s">
        <v>1770</v>
      </c>
      <c r="C450" t="s">
        <v>1771</v>
      </c>
      <c r="D450" t="s">
        <v>39</v>
      </c>
      <c r="E450" t="s">
        <v>49</v>
      </c>
      <c r="F450" t="s">
        <v>1772</v>
      </c>
      <c r="G450" t="s">
        <v>1773</v>
      </c>
      <c r="H450">
        <v>97</v>
      </c>
      <c r="Q450" t="s">
        <v>53</v>
      </c>
      <c r="R450" t="s">
        <v>1774</v>
      </c>
      <c r="AA450" t="s">
        <v>1775</v>
      </c>
      <c r="AC450" t="s">
        <v>1776</v>
      </c>
      <c r="AD450">
        <v>9</v>
      </c>
      <c r="AE450" t="s">
        <v>1777</v>
      </c>
      <c r="AF450">
        <v>1003412861</v>
      </c>
      <c r="AJ450" t="s">
        <v>97</v>
      </c>
      <c r="AK450" t="s">
        <v>61</v>
      </c>
      <c r="AM450" t="str" cm="1">
        <f t="array" ref="AM450">_xlfn.IFS(OR(O450="Persoonlijk",O450="Zoon",O450="Dochter"),P450,OR(Q450="Persoonlijk",Q450="Zoon",Q450="Dochter"),R450,OR(S450="Persoonlijk",S450="Zoon",S450="Dochter"),T450,O450="Vader",P450,Q450="Vader",R450,S450="Vader",T450,O450="Moeder",P450,Q450="Moeder",R450,S450="Moeder",T450,TRUE,IF(P450&lt;&gt;"",P450,IF(R450&lt;&gt;"",R450,IF(T450&lt;&gt;"",T450,""))))</f>
        <v>Joke.merlaen@gmail.com</v>
      </c>
      <c r="AN450" t="str" cm="1">
        <f t="array" ref="AN450">_xlfn.LET(_xlpm.raw,_xlfn.IFS(OR(U450="Persoonlijk",U450="Zoon",U450="Dochter"),V450,OR(W450="Persoonlijk",W450="Zoon",W450="Dochter"),X450,OR(Y450="Persoonlijk",Y450="Zoon",Y450="Dochter"),Z450,U450="Vader",V450,W450="Vader",X450,Y450="Vader",Z450,U450="Moeder",V450,W450="Moeder",X450,Y450="Moeder",Z450,TRUE,IF(V450&lt;&gt;"",V450,IF(X450&lt;&gt;"",X450,IF(Z450&lt;&gt;"",Z450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51" spans="1:40" x14ac:dyDescent="0.3">
      <c r="A451">
        <v>3412861</v>
      </c>
      <c r="B451" t="s">
        <v>1770</v>
      </c>
      <c r="C451" t="s">
        <v>1771</v>
      </c>
      <c r="D451" t="s">
        <v>39</v>
      </c>
      <c r="E451" t="s">
        <v>49</v>
      </c>
      <c r="F451" t="s">
        <v>1772</v>
      </c>
      <c r="G451" t="s">
        <v>1773</v>
      </c>
      <c r="H451">
        <v>97</v>
      </c>
      <c r="Q451" t="s">
        <v>53</v>
      </c>
      <c r="R451" t="s">
        <v>1774</v>
      </c>
      <c r="AA451" t="s">
        <v>1775</v>
      </c>
      <c r="AC451" t="s">
        <v>1776</v>
      </c>
      <c r="AD451">
        <v>9</v>
      </c>
      <c r="AE451" t="s">
        <v>1777</v>
      </c>
      <c r="AF451">
        <v>1003412861</v>
      </c>
      <c r="AJ451" t="s">
        <v>63</v>
      </c>
      <c r="AK451" t="s">
        <v>61</v>
      </c>
      <c r="AM451" t="str" cm="1">
        <f t="array" ref="AM451">_xlfn.IFS(OR(O451="Persoonlijk",O451="Zoon",O451="Dochter"),P451,OR(Q451="Persoonlijk",Q451="Zoon",Q451="Dochter"),R451,OR(S451="Persoonlijk",S451="Zoon",S451="Dochter"),T451,O451="Vader",P451,Q451="Vader",R451,S451="Vader",T451,O451="Moeder",P451,Q451="Moeder",R451,S451="Moeder",T451,TRUE,IF(P451&lt;&gt;"",P451,IF(R451&lt;&gt;"",R451,IF(T451&lt;&gt;"",T451,""))))</f>
        <v>Joke.merlaen@gmail.com</v>
      </c>
      <c r="AN451" t="str" cm="1">
        <f t="array" ref="AN451">_xlfn.LET(_xlpm.raw,_xlfn.IFS(OR(U451="Persoonlijk",U451="Zoon",U451="Dochter"),V451,OR(W451="Persoonlijk",W451="Zoon",W451="Dochter"),X451,OR(Y451="Persoonlijk",Y451="Zoon",Y451="Dochter"),Z451,U451="Vader",V451,W451="Vader",X451,Y451="Vader",Z451,U451="Moeder",V451,W451="Moeder",X451,Y451="Moeder",Z451,TRUE,IF(V451&lt;&gt;"",V451,IF(X451&lt;&gt;"",X451,IF(Z451&lt;&gt;"",Z451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52" spans="1:40" x14ac:dyDescent="0.3">
      <c r="A452">
        <v>11846386</v>
      </c>
      <c r="B452" t="s">
        <v>1778</v>
      </c>
      <c r="C452" t="s">
        <v>1779</v>
      </c>
      <c r="D452" t="s">
        <v>39</v>
      </c>
      <c r="E452" t="s">
        <v>40</v>
      </c>
      <c r="F452" t="s">
        <v>1780</v>
      </c>
      <c r="U452" t="s">
        <v>53</v>
      </c>
      <c r="V452" t="s">
        <v>1781</v>
      </c>
      <c r="AF452">
        <v>1011846386</v>
      </c>
      <c r="AJ452" t="s">
        <v>121</v>
      </c>
      <c r="AK452" t="s">
        <v>61</v>
      </c>
      <c r="AM452" t="str" cm="1">
        <f t="array" ref="AM452">_xlfn.IFS(OR(O452="Persoonlijk",O452="Zoon",O452="Dochter"),P452,OR(Q452="Persoonlijk",Q452="Zoon",Q452="Dochter"),R452,OR(S452="Persoonlijk",S452="Zoon",S452="Dochter"),T452,O452="Vader",P452,Q452="Vader",R452,S452="Vader",T452,O452="Moeder",P452,Q452="Moeder",R452,S452="Moeder",T452,TRUE,IF(P452&lt;&gt;"",P452,IF(R452&lt;&gt;"",R452,IF(T452&lt;&gt;"",T452,""))))</f>
        <v/>
      </c>
      <c r="AN452" t="str" cm="1">
        <f t="array" ref="AN452">_xlfn.LET(_xlpm.raw,_xlfn.IFS(OR(U452="Persoonlijk",U452="Zoon",U452="Dochter"),V452,OR(W452="Persoonlijk",W452="Zoon",W452="Dochter"),X452,OR(Y452="Persoonlijk",Y452="Zoon",Y452="Dochter"),Z452,U452="Vader",V452,W452="Vader",X452,Y452="Vader",Z452,U452="Moeder",V452,W452="Moeder",X452,Y452="Moeder",Z452,TRUE,IF(V452&lt;&gt;"",V452,IF(X452&lt;&gt;"",X452,IF(Z452&lt;&gt;"",Z452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+32473745981</v>
      </c>
    </row>
    <row r="453" spans="1:40" x14ac:dyDescent="0.3">
      <c r="A453">
        <v>3368754</v>
      </c>
      <c r="B453" t="s">
        <v>1778</v>
      </c>
      <c r="C453" t="s">
        <v>1498</v>
      </c>
      <c r="D453" t="s">
        <v>39</v>
      </c>
      <c r="E453" t="s">
        <v>40</v>
      </c>
      <c r="F453" t="s">
        <v>1782</v>
      </c>
      <c r="G453" t="s">
        <v>1783</v>
      </c>
      <c r="H453">
        <v>9</v>
      </c>
      <c r="AC453" t="s">
        <v>1784</v>
      </c>
      <c r="AF453">
        <v>1003368754</v>
      </c>
      <c r="AG453">
        <v>662953</v>
      </c>
      <c r="AM453" t="str" cm="1">
        <f t="array" ref="AM453">_xlfn.IFS(OR(O453="Persoonlijk",O453="Zoon",O453="Dochter"),P453,OR(Q453="Persoonlijk",Q453="Zoon",Q453="Dochter"),R453,OR(S453="Persoonlijk",S453="Zoon",S453="Dochter"),T453,O453="Vader",P453,Q453="Vader",R453,S453="Vader",T453,O453="Moeder",P453,Q453="Moeder",R453,S453="Moeder",T453,TRUE,IF(P453&lt;&gt;"",P453,IF(R453&lt;&gt;"",R453,IF(T453&lt;&gt;"",T453,""))))</f>
        <v/>
      </c>
      <c r="AN453" t="str" cm="1">
        <f t="array" ref="AN453">_xlfn.LET(_xlpm.raw,_xlfn.IFS(OR(U453="Persoonlijk",U453="Zoon",U453="Dochter"),V453,OR(W453="Persoonlijk",W453="Zoon",W453="Dochter"),X453,OR(Y453="Persoonlijk",Y453="Zoon",Y453="Dochter"),Z453,U453="Vader",V453,W453="Vader",X453,Y453="Vader",Z453,U453="Moeder",V453,W453="Moeder",X453,Y453="Moeder",Z453,TRUE,IF(V453&lt;&gt;"",V453,IF(X453&lt;&gt;"",X453,IF(Z453&lt;&gt;"",Z453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54" spans="1:40" x14ac:dyDescent="0.3">
      <c r="A454">
        <v>2183092</v>
      </c>
      <c r="B454" t="s">
        <v>1785</v>
      </c>
      <c r="C454" t="s">
        <v>1786</v>
      </c>
      <c r="D454" t="s">
        <v>39</v>
      </c>
      <c r="E454" t="s">
        <v>40</v>
      </c>
      <c r="F454" t="s">
        <v>1787</v>
      </c>
      <c r="G454" t="s">
        <v>1788</v>
      </c>
      <c r="H454">
        <v>70</v>
      </c>
      <c r="U454" t="s">
        <v>46</v>
      </c>
      <c r="V454" t="s">
        <v>1789</v>
      </c>
      <c r="AC454" t="s">
        <v>1790</v>
      </c>
      <c r="AF454">
        <v>1002183092</v>
      </c>
      <c r="AG454">
        <v>612102</v>
      </c>
      <c r="AL454" t="s">
        <v>1791</v>
      </c>
      <c r="AM454" t="str" cm="1">
        <f t="array" ref="AM454">_xlfn.IFS(OR(O454="Persoonlijk",O454="Zoon",O454="Dochter"),P454,OR(Q454="Persoonlijk",Q454="Zoon",Q454="Dochter"),R454,OR(S454="Persoonlijk",S454="Zoon",S454="Dochter"),T454,O454="Vader",P454,Q454="Vader",R454,S454="Vader",T454,O454="Moeder",P454,Q454="Moeder",R454,S454="Moeder",T454,TRUE,IF(P454&lt;&gt;"",P454,IF(R454&lt;&gt;"",R454,IF(T454&lt;&gt;"",T454,""))))</f>
        <v/>
      </c>
      <c r="AN454" t="str" cm="1">
        <f t="array" ref="AN454">_xlfn.LET(_xlpm.raw,_xlfn.IFS(OR(U454="Persoonlijk",U454="Zoon",U454="Dochter"),V454,OR(W454="Persoonlijk",W454="Zoon",W454="Dochter"),X454,OR(Y454="Persoonlijk",Y454="Zoon",Y454="Dochter"),Z454,U454="Vader",V454,W454="Vader",X454,Y454="Vader",Z454,U454="Moeder",V454,W454="Moeder",X454,Y454="Moeder",Z454,TRUE,IF(V454&lt;&gt;"",V454,IF(X454&lt;&gt;"",X454,IF(Z454&lt;&gt;"",Z454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+32478314265</v>
      </c>
    </row>
    <row r="455" spans="1:40" x14ac:dyDescent="0.3">
      <c r="A455">
        <v>8579146</v>
      </c>
      <c r="B455" t="s">
        <v>1792</v>
      </c>
      <c r="C455" t="s">
        <v>1128</v>
      </c>
      <c r="D455" t="s">
        <v>39</v>
      </c>
      <c r="E455" t="s">
        <v>40</v>
      </c>
      <c r="F455" t="s">
        <v>1793</v>
      </c>
      <c r="G455" t="s">
        <v>252</v>
      </c>
      <c r="H455">
        <v>80</v>
      </c>
      <c r="Q455" t="s">
        <v>53</v>
      </c>
      <c r="R455" t="s">
        <v>1794</v>
      </c>
      <c r="V455" t="s">
        <v>1795</v>
      </c>
      <c r="AF455">
        <v>1008579146</v>
      </c>
      <c r="AJ455" t="s">
        <v>104</v>
      </c>
      <c r="AK455" t="s">
        <v>61</v>
      </c>
      <c r="AM455" t="str" cm="1">
        <f t="array" ref="AM455">_xlfn.IFS(OR(O455="Persoonlijk",O455="Zoon",O455="Dochter"),P455,OR(Q455="Persoonlijk",Q455="Zoon",Q455="Dochter"),R455,OR(S455="Persoonlijk",S455="Zoon",S455="Dochter"),T455,O455="Vader",P455,Q455="Vader",R455,S455="Vader",T455,O455="Moeder",P455,Q455="Moeder",R455,S455="Moeder",T455,TRUE,IF(P455&lt;&gt;"",P455,IF(R455&lt;&gt;"",R455,IF(T455&lt;&gt;"",T455,""))))</f>
        <v>Hoekman.annelies1@gmail.com</v>
      </c>
      <c r="AN455" t="str" cm="1">
        <f t="array" ref="AN455">_xlfn.LET(_xlpm.raw,_xlfn.IFS(OR(U455="Persoonlijk",U455="Zoon",U455="Dochter"),V455,OR(W455="Persoonlijk",W455="Zoon",W455="Dochter"),X455,OR(Y455="Persoonlijk",Y455="Zoon",Y455="Dochter"),Z455,U455="Vader",V455,W455="Vader",X455,Y455="Vader",Z455,U455="Moeder",V455,W455="Moeder",X455,Y455="Moeder",Z455,TRUE,IF(V455&lt;&gt;"",V455,IF(X455&lt;&gt;"",X455,IF(Z455&lt;&gt;"",Z455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+32478836273</v>
      </c>
    </row>
    <row r="456" spans="1:40" x14ac:dyDescent="0.3">
      <c r="A456">
        <v>9543041</v>
      </c>
      <c r="B456" t="s">
        <v>1796</v>
      </c>
      <c r="C456" t="s">
        <v>972</v>
      </c>
      <c r="D456" t="s">
        <v>39</v>
      </c>
      <c r="E456" t="s">
        <v>40</v>
      </c>
      <c r="F456" t="s">
        <v>1797</v>
      </c>
      <c r="G456" t="s">
        <v>1798</v>
      </c>
      <c r="H456">
        <v>47</v>
      </c>
      <c r="V456" t="s">
        <v>1799</v>
      </c>
      <c r="AC456" t="s">
        <v>1800</v>
      </c>
      <c r="AF456">
        <v>1009543041</v>
      </c>
      <c r="AG456">
        <v>608268</v>
      </c>
      <c r="AJ456" t="s">
        <v>743</v>
      </c>
      <c r="AK456" t="s">
        <v>61</v>
      </c>
      <c r="AM456" t="str" cm="1">
        <f t="array" ref="AM456">_xlfn.IFS(OR(O456="Persoonlijk",O456="Zoon",O456="Dochter"),P456,OR(Q456="Persoonlijk",Q456="Zoon",Q456="Dochter"),R456,OR(S456="Persoonlijk",S456="Zoon",S456="Dochter"),T456,O456="Vader",P456,Q456="Vader",R456,S456="Vader",T456,O456="Moeder",P456,Q456="Moeder",R456,S456="Moeder",T456,TRUE,IF(P456&lt;&gt;"",P456,IF(R456&lt;&gt;"",R456,IF(T456&lt;&gt;"",T456,""))))</f>
        <v/>
      </c>
      <c r="AN456" t="str" cm="1">
        <f t="array" ref="AN456">_xlfn.LET(_xlpm.raw,_xlfn.IFS(OR(U456="Persoonlijk",U456="Zoon",U456="Dochter"),V456,OR(W456="Persoonlijk",W456="Zoon",W456="Dochter"),X456,OR(Y456="Persoonlijk",Y456="Zoon",Y456="Dochter"),Z456,U456="Vader",V456,W456="Vader",X456,Y456="Vader",Z456,U456="Moeder",V456,W456="Moeder",X456,Y456="Moeder",Z456,TRUE,IF(V456&lt;&gt;"",V456,IF(X456&lt;&gt;"",X456,IF(Z456&lt;&gt;"",Z456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+32474234134</v>
      </c>
    </row>
    <row r="457" spans="1:40" x14ac:dyDescent="0.3">
      <c r="A457">
        <v>2650891</v>
      </c>
      <c r="B457" t="s">
        <v>1801</v>
      </c>
      <c r="C457" t="s">
        <v>1802</v>
      </c>
      <c r="D457" t="s">
        <v>39</v>
      </c>
      <c r="E457" t="s">
        <v>40</v>
      </c>
      <c r="F457" t="s">
        <v>1803</v>
      </c>
      <c r="G457" t="s">
        <v>1804</v>
      </c>
      <c r="H457">
        <v>52</v>
      </c>
      <c r="V457">
        <v>473420843</v>
      </c>
      <c r="X457">
        <v>476417138</v>
      </c>
      <c r="AF457">
        <v>1002650891</v>
      </c>
      <c r="AM457" t="str" cm="1">
        <f t="array" ref="AM457">_xlfn.IFS(OR(O457="Persoonlijk",O457="Zoon",O457="Dochter"),P457,OR(Q457="Persoonlijk",Q457="Zoon",Q457="Dochter"),R457,OR(S457="Persoonlijk",S457="Zoon",S457="Dochter"),T457,O457="Vader",P457,Q457="Vader",R457,S457="Vader",T457,O457="Moeder",P457,Q457="Moeder",R457,S457="Moeder",T457,TRUE,IF(P457&lt;&gt;"",P457,IF(R457&lt;&gt;"",R457,IF(T457&lt;&gt;"",T457,""))))</f>
        <v/>
      </c>
      <c r="AN457" t="str" cm="1">
        <f t="array" ref="AN457">_xlfn.LET(_xlpm.raw,_xlfn.IFS(OR(U457="Persoonlijk",U457="Zoon",U457="Dochter"),V457,OR(W457="Persoonlijk",W457="Zoon",W457="Dochter"),X457,OR(Y457="Persoonlijk",Y457="Zoon",Y457="Dochter"),Z457,U457="Vader",V457,W457="Vader",X457,Y457="Vader",Z457,U457="Moeder",V457,W457="Moeder",X457,Y457="Moeder",Z457,TRUE,IF(V457&lt;&gt;"",V457,IF(X457&lt;&gt;"",X457,IF(Z457&lt;&gt;"",Z457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+32473420843</v>
      </c>
    </row>
    <row r="458" spans="1:40" x14ac:dyDescent="0.3">
      <c r="A458">
        <v>3324593</v>
      </c>
      <c r="B458" t="s">
        <v>1805</v>
      </c>
      <c r="C458" t="s">
        <v>1806</v>
      </c>
      <c r="D458" t="s">
        <v>39</v>
      </c>
      <c r="E458" t="s">
        <v>49</v>
      </c>
      <c r="G458" t="s">
        <v>1807</v>
      </c>
      <c r="H458">
        <v>24</v>
      </c>
      <c r="AF458">
        <v>1003324593</v>
      </c>
      <c r="AM458" t="str" cm="1">
        <f t="array" ref="AM458">_xlfn.IFS(OR(O458="Persoonlijk",O458="Zoon",O458="Dochter"),P458,OR(Q458="Persoonlijk",Q458="Zoon",Q458="Dochter"),R458,OR(S458="Persoonlijk",S458="Zoon",S458="Dochter"),T458,O458="Vader",P458,Q458="Vader",R458,S458="Vader",T458,O458="Moeder",P458,Q458="Moeder",R458,S458="Moeder",T458,TRUE,IF(P458&lt;&gt;"",P458,IF(R458&lt;&gt;"",R458,IF(T458&lt;&gt;"",T458,""))))</f>
        <v/>
      </c>
      <c r="AN458" t="str" cm="1">
        <f t="array" ref="AN458">_xlfn.LET(_xlpm.raw,_xlfn.IFS(OR(U458="Persoonlijk",U458="Zoon",U458="Dochter"),V458,OR(W458="Persoonlijk",W458="Zoon",W458="Dochter"),X458,OR(Y458="Persoonlijk",Y458="Zoon",Y458="Dochter"),Z458,U458="Vader",V458,W458="Vader",X458,Y458="Vader",Z458,U458="Moeder",V458,W458="Moeder",X458,Y458="Moeder",Z458,TRUE,IF(V458&lt;&gt;"",V458,IF(X458&lt;&gt;"",X458,IF(Z458&lt;&gt;"",Z458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59" spans="1:40" x14ac:dyDescent="0.3">
      <c r="A459">
        <v>1932950</v>
      </c>
      <c r="B459" t="s">
        <v>1808</v>
      </c>
      <c r="C459" t="s">
        <v>1515</v>
      </c>
      <c r="D459" t="s">
        <v>39</v>
      </c>
      <c r="E459" t="s">
        <v>40</v>
      </c>
      <c r="F459" t="s">
        <v>1809</v>
      </c>
      <c r="G459" t="s">
        <v>1810</v>
      </c>
      <c r="H459">
        <v>20</v>
      </c>
      <c r="I459">
        <v>202</v>
      </c>
      <c r="U459" t="s">
        <v>46</v>
      </c>
      <c r="V459">
        <v>320475330345</v>
      </c>
      <c r="AC459" t="s">
        <v>1811</v>
      </c>
      <c r="AF459">
        <v>1001932950</v>
      </c>
      <c r="AG459">
        <v>100834</v>
      </c>
      <c r="AJ459" t="s">
        <v>743</v>
      </c>
      <c r="AK459" t="s">
        <v>1812</v>
      </c>
      <c r="AL459" t="s">
        <v>1813</v>
      </c>
      <c r="AM459" t="str" cm="1">
        <f t="array" ref="AM459">_xlfn.IFS(OR(O459="Persoonlijk",O459="Zoon",O459="Dochter"),P459,OR(Q459="Persoonlijk",Q459="Zoon",Q459="Dochter"),R459,OR(S459="Persoonlijk",S459="Zoon",S459="Dochter"),T459,O459="Vader",P459,Q459="Vader",R459,S459="Vader",T459,O459="Moeder",P459,Q459="Moeder",R459,S459="Moeder",T459,TRUE,IF(P459&lt;&gt;"",P459,IF(R459&lt;&gt;"",R459,IF(T459&lt;&gt;"",T459,""))))</f>
        <v/>
      </c>
      <c r="AN459" t="str" cm="1">
        <f t="array" ref="AN459">_xlfn.LET(_xlpm.raw,_xlfn.IFS(OR(U459="Persoonlijk",U459="Zoon",U459="Dochter"),V459,OR(W459="Persoonlijk",W459="Zoon",W459="Dochter"),X459,OR(Y459="Persoonlijk",Y459="Zoon",Y459="Dochter"),Z459,U459="Vader",V459,W459="Vader",X459,Y459="Vader",Z459,U459="Moeder",V459,W459="Moeder",X459,Y459="Moeder",Z459,TRUE,IF(V459&lt;&gt;"",V459,IF(X459&lt;&gt;"",X459,IF(Z459&lt;&gt;"",Z459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+32475330345</v>
      </c>
    </row>
    <row r="460" spans="1:40" x14ac:dyDescent="0.3">
      <c r="A460">
        <v>10488364</v>
      </c>
      <c r="B460" t="s">
        <v>1808</v>
      </c>
      <c r="C460" t="s">
        <v>1814</v>
      </c>
      <c r="D460" t="s">
        <v>39</v>
      </c>
      <c r="E460" t="s">
        <v>40</v>
      </c>
      <c r="F460" t="s">
        <v>1815</v>
      </c>
      <c r="G460" t="s">
        <v>1816</v>
      </c>
      <c r="H460">
        <v>21</v>
      </c>
      <c r="U460" t="s">
        <v>51</v>
      </c>
      <c r="V460" t="s">
        <v>1817</v>
      </c>
      <c r="W460" t="s">
        <v>53</v>
      </c>
      <c r="X460" t="s">
        <v>1818</v>
      </c>
      <c r="AE460" t="s">
        <v>1819</v>
      </c>
      <c r="AF460">
        <v>1010488364</v>
      </c>
      <c r="AJ460" t="s">
        <v>83</v>
      </c>
      <c r="AK460" t="s">
        <v>61</v>
      </c>
      <c r="AM460" t="str" cm="1">
        <f t="array" ref="AM460">_xlfn.IFS(OR(O460="Persoonlijk",O460="Zoon",O460="Dochter"),P460,OR(Q460="Persoonlijk",Q460="Zoon",Q460="Dochter"),R460,OR(S460="Persoonlijk",S460="Zoon",S460="Dochter"),T460,O460="Vader",P460,Q460="Vader",R460,S460="Vader",T460,O460="Moeder",P460,Q460="Moeder",R460,S460="Moeder",T460,TRUE,IF(P460&lt;&gt;"",P460,IF(R460&lt;&gt;"",R460,IF(T460&lt;&gt;"",T460,""))))</f>
        <v/>
      </c>
      <c r="AN460" t="str" cm="1">
        <f t="array" ref="AN460">_xlfn.LET(_xlpm.raw,_xlfn.IFS(OR(U460="Persoonlijk",U460="Zoon",U460="Dochter"),V460,OR(W460="Persoonlijk",W460="Zoon",W460="Dochter"),X460,OR(Y460="Persoonlijk",Y460="Zoon",Y460="Dochter"),Z460,U460="Vader",V460,W460="Vader",X460,Y460="Vader",Z460,U460="Moeder",V460,W460="Moeder",X460,Y460="Moeder",Z460,TRUE,IF(V460&lt;&gt;"",V460,IF(X460&lt;&gt;"",X460,IF(Z460&lt;&gt;"",Z460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+32468429871</v>
      </c>
    </row>
    <row r="461" spans="1:40" x14ac:dyDescent="0.3">
      <c r="A461">
        <v>10488364</v>
      </c>
      <c r="B461" t="s">
        <v>1808</v>
      </c>
      <c r="C461" t="s">
        <v>1814</v>
      </c>
      <c r="D461" t="s">
        <v>39</v>
      </c>
      <c r="E461" t="s">
        <v>40</v>
      </c>
      <c r="F461" t="s">
        <v>1815</v>
      </c>
      <c r="G461" t="s">
        <v>1816</v>
      </c>
      <c r="H461">
        <v>21</v>
      </c>
      <c r="U461" t="s">
        <v>51</v>
      </c>
      <c r="V461" t="s">
        <v>1817</v>
      </c>
      <c r="W461" t="s">
        <v>53</v>
      </c>
      <c r="X461" t="s">
        <v>1818</v>
      </c>
      <c r="AE461" t="s">
        <v>1819</v>
      </c>
      <c r="AF461">
        <v>1010488364</v>
      </c>
      <c r="AJ461" t="s">
        <v>63</v>
      </c>
      <c r="AK461" t="s">
        <v>61</v>
      </c>
      <c r="AM461" t="str" cm="1">
        <f t="array" ref="AM461">_xlfn.IFS(OR(O461="Persoonlijk",O461="Zoon",O461="Dochter"),P461,OR(Q461="Persoonlijk",Q461="Zoon",Q461="Dochter"),R461,OR(S461="Persoonlijk",S461="Zoon",S461="Dochter"),T461,O461="Vader",P461,Q461="Vader",R461,S461="Vader",T461,O461="Moeder",P461,Q461="Moeder",R461,S461="Moeder",T461,TRUE,IF(P461&lt;&gt;"",P461,IF(R461&lt;&gt;"",R461,IF(T461&lt;&gt;"",T461,""))))</f>
        <v/>
      </c>
      <c r="AN461" t="str" cm="1">
        <f t="array" ref="AN461">_xlfn.LET(_xlpm.raw,_xlfn.IFS(OR(U461="Persoonlijk",U461="Zoon",U461="Dochter"),V461,OR(W461="Persoonlijk",W461="Zoon",W461="Dochter"),X461,OR(Y461="Persoonlijk",Y461="Zoon",Y461="Dochter"),Z461,U461="Vader",V461,W461="Vader",X461,Y461="Vader",Z461,U461="Moeder",V461,W461="Moeder",X461,Y461="Moeder",Z461,TRUE,IF(V461&lt;&gt;"",V461,IF(X461&lt;&gt;"",X461,IF(Z461&lt;&gt;"",Z461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+32468429871</v>
      </c>
    </row>
    <row r="462" spans="1:40" x14ac:dyDescent="0.3">
      <c r="A462">
        <v>11855238</v>
      </c>
      <c r="B462" t="s">
        <v>948</v>
      </c>
      <c r="C462" t="s">
        <v>1820</v>
      </c>
      <c r="D462" t="s">
        <v>39</v>
      </c>
      <c r="E462" t="s">
        <v>40</v>
      </c>
      <c r="F462" t="s">
        <v>1821</v>
      </c>
      <c r="G462" t="s">
        <v>1822</v>
      </c>
      <c r="H462">
        <v>82</v>
      </c>
      <c r="U462" t="s">
        <v>46</v>
      </c>
      <c r="V462" t="s">
        <v>1823</v>
      </c>
      <c r="AC462" t="s">
        <v>1824</v>
      </c>
      <c r="AF462">
        <v>1011855238</v>
      </c>
      <c r="AG462">
        <v>661314</v>
      </c>
      <c r="AJ462" t="s">
        <v>743</v>
      </c>
      <c r="AK462" t="s">
        <v>61</v>
      </c>
      <c r="AM462" t="str" cm="1">
        <f t="array" ref="AM462">_xlfn.IFS(OR(O462="Persoonlijk",O462="Zoon",O462="Dochter"),P462,OR(Q462="Persoonlijk",Q462="Zoon",Q462="Dochter"),R462,OR(S462="Persoonlijk",S462="Zoon",S462="Dochter"),T462,O462="Vader",P462,Q462="Vader",R462,S462="Vader",T462,O462="Moeder",P462,Q462="Moeder",R462,S462="Moeder",T462,TRUE,IF(P462&lt;&gt;"",P462,IF(R462&lt;&gt;"",R462,IF(T462&lt;&gt;"",T462,""))))</f>
        <v/>
      </c>
      <c r="AN462" t="str" cm="1">
        <f t="array" ref="AN462">_xlfn.LET(_xlpm.raw,_xlfn.IFS(OR(U462="Persoonlijk",U462="Zoon",U462="Dochter"),V462,OR(W462="Persoonlijk",W462="Zoon",W462="Dochter"),X462,OR(Y462="Persoonlijk",Y462="Zoon",Y462="Dochter"),Z462,U462="Vader",V462,W462="Vader",X462,Y462="Vader",Z462,U462="Moeder",V462,W462="Moeder",X462,Y462="Moeder",Z462,TRUE,IF(V462&lt;&gt;"",V462,IF(X462&lt;&gt;"",X462,IF(Z462&lt;&gt;"",Z462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+32495940240</v>
      </c>
    </row>
    <row r="463" spans="1:40" x14ac:dyDescent="0.3">
      <c r="A463">
        <v>2183102</v>
      </c>
      <c r="B463" t="s">
        <v>1825</v>
      </c>
      <c r="C463" t="s">
        <v>1826</v>
      </c>
      <c r="D463" t="s">
        <v>39</v>
      </c>
      <c r="E463" t="s">
        <v>40</v>
      </c>
      <c r="F463" t="s">
        <v>1827</v>
      </c>
      <c r="G463" t="s">
        <v>1040</v>
      </c>
      <c r="H463">
        <v>23</v>
      </c>
      <c r="R463" t="s">
        <v>1829</v>
      </c>
      <c r="AC463" t="s">
        <v>1830</v>
      </c>
      <c r="AF463">
        <v>1002183102</v>
      </c>
      <c r="AG463">
        <v>671215</v>
      </c>
      <c r="AL463" t="s">
        <v>1831</v>
      </c>
      <c r="AM463" t="str" cm="1">
        <f t="array" ref="AM463">_xlfn.IFS(OR(O463="Persoonlijk",O463="Zoon",O463="Dochter"),P463,OR(Q463="Persoonlijk",Q463="Zoon",Q463="Dochter"),R463,OR(S463="Persoonlijk",S463="Zoon",S463="Dochter"),T463,O463="Vader",P463,Q463="Vader",R463,S463="Vader",T463,O463="Moeder",P463,Q463="Moeder",R463,S463="Moeder",T463,TRUE,IF(P463&lt;&gt;"",P463,IF(R463&lt;&gt;"",R463,IF(T463&lt;&gt;"",T463,""))))</f>
        <v>jme@cretes.be</v>
      </c>
      <c r="AN463" t="str" cm="1">
        <f t="array" ref="AN463">_xlfn.LET(_xlpm.raw,_xlfn.IFS(OR(U463="Persoonlijk",U463="Zoon",U463="Dochter"),V463,OR(W463="Persoonlijk",W463="Zoon",W463="Dochter"),X463,OR(Y463="Persoonlijk",Y463="Zoon",Y463="Dochter"),Z463,U463="Vader",V463,W463="Vader",X463,Y463="Vader",Z463,U463="Moeder",V463,W463="Moeder",X463,Y463="Moeder",Z463,TRUE,IF(V463&lt;&gt;"",V463,IF(X463&lt;&gt;"",X463,IF(Z463&lt;&gt;"",Z463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64" spans="1:40" x14ac:dyDescent="0.3">
      <c r="A464">
        <v>2183102</v>
      </c>
      <c r="B464" t="s">
        <v>1825</v>
      </c>
      <c r="C464" t="s">
        <v>1826</v>
      </c>
      <c r="D464" t="s">
        <v>39</v>
      </c>
      <c r="E464" t="s">
        <v>40</v>
      </c>
      <c r="F464" t="s">
        <v>1827</v>
      </c>
      <c r="G464" t="s">
        <v>1040</v>
      </c>
      <c r="H464">
        <v>23</v>
      </c>
      <c r="R464" t="s">
        <v>1829</v>
      </c>
      <c r="AC464" t="s">
        <v>1830</v>
      </c>
      <c r="AF464">
        <v>1002183102</v>
      </c>
      <c r="AG464">
        <v>671215</v>
      </c>
      <c r="AL464" t="s">
        <v>620</v>
      </c>
      <c r="AM464" t="str" cm="1">
        <f t="array" ref="AM464">_xlfn.IFS(OR(O464="Persoonlijk",O464="Zoon",O464="Dochter"),P464,OR(Q464="Persoonlijk",Q464="Zoon",Q464="Dochter"),R464,OR(S464="Persoonlijk",S464="Zoon",S464="Dochter"),T464,O464="Vader",P464,Q464="Vader",R464,S464="Vader",T464,O464="Moeder",P464,Q464="Moeder",R464,S464="Moeder",T464,TRUE,IF(P464&lt;&gt;"",P464,IF(R464&lt;&gt;"",R464,IF(T464&lt;&gt;"",T464,""))))</f>
        <v>jme@cretes.be</v>
      </c>
      <c r="AN464" t="str" cm="1">
        <f t="array" ref="AN464">_xlfn.LET(_xlpm.raw,_xlfn.IFS(OR(U464="Persoonlijk",U464="Zoon",U464="Dochter"),V464,OR(W464="Persoonlijk",W464="Zoon",W464="Dochter"),X464,OR(Y464="Persoonlijk",Y464="Zoon",Y464="Dochter"),Z464,U464="Vader",V464,W464="Vader",X464,Y464="Vader",Z464,U464="Moeder",V464,W464="Moeder",X464,Y464="Moeder",Z464,TRUE,IF(V464&lt;&gt;"",V464,IF(X464&lt;&gt;"",X464,IF(Z464&lt;&gt;"",Z464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65" spans="1:40" x14ac:dyDescent="0.3">
      <c r="A465">
        <v>2183102</v>
      </c>
      <c r="B465" t="s">
        <v>1825</v>
      </c>
      <c r="C465" t="s">
        <v>1826</v>
      </c>
      <c r="D465" t="s">
        <v>39</v>
      </c>
      <c r="E465" t="s">
        <v>40</v>
      </c>
      <c r="F465" t="s">
        <v>1827</v>
      </c>
      <c r="G465" t="s">
        <v>1040</v>
      </c>
      <c r="H465">
        <v>23</v>
      </c>
      <c r="R465" t="s">
        <v>1829</v>
      </c>
      <c r="AC465" t="s">
        <v>1830</v>
      </c>
      <c r="AF465">
        <v>1002183102</v>
      </c>
      <c r="AG465">
        <v>671215</v>
      </c>
      <c r="AL465" t="s">
        <v>1832</v>
      </c>
      <c r="AM465" t="str" cm="1">
        <f t="array" ref="AM465">_xlfn.IFS(OR(O465="Persoonlijk",O465="Zoon",O465="Dochter"),P465,OR(Q465="Persoonlijk",Q465="Zoon",Q465="Dochter"),R465,OR(S465="Persoonlijk",S465="Zoon",S465="Dochter"),T465,O465="Vader",P465,Q465="Vader",R465,S465="Vader",T465,O465="Moeder",P465,Q465="Moeder",R465,S465="Moeder",T465,TRUE,IF(P465&lt;&gt;"",P465,IF(R465&lt;&gt;"",R465,IF(T465&lt;&gt;"",T465,""))))</f>
        <v>jme@cretes.be</v>
      </c>
      <c r="AN465" t="str" cm="1">
        <f t="array" ref="AN465">_xlfn.LET(_xlpm.raw,_xlfn.IFS(OR(U465="Persoonlijk",U465="Zoon",U465="Dochter"),V465,OR(W465="Persoonlijk",W465="Zoon",W465="Dochter"),X465,OR(Y465="Persoonlijk",Y465="Zoon",Y465="Dochter"),Z465,U465="Vader",V465,W465="Vader",X465,Y465="Vader",Z465,U465="Moeder",V465,W465="Moeder",X465,Y465="Moeder",Z465,TRUE,IF(V465&lt;&gt;"",V465,IF(X465&lt;&gt;"",X465,IF(Z465&lt;&gt;"",Z465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66" spans="1:40" x14ac:dyDescent="0.3">
      <c r="A466">
        <v>2709295</v>
      </c>
      <c r="B466" t="s">
        <v>1825</v>
      </c>
      <c r="C466" t="s">
        <v>1833</v>
      </c>
      <c r="D466" t="s">
        <v>39</v>
      </c>
      <c r="E466" t="s">
        <v>49</v>
      </c>
      <c r="F466" t="s">
        <v>1834</v>
      </c>
      <c r="G466" t="s">
        <v>1040</v>
      </c>
      <c r="H466">
        <v>23</v>
      </c>
      <c r="Q466" t="s">
        <v>51</v>
      </c>
      <c r="R466" t="s">
        <v>1828</v>
      </c>
      <c r="U466" t="s">
        <v>46</v>
      </c>
      <c r="V466">
        <v>32470449365</v>
      </c>
      <c r="AB466" t="s">
        <v>1835</v>
      </c>
      <c r="AC466" t="s">
        <v>1836</v>
      </c>
      <c r="AF466">
        <v>1002709295</v>
      </c>
      <c r="AG466">
        <v>665060</v>
      </c>
      <c r="AJ466" t="s">
        <v>131</v>
      </c>
      <c r="AK466" t="s">
        <v>65</v>
      </c>
      <c r="AM466" t="str" cm="1">
        <f t="array" ref="AM466">_xlfn.IFS(OR(O466="Persoonlijk",O466="Zoon",O466="Dochter"),P466,OR(Q466="Persoonlijk",Q466="Zoon",Q466="Dochter"),R466,OR(S466="Persoonlijk",S466="Zoon",S466="Dochter"),T466,O466="Vader",P466,Q466="Vader",R466,S466="Vader",T466,O466="Moeder",P466,Q466="Moeder",R466,S466="Moeder",T466,TRUE,IF(P466&lt;&gt;"",P466,IF(R466&lt;&gt;"",R466,IF(T466&lt;&gt;"",T466,""))))</f>
        <v>jme.basket@telenet.be</v>
      </c>
      <c r="AN466" t="str" cm="1">
        <f t="array" ref="AN466">_xlfn.LET(_xlpm.raw,_xlfn.IFS(OR(U466="Persoonlijk",U466="Zoon",U466="Dochter"),V466,OR(W466="Persoonlijk",W466="Zoon",W466="Dochter"),X466,OR(Y466="Persoonlijk",Y466="Zoon",Y466="Dochter"),Z466,U466="Vader",V466,W466="Vader",X466,Y466="Vader",Z466,U466="Moeder",V466,W466="Moeder",X466,Y466="Moeder",Z466,TRUE,IF(V466&lt;&gt;"",V466,IF(X466&lt;&gt;"",X466,IF(Z466&lt;&gt;"",Z466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+32470449365</v>
      </c>
    </row>
    <row r="467" spans="1:40" x14ac:dyDescent="0.3">
      <c r="A467">
        <v>2183107</v>
      </c>
      <c r="B467" t="s">
        <v>1837</v>
      </c>
      <c r="C467" t="s">
        <v>443</v>
      </c>
      <c r="D467" t="s">
        <v>39</v>
      </c>
      <c r="E467" t="s">
        <v>40</v>
      </c>
      <c r="F467" t="s">
        <v>1838</v>
      </c>
      <c r="G467" t="s">
        <v>1839</v>
      </c>
      <c r="H467">
        <v>32</v>
      </c>
      <c r="R467" t="s">
        <v>1840</v>
      </c>
      <c r="AC467" t="s">
        <v>1841</v>
      </c>
      <c r="AF467">
        <v>1002183107</v>
      </c>
      <c r="AG467">
        <v>644105</v>
      </c>
      <c r="AM467" t="str" cm="1">
        <f t="array" ref="AM467">_xlfn.IFS(OR(O467="Persoonlijk",O467="Zoon",O467="Dochter"),P467,OR(Q467="Persoonlijk",Q467="Zoon",Q467="Dochter"),R467,OR(S467="Persoonlijk",S467="Zoon",S467="Dochter"),T467,O467="Vader",P467,Q467="Vader",R467,S467="Vader",T467,O467="Moeder",P467,Q467="Moeder",R467,S467="Moeder",T467,TRUE,IF(P467&lt;&gt;"",P467,IF(R467&lt;&gt;"",R467,IF(T467&lt;&gt;"",T467,""))))</f>
        <v>eric.meerpoel@telenet.be</v>
      </c>
      <c r="AN467" t="str" cm="1">
        <f t="array" ref="AN467">_xlfn.LET(_xlpm.raw,_xlfn.IFS(OR(U467="Persoonlijk",U467="Zoon",U467="Dochter"),V467,OR(W467="Persoonlijk",W467="Zoon",W467="Dochter"),X467,OR(Y467="Persoonlijk",Y467="Zoon",Y467="Dochter"),Z467,U467="Vader",V467,W467="Vader",X467,Y467="Vader",Z467,U467="Moeder",V467,W467="Moeder",X467,Y467="Moeder",Z467,TRUE,IF(V467&lt;&gt;"",V467,IF(X467&lt;&gt;"",X467,IF(Z467&lt;&gt;"",Z467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68" spans="1:40" x14ac:dyDescent="0.3">
      <c r="A468">
        <v>3436128</v>
      </c>
      <c r="B468" t="s">
        <v>1842</v>
      </c>
      <c r="C468" t="s">
        <v>1843</v>
      </c>
      <c r="D468" t="s">
        <v>39</v>
      </c>
      <c r="E468" t="s">
        <v>40</v>
      </c>
      <c r="F468" t="s">
        <v>1844</v>
      </c>
      <c r="G468" t="s">
        <v>691</v>
      </c>
      <c r="H468">
        <v>90</v>
      </c>
      <c r="V468" t="s">
        <v>1845</v>
      </c>
      <c r="AA468" t="s">
        <v>1845</v>
      </c>
      <c r="AE468" t="s">
        <v>1846</v>
      </c>
      <c r="AF468">
        <v>1003436128</v>
      </c>
      <c r="AM468" t="str" cm="1">
        <f t="array" ref="AM468">_xlfn.IFS(OR(O468="Persoonlijk",O468="Zoon",O468="Dochter"),P468,OR(Q468="Persoonlijk",Q468="Zoon",Q468="Dochter"),R468,OR(S468="Persoonlijk",S468="Zoon",S468="Dochter"),T468,O468="Vader",P468,Q468="Vader",R468,S468="Vader",T468,O468="Moeder",P468,Q468="Moeder",R468,S468="Moeder",T468,TRUE,IF(P468&lt;&gt;"",P468,IF(R468&lt;&gt;"",R468,IF(T468&lt;&gt;"",T468,""))))</f>
        <v/>
      </c>
      <c r="AN468" t="str" cm="1">
        <f t="array" ref="AN468">_xlfn.LET(_xlpm.raw,_xlfn.IFS(OR(U468="Persoonlijk",U468="Zoon",U468="Dochter"),V468,OR(W468="Persoonlijk",W468="Zoon",W468="Dochter"),X468,OR(Y468="Persoonlijk",Y468="Zoon",Y468="Dochter"),Z468,U468="Vader",V468,W468="Vader",X468,Y468="Vader",Z468,U468="Moeder",V468,W468="Moeder",X468,Y468="Moeder",Z468,TRUE,IF(V468&lt;&gt;"",V468,IF(X468&lt;&gt;"",X468,IF(Z468&lt;&gt;"",Z468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+32474721420</v>
      </c>
    </row>
    <row r="469" spans="1:40" x14ac:dyDescent="0.3">
      <c r="A469">
        <v>2650877</v>
      </c>
      <c r="B469" t="s">
        <v>1842</v>
      </c>
      <c r="C469" t="s">
        <v>972</v>
      </c>
      <c r="D469" t="s">
        <v>39</v>
      </c>
      <c r="E469" t="s">
        <v>40</v>
      </c>
      <c r="F469" t="s">
        <v>1600</v>
      </c>
      <c r="G469" t="s">
        <v>691</v>
      </c>
      <c r="H469">
        <v>90</v>
      </c>
      <c r="Q469" t="s">
        <v>51</v>
      </c>
      <c r="R469" t="s">
        <v>1847</v>
      </c>
      <c r="V469">
        <v>474721420</v>
      </c>
      <c r="X469">
        <v>473444249</v>
      </c>
      <c r="Z469">
        <v>0</v>
      </c>
      <c r="AA469">
        <v>0</v>
      </c>
      <c r="AF469">
        <v>1002650877</v>
      </c>
      <c r="AG469">
        <v>742176</v>
      </c>
      <c r="AM469" t="str" cm="1">
        <f t="array" ref="AM469">_xlfn.IFS(OR(O469="Persoonlijk",O469="Zoon",O469="Dochter"),P469,OR(Q469="Persoonlijk",Q469="Zoon",Q469="Dochter"),R469,OR(S469="Persoonlijk",S469="Zoon",S469="Dochter"),T469,O469="Vader",P469,Q469="Vader",R469,S469="Vader",T469,O469="Moeder",P469,Q469="Moeder",R469,S469="Moeder",T469,TRUE,IF(P469&lt;&gt;"",P469,IF(R469&lt;&gt;"",R469,IF(T469&lt;&gt;"",T469,""))))</f>
        <v>gillesmees@hotmail.com</v>
      </c>
      <c r="AN469" t="str" cm="1">
        <f t="array" ref="AN469">_xlfn.LET(_xlpm.raw,_xlfn.IFS(OR(U469="Persoonlijk",U469="Zoon",U469="Dochter"),V469,OR(W469="Persoonlijk",W469="Zoon",W469="Dochter"),X469,OR(Y469="Persoonlijk",Y469="Zoon",Y469="Dochter"),Z469,U469="Vader",V469,W469="Vader",X469,Y469="Vader",Z469,U469="Moeder",V469,W469="Moeder",X469,Y469="Moeder",Z469,TRUE,IF(V469&lt;&gt;"",V469,IF(X469&lt;&gt;"",X469,IF(Z469&lt;&gt;"",Z469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+32474721420</v>
      </c>
    </row>
    <row r="470" spans="1:40" x14ac:dyDescent="0.3">
      <c r="A470">
        <v>2183112</v>
      </c>
      <c r="B470" t="s">
        <v>1842</v>
      </c>
      <c r="C470" t="s">
        <v>1848</v>
      </c>
      <c r="D470" t="s">
        <v>39</v>
      </c>
      <c r="E470" t="s">
        <v>40</v>
      </c>
      <c r="F470" t="s">
        <v>1849</v>
      </c>
      <c r="G470" t="s">
        <v>691</v>
      </c>
      <c r="H470">
        <v>90</v>
      </c>
      <c r="V470">
        <v>474721420</v>
      </c>
      <c r="AE470" t="s">
        <v>1850</v>
      </c>
      <c r="AF470">
        <v>1002183112</v>
      </c>
      <c r="AG470">
        <v>732219</v>
      </c>
      <c r="AJ470" t="s">
        <v>202</v>
      </c>
      <c r="AK470" t="s">
        <v>61</v>
      </c>
      <c r="AL470" t="s">
        <v>62</v>
      </c>
      <c r="AM470" t="str" cm="1">
        <f t="array" ref="AM470">_xlfn.IFS(OR(O470="Persoonlijk",O470="Zoon",O470="Dochter"),P470,OR(Q470="Persoonlijk",Q470="Zoon",Q470="Dochter"),R470,OR(S470="Persoonlijk",S470="Zoon",S470="Dochter"),T470,O470="Vader",P470,Q470="Vader",R470,S470="Vader",T470,O470="Moeder",P470,Q470="Moeder",R470,S470="Moeder",T470,TRUE,IF(P470&lt;&gt;"",P470,IF(R470&lt;&gt;"",R470,IF(T470&lt;&gt;"",T470,""))))</f>
        <v/>
      </c>
      <c r="AN470" t="str" cm="1">
        <f t="array" ref="AN470">_xlfn.LET(_xlpm.raw,_xlfn.IFS(OR(U470="Persoonlijk",U470="Zoon",U470="Dochter"),V470,OR(W470="Persoonlijk",W470="Zoon",W470="Dochter"),X470,OR(Y470="Persoonlijk",Y470="Zoon",Y470="Dochter"),Z470,U470="Vader",V470,W470="Vader",X470,Y470="Vader",Z470,U470="Moeder",V470,W470="Moeder",X470,Y470="Moeder",Z470,TRUE,IF(V470&lt;&gt;"",V470,IF(X470&lt;&gt;"",X470,IF(Z470&lt;&gt;"",Z470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+32474721420</v>
      </c>
    </row>
    <row r="471" spans="1:40" x14ac:dyDescent="0.3">
      <c r="A471">
        <v>2183112</v>
      </c>
      <c r="B471" t="s">
        <v>1842</v>
      </c>
      <c r="C471" t="s">
        <v>1848</v>
      </c>
      <c r="D471" t="s">
        <v>39</v>
      </c>
      <c r="E471" t="s">
        <v>40</v>
      </c>
      <c r="F471" t="s">
        <v>1849</v>
      </c>
      <c r="G471" t="s">
        <v>691</v>
      </c>
      <c r="H471">
        <v>90</v>
      </c>
      <c r="V471">
        <v>474721420</v>
      </c>
      <c r="AE471" t="s">
        <v>1850</v>
      </c>
      <c r="AF471">
        <v>1002183112</v>
      </c>
      <c r="AG471">
        <v>732219</v>
      </c>
      <c r="AJ471" t="s">
        <v>63</v>
      </c>
      <c r="AK471" t="s">
        <v>61</v>
      </c>
      <c r="AM471" t="str" cm="1">
        <f t="array" ref="AM471">_xlfn.IFS(OR(O471="Persoonlijk",O471="Zoon",O471="Dochter"),P471,OR(Q471="Persoonlijk",Q471="Zoon",Q471="Dochter"),R471,OR(S471="Persoonlijk",S471="Zoon",S471="Dochter"),T471,O471="Vader",P471,Q471="Vader",R471,S471="Vader",T471,O471="Moeder",P471,Q471="Moeder",R471,S471="Moeder",T471,TRUE,IF(P471&lt;&gt;"",P471,IF(R471&lt;&gt;"",R471,IF(T471&lt;&gt;"",T471,""))))</f>
        <v/>
      </c>
      <c r="AN471" t="str" cm="1">
        <f t="array" ref="AN471">_xlfn.LET(_xlpm.raw,_xlfn.IFS(OR(U471="Persoonlijk",U471="Zoon",U471="Dochter"),V471,OR(W471="Persoonlijk",W471="Zoon",W471="Dochter"),X471,OR(Y471="Persoonlijk",Y471="Zoon",Y471="Dochter"),Z471,U471="Vader",V471,W471="Vader",X471,Y471="Vader",Z471,U471="Moeder",V471,W471="Moeder",X471,Y471="Moeder",Z471,TRUE,IF(V471&lt;&gt;"",V471,IF(X471&lt;&gt;"",X471,IF(Z471&lt;&gt;"",Z471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+32474721420</v>
      </c>
    </row>
    <row r="472" spans="1:40" x14ac:dyDescent="0.3">
      <c r="A472">
        <v>4421822</v>
      </c>
      <c r="B472" t="s">
        <v>1851</v>
      </c>
      <c r="C472" t="s">
        <v>1852</v>
      </c>
      <c r="D472" t="s">
        <v>39</v>
      </c>
      <c r="E472" t="s">
        <v>40</v>
      </c>
      <c r="F472" t="s">
        <v>1853</v>
      </c>
      <c r="G472" t="s">
        <v>1854</v>
      </c>
      <c r="H472">
        <v>19</v>
      </c>
      <c r="U472" t="s">
        <v>46</v>
      </c>
      <c r="V472" t="s">
        <v>1855</v>
      </c>
      <c r="AC472" t="s">
        <v>1856</v>
      </c>
      <c r="AF472">
        <v>1004421822</v>
      </c>
      <c r="AG472">
        <v>626275</v>
      </c>
      <c r="AM472" t="str" cm="1">
        <f t="array" ref="AM472">_xlfn.IFS(OR(O472="Persoonlijk",O472="Zoon",O472="Dochter"),P472,OR(Q472="Persoonlijk",Q472="Zoon",Q472="Dochter"),R472,OR(S472="Persoonlijk",S472="Zoon",S472="Dochter"),T472,O472="Vader",P472,Q472="Vader",R472,S472="Vader",T472,O472="Moeder",P472,Q472="Moeder",R472,S472="Moeder",T472,TRUE,IF(P472&lt;&gt;"",P472,IF(R472&lt;&gt;"",R472,IF(T472&lt;&gt;"",T472,""))))</f>
        <v/>
      </c>
      <c r="AN472" t="str" cm="1">
        <f t="array" ref="AN472">_xlfn.LET(_xlpm.raw,_xlfn.IFS(OR(U472="Persoonlijk",U472="Zoon",U472="Dochter"),V472,OR(W472="Persoonlijk",W472="Zoon",W472="Dochter"),X472,OR(Y472="Persoonlijk",Y472="Zoon",Y472="Dochter"),Z472,U472="Vader",V472,W472="Vader",X472,Y472="Vader",Z472,U472="Moeder",V472,W472="Moeder",X472,Y472="Moeder",Z472,TRUE,IF(V472&lt;&gt;"",V472,IF(X472&lt;&gt;"",X472,IF(Z472&lt;&gt;"",Z472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+32495300478</v>
      </c>
    </row>
    <row r="473" spans="1:40" x14ac:dyDescent="0.3">
      <c r="A473">
        <v>10525895</v>
      </c>
      <c r="B473" t="s">
        <v>1857</v>
      </c>
      <c r="C473" t="s">
        <v>1858</v>
      </c>
      <c r="D473" t="s">
        <v>39</v>
      </c>
      <c r="E473" t="s">
        <v>40</v>
      </c>
      <c r="F473" t="s">
        <v>1859</v>
      </c>
      <c r="G473" t="s">
        <v>1860</v>
      </c>
      <c r="H473">
        <v>38</v>
      </c>
      <c r="Q473" t="s">
        <v>51</v>
      </c>
      <c r="R473" t="s">
        <v>1861</v>
      </c>
      <c r="V473" t="s">
        <v>1862</v>
      </c>
      <c r="AF473">
        <v>1010525895</v>
      </c>
      <c r="AM473" t="str" cm="1">
        <f t="array" ref="AM473">_xlfn.IFS(OR(O473="Persoonlijk",O473="Zoon",O473="Dochter"),P473,OR(Q473="Persoonlijk",Q473="Zoon",Q473="Dochter"),R473,OR(S473="Persoonlijk",S473="Zoon",S473="Dochter"),T473,O473="Vader",P473,Q473="Vader",R473,S473="Vader",T473,O473="Moeder",P473,Q473="Moeder",R473,S473="Moeder",T473,TRUE,IF(P473&lt;&gt;"",P473,IF(R473&lt;&gt;"",R473,IF(T473&lt;&gt;"",T473,""))))</f>
        <v>lieven.melsens@gmail.com</v>
      </c>
      <c r="AN473" t="str" cm="1">
        <f t="array" ref="AN473">_xlfn.LET(_xlpm.raw,_xlfn.IFS(OR(U473="Persoonlijk",U473="Zoon",U473="Dochter"),V473,OR(W473="Persoonlijk",W473="Zoon",W473="Dochter"),X473,OR(Y473="Persoonlijk",Y473="Zoon",Y473="Dochter"),Z473,U473="Vader",V473,W473="Vader",X473,Y473="Vader",Z473,U473="Moeder",V473,W473="Moeder",X473,Y473="Moeder",Z473,TRUE,IF(V473&lt;&gt;"",V473,IF(X473&lt;&gt;"",X473,IF(Z473&lt;&gt;"",Z473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+32496392510</v>
      </c>
    </row>
    <row r="474" spans="1:40" x14ac:dyDescent="0.3">
      <c r="A474">
        <v>10525940</v>
      </c>
      <c r="B474" t="s">
        <v>1863</v>
      </c>
      <c r="C474" t="s">
        <v>1864</v>
      </c>
      <c r="D474" t="s">
        <v>39</v>
      </c>
      <c r="E474" t="s">
        <v>40</v>
      </c>
      <c r="F474" t="s">
        <v>1865</v>
      </c>
      <c r="G474" t="s">
        <v>1866</v>
      </c>
      <c r="H474">
        <v>6</v>
      </c>
      <c r="Q474" t="s">
        <v>53</v>
      </c>
      <c r="R474" t="s">
        <v>1867</v>
      </c>
      <c r="V474" t="s">
        <v>1868</v>
      </c>
      <c r="X474" t="s">
        <v>1869</v>
      </c>
      <c r="AF474">
        <v>1010525940</v>
      </c>
      <c r="AJ474" t="s">
        <v>656</v>
      </c>
      <c r="AK474" t="s">
        <v>61</v>
      </c>
      <c r="AM474" t="str" cm="1">
        <f t="array" ref="AM474">_xlfn.IFS(OR(O474="Persoonlijk",O474="Zoon",O474="Dochter"),P474,OR(Q474="Persoonlijk",Q474="Zoon",Q474="Dochter"),R474,OR(S474="Persoonlijk",S474="Zoon",S474="Dochter"),T474,O474="Vader",P474,Q474="Vader",R474,S474="Vader",T474,O474="Moeder",P474,Q474="Moeder",R474,S474="Moeder",T474,TRUE,IF(P474&lt;&gt;"",P474,IF(R474&lt;&gt;"",R474,IF(T474&lt;&gt;"",T474,""))))</f>
        <v>lynnvdwiele@hotmail.com</v>
      </c>
      <c r="AN474" t="str" cm="1">
        <f t="array" ref="AN474">_xlfn.LET(_xlpm.raw,_xlfn.IFS(OR(U474="Persoonlijk",U474="Zoon",U474="Dochter"),V474,OR(W474="Persoonlijk",W474="Zoon",W474="Dochter"),X474,OR(Y474="Persoonlijk",Y474="Zoon",Y474="Dochter"),Z474,U474="Vader",V474,W474="Vader",X474,Y474="Vader",Z474,U474="Moeder",V474,W474="Moeder",X474,Y474="Moeder",Z474,TRUE,IF(V474&lt;&gt;"",V474,IF(X474&lt;&gt;"",X474,IF(Z474&lt;&gt;"",Z474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+32486610793</v>
      </c>
    </row>
    <row r="475" spans="1:40" x14ac:dyDescent="0.3">
      <c r="A475">
        <v>10452557</v>
      </c>
      <c r="B475" t="s">
        <v>1870</v>
      </c>
      <c r="C475" t="s">
        <v>1871</v>
      </c>
      <c r="D475" t="s">
        <v>39</v>
      </c>
      <c r="E475" t="s">
        <v>40</v>
      </c>
      <c r="F475" t="s">
        <v>1872</v>
      </c>
      <c r="G475" t="s">
        <v>1873</v>
      </c>
      <c r="H475">
        <v>24</v>
      </c>
      <c r="R475" t="s">
        <v>1874</v>
      </c>
      <c r="V475" t="s">
        <v>1875</v>
      </c>
      <c r="AF475">
        <v>1010452557</v>
      </c>
      <c r="AJ475" t="s">
        <v>294</v>
      </c>
      <c r="AK475" t="s">
        <v>61</v>
      </c>
      <c r="AM475" t="str" cm="1">
        <f t="array" ref="AM475">_xlfn.IFS(OR(O475="Persoonlijk",O475="Zoon",O475="Dochter"),P475,OR(Q475="Persoonlijk",Q475="Zoon",Q475="Dochter"),R475,OR(S475="Persoonlijk",S475="Zoon",S475="Dochter"),T475,O475="Vader",P475,Q475="Vader",R475,S475="Vader",T475,O475="Moeder",P475,Q475="Moeder",R475,S475="Moeder",T475,TRUE,IF(P475&lt;&gt;"",P475,IF(R475&lt;&gt;"",R475,IF(T475&lt;&gt;"",T475,""))))</f>
        <v>mirkomoerman@hotmail.com</v>
      </c>
      <c r="AN475" t="str" cm="1">
        <f t="array" ref="AN475">_xlfn.LET(_xlpm.raw,_xlfn.IFS(OR(U475="Persoonlijk",U475="Zoon",U475="Dochter"),V475,OR(W475="Persoonlijk",W475="Zoon",W475="Dochter"),X475,OR(Y475="Persoonlijk",Y475="Zoon",Y475="Dochter"),Z475,U475="Vader",V475,W475="Vader",X475,Y475="Vader",Z475,U475="Moeder",V475,W475="Moeder",X475,Y475="Moeder",Z475,TRUE,IF(V475&lt;&gt;"",V475,IF(X475&lt;&gt;"",X475,IF(Z475&lt;&gt;"",Z475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+32495423490</v>
      </c>
    </row>
    <row r="476" spans="1:40" x14ac:dyDescent="0.3">
      <c r="A476">
        <v>3485821</v>
      </c>
      <c r="B476" t="s">
        <v>1165</v>
      </c>
      <c r="C476" t="s">
        <v>1631</v>
      </c>
      <c r="D476" t="s">
        <v>39</v>
      </c>
      <c r="E476" t="s">
        <v>40</v>
      </c>
      <c r="F476" t="s">
        <v>1876</v>
      </c>
      <c r="G476" t="s">
        <v>1167</v>
      </c>
      <c r="H476">
        <v>28</v>
      </c>
      <c r="Q476" t="s">
        <v>51</v>
      </c>
      <c r="R476" t="s">
        <v>1877</v>
      </c>
      <c r="U476" t="s">
        <v>53</v>
      </c>
      <c r="V476" t="s">
        <v>1878</v>
      </c>
      <c r="W476" t="s">
        <v>51</v>
      </c>
      <c r="X476" t="s">
        <v>1879</v>
      </c>
      <c r="AC476" t="s">
        <v>1880</v>
      </c>
      <c r="AD476">
        <v>12</v>
      </c>
      <c r="AE476" t="s">
        <v>1881</v>
      </c>
      <c r="AF476">
        <v>1003485821</v>
      </c>
      <c r="AJ476" t="s">
        <v>131</v>
      </c>
      <c r="AK476" t="s">
        <v>61</v>
      </c>
      <c r="AM476" t="str" cm="1">
        <f t="array" ref="AM476">_xlfn.IFS(OR(O476="Persoonlijk",O476="Zoon",O476="Dochter"),P476,OR(Q476="Persoonlijk",Q476="Zoon",Q476="Dochter"),R476,OR(S476="Persoonlijk",S476="Zoon",S476="Dochter"),T476,O476="Vader",P476,Q476="Vader",R476,S476="Vader",T476,O476="Moeder",P476,Q476="Moeder",R476,S476="Moeder",T476,TRUE,IF(P476&lt;&gt;"",P476,IF(R476&lt;&gt;"",R476,IF(T476&lt;&gt;"",T476,""))))</f>
        <v>Molly.diederick@gmail.com</v>
      </c>
      <c r="AN476" t="str" cm="1">
        <f t="array" ref="AN476">_xlfn.LET(_xlpm.raw,_xlfn.IFS(OR(U476="Persoonlijk",U476="Zoon",U476="Dochter"),V476,OR(W476="Persoonlijk",W476="Zoon",W476="Dochter"),X476,OR(Y476="Persoonlijk",Y476="Zoon",Y476="Dochter"),Z476,U476="Vader",V476,W476="Vader",X476,Y476="Vader",Z476,U476="Moeder",V476,W476="Moeder",X476,Y476="Moeder",Z476,TRUE,IF(V476&lt;&gt;"",V476,IF(X476&lt;&gt;"",X476,IF(Z476&lt;&gt;"",Z476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+32478510919</v>
      </c>
    </row>
    <row r="477" spans="1:40" x14ac:dyDescent="0.3">
      <c r="A477">
        <v>10510398</v>
      </c>
      <c r="B477" t="s">
        <v>1165</v>
      </c>
      <c r="C477" t="s">
        <v>1882</v>
      </c>
      <c r="D477" t="s">
        <v>39</v>
      </c>
      <c r="E477" t="s">
        <v>40</v>
      </c>
      <c r="F477" t="s">
        <v>1883</v>
      </c>
      <c r="G477" t="s">
        <v>1167</v>
      </c>
      <c r="H477">
        <v>28</v>
      </c>
      <c r="Q477" t="s">
        <v>51</v>
      </c>
      <c r="R477" t="s">
        <v>1877</v>
      </c>
      <c r="V477" t="s">
        <v>1878</v>
      </c>
      <c r="X477" t="s">
        <v>1879</v>
      </c>
      <c r="AF477">
        <v>1010510398</v>
      </c>
      <c r="AJ477" t="s">
        <v>442</v>
      </c>
      <c r="AK477" t="s">
        <v>61</v>
      </c>
      <c r="AM477" t="str" cm="1">
        <f t="array" ref="AM477">_xlfn.IFS(OR(O477="Persoonlijk",O477="Zoon",O477="Dochter"),P477,OR(Q477="Persoonlijk",Q477="Zoon",Q477="Dochter"),R477,OR(S477="Persoonlijk",S477="Zoon",S477="Dochter"),T477,O477="Vader",P477,Q477="Vader",R477,S477="Vader",T477,O477="Moeder",P477,Q477="Moeder",R477,S477="Moeder",T477,TRUE,IF(P477&lt;&gt;"",P477,IF(R477&lt;&gt;"",R477,IF(T477&lt;&gt;"",T477,""))))</f>
        <v>Molly.diederick@gmail.com</v>
      </c>
      <c r="AN477" t="str" cm="1">
        <f t="array" ref="AN477">_xlfn.LET(_xlpm.raw,_xlfn.IFS(OR(U477="Persoonlijk",U477="Zoon",U477="Dochter"),V477,OR(W477="Persoonlijk",W477="Zoon",W477="Dochter"),X477,OR(Y477="Persoonlijk",Y477="Zoon",Y477="Dochter"),Z477,U477="Vader",V477,W477="Vader",X477,Y477="Vader",Z477,U477="Moeder",V477,W477="Moeder",X477,Y477="Moeder",Z477,TRUE,IF(V477&lt;&gt;"",V477,IF(X477&lt;&gt;"",X477,IF(Z477&lt;&gt;"",Z477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+32494605068</v>
      </c>
    </row>
    <row r="478" spans="1:40" x14ac:dyDescent="0.3">
      <c r="A478">
        <v>2183117</v>
      </c>
      <c r="B478" t="s">
        <v>1884</v>
      </c>
      <c r="C478" t="s">
        <v>1231</v>
      </c>
      <c r="D478" t="s">
        <v>39</v>
      </c>
      <c r="E478" t="s">
        <v>40</v>
      </c>
      <c r="F478" t="s">
        <v>1885</v>
      </c>
      <c r="G478" t="s">
        <v>492</v>
      </c>
      <c r="H478">
        <v>100</v>
      </c>
      <c r="AA478">
        <v>0</v>
      </c>
      <c r="AF478">
        <v>1002183117</v>
      </c>
      <c r="AM478" t="str" cm="1">
        <f t="array" ref="AM478">_xlfn.IFS(OR(O478="Persoonlijk",O478="Zoon",O478="Dochter"),P478,OR(Q478="Persoonlijk",Q478="Zoon",Q478="Dochter"),R478,OR(S478="Persoonlijk",S478="Zoon",S478="Dochter"),T478,O478="Vader",P478,Q478="Vader",R478,S478="Vader",T478,O478="Moeder",P478,Q478="Moeder",R478,S478="Moeder",T478,TRUE,IF(P478&lt;&gt;"",P478,IF(R478&lt;&gt;"",R478,IF(T478&lt;&gt;"",T478,""))))</f>
        <v/>
      </c>
      <c r="AN478" t="str" cm="1">
        <f t="array" ref="AN478">_xlfn.LET(_xlpm.raw,_xlfn.IFS(OR(U478="Persoonlijk",U478="Zoon",U478="Dochter"),V478,OR(W478="Persoonlijk",W478="Zoon",W478="Dochter"),X478,OR(Y478="Persoonlijk",Y478="Zoon",Y478="Dochter"),Z478,U478="Vader",V478,W478="Vader",X478,Y478="Vader",Z478,U478="Moeder",V478,W478="Moeder",X478,Y478="Moeder",Z478,TRUE,IF(V478&lt;&gt;"",V478,IF(X478&lt;&gt;"",X478,IF(Z478&lt;&gt;"",Z478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79" spans="1:40" x14ac:dyDescent="0.3">
      <c r="A479">
        <v>10350943</v>
      </c>
      <c r="B479" t="s">
        <v>1886</v>
      </c>
      <c r="C479" t="s">
        <v>1887</v>
      </c>
      <c r="D479" t="s">
        <v>39</v>
      </c>
      <c r="E479" t="s">
        <v>49</v>
      </c>
      <c r="F479" t="s">
        <v>1888</v>
      </c>
      <c r="G479" t="s">
        <v>1253</v>
      </c>
      <c r="H479">
        <v>18</v>
      </c>
      <c r="U479" t="s">
        <v>46</v>
      </c>
      <c r="V479">
        <v>32472509246</v>
      </c>
      <c r="AC479" t="s">
        <v>1889</v>
      </c>
      <c r="AE479" t="s">
        <v>1890</v>
      </c>
      <c r="AF479">
        <v>1010350943</v>
      </c>
      <c r="AM479" t="str" cm="1">
        <f t="array" ref="AM479">_xlfn.IFS(OR(O479="Persoonlijk",O479="Zoon",O479="Dochter"),P479,OR(Q479="Persoonlijk",Q479="Zoon",Q479="Dochter"),R479,OR(S479="Persoonlijk",S479="Zoon",S479="Dochter"),T479,O479="Vader",P479,Q479="Vader",R479,S479="Vader",T479,O479="Moeder",P479,Q479="Moeder",R479,S479="Moeder",T479,TRUE,IF(P479&lt;&gt;"",P479,IF(R479&lt;&gt;"",R479,IF(T479&lt;&gt;"",T479,""))))</f>
        <v/>
      </c>
      <c r="AN479" t="str" cm="1">
        <f t="array" ref="AN479">_xlfn.LET(_xlpm.raw,_xlfn.IFS(OR(U479="Persoonlijk",U479="Zoon",U479="Dochter"),V479,OR(W479="Persoonlijk",W479="Zoon",W479="Dochter"),X479,OR(Y479="Persoonlijk",Y479="Zoon",Y479="Dochter"),Z479,U479="Vader",V479,W479="Vader",X479,Y479="Vader",Z479,U479="Moeder",V479,W479="Moeder",X479,Y479="Moeder",Z479,TRUE,IF(V479&lt;&gt;"",V479,IF(X479&lt;&gt;"",X479,IF(Z479&lt;&gt;"",Z479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+32472509246</v>
      </c>
    </row>
    <row r="480" spans="1:40" x14ac:dyDescent="0.3">
      <c r="A480">
        <v>5575641</v>
      </c>
      <c r="B480" t="s">
        <v>1891</v>
      </c>
      <c r="C480" t="s">
        <v>1892</v>
      </c>
      <c r="D480" t="s">
        <v>39</v>
      </c>
      <c r="E480" t="s">
        <v>49</v>
      </c>
      <c r="F480" t="s">
        <v>1893</v>
      </c>
      <c r="V480" t="s">
        <v>1894</v>
      </c>
      <c r="AC480" t="s">
        <v>1895</v>
      </c>
      <c r="AF480">
        <v>1005575641</v>
      </c>
      <c r="AG480">
        <v>646639</v>
      </c>
      <c r="AM480" t="str" cm="1">
        <f t="array" ref="AM480">_xlfn.IFS(OR(O480="Persoonlijk",O480="Zoon",O480="Dochter"),P480,OR(Q480="Persoonlijk",Q480="Zoon",Q480="Dochter"),R480,OR(S480="Persoonlijk",S480="Zoon",S480="Dochter"),T480,O480="Vader",P480,Q480="Vader",R480,S480="Vader",T480,O480="Moeder",P480,Q480="Moeder",R480,S480="Moeder",T480,TRUE,IF(P480&lt;&gt;"",P480,IF(R480&lt;&gt;"",R480,IF(T480&lt;&gt;"",T480,""))))</f>
        <v/>
      </c>
      <c r="AN480" t="str" cm="1">
        <f t="array" ref="AN480">_xlfn.LET(_xlpm.raw,_xlfn.IFS(OR(U480="Persoonlijk",U480="Zoon",U480="Dochter"),V480,OR(W480="Persoonlijk",W480="Zoon",W480="Dochter"),X480,OR(Y480="Persoonlijk",Y480="Zoon",Y480="Dochter"),Z480,U480="Vader",V480,W480="Vader",X480,Y480="Vader",Z480,U480="Moeder",V480,W480="Moeder",X480,Y480="Moeder",Z480,TRUE,IF(V480&lt;&gt;"",V480,IF(X480&lt;&gt;"",X480,IF(Z480&lt;&gt;"",Z480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+32489384856</v>
      </c>
    </row>
    <row r="481" spans="1:40" x14ac:dyDescent="0.3">
      <c r="A481">
        <v>11286575</v>
      </c>
      <c r="B481" t="s">
        <v>1896</v>
      </c>
      <c r="C481" t="s">
        <v>1897</v>
      </c>
      <c r="D481" t="s">
        <v>39</v>
      </c>
      <c r="E481" t="s">
        <v>40</v>
      </c>
      <c r="F481" t="s">
        <v>1898</v>
      </c>
      <c r="G481" t="s">
        <v>1899</v>
      </c>
      <c r="H481">
        <v>41</v>
      </c>
      <c r="Q481" t="s">
        <v>46</v>
      </c>
      <c r="R481" t="s">
        <v>1900</v>
      </c>
      <c r="U481" t="s">
        <v>53</v>
      </c>
      <c r="V481" t="s">
        <v>1901</v>
      </c>
      <c r="AF481">
        <v>1011286575</v>
      </c>
      <c r="AM481" t="str" cm="1">
        <f t="array" ref="AM481">_xlfn.IFS(OR(O481="Persoonlijk",O481="Zoon",O481="Dochter"),P481,OR(Q481="Persoonlijk",Q481="Zoon",Q481="Dochter"),R481,OR(S481="Persoonlijk",S481="Zoon",S481="Dochter"),T481,O481="Vader",P481,Q481="Vader",R481,S481="Vader",T481,O481="Moeder",P481,Q481="Moeder",R481,S481="Moeder",T481,TRUE,IF(P481&lt;&gt;"",P481,IF(R481&lt;&gt;"",R481,IF(T481&lt;&gt;"",T481,""))))</f>
        <v>jeremiemukuna43@gmail.com</v>
      </c>
      <c r="AN481" t="str" cm="1">
        <f t="array" ref="AN481">_xlfn.LET(_xlpm.raw,_xlfn.IFS(OR(U481="Persoonlijk",U481="Zoon",U481="Dochter"),V481,OR(W481="Persoonlijk",W481="Zoon",W481="Dochter"),X481,OR(Y481="Persoonlijk",Y481="Zoon",Y481="Dochter"),Z481,U481="Vader",V481,W481="Vader",X481,Y481="Vader",Z481,U481="Moeder",V481,W481="Moeder",X481,Y481="Moeder",Z481,TRUE,IF(V481&lt;&gt;"",V481,IF(X481&lt;&gt;"",X481,IF(Z481&lt;&gt;"",Z481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+32468153687</v>
      </c>
    </row>
    <row r="482" spans="1:40" x14ac:dyDescent="0.3">
      <c r="A482">
        <v>3526587</v>
      </c>
      <c r="B482" t="s">
        <v>1902</v>
      </c>
      <c r="C482" t="s">
        <v>1017</v>
      </c>
      <c r="D482" t="s">
        <v>39</v>
      </c>
      <c r="E482" t="s">
        <v>40</v>
      </c>
      <c r="F482" t="s">
        <v>1903</v>
      </c>
      <c r="G482" t="s">
        <v>1904</v>
      </c>
      <c r="H482">
        <v>3</v>
      </c>
      <c r="V482">
        <v>486032155</v>
      </c>
      <c r="X482">
        <v>477931456</v>
      </c>
      <c r="Z482">
        <v>0</v>
      </c>
      <c r="AA482">
        <v>0</v>
      </c>
      <c r="AE482" t="s">
        <v>1905</v>
      </c>
      <c r="AF482">
        <v>1003526587</v>
      </c>
      <c r="AJ482" t="s">
        <v>104</v>
      </c>
      <c r="AK482" t="s">
        <v>61</v>
      </c>
      <c r="AM482" t="str" cm="1">
        <f t="array" ref="AM482">_xlfn.IFS(OR(O482="Persoonlijk",O482="Zoon",O482="Dochter"),P482,OR(Q482="Persoonlijk",Q482="Zoon",Q482="Dochter"),R482,OR(S482="Persoonlijk",S482="Zoon",S482="Dochter"),T482,O482="Vader",P482,Q482="Vader",R482,S482="Vader",T482,O482="Moeder",P482,Q482="Moeder",R482,S482="Moeder",T482,TRUE,IF(P482&lt;&gt;"",P482,IF(R482&lt;&gt;"",R482,IF(T482&lt;&gt;"",T482,""))))</f>
        <v/>
      </c>
      <c r="AN482" t="str" cm="1">
        <f t="array" ref="AN482">_xlfn.LET(_xlpm.raw,_xlfn.IFS(OR(U482="Persoonlijk",U482="Zoon",U482="Dochter"),V482,OR(W482="Persoonlijk",W482="Zoon",W482="Dochter"),X482,OR(Y482="Persoonlijk",Y482="Zoon",Y482="Dochter"),Z482,U482="Vader",V482,W482="Vader",X482,Y482="Vader",Z482,U482="Moeder",V482,W482="Moeder",X482,Y482="Moeder",Z482,TRUE,IF(V482&lt;&gt;"",V482,IF(X482&lt;&gt;"",X482,IF(Z482&lt;&gt;"",Z482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+32486032155</v>
      </c>
    </row>
    <row r="483" spans="1:40" x14ac:dyDescent="0.3">
      <c r="A483">
        <v>7328405</v>
      </c>
      <c r="B483" t="s">
        <v>1906</v>
      </c>
      <c r="C483" t="s">
        <v>1907</v>
      </c>
      <c r="D483" t="s">
        <v>39</v>
      </c>
      <c r="E483" t="s">
        <v>40</v>
      </c>
      <c r="F483" t="s">
        <v>1908</v>
      </c>
      <c r="G483" t="s">
        <v>1909</v>
      </c>
      <c r="H483">
        <v>34</v>
      </c>
      <c r="Q483" t="s">
        <v>51</v>
      </c>
      <c r="R483" t="s">
        <v>1910</v>
      </c>
      <c r="V483" t="s">
        <v>1911</v>
      </c>
      <c r="X483" t="s">
        <v>1912</v>
      </c>
      <c r="AE483" t="s">
        <v>1913</v>
      </c>
      <c r="AF483">
        <v>1007328405</v>
      </c>
      <c r="AJ483" t="s">
        <v>656</v>
      </c>
      <c r="AK483" t="s">
        <v>61</v>
      </c>
      <c r="AM483" t="str" cm="1">
        <f t="array" ref="AM483">_xlfn.IFS(OR(O483="Persoonlijk",O483="Zoon",O483="Dochter"),P483,OR(Q483="Persoonlijk",Q483="Zoon",Q483="Dochter"),R483,OR(S483="Persoonlijk",S483="Zoon",S483="Dochter"),T483,O483="Vader",P483,Q483="Vader",R483,S483="Vader",T483,O483="Moeder",P483,Q483="Moeder",R483,S483="Moeder",T483,TRUE,IF(P483&lt;&gt;"",P483,IF(R483&lt;&gt;"",R483,IF(T483&lt;&gt;"",T483,""))))</f>
        <v>deesnaessens@hotmail.com</v>
      </c>
      <c r="AN483" t="str" cm="1">
        <f t="array" ref="AN483">_xlfn.LET(_xlpm.raw,_xlfn.IFS(OR(U483="Persoonlijk",U483="Zoon",U483="Dochter"),V483,OR(W483="Persoonlijk",W483="Zoon",W483="Dochter"),X483,OR(Y483="Persoonlijk",Y483="Zoon",Y483="Dochter"),Z483,U483="Vader",V483,W483="Vader",X483,Y483="Vader",Z483,U483="Moeder",V483,W483="Moeder",X483,Y483="Moeder",Z483,TRUE,IF(V483&lt;&gt;"",V483,IF(X483&lt;&gt;"",X483,IF(Z483&lt;&gt;"",Z483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+32495844733</v>
      </c>
    </row>
    <row r="484" spans="1:40" x14ac:dyDescent="0.3">
      <c r="A484">
        <v>7328405</v>
      </c>
      <c r="B484" t="s">
        <v>1906</v>
      </c>
      <c r="C484" t="s">
        <v>1907</v>
      </c>
      <c r="D484" t="s">
        <v>39</v>
      </c>
      <c r="E484" t="s">
        <v>40</v>
      </c>
      <c r="F484" t="s">
        <v>1908</v>
      </c>
      <c r="G484" t="s">
        <v>1909</v>
      </c>
      <c r="H484">
        <v>34</v>
      </c>
      <c r="Q484" t="s">
        <v>51</v>
      </c>
      <c r="R484" t="s">
        <v>1910</v>
      </c>
      <c r="V484" t="s">
        <v>1911</v>
      </c>
      <c r="X484" t="s">
        <v>1912</v>
      </c>
      <c r="AE484" t="s">
        <v>1913</v>
      </c>
      <c r="AF484">
        <v>1007328405</v>
      </c>
      <c r="AJ484" t="s">
        <v>295</v>
      </c>
      <c r="AK484" t="s">
        <v>61</v>
      </c>
      <c r="AM484" t="str" cm="1">
        <f t="array" ref="AM484">_xlfn.IFS(OR(O484="Persoonlijk",O484="Zoon",O484="Dochter"),P484,OR(Q484="Persoonlijk",Q484="Zoon",Q484="Dochter"),R484,OR(S484="Persoonlijk",S484="Zoon",S484="Dochter"),T484,O484="Vader",P484,Q484="Vader",R484,S484="Vader",T484,O484="Moeder",P484,Q484="Moeder",R484,S484="Moeder",T484,TRUE,IF(P484&lt;&gt;"",P484,IF(R484&lt;&gt;"",R484,IF(T484&lt;&gt;"",T484,""))))</f>
        <v>deesnaessens@hotmail.com</v>
      </c>
      <c r="AN484" t="str" cm="1">
        <f t="array" ref="AN484">_xlfn.LET(_xlpm.raw,_xlfn.IFS(OR(U484="Persoonlijk",U484="Zoon",U484="Dochter"),V484,OR(W484="Persoonlijk",W484="Zoon",W484="Dochter"),X484,OR(Y484="Persoonlijk",Y484="Zoon",Y484="Dochter"),Z484,U484="Vader",V484,W484="Vader",X484,Y484="Vader",Z484,U484="Moeder",V484,W484="Moeder",X484,Y484="Moeder",Z484,TRUE,IF(V484&lt;&gt;"",V484,IF(X484&lt;&gt;"",X484,IF(Z484&lt;&gt;"",Z484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+32495844733</v>
      </c>
    </row>
    <row r="485" spans="1:40" x14ac:dyDescent="0.3">
      <c r="A485">
        <v>3543437</v>
      </c>
      <c r="B485" t="s">
        <v>1914</v>
      </c>
      <c r="C485" t="s">
        <v>1915</v>
      </c>
      <c r="D485" t="s">
        <v>39</v>
      </c>
      <c r="E485" t="s">
        <v>40</v>
      </c>
      <c r="F485" t="s">
        <v>1916</v>
      </c>
      <c r="G485" t="s">
        <v>1917</v>
      </c>
      <c r="H485" t="s">
        <v>1918</v>
      </c>
      <c r="V485">
        <v>474078109</v>
      </c>
      <c r="X485">
        <v>476503436</v>
      </c>
      <c r="Z485">
        <v>0</v>
      </c>
      <c r="AA485">
        <v>0</v>
      </c>
      <c r="AE485" t="s">
        <v>1919</v>
      </c>
      <c r="AF485">
        <v>1003543437</v>
      </c>
      <c r="AJ485" t="s">
        <v>143</v>
      </c>
      <c r="AK485" t="s">
        <v>61</v>
      </c>
      <c r="AM485" t="str" cm="1">
        <f t="array" ref="AM485">_xlfn.IFS(OR(O485="Persoonlijk",O485="Zoon",O485="Dochter"),P485,OR(Q485="Persoonlijk",Q485="Zoon",Q485="Dochter"),R485,OR(S485="Persoonlijk",S485="Zoon",S485="Dochter"),T485,O485="Vader",P485,Q485="Vader",R485,S485="Vader",T485,O485="Moeder",P485,Q485="Moeder",R485,S485="Moeder",T485,TRUE,IF(P485&lt;&gt;"",P485,IF(R485&lt;&gt;"",R485,IF(T485&lt;&gt;"",T485,""))))</f>
        <v/>
      </c>
      <c r="AN485" t="str" cm="1">
        <f t="array" ref="AN485">_xlfn.LET(_xlpm.raw,_xlfn.IFS(OR(U485="Persoonlijk",U485="Zoon",U485="Dochter"),V485,OR(W485="Persoonlijk",W485="Zoon",W485="Dochter"),X485,OR(Y485="Persoonlijk",Y485="Zoon",Y485="Dochter"),Z485,U485="Vader",V485,W485="Vader",X485,Y485="Vader",Z485,U485="Moeder",V485,W485="Moeder",X485,Y485="Moeder",Z485,TRUE,IF(V485&lt;&gt;"",V485,IF(X485&lt;&gt;"",X485,IF(Z485&lt;&gt;"",Z485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+32474078109</v>
      </c>
    </row>
    <row r="486" spans="1:40" x14ac:dyDescent="0.3">
      <c r="A486">
        <v>4496871</v>
      </c>
      <c r="B486" t="s">
        <v>1920</v>
      </c>
      <c r="C486" t="s">
        <v>1921</v>
      </c>
      <c r="D486" t="s">
        <v>39</v>
      </c>
      <c r="E486" t="s">
        <v>40</v>
      </c>
      <c r="F486" t="s">
        <v>1922</v>
      </c>
      <c r="G486" t="s">
        <v>1745</v>
      </c>
      <c r="H486">
        <v>30</v>
      </c>
      <c r="I486" t="s">
        <v>1923</v>
      </c>
      <c r="R486" t="s">
        <v>1924</v>
      </c>
      <c r="V486" t="s">
        <v>1925</v>
      </c>
      <c r="AE486" t="s">
        <v>1926</v>
      </c>
      <c r="AF486">
        <v>1004496871</v>
      </c>
      <c r="AM486" t="str" cm="1">
        <f t="array" ref="AM486">_xlfn.IFS(OR(O486="Persoonlijk",O486="Zoon",O486="Dochter"),P486,OR(Q486="Persoonlijk",Q486="Zoon",Q486="Dochter"),R486,OR(S486="Persoonlijk",S486="Zoon",S486="Dochter"),T486,O486="Vader",P486,Q486="Vader",R486,S486="Vader",T486,O486="Moeder",P486,Q486="Moeder",R486,S486="Moeder",T486,TRUE,IF(P486&lt;&gt;"",P486,IF(R486&lt;&gt;"",R486,IF(T486&lt;&gt;"",T486,""))))</f>
        <v>broekaert.geert@gmail.Com</v>
      </c>
      <c r="AN486" t="str" cm="1">
        <f t="array" ref="AN486">_xlfn.LET(_xlpm.raw,_xlfn.IFS(OR(U486="Persoonlijk",U486="Zoon",U486="Dochter"),V486,OR(W486="Persoonlijk",W486="Zoon",W486="Dochter"),X486,OR(Y486="Persoonlijk",Y486="Zoon",Y486="Dochter"),Z486,U486="Vader",V486,W486="Vader",X486,Y486="Vader",Z486,U486="Moeder",V486,W486="Moeder",X486,Y486="Moeder",Z486,TRUE,IF(V486&lt;&gt;"",V486,IF(X486&lt;&gt;"",X486,IF(Z486&lt;&gt;"",Z486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+32473217678</v>
      </c>
    </row>
    <row r="487" spans="1:40" x14ac:dyDescent="0.3">
      <c r="A487">
        <v>10733437</v>
      </c>
      <c r="B487" t="s">
        <v>1927</v>
      </c>
      <c r="C487" t="s">
        <v>1928</v>
      </c>
      <c r="D487" t="s">
        <v>39</v>
      </c>
      <c r="E487" t="s">
        <v>40</v>
      </c>
      <c r="F487" t="s">
        <v>1929</v>
      </c>
      <c r="G487" t="s">
        <v>141</v>
      </c>
      <c r="H487">
        <v>174</v>
      </c>
      <c r="Q487" t="s">
        <v>51</v>
      </c>
      <c r="R487" t="s">
        <v>1930</v>
      </c>
      <c r="V487" t="s">
        <v>1931</v>
      </c>
      <c r="AF487">
        <v>1010733437</v>
      </c>
      <c r="AJ487" t="s">
        <v>294</v>
      </c>
      <c r="AK487" t="s">
        <v>61</v>
      </c>
      <c r="AM487" t="str" cm="1">
        <f t="array" ref="AM487">_xlfn.IFS(OR(O487="Persoonlijk",O487="Zoon",O487="Dochter"),P487,OR(Q487="Persoonlijk",Q487="Zoon",Q487="Dochter"),R487,OR(S487="Persoonlijk",S487="Zoon",S487="Dochter"),T487,O487="Vader",P487,Q487="Vader",R487,S487="Vader",T487,O487="Moeder",P487,Q487="Moeder",R487,S487="Moeder",T487,TRUE,IF(P487&lt;&gt;"",P487,IF(R487&lt;&gt;"",R487,IF(T487&lt;&gt;"",T487,""))))</f>
        <v>danieloreilly22@yahoo.ie</v>
      </c>
      <c r="AN487" t="str" cm="1">
        <f t="array" ref="AN487">_xlfn.LET(_xlpm.raw,_xlfn.IFS(OR(U487="Persoonlijk",U487="Zoon",U487="Dochter"),V487,OR(W487="Persoonlijk",W487="Zoon",W487="Dochter"),X487,OR(Y487="Persoonlijk",Y487="Zoon",Y487="Dochter"),Z487,U487="Vader",V487,W487="Vader",X487,Y487="Vader",Z487,U487="Moeder",V487,W487="Moeder",X487,Y487="Moeder",Z487,TRUE,IF(V487&lt;&gt;"",V487,IF(X487&lt;&gt;"",X487,IF(Z487&lt;&gt;"",Z487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+32494886713</v>
      </c>
    </row>
    <row r="488" spans="1:40" x14ac:dyDescent="0.3">
      <c r="A488">
        <v>2650841</v>
      </c>
      <c r="B488" t="s">
        <v>1932</v>
      </c>
      <c r="C488" t="s">
        <v>1933</v>
      </c>
      <c r="D488" t="s">
        <v>39</v>
      </c>
      <c r="E488" t="s">
        <v>40</v>
      </c>
      <c r="F488" t="s">
        <v>1934</v>
      </c>
      <c r="G488" t="s">
        <v>1935</v>
      </c>
      <c r="H488">
        <v>2</v>
      </c>
      <c r="U488" t="s">
        <v>53</v>
      </c>
      <c r="V488">
        <v>477290847</v>
      </c>
      <c r="W488" t="s">
        <v>51</v>
      </c>
      <c r="X488">
        <v>470977215</v>
      </c>
      <c r="Y488" t="s">
        <v>46</v>
      </c>
      <c r="Z488">
        <v>498493589</v>
      </c>
      <c r="AA488">
        <v>0</v>
      </c>
      <c r="AF488">
        <v>1002650841</v>
      </c>
      <c r="AM488" t="str" cm="1">
        <f t="array" ref="AM488">_xlfn.IFS(OR(O488="Persoonlijk",O488="Zoon",O488="Dochter"),P488,OR(Q488="Persoonlijk",Q488="Zoon",Q488="Dochter"),R488,OR(S488="Persoonlijk",S488="Zoon",S488="Dochter"),T488,O488="Vader",P488,Q488="Vader",R488,S488="Vader",T488,O488="Moeder",P488,Q488="Moeder",R488,S488="Moeder",T488,TRUE,IF(P488&lt;&gt;"",P488,IF(R488&lt;&gt;"",R488,IF(T488&lt;&gt;"",T488,""))))</f>
        <v/>
      </c>
      <c r="AN488" t="str" cm="1">
        <f t="array" ref="AN488">_xlfn.LET(_xlpm.raw,_xlfn.IFS(OR(U488="Persoonlijk",U488="Zoon",U488="Dochter"),V488,OR(W488="Persoonlijk",W488="Zoon",W488="Dochter"),X488,OR(Y488="Persoonlijk",Y488="Zoon",Y488="Dochter"),Z488,U488="Vader",V488,W488="Vader",X488,Y488="Vader",Z488,U488="Moeder",V488,W488="Moeder",X488,Y488="Moeder",Z488,TRUE,IF(V488&lt;&gt;"",V488,IF(X488&lt;&gt;"",X488,IF(Z488&lt;&gt;"",Z488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+32498493589</v>
      </c>
    </row>
    <row r="489" spans="1:40" x14ac:dyDescent="0.3">
      <c r="A489">
        <v>4296434</v>
      </c>
      <c r="B489" t="s">
        <v>1936</v>
      </c>
      <c r="C489" t="s">
        <v>1937</v>
      </c>
      <c r="D489" t="s">
        <v>39</v>
      </c>
      <c r="E489" t="s">
        <v>40</v>
      </c>
      <c r="F489" t="s">
        <v>1938</v>
      </c>
      <c r="G489" t="s">
        <v>1939</v>
      </c>
      <c r="H489">
        <v>13</v>
      </c>
      <c r="Q489" t="s">
        <v>53</v>
      </c>
      <c r="R489" t="s">
        <v>1940</v>
      </c>
      <c r="U489" t="s">
        <v>51</v>
      </c>
      <c r="V489" t="s">
        <v>1941</v>
      </c>
      <c r="W489" t="s">
        <v>53</v>
      </c>
      <c r="X489" t="s">
        <v>1942</v>
      </c>
      <c r="AF489">
        <v>1004296434</v>
      </c>
      <c r="AG489">
        <v>757869</v>
      </c>
      <c r="AJ489" t="s">
        <v>744</v>
      </c>
      <c r="AK489" t="s">
        <v>61</v>
      </c>
      <c r="AL489" t="s">
        <v>62</v>
      </c>
      <c r="AM489" t="str" cm="1">
        <f t="array" ref="AM489">_xlfn.IFS(OR(O489="Persoonlijk",O489="Zoon",O489="Dochter"),P489,OR(Q489="Persoonlijk",Q489="Zoon",Q489="Dochter"),R489,OR(S489="Persoonlijk",S489="Zoon",S489="Dochter"),T489,O489="Vader",P489,Q489="Vader",R489,S489="Vader",T489,O489="Moeder",P489,Q489="Moeder",R489,S489="Moeder",T489,TRUE,IF(P489&lt;&gt;"",P489,IF(R489&lt;&gt;"",R489,IF(T489&lt;&gt;"",T489,""))))</f>
        <v>meirlaen.evelien@gmail.com</v>
      </c>
      <c r="AN489" t="str" cm="1">
        <f t="array" ref="AN489">_xlfn.LET(_xlpm.raw,_xlfn.IFS(OR(U489="Persoonlijk",U489="Zoon",U489="Dochter"),V489,OR(W489="Persoonlijk",W489="Zoon",W489="Dochter"),X489,OR(Y489="Persoonlijk",Y489="Zoon",Y489="Dochter"),Z489,U489="Vader",V489,W489="Vader",X489,Y489="Vader",Z489,U489="Moeder",V489,W489="Moeder",X489,Y489="Moeder",Z489,TRUE,IF(V489&lt;&gt;"",V489,IF(X489&lt;&gt;"",X489,IF(Z489&lt;&gt;"",Z489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+32478767261</v>
      </c>
    </row>
    <row r="490" spans="1:40" x14ac:dyDescent="0.3">
      <c r="A490">
        <v>4296434</v>
      </c>
      <c r="B490" t="s">
        <v>1936</v>
      </c>
      <c r="C490" t="s">
        <v>1937</v>
      </c>
      <c r="D490" t="s">
        <v>39</v>
      </c>
      <c r="E490" t="s">
        <v>40</v>
      </c>
      <c r="F490" t="s">
        <v>1938</v>
      </c>
      <c r="G490" t="s">
        <v>1939</v>
      </c>
      <c r="H490">
        <v>13</v>
      </c>
      <c r="Q490" t="s">
        <v>53</v>
      </c>
      <c r="R490" t="s">
        <v>1940</v>
      </c>
      <c r="U490" t="s">
        <v>51</v>
      </c>
      <c r="V490" t="s">
        <v>1941</v>
      </c>
      <c r="W490" t="s">
        <v>53</v>
      </c>
      <c r="X490" t="s">
        <v>1942</v>
      </c>
      <c r="AF490">
        <v>1004296434</v>
      </c>
      <c r="AG490">
        <v>757869</v>
      </c>
      <c r="AJ490" t="s">
        <v>87</v>
      </c>
      <c r="AK490" t="s">
        <v>61</v>
      </c>
      <c r="AM490" t="str" cm="1">
        <f t="array" ref="AM490">_xlfn.IFS(OR(O490="Persoonlijk",O490="Zoon",O490="Dochter"),P490,OR(Q490="Persoonlijk",Q490="Zoon",Q490="Dochter"),R490,OR(S490="Persoonlijk",S490="Zoon",S490="Dochter"),T490,O490="Vader",P490,Q490="Vader",R490,S490="Vader",T490,O490="Moeder",P490,Q490="Moeder",R490,S490="Moeder",T490,TRUE,IF(P490&lt;&gt;"",P490,IF(R490&lt;&gt;"",R490,IF(T490&lt;&gt;"",T490,""))))</f>
        <v>meirlaen.evelien@gmail.com</v>
      </c>
      <c r="AN490" t="str" cm="1">
        <f t="array" ref="AN490">_xlfn.LET(_xlpm.raw,_xlfn.IFS(OR(U490="Persoonlijk",U490="Zoon",U490="Dochter"),V490,OR(W490="Persoonlijk",W490="Zoon",W490="Dochter"),X490,OR(Y490="Persoonlijk",Y490="Zoon",Y490="Dochter"),Z490,U490="Vader",V490,W490="Vader",X490,Y490="Vader",Z490,U490="Moeder",V490,W490="Moeder",X490,Y490="Moeder",Z490,TRUE,IF(V490&lt;&gt;"",V490,IF(X490&lt;&gt;"",X490,IF(Z490&lt;&gt;"",Z490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+32478767261</v>
      </c>
    </row>
    <row r="491" spans="1:40" x14ac:dyDescent="0.3">
      <c r="A491">
        <v>9739268</v>
      </c>
      <c r="B491" t="s">
        <v>1936</v>
      </c>
      <c r="C491" t="s">
        <v>1943</v>
      </c>
      <c r="D491" t="s">
        <v>39</v>
      </c>
      <c r="E491" t="s">
        <v>40</v>
      </c>
      <c r="F491" t="s">
        <v>1944</v>
      </c>
      <c r="G491" t="s">
        <v>1899</v>
      </c>
      <c r="AB491" t="s">
        <v>1945</v>
      </c>
      <c r="AF491">
        <v>1009739268</v>
      </c>
      <c r="AM491" t="str" cm="1">
        <f t="array" ref="AM491">_xlfn.IFS(OR(O491="Persoonlijk",O491="Zoon",O491="Dochter"),P491,OR(Q491="Persoonlijk",Q491="Zoon",Q491="Dochter"),R491,OR(S491="Persoonlijk",S491="Zoon",S491="Dochter"),T491,O491="Vader",P491,Q491="Vader",R491,S491="Vader",T491,O491="Moeder",P491,Q491="Moeder",R491,S491="Moeder",T491,TRUE,IF(P491&lt;&gt;"",P491,IF(R491&lt;&gt;"",R491,IF(T491&lt;&gt;"",T491,""))))</f>
        <v/>
      </c>
      <c r="AN491" t="str" cm="1">
        <f t="array" ref="AN491">_xlfn.LET(_xlpm.raw,_xlfn.IFS(OR(U491="Persoonlijk",U491="Zoon",U491="Dochter"),V491,OR(W491="Persoonlijk",W491="Zoon",W491="Dochter"),X491,OR(Y491="Persoonlijk",Y491="Zoon",Y491="Dochter"),Z491,U491="Vader",V491,W491="Vader",X491,Y491="Vader",Z491,U491="Moeder",V491,W491="Moeder",X491,Y491="Moeder",Z491,TRUE,IF(V491&lt;&gt;"",V491,IF(X491&lt;&gt;"",X491,IF(Z491&lt;&gt;"",Z491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92" spans="1:40" x14ac:dyDescent="0.3">
      <c r="A492">
        <v>3378905</v>
      </c>
      <c r="B492" t="s">
        <v>1946</v>
      </c>
      <c r="C492" t="s">
        <v>818</v>
      </c>
      <c r="D492" t="s">
        <v>39</v>
      </c>
      <c r="E492" t="s">
        <v>40</v>
      </c>
      <c r="F492" t="s">
        <v>1947</v>
      </c>
      <c r="G492" t="s">
        <v>1948</v>
      </c>
      <c r="H492">
        <v>71</v>
      </c>
      <c r="V492">
        <v>472656820</v>
      </c>
      <c r="X492">
        <v>496081620</v>
      </c>
      <c r="Z492">
        <v>474801324</v>
      </c>
      <c r="AA492">
        <v>0</v>
      </c>
      <c r="AF492">
        <v>1003378905</v>
      </c>
      <c r="AM492" t="str" cm="1">
        <f t="array" ref="AM492">_xlfn.IFS(OR(O492="Persoonlijk",O492="Zoon",O492="Dochter"),P492,OR(Q492="Persoonlijk",Q492="Zoon",Q492="Dochter"),R492,OR(S492="Persoonlijk",S492="Zoon",S492="Dochter"),T492,O492="Vader",P492,Q492="Vader",R492,S492="Vader",T492,O492="Moeder",P492,Q492="Moeder",R492,S492="Moeder",T492,TRUE,IF(P492&lt;&gt;"",P492,IF(R492&lt;&gt;"",R492,IF(T492&lt;&gt;"",T492,""))))</f>
        <v/>
      </c>
      <c r="AN492" t="str" cm="1">
        <f t="array" ref="AN492">_xlfn.LET(_xlpm.raw,_xlfn.IFS(OR(U492="Persoonlijk",U492="Zoon",U492="Dochter"),V492,OR(W492="Persoonlijk",W492="Zoon",W492="Dochter"),X492,OR(Y492="Persoonlijk",Y492="Zoon",Y492="Dochter"),Z492,U492="Vader",V492,W492="Vader",X492,Y492="Vader",Z492,U492="Moeder",V492,W492="Moeder",X492,Y492="Moeder",Z492,TRUE,IF(V492&lt;&gt;"",V492,IF(X492&lt;&gt;"",X492,IF(Z492&lt;&gt;"",Z492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+32472656820</v>
      </c>
    </row>
    <row r="493" spans="1:40" x14ac:dyDescent="0.3">
      <c r="A493">
        <v>3378895</v>
      </c>
      <c r="B493" t="s">
        <v>1946</v>
      </c>
      <c r="C493" t="s">
        <v>1078</v>
      </c>
      <c r="D493" t="s">
        <v>39</v>
      </c>
      <c r="E493" t="s">
        <v>49</v>
      </c>
      <c r="F493" t="s">
        <v>1949</v>
      </c>
      <c r="G493" t="s">
        <v>1948</v>
      </c>
      <c r="H493">
        <v>71</v>
      </c>
      <c r="U493" t="s">
        <v>53</v>
      </c>
      <c r="V493">
        <v>472656820</v>
      </c>
      <c r="X493">
        <v>496081620</v>
      </c>
      <c r="Z493">
        <v>474801324</v>
      </c>
      <c r="AD493">
        <v>15</v>
      </c>
      <c r="AF493">
        <v>1003378895</v>
      </c>
      <c r="AG493">
        <v>746004</v>
      </c>
      <c r="AJ493" t="s">
        <v>63</v>
      </c>
      <c r="AK493" t="s">
        <v>61</v>
      </c>
      <c r="AM493" t="str" cm="1">
        <f t="array" ref="AM493">_xlfn.IFS(OR(O493="Persoonlijk",O493="Zoon",O493="Dochter"),P493,OR(Q493="Persoonlijk",Q493="Zoon",Q493="Dochter"),R493,OR(S493="Persoonlijk",S493="Zoon",S493="Dochter"),T493,O493="Vader",P493,Q493="Vader",R493,S493="Vader",T493,O493="Moeder",P493,Q493="Moeder",R493,S493="Moeder",T493,TRUE,IF(P493&lt;&gt;"",P493,IF(R493&lt;&gt;"",R493,IF(T493&lt;&gt;"",T493,""))))</f>
        <v/>
      </c>
      <c r="AN493" t="str" cm="1">
        <f t="array" ref="AN493">_xlfn.LET(_xlpm.raw,_xlfn.IFS(OR(U493="Persoonlijk",U493="Zoon",U493="Dochter"),V493,OR(W493="Persoonlijk",W493="Zoon",W493="Dochter"),X493,OR(Y493="Persoonlijk",Y493="Zoon",Y493="Dochter"),Z493,U493="Vader",V493,W493="Vader",X493,Y493="Vader",Z493,U493="Moeder",V493,W493="Moeder",X493,Y493="Moeder",Z493,TRUE,IF(V493&lt;&gt;"",V493,IF(X493&lt;&gt;"",X493,IF(Z493&lt;&gt;"",Z493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+32472656820</v>
      </c>
    </row>
    <row r="494" spans="1:40" x14ac:dyDescent="0.3">
      <c r="A494">
        <v>3378895</v>
      </c>
      <c r="B494" t="s">
        <v>1946</v>
      </c>
      <c r="C494" t="s">
        <v>1078</v>
      </c>
      <c r="D494" t="s">
        <v>39</v>
      </c>
      <c r="E494" t="s">
        <v>49</v>
      </c>
      <c r="F494" t="s">
        <v>1949</v>
      </c>
      <c r="G494" t="s">
        <v>1948</v>
      </c>
      <c r="H494">
        <v>71</v>
      </c>
      <c r="U494" t="s">
        <v>53</v>
      </c>
      <c r="V494">
        <v>472656820</v>
      </c>
      <c r="X494">
        <v>496081620</v>
      </c>
      <c r="Z494">
        <v>474801324</v>
      </c>
      <c r="AD494">
        <v>15</v>
      </c>
      <c r="AF494">
        <v>1003378895</v>
      </c>
      <c r="AG494">
        <v>746004</v>
      </c>
      <c r="AJ494" t="s">
        <v>127</v>
      </c>
      <c r="AK494" t="s">
        <v>61</v>
      </c>
      <c r="AM494" t="str" cm="1">
        <f t="array" ref="AM494">_xlfn.IFS(OR(O494="Persoonlijk",O494="Zoon",O494="Dochter"),P494,OR(Q494="Persoonlijk",Q494="Zoon",Q494="Dochter"),R494,OR(S494="Persoonlijk",S494="Zoon",S494="Dochter"),T494,O494="Vader",P494,Q494="Vader",R494,S494="Vader",T494,O494="Moeder",P494,Q494="Moeder",R494,S494="Moeder",T494,TRUE,IF(P494&lt;&gt;"",P494,IF(R494&lt;&gt;"",R494,IF(T494&lt;&gt;"",T494,""))))</f>
        <v/>
      </c>
      <c r="AN494" t="str" cm="1">
        <f t="array" ref="AN494">_xlfn.LET(_xlpm.raw,_xlfn.IFS(OR(U494="Persoonlijk",U494="Zoon",U494="Dochter"),V494,OR(W494="Persoonlijk",W494="Zoon",W494="Dochter"),X494,OR(Y494="Persoonlijk",Y494="Zoon",Y494="Dochter"),Z494,U494="Vader",V494,W494="Vader",X494,Y494="Vader",Z494,U494="Moeder",V494,W494="Moeder",X494,Y494="Moeder",Z494,TRUE,IF(V494&lt;&gt;"",V494,IF(X494&lt;&gt;"",X494,IF(Z494&lt;&gt;"",Z494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+32472656820</v>
      </c>
    </row>
    <row r="495" spans="1:40" x14ac:dyDescent="0.3">
      <c r="A495">
        <v>4246167</v>
      </c>
      <c r="B495" t="s">
        <v>1946</v>
      </c>
      <c r="C495" t="s">
        <v>1170</v>
      </c>
      <c r="D495" t="s">
        <v>39</v>
      </c>
      <c r="E495" t="s">
        <v>40</v>
      </c>
      <c r="F495" t="s">
        <v>1950</v>
      </c>
      <c r="U495" t="s">
        <v>46</v>
      </c>
      <c r="V495">
        <v>320473713325</v>
      </c>
      <c r="X495">
        <v>0</v>
      </c>
      <c r="Z495">
        <v>0</v>
      </c>
      <c r="AA495">
        <v>0</v>
      </c>
      <c r="AF495">
        <v>1004246167</v>
      </c>
      <c r="AM495" t="str" cm="1">
        <f t="array" ref="AM495">_xlfn.IFS(OR(O495="Persoonlijk",O495="Zoon",O495="Dochter"),P495,OR(Q495="Persoonlijk",Q495="Zoon",Q495="Dochter"),R495,OR(S495="Persoonlijk",S495="Zoon",S495="Dochter"),T495,O495="Vader",P495,Q495="Vader",R495,S495="Vader",T495,O495="Moeder",P495,Q495="Moeder",R495,S495="Moeder",T495,TRUE,IF(P495&lt;&gt;"",P495,IF(R495&lt;&gt;"",R495,IF(T495&lt;&gt;"",T495,""))))</f>
        <v/>
      </c>
      <c r="AN495" t="str" cm="1">
        <f t="array" ref="AN495">_xlfn.LET(_xlpm.raw,_xlfn.IFS(OR(U495="Persoonlijk",U495="Zoon",U495="Dochter"),V495,OR(W495="Persoonlijk",W495="Zoon",W495="Dochter"),X495,OR(Y495="Persoonlijk",Y495="Zoon",Y495="Dochter"),Z495,U495="Vader",V495,W495="Vader",X495,Y495="Vader",Z495,U495="Moeder",V495,W495="Moeder",X495,Y495="Moeder",Z495,TRUE,IF(V495&lt;&gt;"",V495,IF(X495&lt;&gt;"",X495,IF(Z495&lt;&gt;"",Z495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+32473713325</v>
      </c>
    </row>
    <row r="496" spans="1:40" x14ac:dyDescent="0.3">
      <c r="A496">
        <v>3616567</v>
      </c>
      <c r="B496" t="s">
        <v>1951</v>
      </c>
      <c r="C496" t="s">
        <v>250</v>
      </c>
      <c r="D496" t="s">
        <v>39</v>
      </c>
      <c r="E496" t="s">
        <v>40</v>
      </c>
      <c r="F496" t="s">
        <v>1952</v>
      </c>
      <c r="G496" t="s">
        <v>1953</v>
      </c>
      <c r="H496">
        <v>10</v>
      </c>
      <c r="Q496" t="s">
        <v>53</v>
      </c>
      <c r="R496" t="s">
        <v>1954</v>
      </c>
      <c r="S496" t="s">
        <v>46</v>
      </c>
      <c r="T496" t="s">
        <v>1955</v>
      </c>
      <c r="U496" t="s">
        <v>51</v>
      </c>
      <c r="V496">
        <v>320476260862</v>
      </c>
      <c r="W496" t="s">
        <v>53</v>
      </c>
      <c r="X496">
        <v>320476646787</v>
      </c>
      <c r="Y496" t="s">
        <v>46</v>
      </c>
      <c r="Z496">
        <v>320467011927</v>
      </c>
      <c r="AF496">
        <v>1003616567</v>
      </c>
      <c r="AJ496" t="s">
        <v>202</v>
      </c>
      <c r="AK496" t="s">
        <v>61</v>
      </c>
      <c r="AM496" t="str" cm="1">
        <f t="array" ref="AM496">_xlfn.IFS(OR(O496="Persoonlijk",O496="Zoon",O496="Dochter"),P496,OR(Q496="Persoonlijk",Q496="Zoon",Q496="Dochter"),R496,OR(S496="Persoonlijk",S496="Zoon",S496="Dochter"),T496,O496="Vader",P496,Q496="Vader",R496,S496="Vader",T496,O496="Moeder",P496,Q496="Moeder",R496,S496="Moeder",T496,TRUE,IF(P496&lt;&gt;"",P496,IF(R496&lt;&gt;"",R496,IF(T496&lt;&gt;"",T496,""))))</f>
        <v>gust.ottevaere@telenet.be</v>
      </c>
      <c r="AN496" t="str" cm="1">
        <f t="array" ref="AN496">_xlfn.LET(_xlpm.raw,_xlfn.IFS(OR(U496="Persoonlijk",U496="Zoon",U496="Dochter"),V496,OR(W496="Persoonlijk",W496="Zoon",W496="Dochter"),X496,OR(Y496="Persoonlijk",Y496="Zoon",Y496="Dochter"),Z496,U496="Vader",V496,W496="Vader",X496,Y496="Vader",Z496,U496="Moeder",V496,W496="Moeder",X496,Y496="Moeder",Z496,TRUE,IF(V496&lt;&gt;"",V496,IF(X496&lt;&gt;"",X496,IF(Z496&lt;&gt;"",Z496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+32467011927</v>
      </c>
    </row>
    <row r="497" spans="1:40" x14ac:dyDescent="0.3">
      <c r="A497">
        <v>3616567</v>
      </c>
      <c r="B497" t="s">
        <v>1951</v>
      </c>
      <c r="C497" t="s">
        <v>250</v>
      </c>
      <c r="D497" t="s">
        <v>39</v>
      </c>
      <c r="E497" t="s">
        <v>40</v>
      </c>
      <c r="F497" t="s">
        <v>1952</v>
      </c>
      <c r="G497" t="s">
        <v>1953</v>
      </c>
      <c r="H497">
        <v>10</v>
      </c>
      <c r="Q497" t="s">
        <v>53</v>
      </c>
      <c r="R497" t="s">
        <v>1954</v>
      </c>
      <c r="S497" t="s">
        <v>46</v>
      </c>
      <c r="T497" t="s">
        <v>1955</v>
      </c>
      <c r="U497" t="s">
        <v>51</v>
      </c>
      <c r="V497">
        <v>320476260862</v>
      </c>
      <c r="W497" t="s">
        <v>53</v>
      </c>
      <c r="X497">
        <v>320476646787</v>
      </c>
      <c r="Y497" t="s">
        <v>46</v>
      </c>
      <c r="Z497">
        <v>320467011927</v>
      </c>
      <c r="AF497">
        <v>1003616567</v>
      </c>
      <c r="AJ497" t="s">
        <v>63</v>
      </c>
      <c r="AK497" t="s">
        <v>61</v>
      </c>
      <c r="AM497" t="str" cm="1">
        <f t="array" ref="AM497">_xlfn.IFS(OR(O497="Persoonlijk",O497="Zoon",O497="Dochter"),P497,OR(Q497="Persoonlijk",Q497="Zoon",Q497="Dochter"),R497,OR(S497="Persoonlijk",S497="Zoon",S497="Dochter"),T497,O497="Vader",P497,Q497="Vader",R497,S497="Vader",T497,O497="Moeder",P497,Q497="Moeder",R497,S497="Moeder",T497,TRUE,IF(P497&lt;&gt;"",P497,IF(R497&lt;&gt;"",R497,IF(T497&lt;&gt;"",T497,""))))</f>
        <v>gust.ottevaere@telenet.be</v>
      </c>
      <c r="AN497" t="str" cm="1">
        <f t="array" ref="AN497">_xlfn.LET(_xlpm.raw,_xlfn.IFS(OR(U497="Persoonlijk",U497="Zoon",U497="Dochter"),V497,OR(W497="Persoonlijk",W497="Zoon",W497="Dochter"),X497,OR(Y497="Persoonlijk",Y497="Zoon",Y497="Dochter"),Z497,U497="Vader",V497,W497="Vader",X497,Y497="Vader",Z497,U497="Moeder",V497,W497="Moeder",X497,Y497="Moeder",Z497,TRUE,IF(V497&lt;&gt;"",V497,IF(X497&lt;&gt;"",X497,IF(Z497&lt;&gt;"",Z497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+32467011927</v>
      </c>
    </row>
    <row r="498" spans="1:40" x14ac:dyDescent="0.3">
      <c r="A498">
        <v>2183137</v>
      </c>
      <c r="B498" t="s">
        <v>1956</v>
      </c>
      <c r="C498" t="s">
        <v>1957</v>
      </c>
      <c r="D498" t="s">
        <v>39</v>
      </c>
      <c r="E498" t="s">
        <v>49</v>
      </c>
      <c r="F498" t="s">
        <v>1958</v>
      </c>
      <c r="G498" t="s">
        <v>1529</v>
      </c>
      <c r="H498">
        <v>75</v>
      </c>
      <c r="R498" t="s">
        <v>1139</v>
      </c>
      <c r="AC498" t="s">
        <v>1959</v>
      </c>
      <c r="AE498" t="s">
        <v>1960</v>
      </c>
      <c r="AF498">
        <v>1002183137</v>
      </c>
      <c r="AG498">
        <v>702227</v>
      </c>
      <c r="AM498" t="str" cm="1">
        <f t="array" ref="AM498">_xlfn.IFS(OR(O498="Persoonlijk",O498="Zoon",O498="Dochter"),P498,OR(Q498="Persoonlijk",Q498="Zoon",Q498="Dochter"),R498,OR(S498="Persoonlijk",S498="Zoon",S498="Dochter"),T498,O498="Vader",P498,Q498="Vader",R498,S498="Vader",T498,O498="Moeder",P498,Q498="Moeder",R498,S498="Moeder",T498,TRUE,IF(P498&lt;&gt;"",P498,IF(R498&lt;&gt;"",R498,IF(T498&lt;&gt;"",T498,""))))</f>
        <v>jarno.mathis@gmail.com</v>
      </c>
      <c r="AN498" t="str" cm="1">
        <f t="array" ref="AN498">_xlfn.LET(_xlpm.raw,_xlfn.IFS(OR(U498="Persoonlijk",U498="Zoon",U498="Dochter"),V498,OR(W498="Persoonlijk",W498="Zoon",W498="Dochter"),X498,OR(Y498="Persoonlijk",Y498="Zoon",Y498="Dochter"),Z498,U498="Vader",V498,W498="Vader",X498,Y498="Vader",Z498,U498="Moeder",V498,W498="Moeder",X498,Y498="Moeder",Z498,TRUE,IF(V498&lt;&gt;"",V498,IF(X498&lt;&gt;"",X498,IF(Z498&lt;&gt;"",Z498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99" spans="1:40" x14ac:dyDescent="0.3">
      <c r="A499">
        <v>7329713</v>
      </c>
      <c r="B499" t="s">
        <v>1961</v>
      </c>
      <c r="C499" t="s">
        <v>1962</v>
      </c>
      <c r="D499" t="s">
        <v>39</v>
      </c>
      <c r="E499" t="s">
        <v>40</v>
      </c>
      <c r="F499" t="s">
        <v>1963</v>
      </c>
      <c r="G499" t="s">
        <v>1964</v>
      </c>
      <c r="H499">
        <v>39</v>
      </c>
      <c r="Q499" t="s">
        <v>51</v>
      </c>
      <c r="R499" t="s">
        <v>1965</v>
      </c>
      <c r="V499" t="s">
        <v>1966</v>
      </c>
      <c r="AF499">
        <v>1007329713</v>
      </c>
      <c r="AJ499" t="s">
        <v>656</v>
      </c>
      <c r="AK499" t="s">
        <v>61</v>
      </c>
      <c r="AM499" t="str" cm="1">
        <f t="array" ref="AM499">_xlfn.IFS(OR(O499="Persoonlijk",O499="Zoon",O499="Dochter"),P499,OR(Q499="Persoonlijk",Q499="Zoon",Q499="Dochter"),R499,OR(S499="Persoonlijk",S499="Zoon",S499="Dochter"),T499,O499="Vader",P499,Q499="Vader",R499,S499="Vader",T499,O499="Moeder",P499,Q499="Moeder",R499,S499="Moeder",T499,TRUE,IF(P499&lt;&gt;"",P499,IF(R499&lt;&gt;"",R499,IF(T499&lt;&gt;"",T499,""))))</f>
        <v>jensparmentier@gmail.com</v>
      </c>
      <c r="AN499" t="str" cm="1">
        <f t="array" ref="AN499">_xlfn.LET(_xlpm.raw,_xlfn.IFS(OR(U499="Persoonlijk",U499="Zoon",U499="Dochter"),V499,OR(W499="Persoonlijk",W499="Zoon",W499="Dochter"),X499,OR(Y499="Persoonlijk",Y499="Zoon",Y499="Dochter"),Z499,U499="Vader",V499,W499="Vader",X499,Y499="Vader",Z499,U499="Moeder",V499,W499="Moeder",X499,Y499="Moeder",Z499,TRUE,IF(V499&lt;&gt;"",V499,IF(X499&lt;&gt;"",X499,IF(Z499&lt;&gt;"",Z499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+32498076133</v>
      </c>
    </row>
    <row r="500" spans="1:40" x14ac:dyDescent="0.3">
      <c r="A500">
        <v>7329713</v>
      </c>
      <c r="B500" t="s">
        <v>1961</v>
      </c>
      <c r="C500" t="s">
        <v>1962</v>
      </c>
      <c r="D500" t="s">
        <v>39</v>
      </c>
      <c r="E500" t="s">
        <v>40</v>
      </c>
      <c r="F500" t="s">
        <v>1963</v>
      </c>
      <c r="G500" t="s">
        <v>1964</v>
      </c>
      <c r="H500">
        <v>39</v>
      </c>
      <c r="Q500" t="s">
        <v>51</v>
      </c>
      <c r="R500" t="s">
        <v>1965</v>
      </c>
      <c r="V500" t="s">
        <v>1966</v>
      </c>
      <c r="AF500">
        <v>1007329713</v>
      </c>
      <c r="AJ500" t="s">
        <v>295</v>
      </c>
      <c r="AK500" t="s">
        <v>61</v>
      </c>
      <c r="AM500" t="str" cm="1">
        <f t="array" ref="AM500">_xlfn.IFS(OR(O500="Persoonlijk",O500="Zoon",O500="Dochter"),P500,OR(Q500="Persoonlijk",Q500="Zoon",Q500="Dochter"),R500,OR(S500="Persoonlijk",S500="Zoon",S500="Dochter"),T500,O500="Vader",P500,Q500="Vader",R500,S500="Vader",T500,O500="Moeder",P500,Q500="Moeder",R500,S500="Moeder",T500,TRUE,IF(P500&lt;&gt;"",P500,IF(R500&lt;&gt;"",R500,IF(T500&lt;&gt;"",T500,""))))</f>
        <v>jensparmentier@gmail.com</v>
      </c>
      <c r="AN500" t="str" cm="1">
        <f t="array" ref="AN500">_xlfn.LET(_xlpm.raw,_xlfn.IFS(OR(U500="Persoonlijk",U500="Zoon",U500="Dochter"),V500,OR(W500="Persoonlijk",W500="Zoon",W500="Dochter"),X500,OR(Y500="Persoonlijk",Y500="Zoon",Y500="Dochter"),Z500,U500="Vader",V500,W500="Vader",X500,Y500="Vader",Z500,U500="Moeder",V500,W500="Moeder",X500,Y500="Moeder",Z500,TRUE,IF(V500&lt;&gt;"",V500,IF(X500&lt;&gt;"",X500,IF(Z500&lt;&gt;"",Z500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+32498076133</v>
      </c>
    </row>
    <row r="501" spans="1:40" x14ac:dyDescent="0.3">
      <c r="A501">
        <v>2183142</v>
      </c>
      <c r="B501" t="s">
        <v>1967</v>
      </c>
      <c r="C501" t="s">
        <v>1727</v>
      </c>
      <c r="D501" t="s">
        <v>39</v>
      </c>
      <c r="E501" t="s">
        <v>49</v>
      </c>
      <c r="F501" t="s">
        <v>1968</v>
      </c>
      <c r="G501" t="s">
        <v>69</v>
      </c>
      <c r="H501">
        <v>104</v>
      </c>
      <c r="AC501" t="s">
        <v>1969</v>
      </c>
      <c r="AF501">
        <v>1002183142</v>
      </c>
      <c r="AG501">
        <v>669073</v>
      </c>
      <c r="AL501" t="s">
        <v>593</v>
      </c>
      <c r="AM501" t="str" cm="1">
        <f t="array" ref="AM501">_xlfn.IFS(OR(O501="Persoonlijk",O501="Zoon",O501="Dochter"),P501,OR(Q501="Persoonlijk",Q501="Zoon",Q501="Dochter"),R501,OR(S501="Persoonlijk",S501="Zoon",S501="Dochter"),T501,O501="Vader",P501,Q501="Vader",R501,S501="Vader",T501,O501="Moeder",P501,Q501="Moeder",R501,S501="Moeder",T501,TRUE,IF(P501&lt;&gt;"",P501,IF(R501&lt;&gt;"",R501,IF(T501&lt;&gt;"",T501,""))))</f>
        <v/>
      </c>
      <c r="AN501" t="str" cm="1">
        <f t="array" ref="AN501">_xlfn.LET(_xlpm.raw,_xlfn.IFS(OR(U501="Persoonlijk",U501="Zoon",U501="Dochter"),V501,OR(W501="Persoonlijk",W501="Zoon",W501="Dochter"),X501,OR(Y501="Persoonlijk",Y501="Zoon",Y501="Dochter"),Z501,U501="Vader",V501,W501="Vader",X501,Y501="Vader",Z501,U501="Moeder",V501,W501="Moeder",X501,Y501="Moeder",Z501,TRUE,IF(V501&lt;&gt;"",V501,IF(X501&lt;&gt;"",X501,IF(Z501&lt;&gt;"",Z501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02" spans="1:40" x14ac:dyDescent="0.3">
      <c r="A502">
        <v>2183147</v>
      </c>
      <c r="B502" t="s">
        <v>1970</v>
      </c>
      <c r="C502" t="s">
        <v>1971</v>
      </c>
      <c r="D502" t="s">
        <v>39</v>
      </c>
      <c r="E502" t="s">
        <v>49</v>
      </c>
      <c r="F502" t="s">
        <v>1972</v>
      </c>
      <c r="G502" t="s">
        <v>1973</v>
      </c>
      <c r="H502">
        <v>47</v>
      </c>
      <c r="AC502" t="s">
        <v>1974</v>
      </c>
      <c r="AF502">
        <v>1002183147</v>
      </c>
      <c r="AG502">
        <v>610168</v>
      </c>
      <c r="AM502" t="str" cm="1">
        <f t="array" ref="AM502">_xlfn.IFS(OR(O502="Persoonlijk",O502="Zoon",O502="Dochter"),P502,OR(Q502="Persoonlijk",Q502="Zoon",Q502="Dochter"),R502,OR(S502="Persoonlijk",S502="Zoon",S502="Dochter"),T502,O502="Vader",P502,Q502="Vader",R502,S502="Vader",T502,O502="Moeder",P502,Q502="Moeder",R502,S502="Moeder",T502,TRUE,IF(P502&lt;&gt;"",P502,IF(R502&lt;&gt;"",R502,IF(T502&lt;&gt;"",T502,""))))</f>
        <v/>
      </c>
      <c r="AN502" t="str" cm="1">
        <f t="array" ref="AN502">_xlfn.LET(_xlpm.raw,_xlfn.IFS(OR(U502="Persoonlijk",U502="Zoon",U502="Dochter"),V502,OR(W502="Persoonlijk",W502="Zoon",W502="Dochter"),X502,OR(Y502="Persoonlijk",Y502="Zoon",Y502="Dochter"),Z502,U502="Vader",V502,W502="Vader",X502,Y502="Vader",Z502,U502="Moeder",V502,W502="Moeder",X502,Y502="Moeder",Z502,TRUE,IF(V502&lt;&gt;"",V502,IF(X502&lt;&gt;"",X502,IF(Z502&lt;&gt;"",Z502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03" spans="1:40" x14ac:dyDescent="0.3">
      <c r="A503">
        <v>4398877</v>
      </c>
      <c r="B503" t="s">
        <v>1975</v>
      </c>
      <c r="C503" t="s">
        <v>1976</v>
      </c>
      <c r="D503" t="s">
        <v>39</v>
      </c>
      <c r="E503" t="s">
        <v>40</v>
      </c>
      <c r="F503" t="s">
        <v>1977</v>
      </c>
      <c r="G503" t="s">
        <v>1978</v>
      </c>
      <c r="H503">
        <v>17</v>
      </c>
      <c r="U503" t="s">
        <v>46</v>
      </c>
      <c r="V503">
        <v>0</v>
      </c>
      <c r="X503">
        <v>0</v>
      </c>
      <c r="Z503">
        <v>0</v>
      </c>
      <c r="AA503">
        <v>0</v>
      </c>
      <c r="AC503" t="s">
        <v>1979</v>
      </c>
      <c r="AF503">
        <v>1004398877</v>
      </c>
      <c r="AJ503" t="s">
        <v>483</v>
      </c>
      <c r="AK503" t="s">
        <v>61</v>
      </c>
      <c r="AM503" t="str" cm="1">
        <f t="array" ref="AM503">_xlfn.IFS(OR(O503="Persoonlijk",O503="Zoon",O503="Dochter"),P503,OR(Q503="Persoonlijk",Q503="Zoon",Q503="Dochter"),R503,OR(S503="Persoonlijk",S503="Zoon",S503="Dochter"),T503,O503="Vader",P503,Q503="Vader",R503,S503="Vader",T503,O503="Moeder",P503,Q503="Moeder",R503,S503="Moeder",T503,TRUE,IF(P503&lt;&gt;"",P503,IF(R503&lt;&gt;"",R503,IF(T503&lt;&gt;"",T503,""))))</f>
        <v/>
      </c>
      <c r="AN503" t="str" cm="1">
        <f t="array" ref="AN503">_xlfn.LET(_xlpm.raw,_xlfn.IFS(OR(U503="Persoonlijk",U503="Zoon",U503="Dochter"),V503,OR(W503="Persoonlijk",W503="Zoon",W503="Dochter"),X503,OR(Y503="Persoonlijk",Y503="Zoon",Y503="Dochter"),Z503,U503="Vader",V503,W503="Vader",X503,Y503="Vader",Z503,U503="Moeder",V503,W503="Moeder",X503,Y503="Moeder",Z503,TRUE,IF(V503&lt;&gt;"",V503,IF(X503&lt;&gt;"",X503,IF(Z503&lt;&gt;"",Z503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04" spans="1:40" x14ac:dyDescent="0.3">
      <c r="A504">
        <v>2183152</v>
      </c>
      <c r="B504" t="s">
        <v>1975</v>
      </c>
      <c r="C504" t="s">
        <v>501</v>
      </c>
      <c r="D504" t="s">
        <v>39</v>
      </c>
      <c r="E504" t="s">
        <v>40</v>
      </c>
      <c r="F504" t="s">
        <v>1980</v>
      </c>
      <c r="G504" t="s">
        <v>1978</v>
      </c>
      <c r="H504">
        <v>17</v>
      </c>
      <c r="Q504" t="s">
        <v>46</v>
      </c>
      <c r="R504" t="s">
        <v>1981</v>
      </c>
      <c r="AF504">
        <v>1002183152</v>
      </c>
      <c r="AG504">
        <v>669286</v>
      </c>
      <c r="AM504" t="str" cm="1">
        <f t="array" ref="AM504">_xlfn.IFS(OR(O504="Persoonlijk",O504="Zoon",O504="Dochter"),P504,OR(Q504="Persoonlijk",Q504="Zoon",Q504="Dochter"),R504,OR(S504="Persoonlijk",S504="Zoon",S504="Dochter"),T504,O504="Vader",P504,Q504="Vader",R504,S504="Vader",T504,O504="Moeder",P504,Q504="Moeder",R504,S504="Moeder",T504,TRUE,IF(P504&lt;&gt;"",P504,IF(R504&lt;&gt;"",R504,IF(T504&lt;&gt;"",T504,""))))</f>
        <v>Maarten.peeters1@hotmail.com</v>
      </c>
      <c r="AN504" t="str" cm="1">
        <f t="array" ref="AN504">_xlfn.LET(_xlpm.raw,_xlfn.IFS(OR(U504="Persoonlijk",U504="Zoon",U504="Dochter"),V504,OR(W504="Persoonlijk",W504="Zoon",W504="Dochter"),X504,OR(Y504="Persoonlijk",Y504="Zoon",Y504="Dochter"),Z504,U504="Vader",V504,W504="Vader",X504,Y504="Vader",Z504,U504="Moeder",V504,W504="Moeder",X504,Y504="Moeder",Z504,TRUE,IF(V504&lt;&gt;"",V504,IF(X504&lt;&gt;"",X504,IF(Z504&lt;&gt;"",Z504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05" spans="1:40" x14ac:dyDescent="0.3">
      <c r="A505">
        <v>2936165</v>
      </c>
      <c r="B505" t="s">
        <v>1982</v>
      </c>
      <c r="C505" t="s">
        <v>542</v>
      </c>
      <c r="D505" t="s">
        <v>39</v>
      </c>
      <c r="E505" t="s">
        <v>40</v>
      </c>
      <c r="F505" t="s">
        <v>1983</v>
      </c>
      <c r="G505" t="s">
        <v>1984</v>
      </c>
      <c r="H505">
        <v>57</v>
      </c>
      <c r="U505" t="s">
        <v>53</v>
      </c>
      <c r="V505">
        <v>477480963</v>
      </c>
      <c r="AF505">
        <v>1002936165</v>
      </c>
      <c r="AG505">
        <v>744403</v>
      </c>
      <c r="AM505" t="str" cm="1">
        <f t="array" ref="AM505">_xlfn.IFS(OR(O505="Persoonlijk",O505="Zoon",O505="Dochter"),P505,OR(Q505="Persoonlijk",Q505="Zoon",Q505="Dochter"),R505,OR(S505="Persoonlijk",S505="Zoon",S505="Dochter"),T505,O505="Vader",P505,Q505="Vader",R505,S505="Vader",T505,O505="Moeder",P505,Q505="Moeder",R505,S505="Moeder",T505,TRUE,IF(P505&lt;&gt;"",P505,IF(R505&lt;&gt;"",R505,IF(T505&lt;&gt;"",T505,""))))</f>
        <v/>
      </c>
      <c r="AN505" t="str" cm="1">
        <f t="array" ref="AN505">_xlfn.LET(_xlpm.raw,_xlfn.IFS(OR(U505="Persoonlijk",U505="Zoon",U505="Dochter"),V505,OR(W505="Persoonlijk",W505="Zoon",W505="Dochter"),X505,OR(Y505="Persoonlijk",Y505="Zoon",Y505="Dochter"),Z505,U505="Vader",V505,W505="Vader",X505,Y505="Vader",Z505,U505="Moeder",V505,W505="Moeder",X505,Y505="Moeder",Z505,TRUE,IF(V505&lt;&gt;"",V505,IF(X505&lt;&gt;"",X505,IF(Z505&lt;&gt;"",Z505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+32477480963</v>
      </c>
    </row>
    <row r="506" spans="1:40" x14ac:dyDescent="0.3">
      <c r="A506">
        <v>10786228</v>
      </c>
      <c r="B506" t="s">
        <v>1982</v>
      </c>
      <c r="C506" t="s">
        <v>1151</v>
      </c>
      <c r="D506" t="s">
        <v>39</v>
      </c>
      <c r="E506" t="s">
        <v>40</v>
      </c>
      <c r="F506" t="s">
        <v>1985</v>
      </c>
      <c r="U506" t="s">
        <v>53</v>
      </c>
      <c r="V506" t="s">
        <v>1986</v>
      </c>
      <c r="AF506">
        <v>1010786228</v>
      </c>
      <c r="AM506" t="str" cm="1">
        <f t="array" ref="AM506">_xlfn.IFS(OR(O506="Persoonlijk",O506="Zoon",O506="Dochter"),P506,OR(Q506="Persoonlijk",Q506="Zoon",Q506="Dochter"),R506,OR(S506="Persoonlijk",S506="Zoon",S506="Dochter"),T506,O506="Vader",P506,Q506="Vader",R506,S506="Vader",T506,O506="Moeder",P506,Q506="Moeder",R506,S506="Moeder",T506,TRUE,IF(P506&lt;&gt;"",P506,IF(R506&lt;&gt;"",R506,IF(T506&lt;&gt;"",T506,""))))</f>
        <v/>
      </c>
      <c r="AN506" t="str" cm="1">
        <f t="array" ref="AN506">_xlfn.LET(_xlpm.raw,_xlfn.IFS(OR(U506="Persoonlijk",U506="Zoon",U506="Dochter"),V506,OR(W506="Persoonlijk",W506="Zoon",W506="Dochter"),X506,OR(Y506="Persoonlijk",Y506="Zoon",Y506="Dochter"),Z506,U506="Vader",V506,W506="Vader",X506,Y506="Vader",Z506,U506="Moeder",V506,W506="Moeder",X506,Y506="Moeder",Z506,TRUE,IF(V506&lt;&gt;"",V506,IF(X506&lt;&gt;"",X506,IF(Z506&lt;&gt;"",Z506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+32469360650</v>
      </c>
    </row>
    <row r="507" spans="1:40" x14ac:dyDescent="0.3">
      <c r="A507">
        <v>2183162</v>
      </c>
      <c r="B507" t="s">
        <v>1987</v>
      </c>
      <c r="C507" t="s">
        <v>1988</v>
      </c>
      <c r="D507" t="s">
        <v>39</v>
      </c>
      <c r="E507" t="s">
        <v>49</v>
      </c>
      <c r="F507" t="s">
        <v>1989</v>
      </c>
      <c r="G507" t="s">
        <v>305</v>
      </c>
      <c r="H507">
        <v>37</v>
      </c>
      <c r="AC507" t="s">
        <v>1990</v>
      </c>
      <c r="AF507">
        <v>1002183162</v>
      </c>
      <c r="AM507" t="str" cm="1">
        <f t="array" ref="AM507">_xlfn.IFS(OR(O507="Persoonlijk",O507="Zoon",O507="Dochter"),P507,OR(Q507="Persoonlijk",Q507="Zoon",Q507="Dochter"),R507,OR(S507="Persoonlijk",S507="Zoon",S507="Dochter"),T507,O507="Vader",P507,Q507="Vader",R507,S507="Vader",T507,O507="Moeder",P507,Q507="Moeder",R507,S507="Moeder",T507,TRUE,IF(P507&lt;&gt;"",P507,IF(R507&lt;&gt;"",R507,IF(T507&lt;&gt;"",T507,""))))</f>
        <v/>
      </c>
      <c r="AN507" t="str" cm="1">
        <f t="array" ref="AN507">_xlfn.LET(_xlpm.raw,_xlfn.IFS(OR(U507="Persoonlijk",U507="Zoon",U507="Dochter"),V507,OR(W507="Persoonlijk",W507="Zoon",W507="Dochter"),X507,OR(Y507="Persoonlijk",Y507="Zoon",Y507="Dochter"),Z507,U507="Vader",V507,W507="Vader",X507,Y507="Vader",Z507,U507="Moeder",V507,W507="Moeder",X507,Y507="Moeder",Z507,TRUE,IF(V507&lt;&gt;"",V507,IF(X507&lt;&gt;"",X507,IF(Z507&lt;&gt;"",Z507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08" spans="1:40" x14ac:dyDescent="0.3">
      <c r="A508">
        <v>4080342</v>
      </c>
      <c r="B508" t="s">
        <v>1991</v>
      </c>
      <c r="C508" t="s">
        <v>1992</v>
      </c>
      <c r="D508" t="s">
        <v>39</v>
      </c>
      <c r="E508" t="s">
        <v>49</v>
      </c>
      <c r="F508" t="s">
        <v>1993</v>
      </c>
      <c r="G508" t="s">
        <v>1994</v>
      </c>
      <c r="H508">
        <v>49</v>
      </c>
      <c r="U508" t="s">
        <v>51</v>
      </c>
      <c r="V508" t="s">
        <v>1995</v>
      </c>
      <c r="AF508">
        <v>1004080342</v>
      </c>
      <c r="AG508">
        <v>704482</v>
      </c>
      <c r="AL508" t="s">
        <v>62</v>
      </c>
      <c r="AM508" t="str" cm="1">
        <f t="array" ref="AM508">_xlfn.IFS(OR(O508="Persoonlijk",O508="Zoon",O508="Dochter"),P508,OR(Q508="Persoonlijk",Q508="Zoon",Q508="Dochter"),R508,OR(S508="Persoonlijk",S508="Zoon",S508="Dochter"),T508,O508="Vader",P508,Q508="Vader",R508,S508="Vader",T508,O508="Moeder",P508,Q508="Moeder",R508,S508="Moeder",T508,TRUE,IF(P508&lt;&gt;"",P508,IF(R508&lt;&gt;"",R508,IF(T508&lt;&gt;"",T508,""))))</f>
        <v/>
      </c>
      <c r="AN508" t="str" cm="1">
        <f t="array" ref="AN508">_xlfn.LET(_xlpm.raw,_xlfn.IFS(OR(U508="Persoonlijk",U508="Zoon",U508="Dochter"),V508,OR(W508="Persoonlijk",W508="Zoon",W508="Dochter"),X508,OR(Y508="Persoonlijk",Y508="Zoon",Y508="Dochter"),Z508,U508="Vader",V508,W508="Vader",X508,Y508="Vader",Z508,U508="Moeder",V508,W508="Moeder",X508,Y508="Moeder",Z508,TRUE,IF(V508&lt;&gt;"",V508,IF(X508&lt;&gt;"",X508,IF(Z508&lt;&gt;"",Z508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+32479984186</v>
      </c>
    </row>
    <row r="509" spans="1:40" x14ac:dyDescent="0.3">
      <c r="A509">
        <v>2669967</v>
      </c>
      <c r="B509" t="s">
        <v>1991</v>
      </c>
      <c r="C509" t="s">
        <v>1996</v>
      </c>
      <c r="D509" t="s">
        <v>39</v>
      </c>
      <c r="E509" t="s">
        <v>40</v>
      </c>
      <c r="F509" t="s">
        <v>1997</v>
      </c>
      <c r="G509" t="s">
        <v>1994</v>
      </c>
      <c r="H509">
        <v>49</v>
      </c>
      <c r="V509" t="s">
        <v>1995</v>
      </c>
      <c r="AF509">
        <v>1002669967</v>
      </c>
      <c r="AG509">
        <v>704481</v>
      </c>
      <c r="AM509" t="str" cm="1">
        <f t="array" ref="AM509">_xlfn.IFS(OR(O509="Persoonlijk",O509="Zoon",O509="Dochter"),P509,OR(Q509="Persoonlijk",Q509="Zoon",Q509="Dochter"),R509,OR(S509="Persoonlijk",S509="Zoon",S509="Dochter"),T509,O509="Vader",P509,Q509="Vader",R509,S509="Vader",T509,O509="Moeder",P509,Q509="Moeder",R509,S509="Moeder",T509,TRUE,IF(P509&lt;&gt;"",P509,IF(R509&lt;&gt;"",R509,IF(T509&lt;&gt;"",T509,""))))</f>
        <v/>
      </c>
      <c r="AN509" t="str" cm="1">
        <f t="array" ref="AN509">_xlfn.LET(_xlpm.raw,_xlfn.IFS(OR(U509="Persoonlijk",U509="Zoon",U509="Dochter"),V509,OR(W509="Persoonlijk",W509="Zoon",W509="Dochter"),X509,OR(Y509="Persoonlijk",Y509="Zoon",Y509="Dochter"),Z509,U509="Vader",V509,W509="Vader",X509,Y509="Vader",Z509,U509="Moeder",V509,W509="Moeder",X509,Y509="Moeder",Z509,TRUE,IF(V509&lt;&gt;"",V509,IF(X509&lt;&gt;"",X509,IF(Z509&lt;&gt;"",Z509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+32479984186</v>
      </c>
    </row>
    <row r="510" spans="1:40" x14ac:dyDescent="0.3">
      <c r="A510">
        <v>6702565</v>
      </c>
      <c r="B510" t="s">
        <v>1998</v>
      </c>
      <c r="C510" t="s">
        <v>1999</v>
      </c>
      <c r="D510" t="s">
        <v>39</v>
      </c>
      <c r="E510" t="s">
        <v>49</v>
      </c>
      <c r="F510" t="s">
        <v>2000</v>
      </c>
      <c r="G510" t="s">
        <v>2001</v>
      </c>
      <c r="H510">
        <v>5</v>
      </c>
      <c r="V510">
        <v>0</v>
      </c>
      <c r="X510">
        <v>0</v>
      </c>
      <c r="Z510">
        <v>0</v>
      </c>
      <c r="AA510">
        <v>0</v>
      </c>
      <c r="AC510" t="s">
        <v>2002</v>
      </c>
      <c r="AF510">
        <v>1006702565</v>
      </c>
      <c r="AG510">
        <v>606672</v>
      </c>
      <c r="AM510" t="str" cm="1">
        <f t="array" ref="AM510">_xlfn.IFS(OR(O510="Persoonlijk",O510="Zoon",O510="Dochter"),P510,OR(Q510="Persoonlijk",Q510="Zoon",Q510="Dochter"),R510,OR(S510="Persoonlijk",S510="Zoon",S510="Dochter"),T510,O510="Vader",P510,Q510="Vader",R510,S510="Vader",T510,O510="Moeder",P510,Q510="Moeder",R510,S510="Moeder",T510,TRUE,IF(P510&lt;&gt;"",P510,IF(R510&lt;&gt;"",R510,IF(T510&lt;&gt;"",T510,""))))</f>
        <v/>
      </c>
      <c r="AN510" t="str" cm="1">
        <f t="array" ref="AN510">_xlfn.LET(_xlpm.raw,_xlfn.IFS(OR(U510="Persoonlijk",U510="Zoon",U510="Dochter"),V510,OR(W510="Persoonlijk",W510="Zoon",W510="Dochter"),X510,OR(Y510="Persoonlijk",Y510="Zoon",Y510="Dochter"),Z510,U510="Vader",V510,W510="Vader",X510,Y510="Vader",Z510,U510="Moeder",V510,W510="Moeder",X510,Y510="Moeder",Z510,TRUE,IF(V510&lt;&gt;"",V510,IF(X510&lt;&gt;"",X510,IF(Z510&lt;&gt;"",Z510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11" spans="1:40" x14ac:dyDescent="0.3">
      <c r="A511">
        <v>11850476</v>
      </c>
      <c r="B511" t="s">
        <v>2003</v>
      </c>
      <c r="C511" t="s">
        <v>1170</v>
      </c>
      <c r="D511" t="s">
        <v>39</v>
      </c>
      <c r="E511" t="s">
        <v>40</v>
      </c>
      <c r="F511" t="s">
        <v>2004</v>
      </c>
      <c r="G511" t="s">
        <v>188</v>
      </c>
      <c r="H511">
        <v>10</v>
      </c>
      <c r="U511" t="s">
        <v>46</v>
      </c>
      <c r="V511" t="s">
        <v>2005</v>
      </c>
      <c r="AF511">
        <v>1011850476</v>
      </c>
      <c r="AM511" t="str" cm="1">
        <f t="array" ref="AM511">_xlfn.IFS(OR(O511="Persoonlijk",O511="Zoon",O511="Dochter"),P511,OR(Q511="Persoonlijk",Q511="Zoon",Q511="Dochter"),R511,OR(S511="Persoonlijk",S511="Zoon",S511="Dochter"),T511,O511="Vader",P511,Q511="Vader",R511,S511="Vader",T511,O511="Moeder",P511,Q511="Moeder",R511,S511="Moeder",T511,TRUE,IF(P511&lt;&gt;"",P511,IF(R511&lt;&gt;"",R511,IF(T511&lt;&gt;"",T511,""))))</f>
        <v/>
      </c>
      <c r="AN511" t="str" cm="1">
        <f t="array" ref="AN511">_xlfn.LET(_xlpm.raw,_xlfn.IFS(OR(U511="Persoonlijk",U511="Zoon",U511="Dochter"),V511,OR(W511="Persoonlijk",W511="Zoon",W511="Dochter"),X511,OR(Y511="Persoonlijk",Y511="Zoon",Y511="Dochter"),Z511,U511="Vader",V511,W511="Vader",X511,Y511="Vader",Z511,U511="Moeder",V511,W511="Moeder",X511,Y511="Moeder",Z511,TRUE,IF(V511&lt;&gt;"",V511,IF(X511&lt;&gt;"",X511,IF(Z511&lt;&gt;"",Z511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+32472508299</v>
      </c>
    </row>
    <row r="512" spans="1:40" x14ac:dyDescent="0.3">
      <c r="A512">
        <v>2650786</v>
      </c>
      <c r="B512" t="s">
        <v>2006</v>
      </c>
      <c r="C512" t="s">
        <v>2007</v>
      </c>
      <c r="D512" t="s">
        <v>39</v>
      </c>
      <c r="E512" t="s">
        <v>40</v>
      </c>
      <c r="F512" t="s">
        <v>2008</v>
      </c>
      <c r="G512" t="s">
        <v>2009</v>
      </c>
      <c r="H512">
        <v>12</v>
      </c>
      <c r="U512" t="s">
        <v>53</v>
      </c>
      <c r="V512">
        <v>474940674</v>
      </c>
      <c r="W512" t="s">
        <v>51</v>
      </c>
      <c r="X512">
        <v>472855243</v>
      </c>
      <c r="AC512" t="s">
        <v>2010</v>
      </c>
      <c r="AF512">
        <v>1002650786</v>
      </c>
      <c r="AG512">
        <v>739969</v>
      </c>
      <c r="AM512" t="str" cm="1">
        <f t="array" ref="AM512">_xlfn.IFS(OR(O512="Persoonlijk",O512="Zoon",O512="Dochter"),P512,OR(Q512="Persoonlijk",Q512="Zoon",Q512="Dochter"),R512,OR(S512="Persoonlijk",S512="Zoon",S512="Dochter"),T512,O512="Vader",P512,Q512="Vader",R512,S512="Vader",T512,O512="Moeder",P512,Q512="Moeder",R512,S512="Moeder",T512,TRUE,IF(P512&lt;&gt;"",P512,IF(R512&lt;&gt;"",R512,IF(T512&lt;&gt;"",T512,""))))</f>
        <v/>
      </c>
      <c r="AN512" t="str" cm="1">
        <f t="array" ref="AN512">_xlfn.LET(_xlpm.raw,_xlfn.IFS(OR(U512="Persoonlijk",U512="Zoon",U512="Dochter"),V512,OR(W512="Persoonlijk",W512="Zoon",W512="Dochter"),X512,OR(Y512="Persoonlijk",Y512="Zoon",Y512="Dochter"),Z512,U512="Vader",V512,W512="Vader",X512,Y512="Vader",Z512,U512="Moeder",V512,W512="Moeder",X512,Y512="Moeder",Z512,TRUE,IF(V512&lt;&gt;"",V512,IF(X512&lt;&gt;"",X512,IF(Z512&lt;&gt;"",Z512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+32472855243</v>
      </c>
    </row>
    <row r="513" spans="1:40" x14ac:dyDescent="0.3">
      <c r="A513">
        <v>3454870</v>
      </c>
      <c r="B513" t="s">
        <v>2011</v>
      </c>
      <c r="C513" t="s">
        <v>1384</v>
      </c>
      <c r="D513" t="s">
        <v>39</v>
      </c>
      <c r="E513" t="s">
        <v>40</v>
      </c>
      <c r="F513" t="s">
        <v>2012</v>
      </c>
      <c r="G513" t="s">
        <v>2013</v>
      </c>
      <c r="H513">
        <v>19</v>
      </c>
      <c r="Q513" t="s">
        <v>51</v>
      </c>
      <c r="R513" t="s">
        <v>2014</v>
      </c>
      <c r="U513" t="s">
        <v>53</v>
      </c>
      <c r="V513" t="s">
        <v>2015</v>
      </c>
      <c r="W513" t="s">
        <v>51</v>
      </c>
      <c r="X513" t="s">
        <v>2016</v>
      </c>
      <c r="AC513" t="s">
        <v>2017</v>
      </c>
      <c r="AD513">
        <v>15</v>
      </c>
      <c r="AE513" t="s">
        <v>2018</v>
      </c>
      <c r="AF513">
        <v>1003454870</v>
      </c>
      <c r="AG513">
        <v>756320</v>
      </c>
      <c r="AJ513" t="s">
        <v>63</v>
      </c>
      <c r="AK513" t="s">
        <v>61</v>
      </c>
      <c r="AM513" t="str" cm="1">
        <f t="array" ref="AM513">_xlfn.IFS(OR(O513="Persoonlijk",O513="Zoon",O513="Dochter"),P513,OR(Q513="Persoonlijk",Q513="Zoon",Q513="Dochter"),R513,OR(S513="Persoonlijk",S513="Zoon",S513="Dochter"),T513,O513="Vader",P513,Q513="Vader",R513,S513="Vader",T513,O513="Moeder",P513,Q513="Moeder",R513,S513="Moeder",T513,TRUE,IF(P513&lt;&gt;"",P513,IF(R513&lt;&gt;"",R513,IF(T513&lt;&gt;"",T513,""))))</f>
        <v>pollet.jelle@gmail.com</v>
      </c>
      <c r="AN513" t="str" cm="1">
        <f t="array" ref="AN513">_xlfn.LET(_xlpm.raw,_xlfn.IFS(OR(U513="Persoonlijk",U513="Zoon",U513="Dochter"),V513,OR(W513="Persoonlijk",W513="Zoon",W513="Dochter"),X513,OR(Y513="Persoonlijk",Y513="Zoon",Y513="Dochter"),Z513,U513="Vader",V513,W513="Vader",X513,Y513="Vader",Z513,U513="Moeder",V513,W513="Moeder",X513,Y513="Moeder",Z513,TRUE,IF(V513&lt;&gt;"",V513,IF(X513&lt;&gt;"",X513,IF(Z513&lt;&gt;"",Z513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+32474223155</v>
      </c>
    </row>
    <row r="514" spans="1:40" x14ac:dyDescent="0.3">
      <c r="A514">
        <v>3454870</v>
      </c>
      <c r="B514" t="s">
        <v>2011</v>
      </c>
      <c r="C514" t="s">
        <v>1384</v>
      </c>
      <c r="D514" t="s">
        <v>39</v>
      </c>
      <c r="E514" t="s">
        <v>40</v>
      </c>
      <c r="F514" t="s">
        <v>2012</v>
      </c>
      <c r="G514" t="s">
        <v>2013</v>
      </c>
      <c r="H514">
        <v>19</v>
      </c>
      <c r="Q514" t="s">
        <v>51</v>
      </c>
      <c r="R514" t="s">
        <v>2014</v>
      </c>
      <c r="U514" t="s">
        <v>53</v>
      </c>
      <c r="V514" t="s">
        <v>2015</v>
      </c>
      <c r="W514" t="s">
        <v>51</v>
      </c>
      <c r="X514" t="s">
        <v>2016</v>
      </c>
      <c r="AC514" t="s">
        <v>2017</v>
      </c>
      <c r="AD514">
        <v>15</v>
      </c>
      <c r="AE514" t="s">
        <v>2018</v>
      </c>
      <c r="AF514">
        <v>1003454870</v>
      </c>
      <c r="AG514">
        <v>756320</v>
      </c>
      <c r="AJ514" t="s">
        <v>87</v>
      </c>
      <c r="AK514" t="s">
        <v>61</v>
      </c>
      <c r="AM514" t="str" cm="1">
        <f t="array" ref="AM514">_xlfn.IFS(OR(O514="Persoonlijk",O514="Zoon",O514="Dochter"),P514,OR(Q514="Persoonlijk",Q514="Zoon",Q514="Dochter"),R514,OR(S514="Persoonlijk",S514="Zoon",S514="Dochter"),T514,O514="Vader",P514,Q514="Vader",R514,S514="Vader",T514,O514="Moeder",P514,Q514="Moeder",R514,S514="Moeder",T514,TRUE,IF(P514&lt;&gt;"",P514,IF(R514&lt;&gt;"",R514,IF(T514&lt;&gt;"",T514,""))))</f>
        <v>pollet.jelle@gmail.com</v>
      </c>
      <c r="AN514" t="str" cm="1">
        <f t="array" ref="AN514">_xlfn.LET(_xlpm.raw,_xlfn.IFS(OR(U514="Persoonlijk",U514="Zoon",U514="Dochter"),V514,OR(W514="Persoonlijk",W514="Zoon",W514="Dochter"),X514,OR(Y514="Persoonlijk",Y514="Zoon",Y514="Dochter"),Z514,U514="Vader",V514,W514="Vader",X514,Y514="Vader",Z514,U514="Moeder",V514,W514="Moeder",X514,Y514="Moeder",Z514,TRUE,IF(V514&lt;&gt;"",V514,IF(X514&lt;&gt;"",X514,IF(Z514&lt;&gt;"",Z514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+32474223155</v>
      </c>
    </row>
    <row r="515" spans="1:40" x14ac:dyDescent="0.3">
      <c r="A515">
        <v>3454870</v>
      </c>
      <c r="B515" t="s">
        <v>2011</v>
      </c>
      <c r="C515" t="s">
        <v>1384</v>
      </c>
      <c r="D515" t="s">
        <v>39</v>
      </c>
      <c r="E515" t="s">
        <v>40</v>
      </c>
      <c r="F515" t="s">
        <v>2012</v>
      </c>
      <c r="G515" t="s">
        <v>2013</v>
      </c>
      <c r="H515">
        <v>19</v>
      </c>
      <c r="Q515" t="s">
        <v>51</v>
      </c>
      <c r="R515" t="s">
        <v>2014</v>
      </c>
      <c r="U515" t="s">
        <v>53</v>
      </c>
      <c r="V515" t="s">
        <v>2015</v>
      </c>
      <c r="W515" t="s">
        <v>51</v>
      </c>
      <c r="X515" t="s">
        <v>2016</v>
      </c>
      <c r="AC515" t="s">
        <v>2017</v>
      </c>
      <c r="AD515">
        <v>15</v>
      </c>
      <c r="AE515" t="s">
        <v>2018</v>
      </c>
      <c r="AF515">
        <v>1003454870</v>
      </c>
      <c r="AG515">
        <v>756320</v>
      </c>
      <c r="AJ515" t="s">
        <v>744</v>
      </c>
      <c r="AK515" t="s">
        <v>61</v>
      </c>
      <c r="AM515" t="str" cm="1">
        <f t="array" ref="AM515">_xlfn.IFS(OR(O515="Persoonlijk",O515="Zoon",O515="Dochter"),P515,OR(Q515="Persoonlijk",Q515="Zoon",Q515="Dochter"),R515,OR(S515="Persoonlijk",S515="Zoon",S515="Dochter"),T515,O515="Vader",P515,Q515="Vader",R515,S515="Vader",T515,O515="Moeder",P515,Q515="Moeder",R515,S515="Moeder",T515,TRUE,IF(P515&lt;&gt;"",P515,IF(R515&lt;&gt;"",R515,IF(T515&lt;&gt;"",T515,""))))</f>
        <v>pollet.jelle@gmail.com</v>
      </c>
      <c r="AN515" t="str" cm="1">
        <f t="array" ref="AN515">_xlfn.LET(_xlpm.raw,_xlfn.IFS(OR(U515="Persoonlijk",U515="Zoon",U515="Dochter"),V515,OR(W515="Persoonlijk",W515="Zoon",W515="Dochter"),X515,OR(Y515="Persoonlijk",Y515="Zoon",Y515="Dochter"),Z515,U515="Vader",V515,W515="Vader",X515,Y515="Vader",Z515,U515="Moeder",V515,W515="Moeder",X515,Y515="Moeder",Z515,TRUE,IF(V515&lt;&gt;"",V515,IF(X515&lt;&gt;"",X515,IF(Z515&lt;&gt;"",Z515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+32474223155</v>
      </c>
    </row>
    <row r="516" spans="1:40" x14ac:dyDescent="0.3">
      <c r="A516">
        <v>7790357</v>
      </c>
      <c r="B516" t="s">
        <v>2019</v>
      </c>
      <c r="C516" t="s">
        <v>2020</v>
      </c>
      <c r="D516" t="s">
        <v>39</v>
      </c>
      <c r="E516" t="s">
        <v>40</v>
      </c>
      <c r="F516" t="s">
        <v>2021</v>
      </c>
      <c r="G516" t="s">
        <v>1539</v>
      </c>
      <c r="H516">
        <v>1</v>
      </c>
      <c r="Q516" t="s">
        <v>53</v>
      </c>
      <c r="R516" t="s">
        <v>2022</v>
      </c>
      <c r="U516" t="s">
        <v>51</v>
      </c>
      <c r="V516" t="s">
        <v>2023</v>
      </c>
      <c r="AE516" t="s">
        <v>2024</v>
      </c>
      <c r="AF516">
        <v>1007790357</v>
      </c>
      <c r="AM516" t="str" cm="1">
        <f t="array" ref="AM516">_xlfn.IFS(OR(O516="Persoonlijk",O516="Zoon",O516="Dochter"),P516,OR(Q516="Persoonlijk",Q516="Zoon",Q516="Dochter"),R516,OR(S516="Persoonlijk",S516="Zoon",S516="Dochter"),T516,O516="Vader",P516,Q516="Vader",R516,S516="Vader",T516,O516="Moeder",P516,Q516="Moeder",R516,S516="Moeder",T516,TRUE,IF(P516&lt;&gt;"",P516,IF(R516&lt;&gt;"",R516,IF(T516&lt;&gt;"",T516,""))))</f>
        <v>Flora.poghosyan@gmail.com</v>
      </c>
      <c r="AN516" t="str" cm="1">
        <f t="array" ref="AN516">_xlfn.LET(_xlpm.raw,_xlfn.IFS(OR(U516="Persoonlijk",U516="Zoon",U516="Dochter"),V516,OR(W516="Persoonlijk",W516="Zoon",W516="Dochter"),X516,OR(Y516="Persoonlijk",Y516="Zoon",Y516="Dochter"),Z516,U516="Vader",V516,W516="Vader",X516,Y516="Vader",Z516,U516="Moeder",V516,W516="Moeder",X516,Y516="Moeder",Z516,TRUE,IF(V516&lt;&gt;"",V516,IF(X516&lt;&gt;"",X516,IF(Z516&lt;&gt;"",Z516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+32492779773</v>
      </c>
    </row>
    <row r="517" spans="1:40" x14ac:dyDescent="0.3">
      <c r="A517">
        <v>2183172</v>
      </c>
      <c r="B517" t="s">
        <v>2025</v>
      </c>
      <c r="C517" t="s">
        <v>853</v>
      </c>
      <c r="D517" t="s">
        <v>39</v>
      </c>
      <c r="E517" t="s">
        <v>40</v>
      </c>
      <c r="F517" t="s">
        <v>2026</v>
      </c>
      <c r="G517" t="s">
        <v>930</v>
      </c>
      <c r="H517">
        <v>25</v>
      </c>
      <c r="V517" t="s">
        <v>2027</v>
      </c>
      <c r="AC517" t="s">
        <v>2028</v>
      </c>
      <c r="AE517" t="s">
        <v>2029</v>
      </c>
      <c r="AF517">
        <v>1002183172</v>
      </c>
      <c r="AG517">
        <v>714465</v>
      </c>
      <c r="AJ517" t="s">
        <v>63</v>
      </c>
      <c r="AK517" t="s">
        <v>61</v>
      </c>
      <c r="AL517" t="s">
        <v>62</v>
      </c>
      <c r="AM517" t="str" cm="1">
        <f t="array" ref="AM517">_xlfn.IFS(OR(O517="Persoonlijk",O517="Zoon",O517="Dochter"),P517,OR(Q517="Persoonlijk",Q517="Zoon",Q517="Dochter"),R517,OR(S517="Persoonlijk",S517="Zoon",S517="Dochter"),T517,O517="Vader",P517,Q517="Vader",R517,S517="Vader",T517,O517="Moeder",P517,Q517="Moeder",R517,S517="Moeder",T517,TRUE,IF(P517&lt;&gt;"",P517,IF(R517&lt;&gt;"",R517,IF(T517&lt;&gt;"",T517,""))))</f>
        <v/>
      </c>
      <c r="AN517" t="str" cm="1">
        <f t="array" ref="AN517">_xlfn.LET(_xlpm.raw,_xlfn.IFS(OR(U517="Persoonlijk",U517="Zoon",U517="Dochter"),V517,OR(W517="Persoonlijk",W517="Zoon",W517="Dochter"),X517,OR(Y517="Persoonlijk",Y517="Zoon",Y517="Dochter"),Z517,U517="Vader",V517,W517="Vader",X517,Y517="Vader",Z517,U517="Moeder",V517,W517="Moeder",X517,Y517="Moeder",Z517,TRUE,IF(V517&lt;&gt;"",V517,IF(X517&lt;&gt;"",X517,IF(Z517&lt;&gt;"",Z517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+32476752923</v>
      </c>
    </row>
    <row r="518" spans="1:40" x14ac:dyDescent="0.3">
      <c r="A518">
        <v>2669986</v>
      </c>
      <c r="B518" t="s">
        <v>2030</v>
      </c>
      <c r="C518" t="s">
        <v>2031</v>
      </c>
      <c r="D518" t="s">
        <v>39</v>
      </c>
      <c r="E518" t="s">
        <v>40</v>
      </c>
      <c r="F518" t="s">
        <v>2032</v>
      </c>
      <c r="V518" t="s">
        <v>2033</v>
      </c>
      <c r="W518" t="s">
        <v>53</v>
      </c>
      <c r="X518" t="s">
        <v>2034</v>
      </c>
      <c r="AC518" t="s">
        <v>2035</v>
      </c>
      <c r="AF518">
        <v>1002669986</v>
      </c>
      <c r="AG518">
        <v>712029</v>
      </c>
      <c r="AM518" t="str" cm="1">
        <f t="array" ref="AM518">_xlfn.IFS(OR(O518="Persoonlijk",O518="Zoon",O518="Dochter"),P518,OR(Q518="Persoonlijk",Q518="Zoon",Q518="Dochter"),R518,OR(S518="Persoonlijk",S518="Zoon",S518="Dochter"),T518,O518="Vader",P518,Q518="Vader",R518,S518="Vader",T518,O518="Moeder",P518,Q518="Moeder",R518,S518="Moeder",T518,TRUE,IF(P518&lt;&gt;"",P518,IF(R518&lt;&gt;"",R518,IF(T518&lt;&gt;"",T518,""))))</f>
        <v/>
      </c>
      <c r="AN518" t="str" cm="1">
        <f t="array" ref="AN518">_xlfn.LET(_xlpm.raw,_xlfn.IFS(OR(U518="Persoonlijk",U518="Zoon",U518="Dochter"),V518,OR(W518="Persoonlijk",W518="Zoon",W518="Dochter"),X518,OR(Y518="Persoonlijk",Y518="Zoon",Y518="Dochter"),Z518,U518="Vader",V518,W518="Vader",X518,Y518="Vader",Z518,U518="Moeder",V518,W518="Moeder",X518,Y518="Moeder",Z518,TRUE,IF(V518&lt;&gt;"",V518,IF(X518&lt;&gt;"",X518,IF(Z518&lt;&gt;"",Z518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+32477295202</v>
      </c>
    </row>
    <row r="519" spans="1:40" x14ac:dyDescent="0.3">
      <c r="A519">
        <v>3501048</v>
      </c>
      <c r="B519" t="s">
        <v>2036</v>
      </c>
      <c r="C519" t="s">
        <v>1748</v>
      </c>
      <c r="D519" t="s">
        <v>39</v>
      </c>
      <c r="E519" t="s">
        <v>40</v>
      </c>
      <c r="F519" t="s">
        <v>2037</v>
      </c>
      <c r="G519" t="s">
        <v>280</v>
      </c>
      <c r="H519">
        <v>74</v>
      </c>
      <c r="V519">
        <v>478122419</v>
      </c>
      <c r="X519">
        <v>498603583</v>
      </c>
      <c r="Z519">
        <v>0</v>
      </c>
      <c r="AA519">
        <v>0</v>
      </c>
      <c r="AE519" t="s">
        <v>2038</v>
      </c>
      <c r="AF519">
        <v>1003501048</v>
      </c>
      <c r="AM519" t="str" cm="1">
        <f t="array" ref="AM519">_xlfn.IFS(OR(O519="Persoonlijk",O519="Zoon",O519="Dochter"),P519,OR(Q519="Persoonlijk",Q519="Zoon",Q519="Dochter"),R519,OR(S519="Persoonlijk",S519="Zoon",S519="Dochter"),T519,O519="Vader",P519,Q519="Vader",R519,S519="Vader",T519,O519="Moeder",P519,Q519="Moeder",R519,S519="Moeder",T519,TRUE,IF(P519&lt;&gt;"",P519,IF(R519&lt;&gt;"",R519,IF(T519&lt;&gt;"",T519,""))))</f>
        <v/>
      </c>
      <c r="AN519" t="str" cm="1">
        <f t="array" ref="AN519">_xlfn.LET(_xlpm.raw,_xlfn.IFS(OR(U519="Persoonlijk",U519="Zoon",U519="Dochter"),V519,OR(W519="Persoonlijk",W519="Zoon",W519="Dochter"),X519,OR(Y519="Persoonlijk",Y519="Zoon",Y519="Dochter"),Z519,U519="Vader",V519,W519="Vader",X519,Y519="Vader",Z519,U519="Moeder",V519,W519="Moeder",X519,Y519="Moeder",Z519,TRUE,IF(V519&lt;&gt;"",V519,IF(X519&lt;&gt;"",X519,IF(Z519&lt;&gt;"",Z519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+32478122419</v>
      </c>
    </row>
    <row r="520" spans="1:40" x14ac:dyDescent="0.3">
      <c r="A520">
        <v>2183177</v>
      </c>
      <c r="B520" t="s">
        <v>2039</v>
      </c>
      <c r="C520" t="s">
        <v>2040</v>
      </c>
      <c r="D520" t="s">
        <v>39</v>
      </c>
      <c r="E520" t="s">
        <v>49</v>
      </c>
      <c r="F520" t="s">
        <v>2041</v>
      </c>
      <c r="G520" t="s">
        <v>382</v>
      </c>
      <c r="H520" t="s">
        <v>615</v>
      </c>
      <c r="AC520" t="s">
        <v>2042</v>
      </c>
      <c r="AE520" t="s">
        <v>2043</v>
      </c>
      <c r="AF520">
        <v>1002183177</v>
      </c>
      <c r="AM520" t="str" cm="1">
        <f t="array" ref="AM520">_xlfn.IFS(OR(O520="Persoonlijk",O520="Zoon",O520="Dochter"),P520,OR(Q520="Persoonlijk",Q520="Zoon",Q520="Dochter"),R520,OR(S520="Persoonlijk",S520="Zoon",S520="Dochter"),T520,O520="Vader",P520,Q520="Vader",R520,S520="Vader",T520,O520="Moeder",P520,Q520="Moeder",R520,S520="Moeder",T520,TRUE,IF(P520&lt;&gt;"",P520,IF(R520&lt;&gt;"",R520,IF(T520&lt;&gt;"",T520,""))))</f>
        <v/>
      </c>
      <c r="AN520" t="str" cm="1">
        <f t="array" ref="AN520">_xlfn.LET(_xlpm.raw,_xlfn.IFS(OR(U520="Persoonlijk",U520="Zoon",U520="Dochter"),V520,OR(W520="Persoonlijk",W520="Zoon",W520="Dochter"),X520,OR(Y520="Persoonlijk",Y520="Zoon",Y520="Dochter"),Z520,U520="Vader",V520,W520="Vader",X520,Y520="Vader",Z520,U520="Moeder",V520,W520="Moeder",X520,Y520="Moeder",Z520,TRUE,IF(V520&lt;&gt;"",V520,IF(X520&lt;&gt;"",X520,IF(Z520&lt;&gt;"",Z520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21" spans="1:40" x14ac:dyDescent="0.3">
      <c r="A521">
        <v>2183192</v>
      </c>
      <c r="B521" t="s">
        <v>2044</v>
      </c>
      <c r="C521" t="s">
        <v>2045</v>
      </c>
      <c r="D521" t="s">
        <v>39</v>
      </c>
      <c r="E521" t="s">
        <v>40</v>
      </c>
      <c r="F521" t="s">
        <v>2046</v>
      </c>
      <c r="G521" t="s">
        <v>2047</v>
      </c>
      <c r="H521">
        <v>39</v>
      </c>
      <c r="AC521" t="s">
        <v>2048</v>
      </c>
      <c r="AF521">
        <v>1002183192</v>
      </c>
      <c r="AG521">
        <v>622975</v>
      </c>
      <c r="AM521" t="str" cm="1">
        <f t="array" ref="AM521">_xlfn.IFS(OR(O521="Persoonlijk",O521="Zoon",O521="Dochter"),P521,OR(Q521="Persoonlijk",Q521="Zoon",Q521="Dochter"),R521,OR(S521="Persoonlijk",S521="Zoon",S521="Dochter"),T521,O521="Vader",P521,Q521="Vader",R521,S521="Vader",T521,O521="Moeder",P521,Q521="Moeder",R521,S521="Moeder",T521,TRUE,IF(P521&lt;&gt;"",P521,IF(R521&lt;&gt;"",R521,IF(T521&lt;&gt;"",T521,""))))</f>
        <v/>
      </c>
      <c r="AN521" t="str" cm="1">
        <f t="array" ref="AN521">_xlfn.LET(_xlpm.raw,_xlfn.IFS(OR(U521="Persoonlijk",U521="Zoon",U521="Dochter"),V521,OR(W521="Persoonlijk",W521="Zoon",W521="Dochter"),X521,OR(Y521="Persoonlijk",Y521="Zoon",Y521="Dochter"),Z521,U521="Vader",V521,W521="Vader",X521,Y521="Vader",Z521,U521="Moeder",V521,W521="Moeder",X521,Y521="Moeder",Z521,TRUE,IF(V521&lt;&gt;"",V521,IF(X521&lt;&gt;"",X521,IF(Z521&lt;&gt;"",Z521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22" spans="1:40" x14ac:dyDescent="0.3">
      <c r="A522">
        <v>2650641</v>
      </c>
      <c r="B522" t="s">
        <v>2049</v>
      </c>
      <c r="C522" t="s">
        <v>2050</v>
      </c>
      <c r="D522" t="s">
        <v>39</v>
      </c>
      <c r="E522" t="s">
        <v>49</v>
      </c>
      <c r="F522" t="s">
        <v>2051</v>
      </c>
      <c r="G522" t="s">
        <v>2052</v>
      </c>
      <c r="H522">
        <v>23</v>
      </c>
      <c r="Q522" t="s">
        <v>51</v>
      </c>
      <c r="R522" t="s">
        <v>2053</v>
      </c>
      <c r="U522" t="s">
        <v>53</v>
      </c>
      <c r="V522">
        <v>32470513652</v>
      </c>
      <c r="X522">
        <v>479980587</v>
      </c>
      <c r="AC522" t="s">
        <v>2054</v>
      </c>
      <c r="AE522" t="s">
        <v>2055</v>
      </c>
      <c r="AF522">
        <v>1002650641</v>
      </c>
      <c r="AG522">
        <v>742358</v>
      </c>
      <c r="AJ522" t="s">
        <v>63</v>
      </c>
      <c r="AK522" t="s">
        <v>61</v>
      </c>
      <c r="AM522" t="str" cm="1">
        <f t="array" ref="AM522">_xlfn.IFS(OR(O522="Persoonlijk",O522="Zoon",O522="Dochter"),P522,OR(Q522="Persoonlijk",Q522="Zoon",Q522="Dochter"),R522,OR(S522="Persoonlijk",S522="Zoon",S522="Dochter"),T522,O522="Vader",P522,Q522="Vader",R522,S522="Vader",T522,O522="Moeder",P522,Q522="Moeder",R522,S522="Moeder",T522,TRUE,IF(P522&lt;&gt;"",P522,IF(R522&lt;&gt;"",R522,IF(T522&lt;&gt;"",T522,""))))</f>
        <v>pieterrommens@hotmail.be</v>
      </c>
      <c r="AN522" t="str" cm="1">
        <f t="array" ref="AN522">_xlfn.LET(_xlpm.raw,_xlfn.IFS(OR(U522="Persoonlijk",U522="Zoon",U522="Dochter"),V522,OR(W522="Persoonlijk",W522="Zoon",W522="Dochter"),X522,OR(Y522="Persoonlijk",Y522="Zoon",Y522="Dochter"),Z522,U522="Vader",V522,W522="Vader",X522,Y522="Vader",Z522,U522="Moeder",V522,W522="Moeder",X522,Y522="Moeder",Z522,TRUE,IF(V522&lt;&gt;"",V522,IF(X522&lt;&gt;"",X522,IF(Z522&lt;&gt;"",Z522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+32470513652</v>
      </c>
    </row>
    <row r="523" spans="1:40" x14ac:dyDescent="0.3">
      <c r="A523">
        <v>2650641</v>
      </c>
      <c r="B523" t="s">
        <v>2049</v>
      </c>
      <c r="C523" t="s">
        <v>2050</v>
      </c>
      <c r="D523" t="s">
        <v>39</v>
      </c>
      <c r="E523" t="s">
        <v>49</v>
      </c>
      <c r="F523" t="s">
        <v>2051</v>
      </c>
      <c r="G523" t="s">
        <v>2052</v>
      </c>
      <c r="H523">
        <v>23</v>
      </c>
      <c r="Q523" t="s">
        <v>51</v>
      </c>
      <c r="R523" t="s">
        <v>2053</v>
      </c>
      <c r="U523" t="s">
        <v>53</v>
      </c>
      <c r="V523">
        <v>32470513652</v>
      </c>
      <c r="X523">
        <v>479980587</v>
      </c>
      <c r="AC523" t="s">
        <v>2054</v>
      </c>
      <c r="AE523" t="s">
        <v>2055</v>
      </c>
      <c r="AF523">
        <v>1002650641</v>
      </c>
      <c r="AG523">
        <v>742358</v>
      </c>
      <c r="AJ523" t="s">
        <v>127</v>
      </c>
      <c r="AK523" t="s">
        <v>61</v>
      </c>
      <c r="AM523" t="str" cm="1">
        <f t="array" ref="AM523">_xlfn.IFS(OR(O523="Persoonlijk",O523="Zoon",O523="Dochter"),P523,OR(Q523="Persoonlijk",Q523="Zoon",Q523="Dochter"),R523,OR(S523="Persoonlijk",S523="Zoon",S523="Dochter"),T523,O523="Vader",P523,Q523="Vader",R523,S523="Vader",T523,O523="Moeder",P523,Q523="Moeder",R523,S523="Moeder",T523,TRUE,IF(P523&lt;&gt;"",P523,IF(R523&lt;&gt;"",R523,IF(T523&lt;&gt;"",T523,""))))</f>
        <v>pieterrommens@hotmail.be</v>
      </c>
      <c r="AN523" t="str" cm="1">
        <f t="array" ref="AN523">_xlfn.LET(_xlpm.raw,_xlfn.IFS(OR(U523="Persoonlijk",U523="Zoon",U523="Dochter"),V523,OR(W523="Persoonlijk",W523="Zoon",W523="Dochter"),X523,OR(Y523="Persoonlijk",Y523="Zoon",Y523="Dochter"),Z523,U523="Vader",V523,W523="Vader",X523,Y523="Vader",Z523,U523="Moeder",V523,W523="Moeder",X523,Y523="Moeder",Z523,TRUE,IF(V523&lt;&gt;"",V523,IF(X523&lt;&gt;"",X523,IF(Z523&lt;&gt;"",Z523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+32470513652</v>
      </c>
    </row>
    <row r="524" spans="1:40" x14ac:dyDescent="0.3">
      <c r="A524">
        <v>2715503</v>
      </c>
      <c r="B524" t="s">
        <v>2049</v>
      </c>
      <c r="C524" t="s">
        <v>1170</v>
      </c>
      <c r="D524" t="s">
        <v>39</v>
      </c>
      <c r="E524" t="s">
        <v>40</v>
      </c>
      <c r="F524" t="s">
        <v>2056</v>
      </c>
      <c r="G524" t="s">
        <v>2052</v>
      </c>
      <c r="H524">
        <v>23</v>
      </c>
      <c r="V524">
        <v>498840277</v>
      </c>
      <c r="X524">
        <v>479980587</v>
      </c>
      <c r="Z524">
        <v>0</v>
      </c>
      <c r="AA524">
        <v>0</v>
      </c>
      <c r="AC524" t="s">
        <v>2057</v>
      </c>
      <c r="AF524">
        <v>1002715503</v>
      </c>
      <c r="AM524" t="str" cm="1">
        <f t="array" ref="AM524">_xlfn.IFS(OR(O524="Persoonlijk",O524="Zoon",O524="Dochter"),P524,OR(Q524="Persoonlijk",Q524="Zoon",Q524="Dochter"),R524,OR(S524="Persoonlijk",S524="Zoon",S524="Dochter"),T524,O524="Vader",P524,Q524="Vader",R524,S524="Vader",T524,O524="Moeder",P524,Q524="Moeder",R524,S524="Moeder",T524,TRUE,IF(P524&lt;&gt;"",P524,IF(R524&lt;&gt;"",R524,IF(T524&lt;&gt;"",T524,""))))</f>
        <v/>
      </c>
      <c r="AN524" t="str" cm="1">
        <f t="array" ref="AN524">_xlfn.LET(_xlpm.raw,_xlfn.IFS(OR(U524="Persoonlijk",U524="Zoon",U524="Dochter"),V524,OR(W524="Persoonlijk",W524="Zoon",W524="Dochter"),X524,OR(Y524="Persoonlijk",Y524="Zoon",Y524="Dochter"),Z524,U524="Vader",V524,W524="Vader",X524,Y524="Vader",Z524,U524="Moeder",V524,W524="Moeder",X524,Y524="Moeder",Z524,TRUE,IF(V524&lt;&gt;"",V524,IF(X524&lt;&gt;"",X524,IF(Z524&lt;&gt;"",Z524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+32498840277</v>
      </c>
    </row>
    <row r="525" spans="1:40" x14ac:dyDescent="0.3">
      <c r="A525">
        <v>8418475</v>
      </c>
      <c r="B525" t="s">
        <v>2058</v>
      </c>
      <c r="C525" t="s">
        <v>2059</v>
      </c>
      <c r="D525" t="s">
        <v>39</v>
      </c>
      <c r="E525" t="s">
        <v>40</v>
      </c>
      <c r="F525" t="s">
        <v>2060</v>
      </c>
      <c r="G525" t="s">
        <v>2061</v>
      </c>
      <c r="H525" t="s">
        <v>2062</v>
      </c>
      <c r="Q525" t="s">
        <v>51</v>
      </c>
      <c r="R525" t="s">
        <v>2063</v>
      </c>
      <c r="U525" t="s">
        <v>53</v>
      </c>
      <c r="V525">
        <v>32494904656</v>
      </c>
      <c r="W525" t="s">
        <v>51</v>
      </c>
      <c r="X525">
        <v>32485494075</v>
      </c>
      <c r="AC525" t="s">
        <v>2064</v>
      </c>
      <c r="AE525" t="s">
        <v>2065</v>
      </c>
      <c r="AF525">
        <v>1008418475</v>
      </c>
      <c r="AJ525" t="s">
        <v>656</v>
      </c>
      <c r="AK525" t="s">
        <v>61</v>
      </c>
      <c r="AM525" t="str" cm="1">
        <f t="array" ref="AM525">_xlfn.IFS(OR(O525="Persoonlijk",O525="Zoon",O525="Dochter"),P525,OR(Q525="Persoonlijk",Q525="Zoon",Q525="Dochter"),R525,OR(S525="Persoonlijk",S525="Zoon",S525="Dochter"),T525,O525="Vader",P525,Q525="Vader",R525,S525="Vader",T525,O525="Moeder",P525,Q525="Moeder",R525,S525="Moeder",T525,TRUE,IF(P525&lt;&gt;"",P525,IF(R525&lt;&gt;"",R525,IF(T525&lt;&gt;"",T525,""))))</f>
        <v>bartsadaune@hotmail.com</v>
      </c>
      <c r="AN525" t="str" cm="1">
        <f t="array" ref="AN525">_xlfn.LET(_xlpm.raw,_xlfn.IFS(OR(U525="Persoonlijk",U525="Zoon",U525="Dochter"),V525,OR(W525="Persoonlijk",W525="Zoon",W525="Dochter"),X525,OR(Y525="Persoonlijk",Y525="Zoon",Y525="Dochter"),Z525,U525="Vader",V525,W525="Vader",X525,Y525="Vader",Z525,U525="Moeder",V525,W525="Moeder",X525,Y525="Moeder",Z525,TRUE,IF(V525&lt;&gt;"",V525,IF(X525&lt;&gt;"",X525,IF(Z525&lt;&gt;"",Z525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+32485494075</v>
      </c>
    </row>
    <row r="526" spans="1:40" x14ac:dyDescent="0.3">
      <c r="A526">
        <v>3475134</v>
      </c>
      <c r="B526" t="s">
        <v>2066</v>
      </c>
      <c r="C526" t="s">
        <v>2067</v>
      </c>
      <c r="D526" t="s">
        <v>39</v>
      </c>
      <c r="E526" t="s">
        <v>40</v>
      </c>
      <c r="F526" t="s">
        <v>2068</v>
      </c>
      <c r="G526" t="s">
        <v>535</v>
      </c>
      <c r="H526">
        <v>60</v>
      </c>
      <c r="U526" t="s">
        <v>53</v>
      </c>
      <c r="V526" t="s">
        <v>2069</v>
      </c>
      <c r="W526" t="s">
        <v>51</v>
      </c>
      <c r="X526" t="s">
        <v>2070</v>
      </c>
      <c r="AB526" t="s">
        <v>2071</v>
      </c>
      <c r="AE526" t="s">
        <v>2072</v>
      </c>
      <c r="AF526">
        <v>1003475134</v>
      </c>
      <c r="AJ526" t="s">
        <v>88</v>
      </c>
      <c r="AK526" t="s">
        <v>61</v>
      </c>
      <c r="AM526" t="str" cm="1">
        <f t="array" ref="AM526">_xlfn.IFS(OR(O526="Persoonlijk",O526="Zoon",O526="Dochter"),P526,OR(Q526="Persoonlijk",Q526="Zoon",Q526="Dochter"),R526,OR(S526="Persoonlijk",S526="Zoon",S526="Dochter"),T526,O526="Vader",P526,Q526="Vader",R526,S526="Vader",T526,O526="Moeder",P526,Q526="Moeder",R526,S526="Moeder",T526,TRUE,IF(P526&lt;&gt;"",P526,IF(R526&lt;&gt;"",R526,IF(T526&lt;&gt;"",T526,""))))</f>
        <v/>
      </c>
      <c r="AN526" t="str" cm="1">
        <f t="array" ref="AN526">_xlfn.LET(_xlpm.raw,_xlfn.IFS(OR(U526="Persoonlijk",U526="Zoon",U526="Dochter"),V526,OR(W526="Persoonlijk",W526="Zoon",W526="Dochter"),X526,OR(Y526="Persoonlijk",Y526="Zoon",Y526="Dochter"),Z526,U526="Vader",V526,W526="Vader",X526,Y526="Vader",Z526,U526="Moeder",V526,W526="Moeder",X526,Y526="Moeder",Z526,TRUE,IF(V526&lt;&gt;"",V526,IF(X526&lt;&gt;"",X526,IF(Z526&lt;&gt;"",Z526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+32498690042</v>
      </c>
    </row>
    <row r="527" spans="1:40" x14ac:dyDescent="0.3">
      <c r="A527">
        <v>7663444</v>
      </c>
      <c r="B527" t="s">
        <v>2073</v>
      </c>
      <c r="C527" t="s">
        <v>558</v>
      </c>
      <c r="D527" t="s">
        <v>39</v>
      </c>
      <c r="E527" t="s">
        <v>40</v>
      </c>
      <c r="F527" t="s">
        <v>2074</v>
      </c>
      <c r="U527" t="s">
        <v>53</v>
      </c>
      <c r="V527" t="s">
        <v>2075</v>
      </c>
      <c r="AF527">
        <v>1007663444</v>
      </c>
      <c r="AM527" t="str" cm="1">
        <f t="array" ref="AM527">_xlfn.IFS(OR(O527="Persoonlijk",O527="Zoon",O527="Dochter"),P527,OR(Q527="Persoonlijk",Q527="Zoon",Q527="Dochter"),R527,OR(S527="Persoonlijk",S527="Zoon",S527="Dochter"),T527,O527="Vader",P527,Q527="Vader",R527,S527="Vader",T527,O527="Moeder",P527,Q527="Moeder",R527,S527="Moeder",T527,TRUE,IF(P527&lt;&gt;"",P527,IF(R527&lt;&gt;"",R527,IF(T527&lt;&gt;"",T527,""))))</f>
        <v/>
      </c>
      <c r="AN527" t="str" cm="1">
        <f t="array" ref="AN527">_xlfn.LET(_xlpm.raw,_xlfn.IFS(OR(U527="Persoonlijk",U527="Zoon",U527="Dochter"),V527,OR(W527="Persoonlijk",W527="Zoon",W527="Dochter"),X527,OR(Y527="Persoonlijk",Y527="Zoon",Y527="Dochter"),Z527,U527="Vader",V527,W527="Vader",X527,Y527="Vader",Z527,U527="Moeder",V527,W527="Moeder",X527,Y527="Moeder",Z527,TRUE,IF(V527&lt;&gt;"",V527,IF(X527&lt;&gt;"",X527,IF(Z527&lt;&gt;"",Z527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+32476700611</v>
      </c>
    </row>
    <row r="528" spans="1:40" x14ac:dyDescent="0.3">
      <c r="A528">
        <v>4381702</v>
      </c>
      <c r="B528" t="s">
        <v>2076</v>
      </c>
      <c r="C528" t="s">
        <v>2077</v>
      </c>
      <c r="D528" t="s">
        <v>39</v>
      </c>
      <c r="E528" t="s">
        <v>49</v>
      </c>
      <c r="F528" t="s">
        <v>2078</v>
      </c>
      <c r="G528" t="s">
        <v>2079</v>
      </c>
      <c r="H528">
        <v>6</v>
      </c>
      <c r="Q528" t="s">
        <v>53</v>
      </c>
      <c r="R528" t="s">
        <v>2080</v>
      </c>
      <c r="U528" t="s">
        <v>51</v>
      </c>
      <c r="V528" t="s">
        <v>2081</v>
      </c>
      <c r="W528" t="s">
        <v>53</v>
      </c>
      <c r="X528" t="s">
        <v>2082</v>
      </c>
      <c r="AF528">
        <v>1004381702</v>
      </c>
      <c r="AJ528" t="s">
        <v>97</v>
      </c>
      <c r="AK528" t="s">
        <v>61</v>
      </c>
      <c r="AM528" t="str" cm="1">
        <f t="array" ref="AM528">_xlfn.IFS(OR(O528="Persoonlijk",O528="Zoon",O528="Dochter"),P528,OR(Q528="Persoonlijk",Q528="Zoon",Q528="Dochter"),R528,OR(S528="Persoonlijk",S528="Zoon",S528="Dochter"),T528,O528="Vader",P528,Q528="Vader",R528,S528="Vader",T528,O528="Moeder",P528,Q528="Moeder",R528,S528="Moeder",T528,TRUE,IF(P528&lt;&gt;"",P528,IF(R528&lt;&gt;"",R528,IF(T528&lt;&gt;"",T528,""))))</f>
        <v>moonvanneste@hotmail.com</v>
      </c>
      <c r="AN528" t="str" cm="1">
        <f t="array" ref="AN528">_xlfn.LET(_xlpm.raw,_xlfn.IFS(OR(U528="Persoonlijk",U528="Zoon",U528="Dochter"),V528,OR(W528="Persoonlijk",W528="Zoon",W528="Dochter"),X528,OR(Y528="Persoonlijk",Y528="Zoon",Y528="Dochter"),Z528,U528="Vader",V528,W528="Vader",X528,Y528="Vader",Z528,U528="Moeder",V528,W528="Moeder",X528,Y528="Moeder",Z528,TRUE,IF(V528&lt;&gt;"",V528,IF(X528&lt;&gt;"",X528,IF(Z528&lt;&gt;"",Z528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+32496392369</v>
      </c>
    </row>
    <row r="529" spans="1:40" x14ac:dyDescent="0.3">
      <c r="A529">
        <v>4381702</v>
      </c>
      <c r="B529" t="s">
        <v>2076</v>
      </c>
      <c r="C529" t="s">
        <v>2077</v>
      </c>
      <c r="D529" t="s">
        <v>39</v>
      </c>
      <c r="E529" t="s">
        <v>49</v>
      </c>
      <c r="F529" t="s">
        <v>2078</v>
      </c>
      <c r="G529" t="s">
        <v>2079</v>
      </c>
      <c r="H529">
        <v>6</v>
      </c>
      <c r="Q529" t="s">
        <v>53</v>
      </c>
      <c r="R529" t="s">
        <v>2080</v>
      </c>
      <c r="U529" t="s">
        <v>51</v>
      </c>
      <c r="V529" t="s">
        <v>2081</v>
      </c>
      <c r="W529" t="s">
        <v>53</v>
      </c>
      <c r="X529" t="s">
        <v>2082</v>
      </c>
      <c r="AF529">
        <v>1004381702</v>
      </c>
      <c r="AJ529" t="s">
        <v>63</v>
      </c>
      <c r="AK529" t="s">
        <v>61</v>
      </c>
      <c r="AM529" t="str" cm="1">
        <f t="array" ref="AM529">_xlfn.IFS(OR(O529="Persoonlijk",O529="Zoon",O529="Dochter"),P529,OR(Q529="Persoonlijk",Q529="Zoon",Q529="Dochter"),R529,OR(S529="Persoonlijk",S529="Zoon",S529="Dochter"),T529,O529="Vader",P529,Q529="Vader",R529,S529="Vader",T529,O529="Moeder",P529,Q529="Moeder",R529,S529="Moeder",T529,TRUE,IF(P529&lt;&gt;"",P529,IF(R529&lt;&gt;"",R529,IF(T529&lt;&gt;"",T529,""))))</f>
        <v>moonvanneste@hotmail.com</v>
      </c>
      <c r="AN529" t="str" cm="1">
        <f t="array" ref="AN529">_xlfn.LET(_xlpm.raw,_xlfn.IFS(OR(U529="Persoonlijk",U529="Zoon",U529="Dochter"),V529,OR(W529="Persoonlijk",W529="Zoon",W529="Dochter"),X529,OR(Y529="Persoonlijk",Y529="Zoon",Y529="Dochter"),Z529,U529="Vader",V529,W529="Vader",X529,Y529="Vader",Z529,U529="Moeder",V529,W529="Moeder",X529,Y529="Moeder",Z529,TRUE,IF(V529&lt;&gt;"",V529,IF(X529&lt;&gt;"",X529,IF(Z529&lt;&gt;"",Z529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+32496392369</v>
      </c>
    </row>
    <row r="530" spans="1:40" x14ac:dyDescent="0.3">
      <c r="A530">
        <v>8578417</v>
      </c>
      <c r="B530" t="s">
        <v>2083</v>
      </c>
      <c r="C530" t="s">
        <v>908</v>
      </c>
      <c r="D530" t="s">
        <v>39</v>
      </c>
      <c r="E530" t="s">
        <v>40</v>
      </c>
      <c r="G530" t="s">
        <v>280</v>
      </c>
      <c r="H530">
        <v>103</v>
      </c>
      <c r="V530">
        <v>0</v>
      </c>
      <c r="X530">
        <v>0</v>
      </c>
      <c r="Z530">
        <v>0</v>
      </c>
      <c r="AA530">
        <v>0</v>
      </c>
      <c r="AF530">
        <v>1008578417</v>
      </c>
      <c r="AM530" t="str" cm="1">
        <f t="array" ref="AM530">_xlfn.IFS(OR(O530="Persoonlijk",O530="Zoon",O530="Dochter"),P530,OR(Q530="Persoonlijk",Q530="Zoon",Q530="Dochter"),R530,OR(S530="Persoonlijk",S530="Zoon",S530="Dochter"),T530,O530="Vader",P530,Q530="Vader",R530,S530="Vader",T530,O530="Moeder",P530,Q530="Moeder",R530,S530="Moeder",T530,TRUE,IF(P530&lt;&gt;"",P530,IF(R530&lt;&gt;"",R530,IF(T530&lt;&gt;"",T530,""))))</f>
        <v/>
      </c>
      <c r="AN530" t="str" cm="1">
        <f t="array" ref="AN530">_xlfn.LET(_xlpm.raw,_xlfn.IFS(OR(U530="Persoonlijk",U530="Zoon",U530="Dochter"),V530,OR(W530="Persoonlijk",W530="Zoon",W530="Dochter"),X530,OR(Y530="Persoonlijk",Y530="Zoon",Y530="Dochter"),Z530,U530="Vader",V530,W530="Vader",X530,Y530="Vader",Z530,U530="Moeder",V530,W530="Moeder",X530,Y530="Moeder",Z530,TRUE,IF(V530&lt;&gt;"",V530,IF(X530&lt;&gt;"",X530,IF(Z530&lt;&gt;"",Z530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31" spans="1:40" x14ac:dyDescent="0.3">
      <c r="A531">
        <v>2936090</v>
      </c>
      <c r="B531" t="s">
        <v>2083</v>
      </c>
      <c r="C531" t="s">
        <v>2085</v>
      </c>
      <c r="D531" t="s">
        <v>39</v>
      </c>
      <c r="E531" t="s">
        <v>49</v>
      </c>
      <c r="F531" t="s">
        <v>2086</v>
      </c>
      <c r="G531" t="s">
        <v>280</v>
      </c>
      <c r="H531">
        <v>103</v>
      </c>
      <c r="Q531" t="s">
        <v>53</v>
      </c>
      <c r="R531" t="s">
        <v>2087</v>
      </c>
      <c r="S531" t="s">
        <v>51</v>
      </c>
      <c r="T531" t="s">
        <v>2084</v>
      </c>
      <c r="V531" t="s">
        <v>2088</v>
      </c>
      <c r="X531" t="s">
        <v>2089</v>
      </c>
      <c r="AF531">
        <v>1002936090</v>
      </c>
      <c r="AJ531" t="s">
        <v>97</v>
      </c>
      <c r="AK531" t="s">
        <v>61</v>
      </c>
      <c r="AL531" t="s">
        <v>62</v>
      </c>
      <c r="AM531" t="str" cm="1">
        <f t="array" ref="AM531">_xlfn.IFS(OR(O531="Persoonlijk",O531="Zoon",O531="Dochter"),P531,OR(Q531="Persoonlijk",Q531="Zoon",Q531="Dochter"),R531,OR(S531="Persoonlijk",S531="Zoon",S531="Dochter"),T531,O531="Vader",P531,Q531="Vader",R531,S531="Vader",T531,O531="Moeder",P531,Q531="Moeder",R531,S531="Moeder",T531,TRUE,IF(P531&lt;&gt;"",P531,IF(R531&lt;&gt;"",R531,IF(T531&lt;&gt;"",T531,""))))</f>
        <v>alexander.schmitt@authority.biz</v>
      </c>
      <c r="AN531" t="str" cm="1">
        <f t="array" ref="AN531">_xlfn.LET(_xlpm.raw,_xlfn.IFS(OR(U531="Persoonlijk",U531="Zoon",U531="Dochter"),V531,OR(W531="Persoonlijk",W531="Zoon",W531="Dochter"),X531,OR(Y531="Persoonlijk",Y531="Zoon",Y531="Dochter"),Z531,U531="Vader",V531,W531="Vader",X531,Y531="Vader",Z531,U531="Moeder",V531,W531="Moeder",X531,Y531="Moeder",Z531,TRUE,IF(V531&lt;&gt;"",V531,IF(X531&lt;&gt;"",X531,IF(Z531&lt;&gt;"",Z531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+32473761554</v>
      </c>
    </row>
    <row r="532" spans="1:40" x14ac:dyDescent="0.3">
      <c r="A532">
        <v>2936090</v>
      </c>
      <c r="B532" t="s">
        <v>2083</v>
      </c>
      <c r="C532" t="s">
        <v>2085</v>
      </c>
      <c r="D532" t="s">
        <v>39</v>
      </c>
      <c r="E532" t="s">
        <v>49</v>
      </c>
      <c r="F532" t="s">
        <v>2086</v>
      </c>
      <c r="G532" t="s">
        <v>280</v>
      </c>
      <c r="H532">
        <v>103</v>
      </c>
      <c r="Q532" t="s">
        <v>53</v>
      </c>
      <c r="R532" t="s">
        <v>2087</v>
      </c>
      <c r="S532" t="s">
        <v>51</v>
      </c>
      <c r="T532" t="s">
        <v>2084</v>
      </c>
      <c r="V532" t="s">
        <v>2088</v>
      </c>
      <c r="X532" t="s">
        <v>2089</v>
      </c>
      <c r="AF532">
        <v>1002936090</v>
      </c>
      <c r="AJ532" t="s">
        <v>63</v>
      </c>
      <c r="AK532" t="s">
        <v>61</v>
      </c>
      <c r="AM532" t="str" cm="1">
        <f t="array" ref="AM532">_xlfn.IFS(OR(O532="Persoonlijk",O532="Zoon",O532="Dochter"),P532,OR(Q532="Persoonlijk",Q532="Zoon",Q532="Dochter"),R532,OR(S532="Persoonlijk",S532="Zoon",S532="Dochter"),T532,O532="Vader",P532,Q532="Vader",R532,S532="Vader",T532,O532="Moeder",P532,Q532="Moeder",R532,S532="Moeder",T532,TRUE,IF(P532&lt;&gt;"",P532,IF(R532&lt;&gt;"",R532,IF(T532&lt;&gt;"",T532,""))))</f>
        <v>alexander.schmitt@authority.biz</v>
      </c>
      <c r="AN532" t="str" cm="1">
        <f t="array" ref="AN532">_xlfn.LET(_xlpm.raw,_xlfn.IFS(OR(U532="Persoonlijk",U532="Zoon",U532="Dochter"),V532,OR(W532="Persoonlijk",W532="Zoon",W532="Dochter"),X532,OR(Y532="Persoonlijk",Y532="Zoon",Y532="Dochter"),Z532,U532="Vader",V532,W532="Vader",X532,Y532="Vader",Z532,U532="Moeder",V532,W532="Moeder",X532,Y532="Moeder",Z532,TRUE,IF(V532&lt;&gt;"",V532,IF(X532&lt;&gt;"",X532,IF(Z532&lt;&gt;"",Z532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+32473761554</v>
      </c>
    </row>
    <row r="533" spans="1:40" x14ac:dyDescent="0.3">
      <c r="A533">
        <v>2650796</v>
      </c>
      <c r="B533" t="s">
        <v>2090</v>
      </c>
      <c r="C533" t="s">
        <v>2091</v>
      </c>
      <c r="D533" t="s">
        <v>39</v>
      </c>
      <c r="E533" t="s">
        <v>40</v>
      </c>
      <c r="F533" t="s">
        <v>2092</v>
      </c>
      <c r="G533" t="s">
        <v>69</v>
      </c>
      <c r="H533">
        <v>344</v>
      </c>
      <c r="Q533" t="s">
        <v>51</v>
      </c>
      <c r="R533" t="s">
        <v>2093</v>
      </c>
      <c r="V533" t="s">
        <v>493</v>
      </c>
      <c r="X533" t="s">
        <v>2094</v>
      </c>
      <c r="AE533" t="s">
        <v>2095</v>
      </c>
      <c r="AF533">
        <v>1002650796</v>
      </c>
      <c r="AG533">
        <v>743241</v>
      </c>
      <c r="AJ533" t="s">
        <v>121</v>
      </c>
      <c r="AK533" t="s">
        <v>61</v>
      </c>
      <c r="AL533" t="s">
        <v>62</v>
      </c>
      <c r="AM533" t="str" cm="1">
        <f t="array" ref="AM533">_xlfn.IFS(OR(O533="Persoonlijk",O533="Zoon",O533="Dochter"),P533,OR(Q533="Persoonlijk",Q533="Zoon",Q533="Dochter"),R533,OR(S533="Persoonlijk",S533="Zoon",S533="Dochter"),T533,O533="Vader",P533,Q533="Vader",R533,S533="Vader",T533,O533="Moeder",P533,Q533="Moeder",R533,S533="Moeder",T533,TRUE,IF(P533&lt;&gt;"",P533,IF(R533&lt;&gt;"",R533,IF(T533&lt;&gt;"",T533,""))))</f>
        <v>pedro.schoenmaekers@hotmail.com</v>
      </c>
      <c r="AN533" t="str" cm="1">
        <f t="array" ref="AN533">_xlfn.LET(_xlpm.raw,_xlfn.IFS(OR(U533="Persoonlijk",U533="Zoon",U533="Dochter"),V533,OR(W533="Persoonlijk",W533="Zoon",W533="Dochter"),X533,OR(Y533="Persoonlijk",Y533="Zoon",Y533="Dochter"),Z533,U533="Vader",V533,W533="Vader",X533,Y533="Vader",Z533,U533="Moeder",V533,W533="Moeder",X533,Y533="Moeder",Z533,TRUE,IF(V533&lt;&gt;"",V533,IF(X533&lt;&gt;"",X533,IF(Z533&lt;&gt;"",Z533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+32476935877</v>
      </c>
    </row>
    <row r="534" spans="1:40" x14ac:dyDescent="0.3">
      <c r="A534">
        <v>2650796</v>
      </c>
      <c r="B534" t="s">
        <v>2090</v>
      </c>
      <c r="C534" t="s">
        <v>2091</v>
      </c>
      <c r="D534" t="s">
        <v>39</v>
      </c>
      <c r="E534" t="s">
        <v>40</v>
      </c>
      <c r="F534" t="s">
        <v>2092</v>
      </c>
      <c r="G534" t="s">
        <v>69</v>
      </c>
      <c r="H534">
        <v>344</v>
      </c>
      <c r="Q534" t="s">
        <v>51</v>
      </c>
      <c r="R534" t="s">
        <v>2093</v>
      </c>
      <c r="V534" t="s">
        <v>493</v>
      </c>
      <c r="X534" t="s">
        <v>2094</v>
      </c>
      <c r="AE534" t="s">
        <v>2095</v>
      </c>
      <c r="AF534">
        <v>1002650796</v>
      </c>
      <c r="AG534">
        <v>743241</v>
      </c>
      <c r="AJ534" t="s">
        <v>63</v>
      </c>
      <c r="AK534" t="s">
        <v>61</v>
      </c>
      <c r="AL534" t="s">
        <v>62</v>
      </c>
      <c r="AM534" t="str" cm="1">
        <f t="array" ref="AM534">_xlfn.IFS(OR(O534="Persoonlijk",O534="Zoon",O534="Dochter"),P534,OR(Q534="Persoonlijk",Q534="Zoon",Q534="Dochter"),R534,OR(S534="Persoonlijk",S534="Zoon",S534="Dochter"),T534,O534="Vader",P534,Q534="Vader",R534,S534="Vader",T534,O534="Moeder",P534,Q534="Moeder",R534,S534="Moeder",T534,TRUE,IF(P534&lt;&gt;"",P534,IF(R534&lt;&gt;"",R534,IF(T534&lt;&gt;"",T534,""))))</f>
        <v>pedro.schoenmaekers@hotmail.com</v>
      </c>
      <c r="AN534" t="str" cm="1">
        <f t="array" ref="AN534">_xlfn.LET(_xlpm.raw,_xlfn.IFS(OR(U534="Persoonlijk",U534="Zoon",U534="Dochter"),V534,OR(W534="Persoonlijk",W534="Zoon",W534="Dochter"),X534,OR(Y534="Persoonlijk",Y534="Zoon",Y534="Dochter"),Z534,U534="Vader",V534,W534="Vader",X534,Y534="Vader",Z534,U534="Moeder",V534,W534="Moeder",X534,Y534="Moeder",Z534,TRUE,IF(V534&lt;&gt;"",V534,IF(X534&lt;&gt;"",X534,IF(Z534&lt;&gt;"",Z534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+32476935877</v>
      </c>
    </row>
    <row r="535" spans="1:40" x14ac:dyDescent="0.3">
      <c r="A535">
        <v>2183197</v>
      </c>
      <c r="B535" t="s">
        <v>2096</v>
      </c>
      <c r="C535" t="s">
        <v>193</v>
      </c>
      <c r="D535" t="s">
        <v>39</v>
      </c>
      <c r="E535" t="s">
        <v>49</v>
      </c>
      <c r="F535" t="s">
        <v>2097</v>
      </c>
      <c r="G535" t="s">
        <v>1529</v>
      </c>
      <c r="H535">
        <v>86</v>
      </c>
      <c r="AC535" t="s">
        <v>2098</v>
      </c>
      <c r="AF535">
        <v>1002183197</v>
      </c>
      <c r="AG535">
        <v>189524</v>
      </c>
      <c r="AM535" t="str" cm="1">
        <f t="array" ref="AM535">_xlfn.IFS(OR(O535="Persoonlijk",O535="Zoon",O535="Dochter"),P535,OR(Q535="Persoonlijk",Q535="Zoon",Q535="Dochter"),R535,OR(S535="Persoonlijk",S535="Zoon",S535="Dochter"),T535,O535="Vader",P535,Q535="Vader",R535,S535="Vader",T535,O535="Moeder",P535,Q535="Moeder",R535,S535="Moeder",T535,TRUE,IF(P535&lt;&gt;"",P535,IF(R535&lt;&gt;"",R535,IF(T535&lt;&gt;"",T535,""))))</f>
        <v/>
      </c>
      <c r="AN535" t="str" cm="1">
        <f t="array" ref="AN535">_xlfn.LET(_xlpm.raw,_xlfn.IFS(OR(U535="Persoonlijk",U535="Zoon",U535="Dochter"),V535,OR(W535="Persoonlijk",W535="Zoon",W535="Dochter"),X535,OR(Y535="Persoonlijk",Y535="Zoon",Y535="Dochter"),Z535,U535="Vader",V535,W535="Vader",X535,Y535="Vader",Z535,U535="Moeder",V535,W535="Moeder",X535,Y535="Moeder",Z535,TRUE,IF(V535&lt;&gt;"",V535,IF(X535&lt;&gt;"",X535,IF(Z535&lt;&gt;"",Z535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36" spans="1:40" x14ac:dyDescent="0.3">
      <c r="A536">
        <v>4069470</v>
      </c>
      <c r="B536" t="s">
        <v>2099</v>
      </c>
      <c r="C536" t="s">
        <v>2100</v>
      </c>
      <c r="D536" t="s">
        <v>39</v>
      </c>
      <c r="E536" t="s">
        <v>49</v>
      </c>
      <c r="F536" t="s">
        <v>2101</v>
      </c>
      <c r="G536" t="s">
        <v>1187</v>
      </c>
      <c r="H536">
        <v>14</v>
      </c>
      <c r="U536" t="s">
        <v>53</v>
      </c>
      <c r="V536" t="s">
        <v>1188</v>
      </c>
      <c r="AC536" t="s">
        <v>2102</v>
      </c>
      <c r="AF536">
        <v>1004069470</v>
      </c>
      <c r="AG536">
        <v>744352</v>
      </c>
      <c r="AM536" t="str" cm="1">
        <f t="array" ref="AM536">_xlfn.IFS(OR(O536="Persoonlijk",O536="Zoon",O536="Dochter"),P536,OR(Q536="Persoonlijk",Q536="Zoon",Q536="Dochter"),R536,OR(S536="Persoonlijk",S536="Zoon",S536="Dochter"),T536,O536="Vader",P536,Q536="Vader",R536,S536="Vader",T536,O536="Moeder",P536,Q536="Moeder",R536,S536="Moeder",T536,TRUE,IF(P536&lt;&gt;"",P536,IF(R536&lt;&gt;"",R536,IF(T536&lt;&gt;"",T536,""))))</f>
        <v/>
      </c>
      <c r="AN536" t="str" cm="1">
        <f t="array" ref="AN536">_xlfn.LET(_xlpm.raw,_xlfn.IFS(OR(U536="Persoonlijk",U536="Zoon",U536="Dochter"),V536,OR(W536="Persoonlijk",W536="Zoon",W536="Dochter"),X536,OR(Y536="Persoonlijk",Y536="Zoon",Y536="Dochter"),Z536,U536="Vader",V536,W536="Vader",X536,Y536="Vader",Z536,U536="Moeder",V536,W536="Moeder",X536,Y536="Moeder",Z536,TRUE,IF(V536&lt;&gt;"",V536,IF(X536&lt;&gt;"",X536,IF(Z536&lt;&gt;"",Z536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+32474339019</v>
      </c>
    </row>
    <row r="537" spans="1:40" x14ac:dyDescent="0.3">
      <c r="A537">
        <v>2183202</v>
      </c>
      <c r="B537" t="s">
        <v>2099</v>
      </c>
      <c r="C537" t="s">
        <v>2103</v>
      </c>
      <c r="D537" t="s">
        <v>39</v>
      </c>
      <c r="E537" t="s">
        <v>40</v>
      </c>
      <c r="F537" t="s">
        <v>2104</v>
      </c>
      <c r="G537" t="s">
        <v>2105</v>
      </c>
      <c r="H537">
        <v>39</v>
      </c>
      <c r="AC537" t="s">
        <v>2106</v>
      </c>
      <c r="AF537">
        <v>1002183202</v>
      </c>
      <c r="AG537">
        <v>247353</v>
      </c>
      <c r="AM537" t="str" cm="1">
        <f t="array" ref="AM537">_xlfn.IFS(OR(O537="Persoonlijk",O537="Zoon",O537="Dochter"),P537,OR(Q537="Persoonlijk",Q537="Zoon",Q537="Dochter"),R537,OR(S537="Persoonlijk",S537="Zoon",S537="Dochter"),T537,O537="Vader",P537,Q537="Vader",R537,S537="Vader",T537,O537="Moeder",P537,Q537="Moeder",R537,S537="Moeder",T537,TRUE,IF(P537&lt;&gt;"",P537,IF(R537&lt;&gt;"",R537,IF(T537&lt;&gt;"",T537,""))))</f>
        <v/>
      </c>
      <c r="AN537" t="str" cm="1">
        <f t="array" ref="AN537">_xlfn.LET(_xlpm.raw,_xlfn.IFS(OR(U537="Persoonlijk",U537="Zoon",U537="Dochter"),V537,OR(W537="Persoonlijk",W537="Zoon",W537="Dochter"),X537,OR(Y537="Persoonlijk",Y537="Zoon",Y537="Dochter"),Z537,U537="Vader",V537,W537="Vader",X537,Y537="Vader",Z537,U537="Moeder",V537,W537="Moeder",X537,Y537="Moeder",Z537,TRUE,IF(V537&lt;&gt;"",V537,IF(X537&lt;&gt;"",X537,IF(Z537&lt;&gt;"",Z537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38" spans="1:40" x14ac:dyDescent="0.3">
      <c r="A538">
        <v>7992452</v>
      </c>
      <c r="B538" t="s">
        <v>2107</v>
      </c>
      <c r="C538" t="s">
        <v>1493</v>
      </c>
      <c r="D538" t="s">
        <v>39</v>
      </c>
      <c r="E538" t="s">
        <v>49</v>
      </c>
      <c r="F538" t="s">
        <v>2108</v>
      </c>
      <c r="G538" t="s">
        <v>2109</v>
      </c>
      <c r="H538">
        <v>2</v>
      </c>
      <c r="V538" t="s">
        <v>2110</v>
      </c>
      <c r="AF538">
        <v>1007992452</v>
      </c>
      <c r="AM538" t="str" cm="1">
        <f t="array" ref="AM538">_xlfn.IFS(OR(O538="Persoonlijk",O538="Zoon",O538="Dochter"),P538,OR(Q538="Persoonlijk",Q538="Zoon",Q538="Dochter"),R538,OR(S538="Persoonlijk",S538="Zoon",S538="Dochter"),T538,O538="Vader",P538,Q538="Vader",R538,S538="Vader",T538,O538="Moeder",P538,Q538="Moeder",R538,S538="Moeder",T538,TRUE,IF(P538&lt;&gt;"",P538,IF(R538&lt;&gt;"",R538,IF(T538&lt;&gt;"",T538,""))))</f>
        <v/>
      </c>
      <c r="AN538" t="str" cm="1">
        <f t="array" ref="AN538">_xlfn.LET(_xlpm.raw,_xlfn.IFS(OR(U538="Persoonlijk",U538="Zoon",U538="Dochter"),V538,OR(W538="Persoonlijk",W538="Zoon",W538="Dochter"),X538,OR(Y538="Persoonlijk",Y538="Zoon",Y538="Dochter"),Z538,U538="Vader",V538,W538="Vader",X538,Y538="Vader",Z538,U538="Moeder",V538,W538="Moeder",X538,Y538="Moeder",Z538,TRUE,IF(V538&lt;&gt;"",V538,IF(X538&lt;&gt;"",X538,IF(Z538&lt;&gt;"",Z538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+32484846213</v>
      </c>
    </row>
    <row r="539" spans="1:40" x14ac:dyDescent="0.3">
      <c r="A539">
        <v>10452590</v>
      </c>
      <c r="B539" t="s">
        <v>2111</v>
      </c>
      <c r="C539" t="s">
        <v>2112</v>
      </c>
      <c r="D539" t="s">
        <v>39</v>
      </c>
      <c r="E539" t="s">
        <v>49</v>
      </c>
      <c r="F539" t="s">
        <v>2113</v>
      </c>
      <c r="G539" t="s">
        <v>2114</v>
      </c>
      <c r="H539">
        <v>29</v>
      </c>
      <c r="Q539" t="s">
        <v>53</v>
      </c>
      <c r="R539" t="s">
        <v>2115</v>
      </c>
      <c r="V539" t="s">
        <v>2116</v>
      </c>
      <c r="X539" t="s">
        <v>2117</v>
      </c>
      <c r="Z539">
        <v>0</v>
      </c>
      <c r="AA539">
        <v>0</v>
      </c>
      <c r="AF539">
        <v>1010452590</v>
      </c>
      <c r="AJ539" t="s">
        <v>442</v>
      </c>
      <c r="AK539" t="s">
        <v>61</v>
      </c>
      <c r="AM539" t="str" cm="1">
        <f t="array" ref="AM539">_xlfn.IFS(OR(O539="Persoonlijk",O539="Zoon",O539="Dochter"),P539,OR(Q539="Persoonlijk",Q539="Zoon",Q539="Dochter"),R539,OR(S539="Persoonlijk",S539="Zoon",S539="Dochter"),T539,O539="Vader",P539,Q539="Vader",R539,S539="Vader",T539,O539="Moeder",P539,Q539="Moeder",R539,S539="Moeder",T539,TRUE,IF(P539&lt;&gt;"",P539,IF(R539&lt;&gt;"",R539,IF(T539&lt;&gt;"",T539,""))))</f>
        <v>alexandra-kemp@hotmail.com</v>
      </c>
      <c r="AN539" t="str" cm="1">
        <f t="array" ref="AN539">_xlfn.LET(_xlpm.raw,_xlfn.IFS(OR(U539="Persoonlijk",U539="Zoon",U539="Dochter"),V539,OR(W539="Persoonlijk",W539="Zoon",W539="Dochter"),X539,OR(Y539="Persoonlijk",Y539="Zoon",Y539="Dochter"),Z539,U539="Vader",V539,W539="Vader",X539,Y539="Vader",Z539,U539="Moeder",V539,W539="Moeder",X539,Y539="Moeder",Z539,TRUE,IF(V539&lt;&gt;"",V539,IF(X539&lt;&gt;"",X539,IF(Z539&lt;&gt;"",Z539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+32472902002</v>
      </c>
    </row>
    <row r="540" spans="1:40" x14ac:dyDescent="0.3">
      <c r="A540">
        <v>7328316</v>
      </c>
      <c r="B540" t="s">
        <v>2111</v>
      </c>
      <c r="C540" t="s">
        <v>2118</v>
      </c>
      <c r="D540" t="s">
        <v>39</v>
      </c>
      <c r="E540" t="s">
        <v>49</v>
      </c>
      <c r="F540" t="s">
        <v>2119</v>
      </c>
      <c r="G540" t="s">
        <v>2114</v>
      </c>
      <c r="H540">
        <v>29</v>
      </c>
      <c r="Q540" t="s">
        <v>53</v>
      </c>
      <c r="R540" t="s">
        <v>2115</v>
      </c>
      <c r="V540" t="s">
        <v>2120</v>
      </c>
      <c r="X540" t="s">
        <v>2121</v>
      </c>
      <c r="AC540" t="s">
        <v>2122</v>
      </c>
      <c r="AE540" t="s">
        <v>2123</v>
      </c>
      <c r="AF540">
        <v>1007328316</v>
      </c>
      <c r="AJ540" t="s">
        <v>294</v>
      </c>
      <c r="AK540" t="s">
        <v>61</v>
      </c>
      <c r="AM540" t="str" cm="1">
        <f t="array" ref="AM540">_xlfn.IFS(OR(O540="Persoonlijk",O540="Zoon",O540="Dochter"),P540,OR(Q540="Persoonlijk",Q540="Zoon",Q540="Dochter"),R540,OR(S540="Persoonlijk",S540="Zoon",S540="Dochter"),T540,O540="Vader",P540,Q540="Vader",R540,S540="Vader",T540,O540="Moeder",P540,Q540="Moeder",R540,S540="Moeder",T540,TRUE,IF(P540&lt;&gt;"",P540,IF(R540&lt;&gt;"",R540,IF(T540&lt;&gt;"",T540,""))))</f>
        <v>alexandra-kemp@hotmail.com</v>
      </c>
      <c r="AN540" t="str" cm="1">
        <f t="array" ref="AN540">_xlfn.LET(_xlpm.raw,_xlfn.IFS(OR(U540="Persoonlijk",U540="Zoon",U540="Dochter"),V540,OR(W540="Persoonlijk",W540="Zoon",W540="Dochter"),X540,OR(Y540="Persoonlijk",Y540="Zoon",Y540="Dochter"),Z540,U540="Vader",V540,W540="Vader",X540,Y540="Vader",Z540,U540="Moeder",V540,W540="Moeder",X540,Y540="Moeder",Z540,TRUE,IF(V540&lt;&gt;"",V540,IF(X540&lt;&gt;"",X540,IF(Z540&lt;&gt;"",Z540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+32472902002</v>
      </c>
    </row>
    <row r="541" spans="1:40" x14ac:dyDescent="0.3">
      <c r="A541">
        <v>7645527</v>
      </c>
      <c r="B541" t="s">
        <v>2124</v>
      </c>
      <c r="C541" t="s">
        <v>1589</v>
      </c>
      <c r="D541" t="s">
        <v>39</v>
      </c>
      <c r="E541" t="s">
        <v>40</v>
      </c>
      <c r="Q541" t="s">
        <v>51</v>
      </c>
      <c r="V541">
        <v>0</v>
      </c>
      <c r="X541">
        <v>0</v>
      </c>
      <c r="Z541">
        <v>0</v>
      </c>
      <c r="AA541">
        <v>0</v>
      </c>
      <c r="AF541">
        <v>1007645527</v>
      </c>
      <c r="AM541" cm="1">
        <f t="array" ref="AM541">_xlfn.IFS(OR(O541="Persoonlijk",O541="Zoon",O541="Dochter"),P541,OR(Q541="Persoonlijk",Q541="Zoon",Q541="Dochter"),R541,OR(S541="Persoonlijk",S541="Zoon",S541="Dochter"),T541,O541="Vader",P541,Q541="Vader",R541,S541="Vader",T541,O541="Moeder",P541,Q541="Moeder",R541,S541="Moeder",T541,TRUE,IF(P541&lt;&gt;"",P541,IF(R541&lt;&gt;"",R541,IF(T541&lt;&gt;"",T541,""))))</f>
        <v>0</v>
      </c>
      <c r="AN541" t="str" cm="1">
        <f t="array" ref="AN541">_xlfn.LET(_xlpm.raw,_xlfn.IFS(OR(U541="Persoonlijk",U541="Zoon",U541="Dochter"),V541,OR(W541="Persoonlijk",W541="Zoon",W541="Dochter"),X541,OR(Y541="Persoonlijk",Y541="Zoon",Y541="Dochter"),Z541,U541="Vader",V541,W541="Vader",X541,Y541="Vader",Z541,U541="Moeder",V541,W541="Moeder",X541,Y541="Moeder",Z541,TRUE,IF(V541&lt;&gt;"",V541,IF(X541&lt;&gt;"",X541,IF(Z541&lt;&gt;"",Z541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42" spans="1:40" x14ac:dyDescent="0.3">
      <c r="A542">
        <v>4037008</v>
      </c>
      <c r="B542" t="s">
        <v>2124</v>
      </c>
      <c r="C542" t="s">
        <v>2126</v>
      </c>
      <c r="D542" t="s">
        <v>39</v>
      </c>
      <c r="E542" t="s">
        <v>40</v>
      </c>
      <c r="F542" t="s">
        <v>2127</v>
      </c>
      <c r="G542" t="s">
        <v>2128</v>
      </c>
      <c r="H542">
        <v>27</v>
      </c>
      <c r="Q542" t="s">
        <v>51</v>
      </c>
      <c r="R542" t="s">
        <v>2125</v>
      </c>
      <c r="U542" t="s">
        <v>51</v>
      </c>
      <c r="V542" t="s">
        <v>2129</v>
      </c>
      <c r="AF542">
        <v>1004037008</v>
      </c>
      <c r="AM542" t="str" cm="1">
        <f t="array" ref="AM542">_xlfn.IFS(OR(O542="Persoonlijk",O542="Zoon",O542="Dochter"),P542,OR(Q542="Persoonlijk",Q542="Zoon",Q542="Dochter"),R542,OR(S542="Persoonlijk",S542="Zoon",S542="Dochter"),T542,O542="Vader",P542,Q542="Vader",R542,S542="Vader",T542,O542="Moeder",P542,Q542="Moeder",R542,S542="Moeder",T542,TRUE,IF(P542&lt;&gt;"",P542,IF(R542&lt;&gt;"",R542,IF(T542&lt;&gt;"",T542,""))))</f>
        <v>filipodimarco@hotmail.com</v>
      </c>
      <c r="AN542" t="str" cm="1">
        <f t="array" ref="AN542">_xlfn.LET(_xlpm.raw,_xlfn.IFS(OR(U542="Persoonlijk",U542="Zoon",U542="Dochter"),V542,OR(W542="Persoonlijk",W542="Zoon",W542="Dochter"),X542,OR(Y542="Persoonlijk",Y542="Zoon",Y542="Dochter"),Z542,U542="Vader",V542,W542="Vader",X542,Y542="Vader",Z542,U542="Moeder",V542,W542="Moeder",X542,Y542="Moeder",Z542,TRUE,IF(V542&lt;&gt;"",V542,IF(X542&lt;&gt;"",X542,IF(Z542&lt;&gt;"",Z542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+32473633638</v>
      </c>
    </row>
    <row r="543" spans="1:40" x14ac:dyDescent="0.3">
      <c r="A543">
        <v>11855245</v>
      </c>
      <c r="B543" t="s">
        <v>2130</v>
      </c>
      <c r="C543" t="s">
        <v>1272</v>
      </c>
      <c r="D543" t="s">
        <v>39</v>
      </c>
      <c r="E543" t="s">
        <v>40</v>
      </c>
      <c r="F543" t="s">
        <v>2131</v>
      </c>
      <c r="G543" t="s">
        <v>2132</v>
      </c>
      <c r="H543">
        <v>8</v>
      </c>
      <c r="U543" t="s">
        <v>46</v>
      </c>
      <c r="V543" t="s">
        <v>2133</v>
      </c>
      <c r="AC543" t="s">
        <v>2134</v>
      </c>
      <c r="AF543">
        <v>1011855245</v>
      </c>
      <c r="AG543">
        <v>234515</v>
      </c>
      <c r="AJ543" t="s">
        <v>743</v>
      </c>
      <c r="AK543" t="s">
        <v>61</v>
      </c>
      <c r="AM543" t="str" cm="1">
        <f t="array" ref="AM543">_xlfn.IFS(OR(O543="Persoonlijk",O543="Zoon",O543="Dochter"),P543,OR(Q543="Persoonlijk",Q543="Zoon",Q543="Dochter"),R543,OR(S543="Persoonlijk",S543="Zoon",S543="Dochter"),T543,O543="Vader",P543,Q543="Vader",R543,S543="Vader",T543,O543="Moeder",P543,Q543="Moeder",R543,S543="Moeder",T543,TRUE,IF(P543&lt;&gt;"",P543,IF(R543&lt;&gt;"",R543,IF(T543&lt;&gt;"",T543,""))))</f>
        <v/>
      </c>
      <c r="AN543" t="str" cm="1">
        <f t="array" ref="AN543">_xlfn.LET(_xlpm.raw,_xlfn.IFS(OR(U543="Persoonlijk",U543="Zoon",U543="Dochter"),V543,OR(W543="Persoonlijk",W543="Zoon",W543="Dochter"),X543,OR(Y543="Persoonlijk",Y543="Zoon",Y543="Dochter"),Z543,U543="Vader",V543,W543="Vader",X543,Y543="Vader",Z543,U543="Moeder",V543,W543="Moeder",X543,Y543="Moeder",Z543,TRUE,IF(V543&lt;&gt;"",V543,IF(X543&lt;&gt;"",X543,IF(Z543&lt;&gt;"",Z543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+32476359988</v>
      </c>
    </row>
    <row r="544" spans="1:40" x14ac:dyDescent="0.3">
      <c r="A544">
        <v>4061488</v>
      </c>
      <c r="B544" t="s">
        <v>2135</v>
      </c>
      <c r="C544" t="s">
        <v>2136</v>
      </c>
      <c r="D544" t="s">
        <v>39</v>
      </c>
      <c r="E544" t="s">
        <v>49</v>
      </c>
      <c r="F544" t="s">
        <v>2004</v>
      </c>
      <c r="G544" t="s">
        <v>42</v>
      </c>
      <c r="H544">
        <v>26</v>
      </c>
      <c r="U544" t="s">
        <v>46</v>
      </c>
      <c r="V544">
        <v>32476837352</v>
      </c>
      <c r="AC544" t="s">
        <v>2137</v>
      </c>
      <c r="AE544" t="s">
        <v>2138</v>
      </c>
      <c r="AF544">
        <v>1004061488</v>
      </c>
      <c r="AG544">
        <v>750073</v>
      </c>
      <c r="AL544" t="s">
        <v>2139</v>
      </c>
      <c r="AM544" t="str" cm="1">
        <f t="array" ref="AM544">_xlfn.IFS(OR(O544="Persoonlijk",O544="Zoon",O544="Dochter"),P544,OR(Q544="Persoonlijk",Q544="Zoon",Q544="Dochter"),R544,OR(S544="Persoonlijk",S544="Zoon",S544="Dochter"),T544,O544="Vader",P544,Q544="Vader",R544,S544="Vader",T544,O544="Moeder",P544,Q544="Moeder",R544,S544="Moeder",T544,TRUE,IF(P544&lt;&gt;"",P544,IF(R544&lt;&gt;"",R544,IF(T544&lt;&gt;"",T544,""))))</f>
        <v/>
      </c>
      <c r="AN544" t="str" cm="1">
        <f t="array" ref="AN544">_xlfn.LET(_xlpm.raw,_xlfn.IFS(OR(U544="Persoonlijk",U544="Zoon",U544="Dochter"),V544,OR(W544="Persoonlijk",W544="Zoon",W544="Dochter"),X544,OR(Y544="Persoonlijk",Y544="Zoon",Y544="Dochter"),Z544,U544="Vader",V544,W544="Vader",X544,Y544="Vader",Z544,U544="Moeder",V544,W544="Moeder",X544,Y544="Moeder",Z544,TRUE,IF(V544&lt;&gt;"",V544,IF(X544&lt;&gt;"",X544,IF(Z544&lt;&gt;"",Z544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+32476837352</v>
      </c>
    </row>
    <row r="545" spans="1:40" x14ac:dyDescent="0.3">
      <c r="A545">
        <v>4061488</v>
      </c>
      <c r="B545" t="s">
        <v>2135</v>
      </c>
      <c r="C545" t="s">
        <v>2136</v>
      </c>
      <c r="D545" t="s">
        <v>39</v>
      </c>
      <c r="E545" t="s">
        <v>49</v>
      </c>
      <c r="F545" t="s">
        <v>2004</v>
      </c>
      <c r="G545" t="s">
        <v>42</v>
      </c>
      <c r="H545">
        <v>26</v>
      </c>
      <c r="U545" t="s">
        <v>46</v>
      </c>
      <c r="V545">
        <v>32476837352</v>
      </c>
      <c r="AC545" t="s">
        <v>2137</v>
      </c>
      <c r="AE545" t="s">
        <v>2138</v>
      </c>
      <c r="AF545">
        <v>1004061488</v>
      </c>
      <c r="AG545">
        <v>750073</v>
      </c>
      <c r="AL545" t="s">
        <v>621</v>
      </c>
      <c r="AM545" t="str" cm="1">
        <f t="array" ref="AM545">_xlfn.IFS(OR(O545="Persoonlijk",O545="Zoon",O545="Dochter"),P545,OR(Q545="Persoonlijk",Q545="Zoon",Q545="Dochter"),R545,OR(S545="Persoonlijk",S545="Zoon",S545="Dochter"),T545,O545="Vader",P545,Q545="Vader",R545,S545="Vader",T545,O545="Moeder",P545,Q545="Moeder",R545,S545="Moeder",T545,TRUE,IF(P545&lt;&gt;"",P545,IF(R545&lt;&gt;"",R545,IF(T545&lt;&gt;"",T545,""))))</f>
        <v/>
      </c>
      <c r="AN545" t="str" cm="1">
        <f t="array" ref="AN545">_xlfn.LET(_xlpm.raw,_xlfn.IFS(OR(U545="Persoonlijk",U545="Zoon",U545="Dochter"),V545,OR(W545="Persoonlijk",W545="Zoon",W545="Dochter"),X545,OR(Y545="Persoonlijk",Y545="Zoon",Y545="Dochter"),Z545,U545="Vader",V545,W545="Vader",X545,Y545="Vader",Z545,U545="Moeder",V545,W545="Moeder",X545,Y545="Moeder",Z545,TRUE,IF(V545&lt;&gt;"",V545,IF(X545&lt;&gt;"",X545,IF(Z545&lt;&gt;"",Z545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+32476837352</v>
      </c>
    </row>
    <row r="546" spans="1:40" x14ac:dyDescent="0.3">
      <c r="A546">
        <v>4061488</v>
      </c>
      <c r="B546" t="s">
        <v>2135</v>
      </c>
      <c r="C546" t="s">
        <v>2136</v>
      </c>
      <c r="D546" t="s">
        <v>39</v>
      </c>
      <c r="E546" t="s">
        <v>49</v>
      </c>
      <c r="F546" t="s">
        <v>2004</v>
      </c>
      <c r="G546" t="s">
        <v>42</v>
      </c>
      <c r="H546">
        <v>26</v>
      </c>
      <c r="U546" t="s">
        <v>46</v>
      </c>
      <c r="V546">
        <v>32476837352</v>
      </c>
      <c r="AC546" t="s">
        <v>2137</v>
      </c>
      <c r="AE546" t="s">
        <v>2138</v>
      </c>
      <c r="AF546">
        <v>1004061488</v>
      </c>
      <c r="AG546">
        <v>750073</v>
      </c>
      <c r="AL546" t="s">
        <v>62</v>
      </c>
      <c r="AM546" t="str" cm="1">
        <f t="array" ref="AM546">_xlfn.IFS(OR(O546="Persoonlijk",O546="Zoon",O546="Dochter"),P546,OR(Q546="Persoonlijk",Q546="Zoon",Q546="Dochter"),R546,OR(S546="Persoonlijk",S546="Zoon",S546="Dochter"),T546,O546="Vader",P546,Q546="Vader",R546,S546="Vader",T546,O546="Moeder",P546,Q546="Moeder",R546,S546="Moeder",T546,TRUE,IF(P546&lt;&gt;"",P546,IF(R546&lt;&gt;"",R546,IF(T546&lt;&gt;"",T546,""))))</f>
        <v/>
      </c>
      <c r="AN546" t="str" cm="1">
        <f t="array" ref="AN546">_xlfn.LET(_xlpm.raw,_xlfn.IFS(OR(U546="Persoonlijk",U546="Zoon",U546="Dochter"),V546,OR(W546="Persoonlijk",W546="Zoon",W546="Dochter"),X546,OR(Y546="Persoonlijk",Y546="Zoon",Y546="Dochter"),Z546,U546="Vader",V546,W546="Vader",X546,Y546="Vader",Z546,U546="Moeder",V546,W546="Moeder",X546,Y546="Moeder",Z546,TRUE,IF(V546&lt;&gt;"",V546,IF(X546&lt;&gt;"",X546,IF(Z546&lt;&gt;"",Z546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+32476837352</v>
      </c>
    </row>
    <row r="547" spans="1:40" x14ac:dyDescent="0.3">
      <c r="A547">
        <v>4061488</v>
      </c>
      <c r="B547" t="s">
        <v>2135</v>
      </c>
      <c r="C547" t="s">
        <v>2136</v>
      </c>
      <c r="D547" t="s">
        <v>39</v>
      </c>
      <c r="E547" t="s">
        <v>49</v>
      </c>
      <c r="F547" t="s">
        <v>2004</v>
      </c>
      <c r="G547" t="s">
        <v>42</v>
      </c>
      <c r="H547">
        <v>26</v>
      </c>
      <c r="U547" t="s">
        <v>46</v>
      </c>
      <c r="V547">
        <v>32476837352</v>
      </c>
      <c r="AC547" t="s">
        <v>2137</v>
      </c>
      <c r="AE547" t="s">
        <v>2138</v>
      </c>
      <c r="AF547">
        <v>1004061488</v>
      </c>
      <c r="AG547">
        <v>750073</v>
      </c>
      <c r="AL547" t="s">
        <v>62</v>
      </c>
      <c r="AM547" t="str" cm="1">
        <f t="array" ref="AM547">_xlfn.IFS(OR(O547="Persoonlijk",O547="Zoon",O547="Dochter"),P547,OR(Q547="Persoonlijk",Q547="Zoon",Q547="Dochter"),R547,OR(S547="Persoonlijk",S547="Zoon",S547="Dochter"),T547,O547="Vader",P547,Q547="Vader",R547,S547="Vader",T547,O547="Moeder",P547,Q547="Moeder",R547,S547="Moeder",T547,TRUE,IF(P547&lt;&gt;"",P547,IF(R547&lt;&gt;"",R547,IF(T547&lt;&gt;"",T547,""))))</f>
        <v/>
      </c>
      <c r="AN547" t="str" cm="1">
        <f t="array" ref="AN547">_xlfn.LET(_xlpm.raw,_xlfn.IFS(OR(U547="Persoonlijk",U547="Zoon",U547="Dochter"),V547,OR(W547="Persoonlijk",W547="Zoon",W547="Dochter"),X547,OR(Y547="Persoonlijk",Y547="Zoon",Y547="Dochter"),Z547,U547="Vader",V547,W547="Vader",X547,Y547="Vader",Z547,U547="Moeder",V547,W547="Moeder",X547,Y547="Moeder",Z547,TRUE,IF(V547&lt;&gt;"",V547,IF(X547&lt;&gt;"",X547,IF(Z547&lt;&gt;"",Z547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+32476837352</v>
      </c>
    </row>
    <row r="548" spans="1:40" x14ac:dyDescent="0.3">
      <c r="A548">
        <v>2183207</v>
      </c>
      <c r="B548" t="s">
        <v>2135</v>
      </c>
      <c r="C548" t="s">
        <v>259</v>
      </c>
      <c r="D548" t="s">
        <v>39</v>
      </c>
      <c r="E548" t="s">
        <v>49</v>
      </c>
      <c r="F548" t="s">
        <v>2140</v>
      </c>
      <c r="G548" t="s">
        <v>2141</v>
      </c>
      <c r="H548">
        <v>42</v>
      </c>
      <c r="Q548" t="s">
        <v>51</v>
      </c>
      <c r="R548" t="s">
        <v>2142</v>
      </c>
      <c r="V548" t="s">
        <v>2143</v>
      </c>
      <c r="X548" t="s">
        <v>2144</v>
      </c>
      <c r="AB548" t="s">
        <v>2145</v>
      </c>
      <c r="AC548" t="s">
        <v>2146</v>
      </c>
      <c r="AE548" t="s">
        <v>2147</v>
      </c>
      <c r="AF548">
        <v>1002183207</v>
      </c>
      <c r="AG548">
        <v>721093</v>
      </c>
      <c r="AJ548" t="s">
        <v>63</v>
      </c>
      <c r="AK548" t="s">
        <v>61</v>
      </c>
      <c r="AM548" t="str" cm="1">
        <f t="array" ref="AM548">_xlfn.IFS(OR(O548="Persoonlijk",O548="Zoon",O548="Dochter"),P548,OR(Q548="Persoonlijk",Q548="Zoon",Q548="Dochter"),R548,OR(S548="Persoonlijk",S548="Zoon",S548="Dochter"),T548,O548="Vader",P548,Q548="Vader",R548,S548="Vader",T548,O548="Moeder",P548,Q548="Moeder",R548,S548="Moeder",T548,TRUE,IF(P548&lt;&gt;"",P548,IF(R548&lt;&gt;"",R548,IF(T548&lt;&gt;"",T548,""))))</f>
        <v>Me@opcd.net</v>
      </c>
      <c r="AN548" t="str" cm="1">
        <f t="array" ref="AN548">_xlfn.LET(_xlpm.raw,_xlfn.IFS(OR(U548="Persoonlijk",U548="Zoon",U548="Dochter"),V548,OR(W548="Persoonlijk",W548="Zoon",W548="Dochter"),X548,OR(Y548="Persoonlijk",Y548="Zoon",Y548="Dochter"),Z548,U548="Vader",V548,W548="Vader",X548,Y548="Vader",Z548,U548="Moeder",V548,W548="Moeder",X548,Y548="Moeder",Z548,TRUE,IF(V548&lt;&gt;"",V548,IF(X548&lt;&gt;"",X548,IF(Z548&lt;&gt;"",Z548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+32474655154</v>
      </c>
    </row>
    <row r="549" spans="1:40" x14ac:dyDescent="0.3">
      <c r="A549">
        <v>2183207</v>
      </c>
      <c r="B549" t="s">
        <v>2135</v>
      </c>
      <c r="C549" t="s">
        <v>259</v>
      </c>
      <c r="D549" t="s">
        <v>39</v>
      </c>
      <c r="E549" t="s">
        <v>49</v>
      </c>
      <c r="F549" t="s">
        <v>2140</v>
      </c>
      <c r="G549" t="s">
        <v>2141</v>
      </c>
      <c r="H549">
        <v>42</v>
      </c>
      <c r="Q549" t="s">
        <v>51</v>
      </c>
      <c r="R549" t="s">
        <v>2142</v>
      </c>
      <c r="V549" t="s">
        <v>2143</v>
      </c>
      <c r="X549" t="s">
        <v>2144</v>
      </c>
      <c r="AB549" t="s">
        <v>2145</v>
      </c>
      <c r="AC549" t="s">
        <v>2146</v>
      </c>
      <c r="AE549" t="s">
        <v>2147</v>
      </c>
      <c r="AF549">
        <v>1002183207</v>
      </c>
      <c r="AG549">
        <v>721093</v>
      </c>
      <c r="AJ549" t="s">
        <v>127</v>
      </c>
      <c r="AK549" t="s">
        <v>61</v>
      </c>
      <c r="AM549" t="str" cm="1">
        <f t="array" ref="AM549">_xlfn.IFS(OR(O549="Persoonlijk",O549="Zoon",O549="Dochter"),P549,OR(Q549="Persoonlijk",Q549="Zoon",Q549="Dochter"),R549,OR(S549="Persoonlijk",S549="Zoon",S549="Dochter"),T549,O549="Vader",P549,Q549="Vader",R549,S549="Vader",T549,O549="Moeder",P549,Q549="Moeder",R549,S549="Moeder",T549,TRUE,IF(P549&lt;&gt;"",P549,IF(R549&lt;&gt;"",R549,IF(T549&lt;&gt;"",T549,""))))</f>
        <v>Me@opcd.net</v>
      </c>
      <c r="AN549" t="str" cm="1">
        <f t="array" ref="AN549">_xlfn.LET(_xlpm.raw,_xlfn.IFS(OR(U549="Persoonlijk",U549="Zoon",U549="Dochter"),V549,OR(W549="Persoonlijk",W549="Zoon",W549="Dochter"),X549,OR(Y549="Persoonlijk",Y549="Zoon",Y549="Dochter"),Z549,U549="Vader",V549,W549="Vader",X549,Y549="Vader",Z549,U549="Moeder",V549,W549="Moeder",X549,Y549="Moeder",Z549,TRUE,IF(V549&lt;&gt;"",V549,IF(X549&lt;&gt;"",X549,IF(Z549&lt;&gt;"",Z549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+32474655154</v>
      </c>
    </row>
    <row r="550" spans="1:40" x14ac:dyDescent="0.3">
      <c r="A550">
        <v>2183217</v>
      </c>
      <c r="B550" t="s">
        <v>2148</v>
      </c>
      <c r="C550" t="s">
        <v>1515</v>
      </c>
      <c r="D550" t="s">
        <v>39</v>
      </c>
      <c r="E550" t="s">
        <v>40</v>
      </c>
      <c r="F550" t="s">
        <v>2149</v>
      </c>
      <c r="G550" t="s">
        <v>429</v>
      </c>
      <c r="H550">
        <v>324</v>
      </c>
      <c r="AC550" t="s">
        <v>2150</v>
      </c>
      <c r="AF550">
        <v>1002183217</v>
      </c>
      <c r="AG550">
        <v>607447</v>
      </c>
      <c r="AM550" t="str" cm="1">
        <f t="array" ref="AM550">_xlfn.IFS(OR(O550="Persoonlijk",O550="Zoon",O550="Dochter"),P550,OR(Q550="Persoonlijk",Q550="Zoon",Q550="Dochter"),R550,OR(S550="Persoonlijk",S550="Zoon",S550="Dochter"),T550,O550="Vader",P550,Q550="Vader",R550,S550="Vader",T550,O550="Moeder",P550,Q550="Moeder",R550,S550="Moeder",T550,TRUE,IF(P550&lt;&gt;"",P550,IF(R550&lt;&gt;"",R550,IF(T550&lt;&gt;"",T550,""))))</f>
        <v/>
      </c>
      <c r="AN550" t="str" cm="1">
        <f t="array" ref="AN550">_xlfn.LET(_xlpm.raw,_xlfn.IFS(OR(U550="Persoonlijk",U550="Zoon",U550="Dochter"),V550,OR(W550="Persoonlijk",W550="Zoon",W550="Dochter"),X550,OR(Y550="Persoonlijk",Y550="Zoon",Y550="Dochter"),Z550,U550="Vader",V550,W550="Vader",X550,Y550="Vader",Z550,U550="Moeder",V550,W550="Moeder",X550,Y550="Moeder",Z550,TRUE,IF(V550&lt;&gt;"",V550,IF(X550&lt;&gt;"",X550,IF(Z550&lt;&gt;"",Z550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51" spans="1:40" x14ac:dyDescent="0.3">
      <c r="A551">
        <v>2714056</v>
      </c>
      <c r="B551" t="s">
        <v>2151</v>
      </c>
      <c r="C551" t="s">
        <v>2152</v>
      </c>
      <c r="D551" t="s">
        <v>39</v>
      </c>
      <c r="E551" t="s">
        <v>49</v>
      </c>
      <c r="F551" t="s">
        <v>2153</v>
      </c>
      <c r="G551" t="s">
        <v>2154</v>
      </c>
      <c r="H551">
        <v>1</v>
      </c>
      <c r="I551">
        <v>2</v>
      </c>
      <c r="V551">
        <v>0</v>
      </c>
      <c r="X551">
        <v>0</v>
      </c>
      <c r="Z551">
        <v>0</v>
      </c>
      <c r="AA551">
        <v>0</v>
      </c>
      <c r="AC551" t="s">
        <v>2155</v>
      </c>
      <c r="AF551">
        <v>1002714056</v>
      </c>
      <c r="AM551" t="str" cm="1">
        <f t="array" ref="AM551">_xlfn.IFS(OR(O551="Persoonlijk",O551="Zoon",O551="Dochter"),P551,OR(Q551="Persoonlijk",Q551="Zoon",Q551="Dochter"),R551,OR(S551="Persoonlijk",S551="Zoon",S551="Dochter"),T551,O551="Vader",P551,Q551="Vader",R551,S551="Vader",T551,O551="Moeder",P551,Q551="Moeder",R551,S551="Moeder",T551,TRUE,IF(P551&lt;&gt;"",P551,IF(R551&lt;&gt;"",R551,IF(T551&lt;&gt;"",T551,""))))</f>
        <v/>
      </c>
      <c r="AN551" t="str" cm="1">
        <f t="array" ref="AN551">_xlfn.LET(_xlpm.raw,_xlfn.IFS(OR(U551="Persoonlijk",U551="Zoon",U551="Dochter"),V551,OR(W551="Persoonlijk",W551="Zoon",W551="Dochter"),X551,OR(Y551="Persoonlijk",Y551="Zoon",Y551="Dochter"),Z551,U551="Vader",V551,W551="Vader",X551,Y551="Vader",Z551,U551="Moeder",V551,W551="Moeder",X551,Y551="Moeder",Z551,TRUE,IF(V551&lt;&gt;"",V551,IF(X551&lt;&gt;"",X551,IF(Z551&lt;&gt;"",Z551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52" spans="1:40" x14ac:dyDescent="0.3">
      <c r="A552">
        <v>2650811</v>
      </c>
      <c r="B552" t="s">
        <v>2151</v>
      </c>
      <c r="C552" t="s">
        <v>2156</v>
      </c>
      <c r="D552" t="s">
        <v>39</v>
      </c>
      <c r="E552" t="s">
        <v>40</v>
      </c>
      <c r="F552" t="s">
        <v>2157</v>
      </c>
      <c r="G552" t="s">
        <v>2154</v>
      </c>
      <c r="H552">
        <v>1</v>
      </c>
      <c r="I552">
        <v>2</v>
      </c>
      <c r="V552">
        <v>3260960209</v>
      </c>
      <c r="AC552" t="s">
        <v>2158</v>
      </c>
      <c r="AF552">
        <v>1002650811</v>
      </c>
      <c r="AG552">
        <v>739986</v>
      </c>
      <c r="AM552" t="str" cm="1">
        <f t="array" ref="AM552">_xlfn.IFS(OR(O552="Persoonlijk",O552="Zoon",O552="Dochter"),P552,OR(Q552="Persoonlijk",Q552="Zoon",Q552="Dochter"),R552,OR(S552="Persoonlijk",S552="Zoon",S552="Dochter"),T552,O552="Vader",P552,Q552="Vader",R552,S552="Vader",T552,O552="Moeder",P552,Q552="Moeder",R552,S552="Moeder",T552,TRUE,IF(P552&lt;&gt;"",P552,IF(R552&lt;&gt;"",R552,IF(T552&lt;&gt;"",T552,""))))</f>
        <v/>
      </c>
      <c r="AN552" t="str" cm="1">
        <f t="array" ref="AN552">_xlfn.LET(_xlpm.raw,_xlfn.IFS(OR(U552="Persoonlijk",U552="Zoon",U552="Dochter"),V552,OR(W552="Persoonlijk",W552="Zoon",W552="Dochter"),X552,OR(Y552="Persoonlijk",Y552="Zoon",Y552="Dochter"),Z552,U552="Vader",V552,W552="Vader",X552,Y552="Vader",Z552,U552="Moeder",V552,W552="Moeder",X552,Y552="Moeder",Z552,TRUE,IF(V552&lt;&gt;"",V552,IF(X552&lt;&gt;"",X552,IF(Z552&lt;&gt;"",Z552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+3260960209</v>
      </c>
    </row>
    <row r="553" spans="1:40" x14ac:dyDescent="0.3">
      <c r="A553">
        <v>11846423</v>
      </c>
      <c r="B553" t="s">
        <v>2159</v>
      </c>
      <c r="C553" t="s">
        <v>2160</v>
      </c>
      <c r="D553" t="s">
        <v>39</v>
      </c>
      <c r="E553" t="s">
        <v>49</v>
      </c>
      <c r="F553" t="s">
        <v>2161</v>
      </c>
      <c r="G553" t="s">
        <v>2162</v>
      </c>
      <c r="H553">
        <v>29</v>
      </c>
      <c r="Q553" t="s">
        <v>53</v>
      </c>
      <c r="R553" t="s">
        <v>2163</v>
      </c>
      <c r="U553" t="s">
        <v>51</v>
      </c>
      <c r="V553" t="s">
        <v>2164</v>
      </c>
      <c r="W553" t="s">
        <v>53</v>
      </c>
      <c r="X553" t="s">
        <v>2165</v>
      </c>
      <c r="AF553">
        <v>1011846423</v>
      </c>
      <c r="AJ553" t="s">
        <v>164</v>
      </c>
      <c r="AK553" t="s">
        <v>61</v>
      </c>
      <c r="AM553" t="str" cm="1">
        <f t="array" ref="AM553">_xlfn.IFS(OR(O553="Persoonlijk",O553="Zoon",O553="Dochter"),P553,OR(Q553="Persoonlijk",Q553="Zoon",Q553="Dochter"),R553,OR(S553="Persoonlijk",S553="Zoon",S553="Dochter"),T553,O553="Vader",P553,Q553="Vader",R553,S553="Vader",T553,O553="Moeder",P553,Q553="Moeder",R553,S553="Moeder",T553,TRUE,IF(P553&lt;&gt;"",P553,IF(R553&lt;&gt;"",R553,IF(T553&lt;&gt;"",T553,""))))</f>
        <v>safadorote3@gmail.com</v>
      </c>
      <c r="AN553" t="str" cm="1">
        <f t="array" ref="AN553">_xlfn.LET(_xlpm.raw,_xlfn.IFS(OR(U553="Persoonlijk",U553="Zoon",U553="Dochter"),V553,OR(W553="Persoonlijk",W553="Zoon",W553="Dochter"),X553,OR(Y553="Persoonlijk",Y553="Zoon",Y553="Dochter"),Z553,U553="Vader",V553,W553="Vader",X553,Y553="Vader",Z553,U553="Moeder",V553,W553="Moeder",X553,Y553="Moeder",Z553,TRUE,IF(V553&lt;&gt;"",V553,IF(X553&lt;&gt;"",X553,IF(Z553&lt;&gt;"",Z553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+32477968913</v>
      </c>
    </row>
    <row r="554" spans="1:40" x14ac:dyDescent="0.3">
      <c r="A554">
        <v>11846423</v>
      </c>
      <c r="B554" t="s">
        <v>2159</v>
      </c>
      <c r="C554" t="s">
        <v>2160</v>
      </c>
      <c r="D554" t="s">
        <v>39</v>
      </c>
      <c r="E554" t="s">
        <v>49</v>
      </c>
      <c r="F554" t="s">
        <v>2161</v>
      </c>
      <c r="G554" t="s">
        <v>2162</v>
      </c>
      <c r="H554">
        <v>29</v>
      </c>
      <c r="Q554" t="s">
        <v>53</v>
      </c>
      <c r="R554" t="s">
        <v>2163</v>
      </c>
      <c r="U554" t="s">
        <v>51</v>
      </c>
      <c r="V554" t="s">
        <v>2164</v>
      </c>
      <c r="W554" t="s">
        <v>53</v>
      </c>
      <c r="X554" t="s">
        <v>2165</v>
      </c>
      <c r="AF554">
        <v>1011846423</v>
      </c>
      <c r="AJ554" t="s">
        <v>87</v>
      </c>
      <c r="AK554" t="s">
        <v>61</v>
      </c>
      <c r="AM554" t="str" cm="1">
        <f t="array" ref="AM554">_xlfn.IFS(OR(O554="Persoonlijk",O554="Zoon",O554="Dochter"),P554,OR(Q554="Persoonlijk",Q554="Zoon",Q554="Dochter"),R554,OR(S554="Persoonlijk",S554="Zoon",S554="Dochter"),T554,O554="Vader",P554,Q554="Vader",R554,S554="Vader",T554,O554="Moeder",P554,Q554="Moeder",R554,S554="Moeder",T554,TRUE,IF(P554&lt;&gt;"",P554,IF(R554&lt;&gt;"",R554,IF(T554&lt;&gt;"",T554,""))))</f>
        <v>safadorote3@gmail.com</v>
      </c>
      <c r="AN554" t="str" cm="1">
        <f t="array" ref="AN554">_xlfn.LET(_xlpm.raw,_xlfn.IFS(OR(U554="Persoonlijk",U554="Zoon",U554="Dochter"),V554,OR(W554="Persoonlijk",W554="Zoon",W554="Dochter"),X554,OR(Y554="Persoonlijk",Y554="Zoon",Y554="Dochter"),Z554,U554="Vader",V554,W554="Vader",X554,Y554="Vader",Z554,U554="Moeder",V554,W554="Moeder",X554,Y554="Moeder",Z554,TRUE,IF(V554&lt;&gt;"",V554,IF(X554&lt;&gt;"",X554,IF(Z554&lt;&gt;"",Z554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+32477968913</v>
      </c>
    </row>
    <row r="555" spans="1:40" x14ac:dyDescent="0.3">
      <c r="A555">
        <v>11846418</v>
      </c>
      <c r="B555" t="s">
        <v>2159</v>
      </c>
      <c r="C555" t="s">
        <v>2166</v>
      </c>
      <c r="D555" t="s">
        <v>39</v>
      </c>
      <c r="E555" t="s">
        <v>49</v>
      </c>
      <c r="F555" t="s">
        <v>2161</v>
      </c>
      <c r="G555" t="s">
        <v>2162</v>
      </c>
      <c r="H555">
        <v>29</v>
      </c>
      <c r="Q555" t="s">
        <v>53</v>
      </c>
      <c r="R555" t="s">
        <v>2163</v>
      </c>
      <c r="V555" t="s">
        <v>2164</v>
      </c>
      <c r="AF555">
        <v>1011846418</v>
      </c>
      <c r="AJ555" t="s">
        <v>164</v>
      </c>
      <c r="AK555" t="s">
        <v>61</v>
      </c>
      <c r="AM555" t="str" cm="1">
        <f t="array" ref="AM555">_xlfn.IFS(OR(O555="Persoonlijk",O555="Zoon",O555="Dochter"),P555,OR(Q555="Persoonlijk",Q555="Zoon",Q555="Dochter"),R555,OR(S555="Persoonlijk",S555="Zoon",S555="Dochter"),T555,O555="Vader",P555,Q555="Vader",R555,S555="Vader",T555,O555="Moeder",P555,Q555="Moeder",R555,S555="Moeder",T555,TRUE,IF(P555&lt;&gt;"",P555,IF(R555&lt;&gt;"",R555,IF(T555&lt;&gt;"",T555,""))))</f>
        <v>safadorote3@gmail.com</v>
      </c>
      <c r="AN555" t="str" cm="1">
        <f t="array" ref="AN555">_xlfn.LET(_xlpm.raw,_xlfn.IFS(OR(U555="Persoonlijk",U555="Zoon",U555="Dochter"),V555,OR(W555="Persoonlijk",W555="Zoon",W555="Dochter"),X555,OR(Y555="Persoonlijk",Y555="Zoon",Y555="Dochter"),Z555,U555="Vader",V555,W555="Vader",X555,Y555="Vader",Z555,U555="Moeder",V555,W555="Moeder",X555,Y555="Moeder",Z555,TRUE,IF(V555&lt;&gt;"",V555,IF(X555&lt;&gt;"",X555,IF(Z555&lt;&gt;"",Z555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+32477968913</v>
      </c>
    </row>
    <row r="556" spans="1:40" x14ac:dyDescent="0.3">
      <c r="A556">
        <v>11846418</v>
      </c>
      <c r="B556" t="s">
        <v>2159</v>
      </c>
      <c r="C556" t="s">
        <v>2166</v>
      </c>
      <c r="D556" t="s">
        <v>39</v>
      </c>
      <c r="E556" t="s">
        <v>49</v>
      </c>
      <c r="F556" t="s">
        <v>2161</v>
      </c>
      <c r="G556" t="s">
        <v>2162</v>
      </c>
      <c r="H556">
        <v>29</v>
      </c>
      <c r="Q556" t="s">
        <v>53</v>
      </c>
      <c r="R556" t="s">
        <v>2163</v>
      </c>
      <c r="V556" t="s">
        <v>2164</v>
      </c>
      <c r="AF556">
        <v>1011846418</v>
      </c>
      <c r="AJ556" t="s">
        <v>87</v>
      </c>
      <c r="AK556" t="s">
        <v>61</v>
      </c>
      <c r="AM556" t="str" cm="1">
        <f t="array" ref="AM556">_xlfn.IFS(OR(O556="Persoonlijk",O556="Zoon",O556="Dochter"),P556,OR(Q556="Persoonlijk",Q556="Zoon",Q556="Dochter"),R556,OR(S556="Persoonlijk",S556="Zoon",S556="Dochter"),T556,O556="Vader",P556,Q556="Vader",R556,S556="Vader",T556,O556="Moeder",P556,Q556="Moeder",R556,S556="Moeder",T556,TRUE,IF(P556&lt;&gt;"",P556,IF(R556&lt;&gt;"",R556,IF(T556&lt;&gt;"",T556,""))))</f>
        <v>safadorote3@gmail.com</v>
      </c>
      <c r="AN556" t="str" cm="1">
        <f t="array" ref="AN556">_xlfn.LET(_xlpm.raw,_xlfn.IFS(OR(U556="Persoonlijk",U556="Zoon",U556="Dochter"),V556,OR(W556="Persoonlijk",W556="Zoon",W556="Dochter"),X556,OR(Y556="Persoonlijk",Y556="Zoon",Y556="Dochter"),Z556,U556="Vader",V556,W556="Vader",X556,Y556="Vader",Z556,U556="Moeder",V556,W556="Moeder",X556,Y556="Moeder",Z556,TRUE,IF(V556&lt;&gt;"",V556,IF(X556&lt;&gt;"",X556,IF(Z556&lt;&gt;"",Z556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+32477968913</v>
      </c>
    </row>
    <row r="557" spans="1:40" x14ac:dyDescent="0.3">
      <c r="A557">
        <v>2714058</v>
      </c>
      <c r="B557" t="s">
        <v>2167</v>
      </c>
      <c r="C557" t="s">
        <v>2168</v>
      </c>
      <c r="D557" t="s">
        <v>39</v>
      </c>
      <c r="E557" t="s">
        <v>49</v>
      </c>
      <c r="F557" t="s">
        <v>2169</v>
      </c>
      <c r="G557" t="s">
        <v>280</v>
      </c>
      <c r="H557">
        <v>57</v>
      </c>
      <c r="V557">
        <v>478427271</v>
      </c>
      <c r="X557">
        <v>0</v>
      </c>
      <c r="Z557">
        <v>0</v>
      </c>
      <c r="AA557">
        <v>0</v>
      </c>
      <c r="AC557" t="s">
        <v>2170</v>
      </c>
      <c r="AF557">
        <v>1002714058</v>
      </c>
      <c r="AL557" t="s">
        <v>62</v>
      </c>
      <c r="AM557" t="str" cm="1">
        <f t="array" ref="AM557">_xlfn.IFS(OR(O557="Persoonlijk",O557="Zoon",O557="Dochter"),P557,OR(Q557="Persoonlijk",Q557="Zoon",Q557="Dochter"),R557,OR(S557="Persoonlijk",S557="Zoon",S557="Dochter"),T557,O557="Vader",P557,Q557="Vader",R557,S557="Vader",T557,O557="Moeder",P557,Q557="Moeder",R557,S557="Moeder",T557,TRUE,IF(P557&lt;&gt;"",P557,IF(R557&lt;&gt;"",R557,IF(T557&lt;&gt;"",T557,""))))</f>
        <v/>
      </c>
      <c r="AN557" t="str" cm="1">
        <f t="array" ref="AN557">_xlfn.LET(_xlpm.raw,_xlfn.IFS(OR(U557="Persoonlijk",U557="Zoon",U557="Dochter"),V557,OR(W557="Persoonlijk",W557="Zoon",W557="Dochter"),X557,OR(Y557="Persoonlijk",Y557="Zoon",Y557="Dochter"),Z557,U557="Vader",V557,W557="Vader",X557,Y557="Vader",Z557,U557="Moeder",V557,W557="Moeder",X557,Y557="Moeder",Z557,TRUE,IF(V557&lt;&gt;"",V557,IF(X557&lt;&gt;"",X557,IF(Z557&lt;&gt;"",Z557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+32478427271</v>
      </c>
    </row>
    <row r="558" spans="1:40" x14ac:dyDescent="0.3">
      <c r="A558">
        <v>2650828</v>
      </c>
      <c r="B558" t="s">
        <v>2171</v>
      </c>
      <c r="C558" t="s">
        <v>908</v>
      </c>
      <c r="D558" t="s">
        <v>39</v>
      </c>
      <c r="E558" t="s">
        <v>40</v>
      </c>
      <c r="F558" t="s">
        <v>2172</v>
      </c>
      <c r="G558" t="s">
        <v>167</v>
      </c>
      <c r="H558">
        <v>14</v>
      </c>
      <c r="V558">
        <v>473432508</v>
      </c>
      <c r="X558">
        <v>479428093</v>
      </c>
      <c r="AC558" t="s">
        <v>2173</v>
      </c>
      <c r="AF558">
        <v>1002650828</v>
      </c>
      <c r="AM558" t="str" cm="1">
        <f t="array" ref="AM558">_xlfn.IFS(OR(O558="Persoonlijk",O558="Zoon",O558="Dochter"),P558,OR(Q558="Persoonlijk",Q558="Zoon",Q558="Dochter"),R558,OR(S558="Persoonlijk",S558="Zoon",S558="Dochter"),T558,O558="Vader",P558,Q558="Vader",R558,S558="Vader",T558,O558="Moeder",P558,Q558="Moeder",R558,S558="Moeder",T558,TRUE,IF(P558&lt;&gt;"",P558,IF(R558&lt;&gt;"",R558,IF(T558&lt;&gt;"",T558,""))))</f>
        <v/>
      </c>
      <c r="AN558" t="str" cm="1">
        <f t="array" ref="AN558">_xlfn.LET(_xlpm.raw,_xlfn.IFS(OR(U558="Persoonlijk",U558="Zoon",U558="Dochter"),V558,OR(W558="Persoonlijk",W558="Zoon",W558="Dochter"),X558,OR(Y558="Persoonlijk",Y558="Zoon",Y558="Dochter"),Z558,U558="Vader",V558,W558="Vader",X558,Y558="Vader",Z558,U558="Moeder",V558,W558="Moeder",X558,Y558="Moeder",Z558,TRUE,IF(V558&lt;&gt;"",V558,IF(X558&lt;&gt;"",X558,IF(Z558&lt;&gt;"",Z558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+32473432508</v>
      </c>
    </row>
    <row r="559" spans="1:40" x14ac:dyDescent="0.3">
      <c r="A559">
        <v>2714068</v>
      </c>
      <c r="B559" t="s">
        <v>2171</v>
      </c>
      <c r="C559" t="s">
        <v>671</v>
      </c>
      <c r="D559" t="s">
        <v>39</v>
      </c>
      <c r="E559" t="s">
        <v>40</v>
      </c>
      <c r="F559" t="s">
        <v>2174</v>
      </c>
      <c r="G559" t="s">
        <v>167</v>
      </c>
      <c r="H559">
        <v>14</v>
      </c>
      <c r="V559">
        <v>473432508</v>
      </c>
      <c r="X559">
        <v>0</v>
      </c>
      <c r="Z559">
        <v>0</v>
      </c>
      <c r="AA559">
        <v>0</v>
      </c>
      <c r="AC559" t="s">
        <v>2175</v>
      </c>
      <c r="AF559">
        <v>1002714068</v>
      </c>
      <c r="AM559" t="str" cm="1">
        <f t="array" ref="AM559">_xlfn.IFS(OR(O559="Persoonlijk",O559="Zoon",O559="Dochter"),P559,OR(Q559="Persoonlijk",Q559="Zoon",Q559="Dochter"),R559,OR(S559="Persoonlijk",S559="Zoon",S559="Dochter"),T559,O559="Vader",P559,Q559="Vader",R559,S559="Vader",T559,O559="Moeder",P559,Q559="Moeder",R559,S559="Moeder",T559,TRUE,IF(P559&lt;&gt;"",P559,IF(R559&lt;&gt;"",R559,IF(T559&lt;&gt;"",T559,""))))</f>
        <v/>
      </c>
      <c r="AN559" t="str" cm="1">
        <f t="array" ref="AN559">_xlfn.LET(_xlpm.raw,_xlfn.IFS(OR(U559="Persoonlijk",U559="Zoon",U559="Dochter"),V559,OR(W559="Persoonlijk",W559="Zoon",W559="Dochter"),X559,OR(Y559="Persoonlijk",Y559="Zoon",Y559="Dochter"),Z559,U559="Vader",V559,W559="Vader",X559,Y559="Vader",Z559,U559="Moeder",V559,W559="Moeder",X559,Y559="Moeder",Z559,TRUE,IF(V559&lt;&gt;"",V559,IF(X559&lt;&gt;"",X559,IF(Z559&lt;&gt;"",Z559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+32473432508</v>
      </c>
    </row>
    <row r="560" spans="1:40" x14ac:dyDescent="0.3">
      <c r="A560">
        <v>4353161</v>
      </c>
      <c r="B560" t="s">
        <v>2176</v>
      </c>
      <c r="C560" t="s">
        <v>2177</v>
      </c>
      <c r="D560" t="s">
        <v>39</v>
      </c>
      <c r="E560" t="s">
        <v>49</v>
      </c>
      <c r="G560" t="s">
        <v>1953</v>
      </c>
      <c r="H560">
        <v>10</v>
      </c>
      <c r="U560" t="s">
        <v>46</v>
      </c>
      <c r="V560" t="s">
        <v>2178</v>
      </c>
      <c r="AF560">
        <v>1004353161</v>
      </c>
      <c r="AL560" t="s">
        <v>1832</v>
      </c>
      <c r="AM560" t="str" cm="1">
        <f t="array" ref="AM560">_xlfn.IFS(OR(O560="Persoonlijk",O560="Zoon",O560="Dochter"),P560,OR(Q560="Persoonlijk",Q560="Zoon",Q560="Dochter"),R560,OR(S560="Persoonlijk",S560="Zoon",S560="Dochter"),T560,O560="Vader",P560,Q560="Vader",R560,S560="Vader",T560,O560="Moeder",P560,Q560="Moeder",R560,S560="Moeder",T560,TRUE,IF(P560&lt;&gt;"",P560,IF(R560&lt;&gt;"",R560,IF(T560&lt;&gt;"",T560,""))))</f>
        <v/>
      </c>
      <c r="AN560" t="str" cm="1">
        <f t="array" ref="AN560">_xlfn.LET(_xlpm.raw,_xlfn.IFS(OR(U560="Persoonlijk",U560="Zoon",U560="Dochter"),V560,OR(W560="Persoonlijk",W560="Zoon",W560="Dochter"),X560,OR(Y560="Persoonlijk",Y560="Zoon",Y560="Dochter"),Z560,U560="Vader",V560,W560="Vader",X560,Y560="Vader",Z560,U560="Moeder",V560,W560="Moeder",X560,Y560="Moeder",Z560,TRUE,IF(V560&lt;&gt;"",V560,IF(X560&lt;&gt;"",X560,IF(Z560&lt;&gt;"",Z560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+32476646787</v>
      </c>
    </row>
    <row r="561" spans="1:40" x14ac:dyDescent="0.3">
      <c r="A561">
        <v>4196390</v>
      </c>
      <c r="B561" t="s">
        <v>2179</v>
      </c>
      <c r="C561" t="s">
        <v>2180</v>
      </c>
      <c r="D561" t="s">
        <v>39</v>
      </c>
      <c r="E561" t="s">
        <v>40</v>
      </c>
      <c r="F561" t="s">
        <v>2181</v>
      </c>
      <c r="G561" t="s">
        <v>2182</v>
      </c>
      <c r="H561">
        <v>43</v>
      </c>
      <c r="U561" t="s">
        <v>46</v>
      </c>
      <c r="V561" t="s">
        <v>2183</v>
      </c>
      <c r="AC561" t="s">
        <v>2184</v>
      </c>
      <c r="AD561">
        <v>13</v>
      </c>
      <c r="AF561">
        <v>1004196390</v>
      </c>
      <c r="AG561">
        <v>650278</v>
      </c>
      <c r="AM561" t="str" cm="1">
        <f t="array" ref="AM561">_xlfn.IFS(OR(O561="Persoonlijk",O561="Zoon",O561="Dochter"),P561,OR(Q561="Persoonlijk",Q561="Zoon",Q561="Dochter"),R561,OR(S561="Persoonlijk",S561="Zoon",S561="Dochter"),T561,O561="Vader",P561,Q561="Vader",R561,S561="Vader",T561,O561="Moeder",P561,Q561="Moeder",R561,S561="Moeder",T561,TRUE,IF(P561&lt;&gt;"",P561,IF(R561&lt;&gt;"",R561,IF(T561&lt;&gt;"",T561,""))))</f>
        <v/>
      </c>
      <c r="AN561" t="str" cm="1">
        <f t="array" ref="AN561">_xlfn.LET(_xlpm.raw,_xlfn.IFS(OR(U561="Persoonlijk",U561="Zoon",U561="Dochter"),V561,OR(W561="Persoonlijk",W561="Zoon",W561="Dochter"),X561,OR(Y561="Persoonlijk",Y561="Zoon",Y561="Dochter"),Z561,U561="Vader",V561,W561="Vader",X561,Y561="Vader",Z561,U561="Moeder",V561,W561="Moeder",X561,Y561="Moeder",Z561,TRUE,IF(V561&lt;&gt;"",V561,IF(X561&lt;&gt;"",X561,IF(Z561&lt;&gt;"",Z561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+32470396307</v>
      </c>
    </row>
    <row r="562" spans="1:40" x14ac:dyDescent="0.3">
      <c r="A562">
        <v>8619367</v>
      </c>
      <c r="B562" t="s">
        <v>2185</v>
      </c>
      <c r="C562" t="s">
        <v>1699</v>
      </c>
      <c r="D562" t="s">
        <v>39</v>
      </c>
      <c r="E562" t="s">
        <v>49</v>
      </c>
      <c r="F562" t="s">
        <v>2186</v>
      </c>
      <c r="G562" t="s">
        <v>572</v>
      </c>
      <c r="H562">
        <v>14</v>
      </c>
      <c r="AC562" t="s">
        <v>2187</v>
      </c>
      <c r="AF562">
        <v>1008619367</v>
      </c>
      <c r="AM562" t="str" cm="1">
        <f t="array" ref="AM562">_xlfn.IFS(OR(O562="Persoonlijk",O562="Zoon",O562="Dochter"),P562,OR(Q562="Persoonlijk",Q562="Zoon",Q562="Dochter"),R562,OR(S562="Persoonlijk",S562="Zoon",S562="Dochter"),T562,O562="Vader",P562,Q562="Vader",R562,S562="Vader",T562,O562="Moeder",P562,Q562="Moeder",R562,S562="Moeder",T562,TRUE,IF(P562&lt;&gt;"",P562,IF(R562&lt;&gt;"",R562,IF(T562&lt;&gt;"",T562,""))))</f>
        <v/>
      </c>
      <c r="AN562" t="str" cm="1">
        <f t="array" ref="AN562">_xlfn.LET(_xlpm.raw,_xlfn.IFS(OR(U562="Persoonlijk",U562="Zoon",U562="Dochter"),V562,OR(W562="Persoonlijk",W562="Zoon",W562="Dochter"),X562,OR(Y562="Persoonlijk",Y562="Zoon",Y562="Dochter"),Z562,U562="Vader",V562,W562="Vader",X562,Y562="Vader",Z562,U562="Moeder",V562,W562="Moeder",X562,Y562="Moeder",Z562,TRUE,IF(V562&lt;&gt;"",V562,IF(X562&lt;&gt;"",X562,IF(Z562&lt;&gt;"",Z562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63" spans="1:40" x14ac:dyDescent="0.3">
      <c r="A563">
        <v>10363174</v>
      </c>
      <c r="B563" t="s">
        <v>2188</v>
      </c>
      <c r="C563" t="s">
        <v>1498</v>
      </c>
      <c r="D563" t="s">
        <v>39</v>
      </c>
      <c r="E563" t="s">
        <v>40</v>
      </c>
      <c r="F563" t="s">
        <v>2189</v>
      </c>
      <c r="G563" t="s">
        <v>2190</v>
      </c>
      <c r="H563">
        <v>74</v>
      </c>
      <c r="Q563" t="s">
        <v>53</v>
      </c>
      <c r="R563" t="s">
        <v>2191</v>
      </c>
      <c r="S563" t="s">
        <v>53</v>
      </c>
      <c r="T563" t="s">
        <v>2192</v>
      </c>
      <c r="U563" t="s">
        <v>51</v>
      </c>
      <c r="V563" t="s">
        <v>2193</v>
      </c>
      <c r="W563" t="s">
        <v>53</v>
      </c>
      <c r="X563" t="s">
        <v>2194</v>
      </c>
      <c r="Y563" t="s">
        <v>53</v>
      </c>
      <c r="Z563" t="s">
        <v>2195</v>
      </c>
      <c r="AB563" t="s">
        <v>2196</v>
      </c>
      <c r="AC563" t="s">
        <v>2197</v>
      </c>
      <c r="AE563" t="s">
        <v>2198</v>
      </c>
      <c r="AF563">
        <v>1010363174</v>
      </c>
      <c r="AM563" t="str" cm="1">
        <f t="array" ref="AM563">_xlfn.IFS(OR(O563="Persoonlijk",O563="Zoon",O563="Dochter"),P563,OR(Q563="Persoonlijk",Q563="Zoon",Q563="Dochter"),R563,OR(S563="Persoonlijk",S563="Zoon",S563="Dochter"),T563,O563="Vader",P563,Q563="Vader",R563,S563="Vader",T563,O563="Moeder",P563,Q563="Moeder",R563,S563="Moeder",T563,TRUE,IF(P563&lt;&gt;"",P563,IF(R563&lt;&gt;"",R563,IF(T563&lt;&gt;"",T563,""))))</f>
        <v>luciaderammelaere@hotmail.com</v>
      </c>
      <c r="AN563" t="str" cm="1">
        <f t="array" ref="AN563">_xlfn.LET(_xlpm.raw,_xlfn.IFS(OR(U563="Persoonlijk",U563="Zoon",U563="Dochter"),V563,OR(W563="Persoonlijk",W563="Zoon",W563="Dochter"),X563,OR(Y563="Persoonlijk",Y563="Zoon",Y563="Dochter"),Z563,U563="Vader",V563,W563="Vader",X563,Y563="Vader",Z563,U563="Moeder",V563,W563="Moeder",X563,Y563="Moeder",Z563,TRUE,IF(V563&lt;&gt;"",V563,IF(X563&lt;&gt;"",X563,IF(Z563&lt;&gt;"",Z563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+32494047205</v>
      </c>
    </row>
    <row r="564" spans="1:40" x14ac:dyDescent="0.3">
      <c r="A564">
        <v>9499964</v>
      </c>
      <c r="B564" t="s">
        <v>2199</v>
      </c>
      <c r="C564" t="s">
        <v>481</v>
      </c>
      <c r="D564" t="s">
        <v>39</v>
      </c>
      <c r="E564" t="s">
        <v>40</v>
      </c>
      <c r="F564" t="s">
        <v>2200</v>
      </c>
      <c r="G564" t="s">
        <v>2201</v>
      </c>
      <c r="H564">
        <v>108</v>
      </c>
      <c r="U564" t="s">
        <v>51</v>
      </c>
      <c r="V564">
        <v>320472603499</v>
      </c>
      <c r="W564" t="s">
        <v>116</v>
      </c>
      <c r="X564">
        <v>320468539021</v>
      </c>
      <c r="Y564" t="s">
        <v>53</v>
      </c>
      <c r="Z564">
        <v>32474759553</v>
      </c>
      <c r="AB564" t="s">
        <v>2202</v>
      </c>
      <c r="AC564" t="s">
        <v>2203</v>
      </c>
      <c r="AE564" t="s">
        <v>2204</v>
      </c>
      <c r="AF564">
        <v>1009499964</v>
      </c>
      <c r="AG564">
        <v>743553</v>
      </c>
      <c r="AJ564" t="s">
        <v>75</v>
      </c>
      <c r="AK564" t="s">
        <v>61</v>
      </c>
      <c r="AM564" t="str" cm="1">
        <f t="array" ref="AM564">_xlfn.IFS(OR(O564="Persoonlijk",O564="Zoon",O564="Dochter"),P564,OR(Q564="Persoonlijk",Q564="Zoon",Q564="Dochter"),R564,OR(S564="Persoonlijk",S564="Zoon",S564="Dochter"),T564,O564="Vader",P564,Q564="Vader",R564,S564="Vader",T564,O564="Moeder",P564,Q564="Moeder",R564,S564="Moeder",T564,TRUE,IF(P564&lt;&gt;"",P564,IF(R564&lt;&gt;"",R564,IF(T564&lt;&gt;"",T564,""))))</f>
        <v/>
      </c>
      <c r="AN564" t="str" cm="1">
        <f t="array" ref="AN564">_xlfn.LET(_xlpm.raw,_xlfn.IFS(OR(U564="Persoonlijk",U564="Zoon",U564="Dochter"),V564,OR(W564="Persoonlijk",W564="Zoon",W564="Dochter"),X564,OR(Y564="Persoonlijk",Y564="Zoon",Y564="Dochter"),Z564,U564="Vader",V564,W564="Vader",X564,Y564="Vader",Z564,U564="Moeder",V564,W564="Moeder",X564,Y564="Moeder",Z564,TRUE,IF(V564&lt;&gt;"",V564,IF(X564&lt;&gt;"",X564,IF(Z564&lt;&gt;"",Z564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+32468539021</v>
      </c>
    </row>
    <row r="565" spans="1:40" x14ac:dyDescent="0.3">
      <c r="A565">
        <v>9499964</v>
      </c>
      <c r="B565" t="s">
        <v>2199</v>
      </c>
      <c r="C565" t="s">
        <v>481</v>
      </c>
      <c r="D565" t="s">
        <v>39</v>
      </c>
      <c r="E565" t="s">
        <v>40</v>
      </c>
      <c r="F565" t="s">
        <v>2200</v>
      </c>
      <c r="G565" t="s">
        <v>2201</v>
      </c>
      <c r="H565">
        <v>108</v>
      </c>
      <c r="U565" t="s">
        <v>51</v>
      </c>
      <c r="V565">
        <v>320472603499</v>
      </c>
      <c r="W565" t="s">
        <v>116</v>
      </c>
      <c r="X565">
        <v>320468539021</v>
      </c>
      <c r="Y565" t="s">
        <v>53</v>
      </c>
      <c r="Z565">
        <v>32474759553</v>
      </c>
      <c r="AB565" t="s">
        <v>2202</v>
      </c>
      <c r="AC565" t="s">
        <v>2203</v>
      </c>
      <c r="AE565" t="s">
        <v>2204</v>
      </c>
      <c r="AF565">
        <v>1009499964</v>
      </c>
      <c r="AG565">
        <v>743553</v>
      </c>
      <c r="AJ565" t="s">
        <v>63</v>
      </c>
      <c r="AK565" t="s">
        <v>61</v>
      </c>
      <c r="AM565" t="str" cm="1">
        <f t="array" ref="AM565">_xlfn.IFS(OR(O565="Persoonlijk",O565="Zoon",O565="Dochter"),P565,OR(Q565="Persoonlijk",Q565="Zoon",Q565="Dochter"),R565,OR(S565="Persoonlijk",S565="Zoon",S565="Dochter"),T565,O565="Vader",P565,Q565="Vader",R565,S565="Vader",T565,O565="Moeder",P565,Q565="Moeder",R565,S565="Moeder",T565,TRUE,IF(P565&lt;&gt;"",P565,IF(R565&lt;&gt;"",R565,IF(T565&lt;&gt;"",T565,""))))</f>
        <v/>
      </c>
      <c r="AN565" t="str" cm="1">
        <f t="array" ref="AN565">_xlfn.LET(_xlpm.raw,_xlfn.IFS(OR(U565="Persoonlijk",U565="Zoon",U565="Dochter"),V565,OR(W565="Persoonlijk",W565="Zoon",W565="Dochter"),X565,OR(Y565="Persoonlijk",Y565="Zoon",Y565="Dochter"),Z565,U565="Vader",V565,W565="Vader",X565,Y565="Vader",Z565,U565="Moeder",V565,W565="Moeder",X565,Y565="Moeder",Z565,TRUE,IF(V565&lt;&gt;"",V565,IF(X565&lt;&gt;"",X565,IF(Z565&lt;&gt;"",Z565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+32468539021</v>
      </c>
    </row>
    <row r="566" spans="1:40" x14ac:dyDescent="0.3">
      <c r="A566">
        <v>3451572</v>
      </c>
      <c r="B566" t="s">
        <v>2205</v>
      </c>
      <c r="C566" t="s">
        <v>2206</v>
      </c>
      <c r="D566" t="s">
        <v>39</v>
      </c>
      <c r="E566" t="s">
        <v>40</v>
      </c>
      <c r="F566" t="s">
        <v>2207</v>
      </c>
      <c r="G566" t="s">
        <v>2208</v>
      </c>
      <c r="H566">
        <v>20</v>
      </c>
      <c r="U566" t="s">
        <v>53</v>
      </c>
      <c r="V566" t="s">
        <v>2209</v>
      </c>
      <c r="X566" t="s">
        <v>2210</v>
      </c>
      <c r="AC566" t="s">
        <v>2211</v>
      </c>
      <c r="AE566" t="s">
        <v>2212</v>
      </c>
      <c r="AF566">
        <v>1003451572</v>
      </c>
      <c r="AJ566" t="s">
        <v>143</v>
      </c>
      <c r="AK566" t="s">
        <v>61</v>
      </c>
      <c r="AM566" t="str" cm="1">
        <f t="array" ref="AM566">_xlfn.IFS(OR(O566="Persoonlijk",O566="Zoon",O566="Dochter"),P566,OR(Q566="Persoonlijk",Q566="Zoon",Q566="Dochter"),R566,OR(S566="Persoonlijk",S566="Zoon",S566="Dochter"),T566,O566="Vader",P566,Q566="Vader",R566,S566="Vader",T566,O566="Moeder",P566,Q566="Moeder",R566,S566="Moeder",T566,TRUE,IF(P566&lt;&gt;"",P566,IF(R566&lt;&gt;"",R566,IF(T566&lt;&gt;"",T566,""))))</f>
        <v/>
      </c>
      <c r="AN566" t="str" cm="1">
        <f t="array" ref="AN566">_xlfn.LET(_xlpm.raw,_xlfn.IFS(OR(U566="Persoonlijk",U566="Zoon",U566="Dochter"),V566,OR(W566="Persoonlijk",W566="Zoon",W566="Dochter"),X566,OR(Y566="Persoonlijk",Y566="Zoon",Y566="Dochter"),Z566,U566="Vader",V566,W566="Vader",X566,Y566="Vader",Z566,U566="Moeder",V566,W566="Moeder",X566,Y566="Moeder",Z566,TRUE,IF(V566&lt;&gt;"",V566,IF(X566&lt;&gt;"",X566,IF(Z566&lt;&gt;"",Z566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+32472433051</v>
      </c>
    </row>
    <row r="567" spans="1:40" x14ac:dyDescent="0.3">
      <c r="A567">
        <v>2650895</v>
      </c>
      <c r="B567" t="s">
        <v>2213</v>
      </c>
      <c r="C567" t="s">
        <v>2214</v>
      </c>
      <c r="D567" t="s">
        <v>39</v>
      </c>
      <c r="E567" t="s">
        <v>40</v>
      </c>
      <c r="F567" t="s">
        <v>2215</v>
      </c>
      <c r="G567" t="s">
        <v>2216</v>
      </c>
      <c r="H567">
        <v>110</v>
      </c>
      <c r="R567" t="s">
        <v>2217</v>
      </c>
      <c r="U567" t="s">
        <v>53</v>
      </c>
      <c r="V567">
        <v>494851244</v>
      </c>
      <c r="W567" t="s">
        <v>51</v>
      </c>
      <c r="X567">
        <v>32496807989</v>
      </c>
      <c r="AC567" t="s">
        <v>2218</v>
      </c>
      <c r="AE567" t="s">
        <v>2219</v>
      </c>
      <c r="AF567">
        <v>1002650895</v>
      </c>
      <c r="AG567">
        <v>742175</v>
      </c>
      <c r="AM567" t="str" cm="1">
        <f t="array" ref="AM567">_xlfn.IFS(OR(O567="Persoonlijk",O567="Zoon",O567="Dochter"),P567,OR(Q567="Persoonlijk",Q567="Zoon",Q567="Dochter"),R567,OR(S567="Persoonlijk",S567="Zoon",S567="Dochter"),T567,O567="Vader",P567,Q567="Vader",R567,S567="Vader",T567,O567="Moeder",P567,Q567="Moeder",R567,S567="Moeder",T567,TRUE,IF(P567&lt;&gt;"",P567,IF(R567&lt;&gt;"",R567,IF(T567&lt;&gt;"",T567,""))))</f>
        <v>kenith.thomaes@hotmail.com</v>
      </c>
      <c r="AN567" t="str" cm="1">
        <f t="array" ref="AN567">_xlfn.LET(_xlpm.raw,_xlfn.IFS(OR(U567="Persoonlijk",U567="Zoon",U567="Dochter"),V567,OR(W567="Persoonlijk",W567="Zoon",W567="Dochter"),X567,OR(Y567="Persoonlijk",Y567="Zoon",Y567="Dochter"),Z567,U567="Vader",V567,W567="Vader",X567,Y567="Vader",Z567,U567="Moeder",V567,W567="Moeder",X567,Y567="Moeder",Z567,TRUE,IF(V567&lt;&gt;"",V567,IF(X567&lt;&gt;"",X567,IF(Z567&lt;&gt;"",Z567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+32496807989</v>
      </c>
    </row>
    <row r="568" spans="1:40" x14ac:dyDescent="0.3">
      <c r="A568">
        <v>3518572</v>
      </c>
      <c r="B568" t="s">
        <v>2213</v>
      </c>
      <c r="C568" t="s">
        <v>2220</v>
      </c>
      <c r="D568" t="s">
        <v>39</v>
      </c>
      <c r="E568" t="s">
        <v>40</v>
      </c>
      <c r="F568" t="s">
        <v>2221</v>
      </c>
      <c r="G568" t="s">
        <v>2216</v>
      </c>
      <c r="H568">
        <v>110</v>
      </c>
      <c r="Q568" t="s">
        <v>51</v>
      </c>
      <c r="R568" t="s">
        <v>2217</v>
      </c>
      <c r="V568">
        <v>494851244</v>
      </c>
      <c r="X568">
        <v>32496807989</v>
      </c>
      <c r="Z568">
        <v>0</v>
      </c>
      <c r="AA568">
        <v>0</v>
      </c>
      <c r="AE568" t="s">
        <v>2222</v>
      </c>
      <c r="AF568">
        <v>1003518572</v>
      </c>
      <c r="AM568" t="str" cm="1">
        <f t="array" ref="AM568">_xlfn.IFS(OR(O568="Persoonlijk",O568="Zoon",O568="Dochter"),P568,OR(Q568="Persoonlijk",Q568="Zoon",Q568="Dochter"),R568,OR(S568="Persoonlijk",S568="Zoon",S568="Dochter"),T568,O568="Vader",P568,Q568="Vader",R568,S568="Vader",T568,O568="Moeder",P568,Q568="Moeder",R568,S568="Moeder",T568,TRUE,IF(P568&lt;&gt;"",P568,IF(R568&lt;&gt;"",R568,IF(T568&lt;&gt;"",T568,""))))</f>
        <v>kenith.thomaes@hotmail.com</v>
      </c>
      <c r="AN568" t="str" cm="1">
        <f t="array" ref="AN568">_xlfn.LET(_xlpm.raw,_xlfn.IFS(OR(U568="Persoonlijk",U568="Zoon",U568="Dochter"),V568,OR(W568="Persoonlijk",W568="Zoon",W568="Dochter"),X568,OR(Y568="Persoonlijk",Y568="Zoon",Y568="Dochter"),Z568,U568="Vader",V568,W568="Vader",X568,Y568="Vader",Z568,U568="Moeder",V568,W568="Moeder",X568,Y568="Moeder",Z568,TRUE,IF(V568&lt;&gt;"",V568,IF(X568&lt;&gt;"",X568,IF(Z568&lt;&gt;"",Z568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+32494851244</v>
      </c>
    </row>
    <row r="569" spans="1:40" x14ac:dyDescent="0.3">
      <c r="A569">
        <v>10452742</v>
      </c>
      <c r="B569" t="s">
        <v>2223</v>
      </c>
      <c r="C569" t="s">
        <v>1864</v>
      </c>
      <c r="D569" t="s">
        <v>39</v>
      </c>
      <c r="E569" t="s">
        <v>40</v>
      </c>
      <c r="F569" t="s">
        <v>2224</v>
      </c>
      <c r="G569" t="s">
        <v>2225</v>
      </c>
      <c r="H569">
        <v>4</v>
      </c>
      <c r="V569" t="s">
        <v>2226</v>
      </c>
      <c r="X569" t="s">
        <v>2227</v>
      </c>
      <c r="AC569" t="s">
        <v>2228</v>
      </c>
      <c r="AE569" t="s">
        <v>2229</v>
      </c>
      <c r="AF569">
        <v>1010452742</v>
      </c>
      <c r="AJ569" t="s">
        <v>294</v>
      </c>
      <c r="AK569" t="s">
        <v>61</v>
      </c>
      <c r="AM569" t="str" cm="1">
        <f t="array" ref="AM569">_xlfn.IFS(OR(O569="Persoonlijk",O569="Zoon",O569="Dochter"),P569,OR(Q569="Persoonlijk",Q569="Zoon",Q569="Dochter"),R569,OR(S569="Persoonlijk",S569="Zoon",S569="Dochter"),T569,O569="Vader",P569,Q569="Vader",R569,S569="Vader",T569,O569="Moeder",P569,Q569="Moeder",R569,S569="Moeder",T569,TRUE,IF(P569&lt;&gt;"",P569,IF(R569&lt;&gt;"",R569,IF(T569&lt;&gt;"",T569,""))))</f>
        <v/>
      </c>
      <c r="AN569" t="str" cm="1">
        <f t="array" ref="AN569">_xlfn.LET(_xlpm.raw,_xlfn.IFS(OR(U569="Persoonlijk",U569="Zoon",U569="Dochter"),V569,OR(W569="Persoonlijk",W569="Zoon",W569="Dochter"),X569,OR(Y569="Persoonlijk",Y569="Zoon",Y569="Dochter"),Z569,U569="Vader",V569,W569="Vader",X569,Y569="Vader",Z569,U569="Moeder",V569,W569="Moeder",X569,Y569="Moeder",Z569,TRUE,IF(V569&lt;&gt;"",V569,IF(X569&lt;&gt;"",X569,IF(Z569&lt;&gt;"",Z569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+32491736700</v>
      </c>
    </row>
    <row r="570" spans="1:40" x14ac:dyDescent="0.3">
      <c r="A570">
        <v>7338166</v>
      </c>
      <c r="B570" t="s">
        <v>2230</v>
      </c>
      <c r="C570" t="s">
        <v>2231</v>
      </c>
      <c r="D570" t="s">
        <v>39</v>
      </c>
      <c r="E570" t="s">
        <v>40</v>
      </c>
      <c r="G570" t="s">
        <v>2232</v>
      </c>
      <c r="H570">
        <v>317</v>
      </c>
      <c r="V570">
        <v>0</v>
      </c>
      <c r="X570">
        <v>0</v>
      </c>
      <c r="Z570">
        <v>0</v>
      </c>
      <c r="AA570">
        <v>0</v>
      </c>
      <c r="AF570">
        <v>1007338166</v>
      </c>
      <c r="AM570" t="str" cm="1">
        <f t="array" ref="AM570">_xlfn.IFS(OR(O570="Persoonlijk",O570="Zoon",O570="Dochter"),P570,OR(Q570="Persoonlijk",Q570="Zoon",Q570="Dochter"),R570,OR(S570="Persoonlijk",S570="Zoon",S570="Dochter"),T570,O570="Vader",P570,Q570="Vader",R570,S570="Vader",T570,O570="Moeder",P570,Q570="Moeder",R570,S570="Moeder",T570,TRUE,IF(P570&lt;&gt;"",P570,IF(R570&lt;&gt;"",R570,IF(T570&lt;&gt;"",T570,""))))</f>
        <v/>
      </c>
      <c r="AN570" t="str" cm="1">
        <f t="array" ref="AN570">_xlfn.LET(_xlpm.raw,_xlfn.IFS(OR(U570="Persoonlijk",U570="Zoon",U570="Dochter"),V570,OR(W570="Persoonlijk",W570="Zoon",W570="Dochter"),X570,OR(Y570="Persoonlijk",Y570="Zoon",Y570="Dochter"),Z570,U570="Vader",V570,W570="Vader",X570,Y570="Vader",Z570,U570="Moeder",V570,W570="Moeder",X570,Y570="Moeder",Z570,TRUE,IF(V570&lt;&gt;"",V570,IF(X570&lt;&gt;"",X570,IF(Z570&lt;&gt;"",Z570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71" spans="1:40" x14ac:dyDescent="0.3">
      <c r="A571">
        <v>6198354</v>
      </c>
      <c r="B571" t="s">
        <v>2230</v>
      </c>
      <c r="C571" t="s">
        <v>1551</v>
      </c>
      <c r="D571" t="s">
        <v>39</v>
      </c>
      <c r="E571" t="s">
        <v>40</v>
      </c>
      <c r="F571" t="s">
        <v>2234</v>
      </c>
      <c r="G571" t="s">
        <v>2232</v>
      </c>
      <c r="H571">
        <v>317</v>
      </c>
      <c r="Q571" t="s">
        <v>51</v>
      </c>
      <c r="R571" t="s">
        <v>2233</v>
      </c>
      <c r="S571" t="s">
        <v>46</v>
      </c>
      <c r="T571" t="s">
        <v>2235</v>
      </c>
      <c r="U571" t="s">
        <v>53</v>
      </c>
      <c r="V571">
        <v>32499525812</v>
      </c>
      <c r="W571" t="s">
        <v>51</v>
      </c>
      <c r="X571">
        <v>32472524490</v>
      </c>
      <c r="Y571" t="s">
        <v>46</v>
      </c>
      <c r="Z571">
        <v>32492068803</v>
      </c>
      <c r="AC571" t="s">
        <v>2236</v>
      </c>
      <c r="AF571">
        <v>1006198354</v>
      </c>
      <c r="AG571">
        <v>736104</v>
      </c>
      <c r="AM571" t="str" cm="1">
        <f t="array" ref="AM571">_xlfn.IFS(OR(O571="Persoonlijk",O571="Zoon",O571="Dochter"),P571,OR(Q571="Persoonlijk",Q571="Zoon",Q571="Dochter"),R571,OR(S571="Persoonlijk",S571="Zoon",S571="Dochter"),T571,O571="Vader",P571,Q571="Vader",R571,S571="Vader",T571,O571="Moeder",P571,Q571="Moeder",R571,S571="Moeder",T571,TRUE,IF(P571&lt;&gt;"",P571,IF(R571&lt;&gt;"",R571,IF(T571&lt;&gt;"",T571,""))))</f>
        <v>tranoynoah@gmail.com</v>
      </c>
      <c r="AN571" t="str" cm="1">
        <f t="array" ref="AN571">_xlfn.LET(_xlpm.raw,_xlfn.IFS(OR(U571="Persoonlijk",U571="Zoon",U571="Dochter"),V571,OR(W571="Persoonlijk",W571="Zoon",W571="Dochter"),X571,OR(Y571="Persoonlijk",Y571="Zoon",Y571="Dochter"),Z571,U571="Vader",V571,W571="Vader",X571,Y571="Vader",Z571,U571="Moeder",V571,W571="Moeder",X571,Y571="Moeder",Z571,TRUE,IF(V571&lt;&gt;"",V571,IF(X571&lt;&gt;"",X571,IF(Z571&lt;&gt;"",Z571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+32492068803</v>
      </c>
    </row>
    <row r="572" spans="1:40" x14ac:dyDescent="0.3">
      <c r="A572">
        <v>3325264</v>
      </c>
      <c r="B572" t="s">
        <v>2237</v>
      </c>
      <c r="C572" t="s">
        <v>274</v>
      </c>
      <c r="D572" t="s">
        <v>39</v>
      </c>
      <c r="E572" t="s">
        <v>40</v>
      </c>
      <c r="G572" t="s">
        <v>1807</v>
      </c>
      <c r="H572">
        <v>24</v>
      </c>
      <c r="V572">
        <v>0</v>
      </c>
      <c r="X572">
        <v>0</v>
      </c>
      <c r="Z572">
        <v>0</v>
      </c>
      <c r="AA572">
        <v>0</v>
      </c>
      <c r="AF572">
        <v>1003325264</v>
      </c>
      <c r="AM572" t="str" cm="1">
        <f t="array" ref="AM572">_xlfn.IFS(OR(O572="Persoonlijk",O572="Zoon",O572="Dochter"),P572,OR(Q572="Persoonlijk",Q572="Zoon",Q572="Dochter"),R572,OR(S572="Persoonlijk",S572="Zoon",S572="Dochter"),T572,O572="Vader",P572,Q572="Vader",R572,S572="Vader",T572,O572="Moeder",P572,Q572="Moeder",R572,S572="Moeder",T572,TRUE,IF(P572&lt;&gt;"",P572,IF(R572&lt;&gt;"",R572,IF(T572&lt;&gt;"",T572,""))))</f>
        <v/>
      </c>
      <c r="AN572" t="str" cm="1">
        <f t="array" ref="AN572">_xlfn.LET(_xlpm.raw,_xlfn.IFS(OR(U572="Persoonlijk",U572="Zoon",U572="Dochter"),V572,OR(W572="Persoonlijk",W572="Zoon",W572="Dochter"),X572,OR(Y572="Persoonlijk",Y572="Zoon",Y572="Dochter"),Z572,U572="Vader",V572,W572="Vader",X572,Y572="Vader",Z572,U572="Moeder",V572,W572="Moeder",X572,Y572="Moeder",Z572,TRUE,IF(V572&lt;&gt;"",V572,IF(X572&lt;&gt;"",X572,IF(Z572&lt;&gt;"",Z572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73" spans="1:40" x14ac:dyDescent="0.3">
      <c r="A573">
        <v>2183232</v>
      </c>
      <c r="B573" t="s">
        <v>2238</v>
      </c>
      <c r="C573" t="s">
        <v>2239</v>
      </c>
      <c r="D573" t="s">
        <v>39</v>
      </c>
      <c r="E573" t="s">
        <v>49</v>
      </c>
      <c r="F573" t="s">
        <v>2240</v>
      </c>
      <c r="G573" t="s">
        <v>2241</v>
      </c>
      <c r="H573">
        <v>10</v>
      </c>
      <c r="R573" t="s">
        <v>2242</v>
      </c>
      <c r="V573" t="s">
        <v>2243</v>
      </c>
      <c r="AE573" t="s">
        <v>2244</v>
      </c>
      <c r="AF573">
        <v>1002183232</v>
      </c>
      <c r="AG573">
        <v>711407</v>
      </c>
      <c r="AM573" t="str" cm="1">
        <f t="array" ref="AM573">_xlfn.IFS(OR(O573="Persoonlijk",O573="Zoon",O573="Dochter"),P573,OR(Q573="Persoonlijk",Q573="Zoon",Q573="Dochter"),R573,OR(S573="Persoonlijk",S573="Zoon",S573="Dochter"),T573,O573="Vader",P573,Q573="Vader",R573,S573="Vader",T573,O573="Moeder",P573,Q573="Moeder",R573,S573="Moeder",T573,TRUE,IF(P573&lt;&gt;"",P573,IF(R573&lt;&gt;"",R573,IF(T573&lt;&gt;"",T573,""))))</f>
        <v>jena.vanassche@outlook.be</v>
      </c>
      <c r="AN573" t="str" cm="1">
        <f t="array" ref="AN573">_xlfn.LET(_xlpm.raw,_xlfn.IFS(OR(U573="Persoonlijk",U573="Zoon",U573="Dochter"),V573,OR(W573="Persoonlijk",W573="Zoon",W573="Dochter"),X573,OR(Y573="Persoonlijk",Y573="Zoon",Y573="Dochter"),Z573,U573="Vader",V573,W573="Vader",X573,Y573="Vader",Z573,U573="Moeder",V573,W573="Moeder",X573,Y573="Moeder",Z573,TRUE,IF(V573&lt;&gt;"",V573,IF(X573&lt;&gt;"",X573,IF(Z573&lt;&gt;"",Z573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+32497912121</v>
      </c>
    </row>
    <row r="574" spans="1:40" x14ac:dyDescent="0.3">
      <c r="A574">
        <v>2183237</v>
      </c>
      <c r="B574" t="s">
        <v>2238</v>
      </c>
      <c r="C574" t="s">
        <v>38</v>
      </c>
      <c r="D574" t="s">
        <v>39</v>
      </c>
      <c r="E574" t="s">
        <v>40</v>
      </c>
      <c r="F574" t="s">
        <v>2245</v>
      </c>
      <c r="G574" t="s">
        <v>2241</v>
      </c>
      <c r="H574">
        <v>10</v>
      </c>
      <c r="U574" t="s">
        <v>51</v>
      </c>
      <c r="V574">
        <v>32497912121</v>
      </c>
      <c r="AC574" t="s">
        <v>2246</v>
      </c>
      <c r="AE574" t="s">
        <v>2247</v>
      </c>
      <c r="AF574">
        <v>1002183237</v>
      </c>
      <c r="AG574">
        <v>722545</v>
      </c>
      <c r="AM574" t="str" cm="1">
        <f t="array" ref="AM574">_xlfn.IFS(OR(O574="Persoonlijk",O574="Zoon",O574="Dochter"),P574,OR(Q574="Persoonlijk",Q574="Zoon",Q574="Dochter"),R574,OR(S574="Persoonlijk",S574="Zoon",S574="Dochter"),T574,O574="Vader",P574,Q574="Vader",R574,S574="Vader",T574,O574="Moeder",P574,Q574="Moeder",R574,S574="Moeder",T574,TRUE,IF(P574&lt;&gt;"",P574,IF(R574&lt;&gt;"",R574,IF(T574&lt;&gt;"",T574,""))))</f>
        <v/>
      </c>
      <c r="AN574" t="str" cm="1">
        <f t="array" ref="AN574">_xlfn.LET(_xlpm.raw,_xlfn.IFS(OR(U574="Persoonlijk",U574="Zoon",U574="Dochter"),V574,OR(W574="Persoonlijk",W574="Zoon",W574="Dochter"),X574,OR(Y574="Persoonlijk",Y574="Zoon",Y574="Dochter"),Z574,U574="Vader",V574,W574="Vader",X574,Y574="Vader",Z574,U574="Moeder",V574,W574="Moeder",X574,Y574="Moeder",Z574,TRUE,IF(V574&lt;&gt;"",V574,IF(X574&lt;&gt;"",X574,IF(Z574&lt;&gt;"",Z574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+32497912121</v>
      </c>
    </row>
    <row r="575" spans="1:40" x14ac:dyDescent="0.3">
      <c r="A575">
        <v>2183242</v>
      </c>
      <c r="B575" t="s">
        <v>2238</v>
      </c>
      <c r="C575" t="s">
        <v>2248</v>
      </c>
      <c r="D575" t="s">
        <v>39</v>
      </c>
      <c r="E575" t="s">
        <v>40</v>
      </c>
      <c r="F575" t="s">
        <v>1613</v>
      </c>
      <c r="G575" t="s">
        <v>2241</v>
      </c>
      <c r="H575">
        <v>10</v>
      </c>
      <c r="U575" t="s">
        <v>51</v>
      </c>
      <c r="V575" t="s">
        <v>2243</v>
      </c>
      <c r="W575" t="s">
        <v>53</v>
      </c>
      <c r="X575" t="s">
        <v>2249</v>
      </c>
      <c r="Y575" t="s">
        <v>46</v>
      </c>
      <c r="Z575" t="s">
        <v>2250</v>
      </c>
      <c r="AC575" t="s">
        <v>2251</v>
      </c>
      <c r="AD575">
        <v>5</v>
      </c>
      <c r="AE575" t="s">
        <v>2252</v>
      </c>
      <c r="AF575">
        <v>1002183242</v>
      </c>
      <c r="AG575">
        <v>729846</v>
      </c>
      <c r="AJ575" t="s">
        <v>75</v>
      </c>
      <c r="AK575" t="s">
        <v>61</v>
      </c>
      <c r="AM575" t="str" cm="1">
        <f t="array" ref="AM575">_xlfn.IFS(OR(O575="Persoonlijk",O575="Zoon",O575="Dochter"),P575,OR(Q575="Persoonlijk",Q575="Zoon",Q575="Dochter"),R575,OR(S575="Persoonlijk",S575="Zoon",S575="Dochter"),T575,O575="Vader",P575,Q575="Vader",R575,S575="Vader",T575,O575="Moeder",P575,Q575="Moeder",R575,S575="Moeder",T575,TRUE,IF(P575&lt;&gt;"",P575,IF(R575&lt;&gt;"",R575,IF(T575&lt;&gt;"",T575,""))))</f>
        <v/>
      </c>
      <c r="AN575" t="str" cm="1">
        <f t="array" ref="AN575">_xlfn.LET(_xlpm.raw,_xlfn.IFS(OR(U575="Persoonlijk",U575="Zoon",U575="Dochter"),V575,OR(W575="Persoonlijk",W575="Zoon",W575="Dochter"),X575,OR(Y575="Persoonlijk",Y575="Zoon",Y575="Dochter"),Z575,U575="Vader",V575,W575="Vader",X575,Y575="Vader",Z575,U575="Moeder",V575,W575="Moeder",X575,Y575="Moeder",Z575,TRUE,IF(V575&lt;&gt;"",V575,IF(X575&lt;&gt;"",X575,IF(Z575&lt;&gt;"",Z575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+32451022949</v>
      </c>
    </row>
    <row r="576" spans="1:40" x14ac:dyDescent="0.3">
      <c r="A576">
        <v>2183242</v>
      </c>
      <c r="B576" t="s">
        <v>2238</v>
      </c>
      <c r="C576" t="s">
        <v>2248</v>
      </c>
      <c r="D576" t="s">
        <v>39</v>
      </c>
      <c r="E576" t="s">
        <v>40</v>
      </c>
      <c r="F576" t="s">
        <v>1613</v>
      </c>
      <c r="G576" t="s">
        <v>2241</v>
      </c>
      <c r="H576">
        <v>10</v>
      </c>
      <c r="U576" t="s">
        <v>51</v>
      </c>
      <c r="V576" t="s">
        <v>2243</v>
      </c>
      <c r="W576" t="s">
        <v>53</v>
      </c>
      <c r="X576" t="s">
        <v>2249</v>
      </c>
      <c r="Y576" t="s">
        <v>46</v>
      </c>
      <c r="Z576" t="s">
        <v>2250</v>
      </c>
      <c r="AC576" t="s">
        <v>2251</v>
      </c>
      <c r="AD576">
        <v>5</v>
      </c>
      <c r="AE576" t="s">
        <v>2252</v>
      </c>
      <c r="AF576">
        <v>1002183242</v>
      </c>
      <c r="AG576">
        <v>729846</v>
      </c>
      <c r="AJ576" t="s">
        <v>63</v>
      </c>
      <c r="AK576" t="s">
        <v>61</v>
      </c>
      <c r="AM576" t="str" cm="1">
        <f t="array" ref="AM576">_xlfn.IFS(OR(O576="Persoonlijk",O576="Zoon",O576="Dochter"),P576,OR(Q576="Persoonlijk",Q576="Zoon",Q576="Dochter"),R576,OR(S576="Persoonlijk",S576="Zoon",S576="Dochter"),T576,O576="Vader",P576,Q576="Vader",R576,S576="Vader",T576,O576="Moeder",P576,Q576="Moeder",R576,S576="Moeder",T576,TRUE,IF(P576&lt;&gt;"",P576,IF(R576&lt;&gt;"",R576,IF(T576&lt;&gt;"",T576,""))))</f>
        <v/>
      </c>
      <c r="AN576" t="str" cm="1">
        <f t="array" ref="AN576">_xlfn.LET(_xlpm.raw,_xlfn.IFS(OR(U576="Persoonlijk",U576="Zoon",U576="Dochter"),V576,OR(W576="Persoonlijk",W576="Zoon",W576="Dochter"),X576,OR(Y576="Persoonlijk",Y576="Zoon",Y576="Dochter"),Z576,U576="Vader",V576,W576="Vader",X576,Y576="Vader",Z576,U576="Moeder",V576,W576="Moeder",X576,Y576="Moeder",Z576,TRUE,IF(V576&lt;&gt;"",V576,IF(X576&lt;&gt;"",X576,IF(Z576&lt;&gt;"",Z576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+32451022949</v>
      </c>
    </row>
    <row r="577" spans="1:40" x14ac:dyDescent="0.3">
      <c r="A577">
        <v>11917018</v>
      </c>
      <c r="B577" t="s">
        <v>2253</v>
      </c>
      <c r="C577" t="s">
        <v>2254</v>
      </c>
      <c r="D577" t="s">
        <v>39</v>
      </c>
      <c r="E577" t="s">
        <v>49</v>
      </c>
      <c r="F577" t="s">
        <v>2255</v>
      </c>
      <c r="G577" t="s">
        <v>2256</v>
      </c>
      <c r="H577">
        <v>9</v>
      </c>
      <c r="U577" t="s">
        <v>46</v>
      </c>
      <c r="V577" t="s">
        <v>2257</v>
      </c>
      <c r="AB577" t="s">
        <v>2258</v>
      </c>
      <c r="AE577" t="s">
        <v>2259</v>
      </c>
      <c r="AF577">
        <v>1011917018</v>
      </c>
      <c r="AJ577" t="s">
        <v>202</v>
      </c>
      <c r="AK577" t="s">
        <v>65</v>
      </c>
      <c r="AM577" t="str" cm="1">
        <f t="array" ref="AM577">_xlfn.IFS(OR(O577="Persoonlijk",O577="Zoon",O577="Dochter"),P577,OR(Q577="Persoonlijk",Q577="Zoon",Q577="Dochter"),R577,OR(S577="Persoonlijk",S577="Zoon",S577="Dochter"),T577,O577="Vader",P577,Q577="Vader",R577,S577="Vader",T577,O577="Moeder",P577,Q577="Moeder",R577,S577="Moeder",T577,TRUE,IF(P577&lt;&gt;"",P577,IF(R577&lt;&gt;"",R577,IF(T577&lt;&gt;"",T577,""))))</f>
        <v/>
      </c>
      <c r="AN577" t="str" cm="1">
        <f t="array" ref="AN577">_xlfn.LET(_xlpm.raw,_xlfn.IFS(OR(U577="Persoonlijk",U577="Zoon",U577="Dochter"),V577,OR(W577="Persoonlijk",W577="Zoon",W577="Dochter"),X577,OR(Y577="Persoonlijk",Y577="Zoon",Y577="Dochter"),Z577,U577="Vader",V577,W577="Vader",X577,Y577="Vader",Z577,U577="Moeder",V577,W577="Moeder",X577,Y577="Moeder",Z577,TRUE,IF(V577&lt;&gt;"",V577,IF(X577&lt;&gt;"",X577,IF(Z577&lt;&gt;"",Z577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+32498086024</v>
      </c>
    </row>
    <row r="578" spans="1:40" x14ac:dyDescent="0.3">
      <c r="A578">
        <v>6080950</v>
      </c>
      <c r="B578" t="s">
        <v>2260</v>
      </c>
      <c r="C578" t="s">
        <v>2261</v>
      </c>
      <c r="D578" t="s">
        <v>39</v>
      </c>
      <c r="E578" t="s">
        <v>40</v>
      </c>
      <c r="F578" t="s">
        <v>2262</v>
      </c>
      <c r="G578" t="s">
        <v>2263</v>
      </c>
      <c r="H578">
        <v>12</v>
      </c>
      <c r="U578" t="s">
        <v>53</v>
      </c>
      <c r="V578" t="s">
        <v>2264</v>
      </c>
      <c r="AC578" t="s">
        <v>2265</v>
      </c>
      <c r="AE578" t="s">
        <v>2266</v>
      </c>
      <c r="AF578">
        <v>1006080950</v>
      </c>
      <c r="AG578">
        <v>768928</v>
      </c>
      <c r="AJ578" t="s">
        <v>656</v>
      </c>
      <c r="AK578" t="s">
        <v>61</v>
      </c>
      <c r="AM578" t="str" cm="1">
        <f t="array" ref="AM578">_xlfn.IFS(OR(O578="Persoonlijk",O578="Zoon",O578="Dochter"),P578,OR(Q578="Persoonlijk",Q578="Zoon",Q578="Dochter"),R578,OR(S578="Persoonlijk",S578="Zoon",S578="Dochter"),T578,O578="Vader",P578,Q578="Vader",R578,S578="Vader",T578,O578="Moeder",P578,Q578="Moeder",R578,S578="Moeder",T578,TRUE,IF(P578&lt;&gt;"",P578,IF(R578&lt;&gt;"",R578,IF(T578&lt;&gt;"",T578,""))))</f>
        <v/>
      </c>
      <c r="AN578" t="str" cm="1">
        <f t="array" ref="AN578">_xlfn.LET(_xlpm.raw,_xlfn.IFS(OR(U578="Persoonlijk",U578="Zoon",U578="Dochter"),V578,OR(W578="Persoonlijk",W578="Zoon",W578="Dochter"),X578,OR(Y578="Persoonlijk",Y578="Zoon",Y578="Dochter"),Z578,U578="Vader",V578,W578="Vader",X578,Y578="Vader",Z578,U578="Moeder",V578,W578="Moeder",X578,Y578="Moeder",Z578,TRUE,IF(V578&lt;&gt;"",V578,IF(X578&lt;&gt;"",X578,IF(Z578&lt;&gt;"",Z578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+32476529185</v>
      </c>
    </row>
    <row r="579" spans="1:40" x14ac:dyDescent="0.3">
      <c r="A579">
        <v>7790367</v>
      </c>
      <c r="B579" t="s">
        <v>2267</v>
      </c>
      <c r="C579" t="s">
        <v>2268</v>
      </c>
      <c r="D579" t="s">
        <v>39</v>
      </c>
      <c r="E579" t="s">
        <v>40</v>
      </c>
      <c r="F579" t="s">
        <v>2269</v>
      </c>
      <c r="G579" t="s">
        <v>2270</v>
      </c>
      <c r="H579">
        <v>77</v>
      </c>
      <c r="Q579" t="s">
        <v>51</v>
      </c>
      <c r="R579" t="s">
        <v>2271</v>
      </c>
      <c r="V579" t="s">
        <v>2272</v>
      </c>
      <c r="X579">
        <v>0</v>
      </c>
      <c r="Z579">
        <v>0</v>
      </c>
      <c r="AA579">
        <v>0</v>
      </c>
      <c r="AF579">
        <v>1007790367</v>
      </c>
      <c r="AJ579" t="s">
        <v>131</v>
      </c>
      <c r="AK579" t="s">
        <v>61</v>
      </c>
      <c r="AM579" t="str" cm="1">
        <f t="array" ref="AM579">_xlfn.IFS(OR(O579="Persoonlijk",O579="Zoon",O579="Dochter"),P579,OR(Q579="Persoonlijk",Q579="Zoon",Q579="Dochter"),R579,OR(S579="Persoonlijk",S579="Zoon",S579="Dochter"),T579,O579="Vader",P579,Q579="Vader",R579,S579="Vader",T579,O579="Moeder",P579,Q579="Moeder",R579,S579="Moeder",T579,TRUE,IF(P579&lt;&gt;"",P579,IF(R579&lt;&gt;"",R579,IF(T579&lt;&gt;"",T579,""))))</f>
        <v>pietervdc@gmail.com</v>
      </c>
      <c r="AN579" t="str" cm="1">
        <f t="array" ref="AN579">_xlfn.LET(_xlpm.raw,_xlfn.IFS(OR(U579="Persoonlijk",U579="Zoon",U579="Dochter"),V579,OR(W579="Persoonlijk",W579="Zoon",W579="Dochter"),X579,OR(Y579="Persoonlijk",Y579="Zoon",Y579="Dochter"),Z579,U579="Vader",V579,W579="Vader",X579,Y579="Vader",Z579,U579="Moeder",V579,W579="Moeder",X579,Y579="Moeder",Z579,TRUE,IF(V579&lt;&gt;"",V579,IF(X579&lt;&gt;"",X579,IF(Z579&lt;&gt;"",Z579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+32472846382</v>
      </c>
    </row>
    <row r="580" spans="1:40" x14ac:dyDescent="0.3">
      <c r="A580">
        <v>10715682</v>
      </c>
      <c r="B580" t="s">
        <v>2273</v>
      </c>
      <c r="C580" t="s">
        <v>2274</v>
      </c>
      <c r="D580" t="s">
        <v>39</v>
      </c>
      <c r="E580" t="s">
        <v>40</v>
      </c>
      <c r="F580" t="s">
        <v>2275</v>
      </c>
      <c r="G580" t="s">
        <v>2276</v>
      </c>
      <c r="H580">
        <v>17</v>
      </c>
      <c r="Q580" t="s">
        <v>51</v>
      </c>
      <c r="R580" t="s">
        <v>2277</v>
      </c>
      <c r="V580" t="s">
        <v>2278</v>
      </c>
      <c r="AC580" t="s">
        <v>2279</v>
      </c>
      <c r="AE580" t="s">
        <v>2280</v>
      </c>
      <c r="AF580">
        <v>1010715682</v>
      </c>
      <c r="AJ580" t="s">
        <v>656</v>
      </c>
      <c r="AK580" t="s">
        <v>61</v>
      </c>
      <c r="AM580" t="str" cm="1">
        <f t="array" ref="AM580">_xlfn.IFS(OR(O580="Persoonlijk",O580="Zoon",O580="Dochter"),P580,OR(Q580="Persoonlijk",Q580="Zoon",Q580="Dochter"),R580,OR(S580="Persoonlijk",S580="Zoon",S580="Dochter"),T580,O580="Vader",P580,Q580="Vader",R580,S580="Vader",T580,O580="Moeder",P580,Q580="Moeder",R580,S580="Moeder",T580,TRUE,IF(P580&lt;&gt;"",P580,IF(R580&lt;&gt;"",R580,IF(T580&lt;&gt;"",T580,""))))</f>
        <v>jensvdmaele@gmail.com</v>
      </c>
      <c r="AN580" t="str" cm="1">
        <f t="array" ref="AN580">_xlfn.LET(_xlpm.raw,_xlfn.IFS(OR(U580="Persoonlijk",U580="Zoon",U580="Dochter"),V580,OR(W580="Persoonlijk",W580="Zoon",W580="Dochter"),X580,OR(Y580="Persoonlijk",Y580="Zoon",Y580="Dochter"),Z580,U580="Vader",V580,W580="Vader",X580,Y580="Vader",Z580,U580="Moeder",V580,W580="Moeder",X580,Y580="Moeder",Z580,TRUE,IF(V580&lt;&gt;"",V580,IF(X580&lt;&gt;"",X580,IF(Z580&lt;&gt;"",Z580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+32479246218</v>
      </c>
    </row>
    <row r="581" spans="1:40" x14ac:dyDescent="0.3">
      <c r="A581">
        <v>10715682</v>
      </c>
      <c r="B581" t="s">
        <v>2273</v>
      </c>
      <c r="C581" t="s">
        <v>2274</v>
      </c>
      <c r="D581" t="s">
        <v>39</v>
      </c>
      <c r="E581" t="s">
        <v>40</v>
      </c>
      <c r="F581" t="s">
        <v>2275</v>
      </c>
      <c r="G581" t="s">
        <v>2276</v>
      </c>
      <c r="H581">
        <v>17</v>
      </c>
      <c r="Q581" t="s">
        <v>51</v>
      </c>
      <c r="R581" t="s">
        <v>2277</v>
      </c>
      <c r="V581" t="s">
        <v>2278</v>
      </c>
      <c r="AC581" t="s">
        <v>2279</v>
      </c>
      <c r="AE581" t="s">
        <v>2280</v>
      </c>
      <c r="AF581">
        <v>1010715682</v>
      </c>
      <c r="AJ581" t="s">
        <v>295</v>
      </c>
      <c r="AK581" t="s">
        <v>61</v>
      </c>
      <c r="AM581" t="str" cm="1">
        <f t="array" ref="AM581">_xlfn.IFS(OR(O581="Persoonlijk",O581="Zoon",O581="Dochter"),P581,OR(Q581="Persoonlijk",Q581="Zoon",Q581="Dochter"),R581,OR(S581="Persoonlijk",S581="Zoon",S581="Dochter"),T581,O581="Vader",P581,Q581="Vader",R581,S581="Vader",T581,O581="Moeder",P581,Q581="Moeder",R581,S581="Moeder",T581,TRUE,IF(P581&lt;&gt;"",P581,IF(R581&lt;&gt;"",R581,IF(T581&lt;&gt;"",T581,""))))</f>
        <v>jensvdmaele@gmail.com</v>
      </c>
      <c r="AN581" t="str" cm="1">
        <f t="array" ref="AN581">_xlfn.LET(_xlpm.raw,_xlfn.IFS(OR(U581="Persoonlijk",U581="Zoon",U581="Dochter"),V581,OR(W581="Persoonlijk",W581="Zoon",W581="Dochter"),X581,OR(Y581="Persoonlijk",Y581="Zoon",Y581="Dochter"),Z581,U581="Vader",V581,W581="Vader",X581,Y581="Vader",Z581,U581="Moeder",V581,W581="Moeder",X581,Y581="Moeder",Z581,TRUE,IF(V581&lt;&gt;"",V581,IF(X581&lt;&gt;"",X581,IF(Z581&lt;&gt;"",Z581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+32479246218</v>
      </c>
    </row>
    <row r="582" spans="1:40" x14ac:dyDescent="0.3">
      <c r="A582">
        <v>10404023</v>
      </c>
      <c r="B582" t="s">
        <v>2281</v>
      </c>
      <c r="C582" t="s">
        <v>2282</v>
      </c>
      <c r="D582" t="s">
        <v>39</v>
      </c>
      <c r="E582" t="s">
        <v>49</v>
      </c>
      <c r="F582" t="s">
        <v>2283</v>
      </c>
      <c r="G582" t="s">
        <v>850</v>
      </c>
      <c r="H582">
        <v>56</v>
      </c>
      <c r="Q582" t="s">
        <v>53</v>
      </c>
      <c r="R582" t="s">
        <v>2284</v>
      </c>
      <c r="U582" t="s">
        <v>51</v>
      </c>
      <c r="V582">
        <v>320477353878</v>
      </c>
      <c r="W582" t="s">
        <v>53</v>
      </c>
      <c r="X582">
        <v>320487547281</v>
      </c>
      <c r="AC582" t="s">
        <v>2285</v>
      </c>
      <c r="AD582">
        <v>4</v>
      </c>
      <c r="AF582">
        <v>1010404023</v>
      </c>
      <c r="AJ582" t="s">
        <v>174</v>
      </c>
      <c r="AK582" t="s">
        <v>61</v>
      </c>
      <c r="AM582" t="str" cm="1">
        <f t="array" ref="AM582">_xlfn.IFS(OR(O582="Persoonlijk",O582="Zoon",O582="Dochter"),P582,OR(Q582="Persoonlijk",Q582="Zoon",Q582="Dochter"),R582,OR(S582="Persoonlijk",S582="Zoon",S582="Dochter"),T582,O582="Vader",P582,Q582="Vader",R582,S582="Vader",T582,O582="Moeder",P582,Q582="Moeder",R582,S582="Moeder",T582,TRUE,IF(P582&lt;&gt;"",P582,IF(R582&lt;&gt;"",R582,IF(T582&lt;&gt;"",T582,""))))</f>
        <v>biekemoone@hotmail.com</v>
      </c>
      <c r="AN582" t="str" cm="1">
        <f t="array" ref="AN582">_xlfn.LET(_xlpm.raw,_xlfn.IFS(OR(U582="Persoonlijk",U582="Zoon",U582="Dochter"),V582,OR(W582="Persoonlijk",W582="Zoon",W582="Dochter"),X582,OR(Y582="Persoonlijk",Y582="Zoon",Y582="Dochter"),Z582,U582="Vader",V582,W582="Vader",X582,Y582="Vader",Z582,U582="Moeder",V582,W582="Moeder",X582,Y582="Moeder",Z582,TRUE,IF(V582&lt;&gt;"",V582,IF(X582&lt;&gt;"",X582,IF(Z582&lt;&gt;"",Z582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+32477353878</v>
      </c>
    </row>
    <row r="583" spans="1:40" x14ac:dyDescent="0.3">
      <c r="A583">
        <v>10404023</v>
      </c>
      <c r="B583" t="s">
        <v>2281</v>
      </c>
      <c r="C583" t="s">
        <v>2282</v>
      </c>
      <c r="D583" t="s">
        <v>39</v>
      </c>
      <c r="E583" t="s">
        <v>49</v>
      </c>
      <c r="F583" t="s">
        <v>2283</v>
      </c>
      <c r="G583" t="s">
        <v>850</v>
      </c>
      <c r="H583">
        <v>56</v>
      </c>
      <c r="Q583" t="s">
        <v>53</v>
      </c>
      <c r="R583" t="s">
        <v>2284</v>
      </c>
      <c r="U583" t="s">
        <v>51</v>
      </c>
      <c r="V583">
        <v>320477353878</v>
      </c>
      <c r="W583" t="s">
        <v>53</v>
      </c>
      <c r="X583">
        <v>320487547281</v>
      </c>
      <c r="AC583" t="s">
        <v>2285</v>
      </c>
      <c r="AD583">
        <v>4</v>
      </c>
      <c r="AF583">
        <v>1010404023</v>
      </c>
      <c r="AJ583" t="s">
        <v>63</v>
      </c>
      <c r="AK583" t="s">
        <v>61</v>
      </c>
      <c r="AM583" t="str" cm="1">
        <f t="array" ref="AM583">_xlfn.IFS(OR(O583="Persoonlijk",O583="Zoon",O583="Dochter"),P583,OR(Q583="Persoonlijk",Q583="Zoon",Q583="Dochter"),R583,OR(S583="Persoonlijk",S583="Zoon",S583="Dochter"),T583,O583="Vader",P583,Q583="Vader",R583,S583="Vader",T583,O583="Moeder",P583,Q583="Moeder",R583,S583="Moeder",T583,TRUE,IF(P583&lt;&gt;"",P583,IF(R583&lt;&gt;"",R583,IF(T583&lt;&gt;"",T583,""))))</f>
        <v>biekemoone@hotmail.com</v>
      </c>
      <c r="AN583" t="str" cm="1">
        <f t="array" ref="AN583">_xlfn.LET(_xlpm.raw,_xlfn.IFS(OR(U583="Persoonlijk",U583="Zoon",U583="Dochter"),V583,OR(W583="Persoonlijk",W583="Zoon",W583="Dochter"),X583,OR(Y583="Persoonlijk",Y583="Zoon",Y583="Dochter"),Z583,U583="Vader",V583,W583="Vader",X583,Y583="Vader",Z583,U583="Moeder",V583,W583="Moeder",X583,Y583="Moeder",Z583,TRUE,IF(V583&lt;&gt;"",V583,IF(X583&lt;&gt;"",X583,IF(Z583&lt;&gt;"",Z583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+32477353878</v>
      </c>
    </row>
    <row r="584" spans="1:40" x14ac:dyDescent="0.3">
      <c r="A584">
        <v>3454868</v>
      </c>
      <c r="B584" t="s">
        <v>2281</v>
      </c>
      <c r="C584" t="s">
        <v>2286</v>
      </c>
      <c r="D584" t="s">
        <v>39</v>
      </c>
      <c r="E584" t="s">
        <v>40</v>
      </c>
      <c r="F584" t="s">
        <v>2287</v>
      </c>
      <c r="G584" t="s">
        <v>2288</v>
      </c>
      <c r="H584">
        <v>25</v>
      </c>
      <c r="U584" t="s">
        <v>53</v>
      </c>
      <c r="V584">
        <v>474463396</v>
      </c>
      <c r="X584">
        <v>0</v>
      </c>
      <c r="Z584">
        <v>0</v>
      </c>
      <c r="AA584">
        <v>0</v>
      </c>
      <c r="AF584">
        <v>1003454868</v>
      </c>
      <c r="AM584" t="str" cm="1">
        <f t="array" ref="AM584">_xlfn.IFS(OR(O584="Persoonlijk",O584="Zoon",O584="Dochter"),P584,OR(Q584="Persoonlijk",Q584="Zoon",Q584="Dochter"),R584,OR(S584="Persoonlijk",S584="Zoon",S584="Dochter"),T584,O584="Vader",P584,Q584="Vader",R584,S584="Vader",T584,O584="Moeder",P584,Q584="Moeder",R584,S584="Moeder",T584,TRUE,IF(P584&lt;&gt;"",P584,IF(R584&lt;&gt;"",R584,IF(T584&lt;&gt;"",T584,""))))</f>
        <v/>
      </c>
      <c r="AN584" t="str" cm="1">
        <f t="array" ref="AN584">_xlfn.LET(_xlpm.raw,_xlfn.IFS(OR(U584="Persoonlijk",U584="Zoon",U584="Dochter"),V584,OR(W584="Persoonlijk",W584="Zoon",W584="Dochter"),X584,OR(Y584="Persoonlijk",Y584="Zoon",Y584="Dochter"),Z584,U584="Vader",V584,W584="Vader",X584,Y584="Vader",Z584,U584="Moeder",V584,W584="Moeder",X584,Y584="Moeder",Z584,TRUE,IF(V584&lt;&gt;"",V584,IF(X584&lt;&gt;"",X584,IF(Z584&lt;&gt;"",Z584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+32474463396</v>
      </c>
    </row>
    <row r="585" spans="1:40" x14ac:dyDescent="0.3">
      <c r="A585">
        <v>2183252</v>
      </c>
      <c r="B585" t="s">
        <v>2289</v>
      </c>
      <c r="C585" t="s">
        <v>2290</v>
      </c>
      <c r="D585" t="s">
        <v>39</v>
      </c>
      <c r="E585" t="s">
        <v>49</v>
      </c>
      <c r="F585" t="s">
        <v>2291</v>
      </c>
      <c r="G585" t="s">
        <v>691</v>
      </c>
      <c r="H585">
        <v>34</v>
      </c>
      <c r="U585" t="s">
        <v>46</v>
      </c>
      <c r="V585">
        <v>32472666182</v>
      </c>
      <c r="AC585" t="s">
        <v>2292</v>
      </c>
      <c r="AF585">
        <v>1002183252</v>
      </c>
      <c r="AG585">
        <v>725136</v>
      </c>
      <c r="AL585" t="s">
        <v>593</v>
      </c>
      <c r="AM585" t="str" cm="1">
        <f t="array" ref="AM585">_xlfn.IFS(OR(O585="Persoonlijk",O585="Zoon",O585="Dochter"),P585,OR(Q585="Persoonlijk",Q585="Zoon",Q585="Dochter"),R585,OR(S585="Persoonlijk",S585="Zoon",S585="Dochter"),T585,O585="Vader",P585,Q585="Vader",R585,S585="Vader",T585,O585="Moeder",P585,Q585="Moeder",R585,S585="Moeder",T585,TRUE,IF(P585&lt;&gt;"",P585,IF(R585&lt;&gt;"",R585,IF(T585&lt;&gt;"",T585,""))))</f>
        <v/>
      </c>
      <c r="AN585" t="str" cm="1">
        <f t="array" ref="AN585">_xlfn.LET(_xlpm.raw,_xlfn.IFS(OR(U585="Persoonlijk",U585="Zoon",U585="Dochter"),V585,OR(W585="Persoonlijk",W585="Zoon",W585="Dochter"),X585,OR(Y585="Persoonlijk",Y585="Zoon",Y585="Dochter"),Z585,U585="Vader",V585,W585="Vader",X585,Y585="Vader",Z585,U585="Moeder",V585,W585="Moeder",X585,Y585="Moeder",Z585,TRUE,IF(V585&lt;&gt;"",V585,IF(X585&lt;&gt;"",X585,IF(Z585&lt;&gt;"",Z585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+32472666182</v>
      </c>
    </row>
    <row r="586" spans="1:40" x14ac:dyDescent="0.3">
      <c r="A586">
        <v>2183252</v>
      </c>
      <c r="B586" t="s">
        <v>2289</v>
      </c>
      <c r="C586" t="s">
        <v>2290</v>
      </c>
      <c r="D586" t="s">
        <v>39</v>
      </c>
      <c r="E586" t="s">
        <v>49</v>
      </c>
      <c r="F586" t="s">
        <v>2291</v>
      </c>
      <c r="G586" t="s">
        <v>691</v>
      </c>
      <c r="H586">
        <v>34</v>
      </c>
      <c r="U586" t="s">
        <v>46</v>
      </c>
      <c r="V586">
        <v>32472666182</v>
      </c>
      <c r="AC586" t="s">
        <v>2292</v>
      </c>
      <c r="AF586">
        <v>1002183252</v>
      </c>
      <c r="AG586">
        <v>725136</v>
      </c>
      <c r="AL586" t="s">
        <v>62</v>
      </c>
      <c r="AM586" t="str" cm="1">
        <f t="array" ref="AM586">_xlfn.IFS(OR(O586="Persoonlijk",O586="Zoon",O586="Dochter"),P586,OR(Q586="Persoonlijk",Q586="Zoon",Q586="Dochter"),R586,OR(S586="Persoonlijk",S586="Zoon",S586="Dochter"),T586,O586="Vader",P586,Q586="Vader",R586,S586="Vader",T586,O586="Moeder",P586,Q586="Moeder",R586,S586="Moeder",T586,TRUE,IF(P586&lt;&gt;"",P586,IF(R586&lt;&gt;"",R586,IF(T586&lt;&gt;"",T586,""))))</f>
        <v/>
      </c>
      <c r="AN586" t="str" cm="1">
        <f t="array" ref="AN586">_xlfn.LET(_xlpm.raw,_xlfn.IFS(OR(U586="Persoonlijk",U586="Zoon",U586="Dochter"),V586,OR(W586="Persoonlijk",W586="Zoon",W586="Dochter"),X586,OR(Y586="Persoonlijk",Y586="Zoon",Y586="Dochter"),Z586,U586="Vader",V586,W586="Vader",X586,Y586="Vader",Z586,U586="Moeder",V586,W586="Moeder",X586,Y586="Moeder",Z586,TRUE,IF(V586&lt;&gt;"",V586,IF(X586&lt;&gt;"",X586,IF(Z586&lt;&gt;"",Z586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+32472666182</v>
      </c>
    </row>
    <row r="587" spans="1:40" x14ac:dyDescent="0.3">
      <c r="A587">
        <v>2183252</v>
      </c>
      <c r="B587" t="s">
        <v>2289</v>
      </c>
      <c r="C587" t="s">
        <v>2290</v>
      </c>
      <c r="D587" t="s">
        <v>39</v>
      </c>
      <c r="E587" t="s">
        <v>49</v>
      </c>
      <c r="F587" t="s">
        <v>2291</v>
      </c>
      <c r="G587" t="s">
        <v>691</v>
      </c>
      <c r="H587">
        <v>34</v>
      </c>
      <c r="U587" t="s">
        <v>46</v>
      </c>
      <c r="V587">
        <v>32472666182</v>
      </c>
      <c r="AC587" t="s">
        <v>2292</v>
      </c>
      <c r="AF587">
        <v>1002183252</v>
      </c>
      <c r="AG587">
        <v>725136</v>
      </c>
      <c r="AL587" t="s">
        <v>1832</v>
      </c>
      <c r="AM587" t="str" cm="1">
        <f t="array" ref="AM587">_xlfn.IFS(OR(O587="Persoonlijk",O587="Zoon",O587="Dochter"),P587,OR(Q587="Persoonlijk",Q587="Zoon",Q587="Dochter"),R587,OR(S587="Persoonlijk",S587="Zoon",S587="Dochter"),T587,O587="Vader",P587,Q587="Vader",R587,S587="Vader",T587,O587="Moeder",P587,Q587="Moeder",R587,S587="Moeder",T587,TRUE,IF(P587&lt;&gt;"",P587,IF(R587&lt;&gt;"",R587,IF(T587&lt;&gt;"",T587,""))))</f>
        <v/>
      </c>
      <c r="AN587" t="str" cm="1">
        <f t="array" ref="AN587">_xlfn.LET(_xlpm.raw,_xlfn.IFS(OR(U587="Persoonlijk",U587="Zoon",U587="Dochter"),V587,OR(W587="Persoonlijk",W587="Zoon",W587="Dochter"),X587,OR(Y587="Persoonlijk",Y587="Zoon",Y587="Dochter"),Z587,U587="Vader",V587,W587="Vader",X587,Y587="Vader",Z587,U587="Moeder",V587,W587="Moeder",X587,Y587="Moeder",Z587,TRUE,IF(V587&lt;&gt;"",V587,IF(X587&lt;&gt;"",X587,IF(Z587&lt;&gt;"",Z587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+32472666182</v>
      </c>
    </row>
    <row r="588" spans="1:40" x14ac:dyDescent="0.3">
      <c r="A588">
        <v>10452787</v>
      </c>
      <c r="B588" t="s">
        <v>2293</v>
      </c>
      <c r="C588" t="s">
        <v>2294</v>
      </c>
      <c r="D588" t="s">
        <v>39</v>
      </c>
      <c r="E588" t="s">
        <v>40</v>
      </c>
      <c r="F588" t="s">
        <v>2295</v>
      </c>
      <c r="G588" t="s">
        <v>2296</v>
      </c>
      <c r="H588">
        <v>5</v>
      </c>
      <c r="V588" t="s">
        <v>2297</v>
      </c>
      <c r="AF588">
        <v>1010452787</v>
      </c>
      <c r="AJ588" t="s">
        <v>192</v>
      </c>
      <c r="AK588" t="s">
        <v>61</v>
      </c>
      <c r="AM588" t="str" cm="1">
        <f t="array" ref="AM588">_xlfn.IFS(OR(O588="Persoonlijk",O588="Zoon",O588="Dochter"),P588,OR(Q588="Persoonlijk",Q588="Zoon",Q588="Dochter"),R588,OR(S588="Persoonlijk",S588="Zoon",S588="Dochter"),T588,O588="Vader",P588,Q588="Vader",R588,S588="Vader",T588,O588="Moeder",P588,Q588="Moeder",R588,S588="Moeder",T588,TRUE,IF(P588&lt;&gt;"",P588,IF(R588&lt;&gt;"",R588,IF(T588&lt;&gt;"",T588,""))))</f>
        <v/>
      </c>
      <c r="AN588" t="str" cm="1">
        <f t="array" ref="AN588">_xlfn.LET(_xlpm.raw,_xlfn.IFS(OR(U588="Persoonlijk",U588="Zoon",U588="Dochter"),V588,OR(W588="Persoonlijk",W588="Zoon",W588="Dochter"),X588,OR(Y588="Persoonlijk",Y588="Zoon",Y588="Dochter"),Z588,U588="Vader",V588,W588="Vader",X588,Y588="Vader",Z588,U588="Moeder",V588,W588="Moeder",X588,Y588="Moeder",Z588,TRUE,IF(V588&lt;&gt;"",V588,IF(X588&lt;&gt;"",X588,IF(Z588&lt;&gt;"",Z588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+32474818195</v>
      </c>
    </row>
    <row r="589" spans="1:40" x14ac:dyDescent="0.3">
      <c r="A589">
        <v>2183257</v>
      </c>
      <c r="B589" t="s">
        <v>2298</v>
      </c>
      <c r="C589" t="s">
        <v>2299</v>
      </c>
      <c r="D589" t="s">
        <v>39</v>
      </c>
      <c r="E589" t="s">
        <v>40</v>
      </c>
      <c r="F589" t="s">
        <v>2300</v>
      </c>
      <c r="G589" t="s">
        <v>2301</v>
      </c>
      <c r="H589" t="s">
        <v>2302</v>
      </c>
      <c r="U589" t="s">
        <v>46</v>
      </c>
      <c r="V589">
        <v>32479793011</v>
      </c>
      <c r="AC589" t="s">
        <v>2303</v>
      </c>
      <c r="AF589">
        <v>1002183257</v>
      </c>
      <c r="AG589">
        <v>735070</v>
      </c>
      <c r="AJ589" t="s">
        <v>75</v>
      </c>
      <c r="AK589" t="s">
        <v>61</v>
      </c>
      <c r="AM589" t="str" cm="1">
        <f t="array" ref="AM589">_xlfn.IFS(OR(O589="Persoonlijk",O589="Zoon",O589="Dochter"),P589,OR(Q589="Persoonlijk",Q589="Zoon",Q589="Dochter"),R589,OR(S589="Persoonlijk",S589="Zoon",S589="Dochter"),T589,O589="Vader",P589,Q589="Vader",R589,S589="Vader",T589,O589="Moeder",P589,Q589="Moeder",R589,S589="Moeder",T589,TRUE,IF(P589&lt;&gt;"",P589,IF(R589&lt;&gt;"",R589,IF(T589&lt;&gt;"",T589,""))))</f>
        <v/>
      </c>
      <c r="AN589" t="str" cm="1">
        <f t="array" ref="AN589">_xlfn.LET(_xlpm.raw,_xlfn.IFS(OR(U589="Persoonlijk",U589="Zoon",U589="Dochter"),V589,OR(W589="Persoonlijk",W589="Zoon",W589="Dochter"),X589,OR(Y589="Persoonlijk",Y589="Zoon",Y589="Dochter"),Z589,U589="Vader",V589,W589="Vader",X589,Y589="Vader",Z589,U589="Moeder",V589,W589="Moeder",X589,Y589="Moeder",Z589,TRUE,IF(V589&lt;&gt;"",V589,IF(X589&lt;&gt;"",X589,IF(Z589&lt;&gt;"",Z589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+32479793011</v>
      </c>
    </row>
    <row r="590" spans="1:40" x14ac:dyDescent="0.3">
      <c r="A590">
        <v>2183257</v>
      </c>
      <c r="B590" t="s">
        <v>2298</v>
      </c>
      <c r="C590" t="s">
        <v>2299</v>
      </c>
      <c r="D590" t="s">
        <v>39</v>
      </c>
      <c r="E590" t="s">
        <v>40</v>
      </c>
      <c r="F590" t="s">
        <v>2300</v>
      </c>
      <c r="G590" t="s">
        <v>2301</v>
      </c>
      <c r="H590" t="s">
        <v>2302</v>
      </c>
      <c r="U590" t="s">
        <v>46</v>
      </c>
      <c r="V590">
        <v>32479793011</v>
      </c>
      <c r="AC590" t="s">
        <v>2303</v>
      </c>
      <c r="AF590">
        <v>1002183257</v>
      </c>
      <c r="AG590">
        <v>735070</v>
      </c>
      <c r="AJ590" t="s">
        <v>63</v>
      </c>
      <c r="AK590" t="s">
        <v>61</v>
      </c>
      <c r="AM590" t="str" cm="1">
        <f t="array" ref="AM590">_xlfn.IFS(OR(O590="Persoonlijk",O590="Zoon",O590="Dochter"),P590,OR(Q590="Persoonlijk",Q590="Zoon",Q590="Dochter"),R590,OR(S590="Persoonlijk",S590="Zoon",S590="Dochter"),T590,O590="Vader",P590,Q590="Vader",R590,S590="Vader",T590,O590="Moeder",P590,Q590="Moeder",R590,S590="Moeder",T590,TRUE,IF(P590&lt;&gt;"",P590,IF(R590&lt;&gt;"",R590,IF(T590&lt;&gt;"",T590,""))))</f>
        <v/>
      </c>
      <c r="AN590" t="str" cm="1">
        <f t="array" ref="AN590">_xlfn.LET(_xlpm.raw,_xlfn.IFS(OR(U590="Persoonlijk",U590="Zoon",U590="Dochter"),V590,OR(W590="Persoonlijk",W590="Zoon",W590="Dochter"),X590,OR(Y590="Persoonlijk",Y590="Zoon",Y590="Dochter"),Z590,U590="Vader",V590,W590="Vader",X590,Y590="Vader",Z590,U590="Moeder",V590,W590="Moeder",X590,Y590="Moeder",Z590,TRUE,IF(V590&lt;&gt;"",V590,IF(X590&lt;&gt;"",X590,IF(Z590&lt;&gt;"",Z590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+32479793011</v>
      </c>
    </row>
    <row r="591" spans="1:40" x14ac:dyDescent="0.3">
      <c r="A591">
        <v>4296358</v>
      </c>
      <c r="B591" t="s">
        <v>2298</v>
      </c>
      <c r="C591" t="s">
        <v>2304</v>
      </c>
      <c r="D591" t="s">
        <v>39</v>
      </c>
      <c r="E591" t="s">
        <v>40</v>
      </c>
      <c r="F591" t="s">
        <v>2305</v>
      </c>
      <c r="G591" t="s">
        <v>2301</v>
      </c>
      <c r="H591" t="s">
        <v>2302</v>
      </c>
      <c r="Q591" t="s">
        <v>51</v>
      </c>
      <c r="R591" t="s">
        <v>2306</v>
      </c>
      <c r="U591" t="s">
        <v>53</v>
      </c>
      <c r="V591" t="s">
        <v>2307</v>
      </c>
      <c r="W591" t="s">
        <v>51</v>
      </c>
      <c r="X591">
        <v>32477473741</v>
      </c>
      <c r="AF591">
        <v>1004296358</v>
      </c>
      <c r="AG591">
        <v>758509</v>
      </c>
      <c r="AJ591" t="s">
        <v>63</v>
      </c>
      <c r="AK591" t="s">
        <v>61</v>
      </c>
      <c r="AM591" t="str" cm="1">
        <f t="array" ref="AM591">_xlfn.IFS(OR(O591="Persoonlijk",O591="Zoon",O591="Dochter"),P591,OR(Q591="Persoonlijk",Q591="Zoon",Q591="Dochter"),R591,OR(S591="Persoonlijk",S591="Zoon",S591="Dochter"),T591,O591="Vader",P591,Q591="Vader",R591,S591="Vader",T591,O591="Moeder",P591,Q591="Moeder",R591,S591="Moeder",T591,TRUE,IF(P591&lt;&gt;"",P591,IF(R591&lt;&gt;"",R591,IF(T591&lt;&gt;"",T591,""))))</f>
        <v>pieter@combus.be</v>
      </c>
      <c r="AN591" t="str" cm="1">
        <f t="array" ref="AN591">_xlfn.LET(_xlpm.raw,_xlfn.IFS(OR(U591="Persoonlijk",U591="Zoon",U591="Dochter"),V591,OR(W591="Persoonlijk",W591="Zoon",W591="Dochter"),X591,OR(Y591="Persoonlijk",Y591="Zoon",Y591="Dochter"),Z591,U591="Vader",V591,W591="Vader",X591,Y591="Vader",Z591,U591="Moeder",V591,W591="Moeder",X591,Y591="Moeder",Z591,TRUE,IF(V591&lt;&gt;"",V591,IF(X591&lt;&gt;"",X591,IF(Z591&lt;&gt;"",Z591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+32477473741</v>
      </c>
    </row>
    <row r="592" spans="1:40" x14ac:dyDescent="0.3">
      <c r="A592">
        <v>4296358</v>
      </c>
      <c r="B592" t="s">
        <v>2298</v>
      </c>
      <c r="C592" t="s">
        <v>2304</v>
      </c>
      <c r="D592" t="s">
        <v>39</v>
      </c>
      <c r="E592" t="s">
        <v>40</v>
      </c>
      <c r="F592" t="s">
        <v>2305</v>
      </c>
      <c r="G592" t="s">
        <v>2301</v>
      </c>
      <c r="H592" t="s">
        <v>2302</v>
      </c>
      <c r="Q592" t="s">
        <v>51</v>
      </c>
      <c r="R592" t="s">
        <v>2306</v>
      </c>
      <c r="U592" t="s">
        <v>53</v>
      </c>
      <c r="V592" t="s">
        <v>2307</v>
      </c>
      <c r="W592" t="s">
        <v>51</v>
      </c>
      <c r="X592">
        <v>32477473741</v>
      </c>
      <c r="AF592">
        <v>1004296358</v>
      </c>
      <c r="AG592">
        <v>758509</v>
      </c>
      <c r="AJ592" t="s">
        <v>744</v>
      </c>
      <c r="AK592" t="s">
        <v>61</v>
      </c>
      <c r="AM592" t="str" cm="1">
        <f t="array" ref="AM592">_xlfn.IFS(OR(O592="Persoonlijk",O592="Zoon",O592="Dochter"),P592,OR(Q592="Persoonlijk",Q592="Zoon",Q592="Dochter"),R592,OR(S592="Persoonlijk",S592="Zoon",S592="Dochter"),T592,O592="Vader",P592,Q592="Vader",R592,S592="Vader",T592,O592="Moeder",P592,Q592="Moeder",R592,S592="Moeder",T592,TRUE,IF(P592&lt;&gt;"",P592,IF(R592&lt;&gt;"",R592,IF(T592&lt;&gt;"",T592,""))))</f>
        <v>pieter@combus.be</v>
      </c>
      <c r="AN592" t="str" cm="1">
        <f t="array" ref="AN592">_xlfn.LET(_xlpm.raw,_xlfn.IFS(OR(U592="Persoonlijk",U592="Zoon",U592="Dochter"),V592,OR(W592="Persoonlijk",W592="Zoon",W592="Dochter"),X592,OR(Y592="Persoonlijk",Y592="Zoon",Y592="Dochter"),Z592,U592="Vader",V592,W592="Vader",X592,Y592="Vader",Z592,U592="Moeder",V592,W592="Moeder",X592,Y592="Moeder",Z592,TRUE,IF(V592&lt;&gt;"",V592,IF(X592&lt;&gt;"",X592,IF(Z592&lt;&gt;"",Z592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+32477473741</v>
      </c>
    </row>
    <row r="593" spans="1:40" x14ac:dyDescent="0.3">
      <c r="A593">
        <v>7665003</v>
      </c>
      <c r="B593" t="s">
        <v>2308</v>
      </c>
      <c r="C593" t="s">
        <v>2309</v>
      </c>
      <c r="D593" t="s">
        <v>39</v>
      </c>
      <c r="E593" t="s">
        <v>49</v>
      </c>
      <c r="F593" t="s">
        <v>2310</v>
      </c>
      <c r="G593" t="s">
        <v>2311</v>
      </c>
      <c r="H593">
        <v>66</v>
      </c>
      <c r="Q593" t="s">
        <v>51</v>
      </c>
      <c r="R593" t="s">
        <v>2312</v>
      </c>
      <c r="U593" t="s">
        <v>46</v>
      </c>
      <c r="V593" t="s">
        <v>2313</v>
      </c>
      <c r="W593" t="s">
        <v>51</v>
      </c>
      <c r="X593">
        <v>32470510966</v>
      </c>
      <c r="AC593" t="s">
        <v>2314</v>
      </c>
      <c r="AD593">
        <v>14</v>
      </c>
      <c r="AE593" t="s">
        <v>2315</v>
      </c>
      <c r="AF593">
        <v>1007665003</v>
      </c>
      <c r="AJ593" t="s">
        <v>164</v>
      </c>
      <c r="AK593" t="s">
        <v>61</v>
      </c>
      <c r="AM593" t="str" cm="1">
        <f t="array" ref="AM593">_xlfn.IFS(OR(O593="Persoonlijk",O593="Zoon",O593="Dochter"),P593,OR(Q593="Persoonlijk",Q593="Zoon",Q593="Dochter"),R593,OR(S593="Persoonlijk",S593="Zoon",S593="Dochter"),T593,O593="Vader",P593,Q593="Vader",R593,S593="Vader",T593,O593="Moeder",P593,Q593="Moeder",R593,S593="Moeder",T593,TRUE,IF(P593&lt;&gt;"",P593,IF(R593&lt;&gt;"",R593,IF(T593&lt;&gt;"",T593,""))))</f>
        <v>piekske007@yahoo.com</v>
      </c>
      <c r="AN593" t="str" cm="1">
        <f t="array" ref="AN593">_xlfn.LET(_xlpm.raw,_xlfn.IFS(OR(U593="Persoonlijk",U593="Zoon",U593="Dochter"),V593,OR(W593="Persoonlijk",W593="Zoon",W593="Dochter"),X593,OR(Y593="Persoonlijk",Y593="Zoon",Y593="Dochter"),Z593,U593="Vader",V593,W593="Vader",X593,Y593="Vader",Z593,U593="Moeder",V593,W593="Moeder",X593,Y593="Moeder",Z593,TRUE,IF(V593&lt;&gt;"",V593,IF(X593&lt;&gt;"",X593,IF(Z593&lt;&gt;"",Z593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+32486372617</v>
      </c>
    </row>
    <row r="594" spans="1:40" x14ac:dyDescent="0.3">
      <c r="A594">
        <v>7665003</v>
      </c>
      <c r="B594" t="s">
        <v>2308</v>
      </c>
      <c r="C594" t="s">
        <v>2309</v>
      </c>
      <c r="D594" t="s">
        <v>39</v>
      </c>
      <c r="E594" t="s">
        <v>49</v>
      </c>
      <c r="F594" t="s">
        <v>2310</v>
      </c>
      <c r="G594" t="s">
        <v>2311</v>
      </c>
      <c r="H594">
        <v>66</v>
      </c>
      <c r="Q594" t="s">
        <v>51</v>
      </c>
      <c r="R594" t="s">
        <v>2312</v>
      </c>
      <c r="U594" t="s">
        <v>46</v>
      </c>
      <c r="V594" t="s">
        <v>2313</v>
      </c>
      <c r="W594" t="s">
        <v>51</v>
      </c>
      <c r="X594">
        <v>32470510966</v>
      </c>
      <c r="AC594" t="s">
        <v>2314</v>
      </c>
      <c r="AD594">
        <v>14</v>
      </c>
      <c r="AE594" t="s">
        <v>2315</v>
      </c>
      <c r="AF594">
        <v>1007665003</v>
      </c>
      <c r="AJ594" t="s">
        <v>87</v>
      </c>
      <c r="AK594" t="s">
        <v>61</v>
      </c>
      <c r="AM594" t="str" cm="1">
        <f t="array" ref="AM594">_xlfn.IFS(OR(O594="Persoonlijk",O594="Zoon",O594="Dochter"),P594,OR(Q594="Persoonlijk",Q594="Zoon",Q594="Dochter"),R594,OR(S594="Persoonlijk",S594="Zoon",S594="Dochter"),T594,O594="Vader",P594,Q594="Vader",R594,S594="Vader",T594,O594="Moeder",P594,Q594="Moeder",R594,S594="Moeder",T594,TRUE,IF(P594&lt;&gt;"",P594,IF(R594&lt;&gt;"",R594,IF(T594&lt;&gt;"",T594,""))))</f>
        <v>piekske007@yahoo.com</v>
      </c>
      <c r="AN594" t="str" cm="1">
        <f t="array" ref="AN594">_xlfn.LET(_xlpm.raw,_xlfn.IFS(OR(U594="Persoonlijk",U594="Zoon",U594="Dochter"),V594,OR(W594="Persoonlijk",W594="Zoon",W594="Dochter"),X594,OR(Y594="Persoonlijk",Y594="Zoon",Y594="Dochter"),Z594,U594="Vader",V594,W594="Vader",X594,Y594="Vader",Z594,U594="Moeder",V594,W594="Moeder",X594,Y594="Moeder",Z594,TRUE,IF(V594&lt;&gt;"",V594,IF(X594&lt;&gt;"",X594,IF(Z594&lt;&gt;"",Z594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+32486372617</v>
      </c>
    </row>
    <row r="595" spans="1:40" x14ac:dyDescent="0.3">
      <c r="A595">
        <v>3437296</v>
      </c>
      <c r="B595" t="s">
        <v>2316</v>
      </c>
      <c r="C595" t="s">
        <v>2045</v>
      </c>
      <c r="D595" t="s">
        <v>39</v>
      </c>
      <c r="E595" t="s">
        <v>40</v>
      </c>
      <c r="F595" t="s">
        <v>2317</v>
      </c>
      <c r="G595" t="s">
        <v>2318</v>
      </c>
      <c r="H595">
        <v>67</v>
      </c>
      <c r="U595" t="s">
        <v>53</v>
      </c>
      <c r="V595">
        <v>320476333924</v>
      </c>
      <c r="W595" t="s">
        <v>51</v>
      </c>
      <c r="X595">
        <v>320479667279</v>
      </c>
      <c r="AA595">
        <v>32</v>
      </c>
      <c r="AF595">
        <v>1003437296</v>
      </c>
      <c r="AM595" t="str" cm="1">
        <f t="array" ref="AM595">_xlfn.IFS(OR(O595="Persoonlijk",O595="Zoon",O595="Dochter"),P595,OR(Q595="Persoonlijk",Q595="Zoon",Q595="Dochter"),R595,OR(S595="Persoonlijk",S595="Zoon",S595="Dochter"),T595,O595="Vader",P595,Q595="Vader",R595,S595="Vader",T595,O595="Moeder",P595,Q595="Moeder",R595,S595="Moeder",T595,TRUE,IF(P595&lt;&gt;"",P595,IF(R595&lt;&gt;"",R595,IF(T595&lt;&gt;"",T595,""))))</f>
        <v/>
      </c>
      <c r="AN595" t="str" cm="1">
        <f t="array" ref="AN595">_xlfn.LET(_xlpm.raw,_xlfn.IFS(OR(U595="Persoonlijk",U595="Zoon",U595="Dochter"),V595,OR(W595="Persoonlijk",W595="Zoon",W595="Dochter"),X595,OR(Y595="Persoonlijk",Y595="Zoon",Y595="Dochter"),Z595,U595="Vader",V595,W595="Vader",X595,Y595="Vader",Z595,U595="Moeder",V595,W595="Moeder",X595,Y595="Moeder",Z595,TRUE,IF(V595&lt;&gt;"",V595,IF(X595&lt;&gt;"",X595,IF(Z595&lt;&gt;"",Z595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+32479667279</v>
      </c>
    </row>
    <row r="596" spans="1:40" x14ac:dyDescent="0.3">
      <c r="A596">
        <v>2650900</v>
      </c>
      <c r="B596" t="s">
        <v>2319</v>
      </c>
      <c r="C596" t="s">
        <v>250</v>
      </c>
      <c r="D596" t="s">
        <v>39</v>
      </c>
      <c r="E596" t="s">
        <v>40</v>
      </c>
      <c r="F596" t="s">
        <v>2320</v>
      </c>
      <c r="G596" t="s">
        <v>581</v>
      </c>
      <c r="H596">
        <v>98</v>
      </c>
      <c r="V596">
        <v>479682464</v>
      </c>
      <c r="X596">
        <v>498458472</v>
      </c>
      <c r="AF596">
        <v>1002650900</v>
      </c>
      <c r="AG596">
        <v>742328</v>
      </c>
      <c r="AM596" t="str" cm="1">
        <f t="array" ref="AM596">_xlfn.IFS(OR(O596="Persoonlijk",O596="Zoon",O596="Dochter"),P596,OR(Q596="Persoonlijk",Q596="Zoon",Q596="Dochter"),R596,OR(S596="Persoonlijk",S596="Zoon",S596="Dochter"),T596,O596="Vader",P596,Q596="Vader",R596,S596="Vader",T596,O596="Moeder",P596,Q596="Moeder",R596,S596="Moeder",T596,TRUE,IF(P596&lt;&gt;"",P596,IF(R596&lt;&gt;"",R596,IF(T596&lt;&gt;"",T596,""))))</f>
        <v/>
      </c>
      <c r="AN596" t="str" cm="1">
        <f t="array" ref="AN596">_xlfn.LET(_xlpm.raw,_xlfn.IFS(OR(U596="Persoonlijk",U596="Zoon",U596="Dochter"),V596,OR(W596="Persoonlijk",W596="Zoon",W596="Dochter"),X596,OR(Y596="Persoonlijk",Y596="Zoon",Y596="Dochter"),Z596,U596="Vader",V596,W596="Vader",X596,Y596="Vader",Z596,U596="Moeder",V596,W596="Moeder",X596,Y596="Moeder",Z596,TRUE,IF(V596&lt;&gt;"",V596,IF(X596&lt;&gt;"",X596,IF(Z596&lt;&gt;"",Z596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+32479682464</v>
      </c>
    </row>
    <row r="597" spans="1:40" x14ac:dyDescent="0.3">
      <c r="A597">
        <v>2934325</v>
      </c>
      <c r="B597" t="s">
        <v>2321</v>
      </c>
      <c r="C597" t="s">
        <v>2322</v>
      </c>
      <c r="D597" t="s">
        <v>39</v>
      </c>
      <c r="E597" t="s">
        <v>40</v>
      </c>
      <c r="F597" t="s">
        <v>2323</v>
      </c>
      <c r="U597" t="s">
        <v>46</v>
      </c>
      <c r="V597">
        <v>473374934</v>
      </c>
      <c r="AF597">
        <v>1002934325</v>
      </c>
      <c r="AG597">
        <v>623703</v>
      </c>
      <c r="AM597" t="str" cm="1">
        <f t="array" ref="AM597">_xlfn.IFS(OR(O597="Persoonlijk",O597="Zoon",O597="Dochter"),P597,OR(Q597="Persoonlijk",Q597="Zoon",Q597="Dochter"),R597,OR(S597="Persoonlijk",S597="Zoon",S597="Dochter"),T597,O597="Vader",P597,Q597="Vader",R597,S597="Vader",T597,O597="Moeder",P597,Q597="Moeder",R597,S597="Moeder",T597,TRUE,IF(P597&lt;&gt;"",P597,IF(R597&lt;&gt;"",R597,IF(T597&lt;&gt;"",T597,""))))</f>
        <v/>
      </c>
      <c r="AN597" t="str" cm="1">
        <f t="array" ref="AN597">_xlfn.LET(_xlpm.raw,_xlfn.IFS(OR(U597="Persoonlijk",U597="Zoon",U597="Dochter"),V597,OR(W597="Persoonlijk",W597="Zoon",W597="Dochter"),X597,OR(Y597="Persoonlijk",Y597="Zoon",Y597="Dochter"),Z597,U597="Vader",V597,W597="Vader",X597,Y597="Vader",Z597,U597="Moeder",V597,W597="Moeder",X597,Y597="Moeder",Z597,TRUE,IF(V597&lt;&gt;"",V597,IF(X597&lt;&gt;"",X597,IF(Z597&lt;&gt;"",Z597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+32473374934</v>
      </c>
    </row>
    <row r="598" spans="1:40" x14ac:dyDescent="0.3">
      <c r="A598">
        <v>2183277</v>
      </c>
      <c r="B598" t="s">
        <v>2324</v>
      </c>
      <c r="C598" t="s">
        <v>2325</v>
      </c>
      <c r="D598" t="s">
        <v>39</v>
      </c>
      <c r="E598" t="s">
        <v>49</v>
      </c>
      <c r="F598" t="s">
        <v>2326</v>
      </c>
      <c r="G598" t="s">
        <v>2327</v>
      </c>
      <c r="H598">
        <v>30</v>
      </c>
      <c r="AC598" t="s">
        <v>2328</v>
      </c>
      <c r="AF598">
        <v>1002183277</v>
      </c>
      <c r="AM598" t="str" cm="1">
        <f t="array" ref="AM598">_xlfn.IFS(OR(O598="Persoonlijk",O598="Zoon",O598="Dochter"),P598,OR(Q598="Persoonlijk",Q598="Zoon",Q598="Dochter"),R598,OR(S598="Persoonlijk",S598="Zoon",S598="Dochter"),T598,O598="Vader",P598,Q598="Vader",R598,S598="Vader",T598,O598="Moeder",P598,Q598="Moeder",R598,S598="Moeder",T598,TRUE,IF(P598&lt;&gt;"",P598,IF(R598&lt;&gt;"",R598,IF(T598&lt;&gt;"",T598,""))))</f>
        <v/>
      </c>
      <c r="AN598" t="str" cm="1">
        <f t="array" ref="AN598">_xlfn.LET(_xlpm.raw,_xlfn.IFS(OR(U598="Persoonlijk",U598="Zoon",U598="Dochter"),V598,OR(W598="Persoonlijk",W598="Zoon",W598="Dochter"),X598,OR(Y598="Persoonlijk",Y598="Zoon",Y598="Dochter"),Z598,U598="Vader",V598,W598="Vader",X598,Y598="Vader",Z598,U598="Moeder",V598,W598="Moeder",X598,Y598="Moeder",Z598,TRUE,IF(V598&lt;&gt;"",V598,IF(X598&lt;&gt;"",X598,IF(Z598&lt;&gt;"",Z598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99" spans="1:40" x14ac:dyDescent="0.3">
      <c r="A599">
        <v>9720692</v>
      </c>
      <c r="B599" t="s">
        <v>2329</v>
      </c>
      <c r="C599" t="s">
        <v>1151</v>
      </c>
      <c r="D599" t="s">
        <v>39</v>
      </c>
      <c r="E599" t="s">
        <v>40</v>
      </c>
      <c r="F599" t="s">
        <v>2330</v>
      </c>
      <c r="G599" t="s">
        <v>2331</v>
      </c>
      <c r="H599">
        <v>105</v>
      </c>
      <c r="Q599" t="s">
        <v>53</v>
      </c>
      <c r="R599" t="s">
        <v>2332</v>
      </c>
      <c r="V599" t="s">
        <v>2333</v>
      </c>
      <c r="X599" t="s">
        <v>2334</v>
      </c>
      <c r="Y599" t="s">
        <v>46</v>
      </c>
      <c r="Z599" t="s">
        <v>2335</v>
      </c>
      <c r="AF599">
        <v>1009720692</v>
      </c>
      <c r="AM599" t="str" cm="1">
        <f t="array" ref="AM599">_xlfn.IFS(OR(O599="Persoonlijk",O599="Zoon",O599="Dochter"),P599,OR(Q599="Persoonlijk",Q599="Zoon",Q599="Dochter"),R599,OR(S599="Persoonlijk",S599="Zoon",S599="Dochter"),T599,O599="Vader",P599,Q599="Vader",R599,S599="Vader",T599,O599="Moeder",P599,Q599="Moeder",R599,S599="Moeder",T599,TRUE,IF(P599&lt;&gt;"",P599,IF(R599&lt;&gt;"",R599,IF(T599&lt;&gt;"",T599,""))))</f>
        <v>Kristof_vdj@hotmail.com</v>
      </c>
      <c r="AN599" t="str" cm="1">
        <f t="array" ref="AN599">_xlfn.LET(_xlpm.raw,_xlfn.IFS(OR(U599="Persoonlijk",U599="Zoon",U599="Dochter"),V599,OR(W599="Persoonlijk",W599="Zoon",W599="Dochter"),X599,OR(Y599="Persoonlijk",Y599="Zoon",Y599="Dochter"),Z599,U599="Vader",V599,W599="Vader",X599,Y599="Vader",Z599,U599="Moeder",V599,W599="Moeder",X599,Y599="Moeder",Z599,TRUE,IF(V599&lt;&gt;"",V599,IF(X599&lt;&gt;"",X599,IF(Z599&lt;&gt;"",Z599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+32471773213</v>
      </c>
    </row>
    <row r="600" spans="1:40" x14ac:dyDescent="0.3">
      <c r="A600">
        <v>2183287</v>
      </c>
      <c r="B600" t="s">
        <v>2336</v>
      </c>
      <c r="C600" t="s">
        <v>2337</v>
      </c>
      <c r="D600" t="s">
        <v>39</v>
      </c>
      <c r="E600" t="s">
        <v>40</v>
      </c>
      <c r="F600" t="s">
        <v>2338</v>
      </c>
      <c r="G600" t="s">
        <v>2339</v>
      </c>
      <c r="H600">
        <v>51</v>
      </c>
      <c r="AC600" t="s">
        <v>2340</v>
      </c>
      <c r="AF600">
        <v>1002183287</v>
      </c>
      <c r="AM600" t="str" cm="1">
        <f t="array" ref="AM600">_xlfn.IFS(OR(O600="Persoonlijk",O600="Zoon",O600="Dochter"),P600,OR(Q600="Persoonlijk",Q600="Zoon",Q600="Dochter"),R600,OR(S600="Persoonlijk",S600="Zoon",S600="Dochter"),T600,O600="Vader",P600,Q600="Vader",R600,S600="Vader",T600,O600="Moeder",P600,Q600="Moeder",R600,S600="Moeder",T600,TRUE,IF(P600&lt;&gt;"",P600,IF(R600&lt;&gt;"",R600,IF(T600&lt;&gt;"",T600,""))))</f>
        <v/>
      </c>
      <c r="AN600" t="str" cm="1">
        <f t="array" ref="AN600">_xlfn.LET(_xlpm.raw,_xlfn.IFS(OR(U600="Persoonlijk",U600="Zoon",U600="Dochter"),V600,OR(W600="Persoonlijk",W600="Zoon",W600="Dochter"),X600,OR(Y600="Persoonlijk",Y600="Zoon",Y600="Dochter"),Z600,U600="Vader",V600,W600="Vader",X600,Y600="Vader",Z600,U600="Moeder",V600,W600="Moeder",X600,Y600="Moeder",Z600,TRUE,IF(V600&lt;&gt;"",V600,IF(X600&lt;&gt;"",X600,IF(Z600&lt;&gt;"",Z600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01" spans="1:40" x14ac:dyDescent="0.3">
      <c r="A601">
        <v>3490851</v>
      </c>
      <c r="B601" t="s">
        <v>2336</v>
      </c>
      <c r="C601" t="s">
        <v>2341</v>
      </c>
      <c r="D601" t="s">
        <v>39</v>
      </c>
      <c r="E601" t="s">
        <v>40</v>
      </c>
      <c r="F601" t="s">
        <v>2342</v>
      </c>
      <c r="G601" t="s">
        <v>1032</v>
      </c>
      <c r="H601">
        <v>62</v>
      </c>
      <c r="U601" t="s">
        <v>51</v>
      </c>
      <c r="V601">
        <v>479271390</v>
      </c>
      <c r="X601">
        <v>476411991</v>
      </c>
      <c r="Z601">
        <v>0</v>
      </c>
      <c r="AA601">
        <v>0</v>
      </c>
      <c r="AF601">
        <v>1003490851</v>
      </c>
      <c r="AM601" t="str" cm="1">
        <f t="array" ref="AM601">_xlfn.IFS(OR(O601="Persoonlijk",O601="Zoon",O601="Dochter"),P601,OR(Q601="Persoonlijk",Q601="Zoon",Q601="Dochter"),R601,OR(S601="Persoonlijk",S601="Zoon",S601="Dochter"),T601,O601="Vader",P601,Q601="Vader",R601,S601="Vader",T601,O601="Moeder",P601,Q601="Moeder",R601,S601="Moeder",T601,TRUE,IF(P601&lt;&gt;"",P601,IF(R601&lt;&gt;"",R601,IF(T601&lt;&gt;"",T601,""))))</f>
        <v/>
      </c>
      <c r="AN601" t="str" cm="1">
        <f t="array" ref="AN601">_xlfn.LET(_xlpm.raw,_xlfn.IFS(OR(U601="Persoonlijk",U601="Zoon",U601="Dochter"),V601,OR(W601="Persoonlijk",W601="Zoon",W601="Dochter"),X601,OR(Y601="Persoonlijk",Y601="Zoon",Y601="Dochter"),Z601,U601="Vader",V601,W601="Vader",X601,Y601="Vader",Z601,U601="Moeder",V601,W601="Moeder",X601,Y601="Moeder",Z601,TRUE,IF(V601&lt;&gt;"",V601,IF(X601&lt;&gt;"",X601,IF(Z601&lt;&gt;"",Z601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+32479271390</v>
      </c>
    </row>
    <row r="602" spans="1:40" x14ac:dyDescent="0.3">
      <c r="A602">
        <v>6080966</v>
      </c>
      <c r="B602" t="s">
        <v>2336</v>
      </c>
      <c r="C602" t="s">
        <v>2343</v>
      </c>
      <c r="D602" t="s">
        <v>39</v>
      </c>
      <c r="E602" t="s">
        <v>49</v>
      </c>
      <c r="F602" t="s">
        <v>2344</v>
      </c>
      <c r="G602" t="s">
        <v>2345</v>
      </c>
      <c r="H602">
        <v>641</v>
      </c>
      <c r="Q602" t="s">
        <v>53</v>
      </c>
      <c r="R602" t="s">
        <v>2346</v>
      </c>
      <c r="U602" t="s">
        <v>51</v>
      </c>
      <c r="V602" t="s">
        <v>2347</v>
      </c>
      <c r="AF602">
        <v>1006080966</v>
      </c>
      <c r="AJ602" t="s">
        <v>294</v>
      </c>
      <c r="AK602" t="s">
        <v>61</v>
      </c>
      <c r="AM602" t="str" cm="1">
        <f t="array" ref="AM602">_xlfn.IFS(OR(O602="Persoonlijk",O602="Zoon",O602="Dochter"),P602,OR(Q602="Persoonlijk",Q602="Zoon",Q602="Dochter"),R602,OR(S602="Persoonlijk",S602="Zoon",S602="Dochter"),T602,O602="Vader",P602,Q602="Vader",R602,S602="Vader",T602,O602="Moeder",P602,Q602="Moeder",R602,S602="Moeder",T602,TRUE,IF(P602&lt;&gt;"",P602,IF(R602&lt;&gt;"",R602,IF(T602&lt;&gt;"",T602,""))))</f>
        <v>tracy.desmet@hotmail.com</v>
      </c>
      <c r="AN602" t="str" cm="1">
        <f t="array" ref="AN602">_xlfn.LET(_xlpm.raw,_xlfn.IFS(OR(U602="Persoonlijk",U602="Zoon",U602="Dochter"),V602,OR(W602="Persoonlijk",W602="Zoon",W602="Dochter"),X602,OR(Y602="Persoonlijk",Y602="Zoon",Y602="Dochter"),Z602,U602="Vader",V602,W602="Vader",X602,Y602="Vader",Z602,U602="Moeder",V602,W602="Moeder",X602,Y602="Moeder",Z602,TRUE,IF(V602&lt;&gt;"",V602,IF(X602&lt;&gt;"",X602,IF(Z602&lt;&gt;"",Z602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+32485650671</v>
      </c>
    </row>
    <row r="603" spans="1:40" x14ac:dyDescent="0.3">
      <c r="A603">
        <v>6080966</v>
      </c>
      <c r="B603" t="s">
        <v>2336</v>
      </c>
      <c r="C603" t="s">
        <v>2343</v>
      </c>
      <c r="D603" t="s">
        <v>39</v>
      </c>
      <c r="E603" t="s">
        <v>49</v>
      </c>
      <c r="F603" t="s">
        <v>2344</v>
      </c>
      <c r="G603" t="s">
        <v>2345</v>
      </c>
      <c r="H603">
        <v>641</v>
      </c>
      <c r="Q603" t="s">
        <v>53</v>
      </c>
      <c r="R603" t="s">
        <v>2346</v>
      </c>
      <c r="U603" t="s">
        <v>51</v>
      </c>
      <c r="V603" t="s">
        <v>2347</v>
      </c>
      <c r="AF603">
        <v>1006080966</v>
      </c>
      <c r="AJ603" t="s">
        <v>295</v>
      </c>
      <c r="AK603" t="s">
        <v>61</v>
      </c>
      <c r="AM603" t="str" cm="1">
        <f t="array" ref="AM603">_xlfn.IFS(OR(O603="Persoonlijk",O603="Zoon",O603="Dochter"),P603,OR(Q603="Persoonlijk",Q603="Zoon",Q603="Dochter"),R603,OR(S603="Persoonlijk",S603="Zoon",S603="Dochter"),T603,O603="Vader",P603,Q603="Vader",R603,S603="Vader",T603,O603="Moeder",P603,Q603="Moeder",R603,S603="Moeder",T603,TRUE,IF(P603&lt;&gt;"",P603,IF(R603&lt;&gt;"",R603,IF(T603&lt;&gt;"",T603,""))))</f>
        <v>tracy.desmet@hotmail.com</v>
      </c>
      <c r="AN603" t="str" cm="1">
        <f t="array" ref="AN603">_xlfn.LET(_xlpm.raw,_xlfn.IFS(OR(U603="Persoonlijk",U603="Zoon",U603="Dochter"),V603,OR(W603="Persoonlijk",W603="Zoon",W603="Dochter"),X603,OR(Y603="Persoonlijk",Y603="Zoon",Y603="Dochter"),Z603,U603="Vader",V603,W603="Vader",X603,Y603="Vader",Z603,U603="Moeder",V603,W603="Moeder",X603,Y603="Moeder",Z603,TRUE,IF(V603&lt;&gt;"",V603,IF(X603&lt;&gt;"",X603,IF(Z603&lt;&gt;"",Z603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+32485650671</v>
      </c>
    </row>
    <row r="604" spans="1:40" x14ac:dyDescent="0.3">
      <c r="A604">
        <v>8490745</v>
      </c>
      <c r="B604" t="s">
        <v>2336</v>
      </c>
      <c r="C604" t="s">
        <v>2348</v>
      </c>
      <c r="D604" t="s">
        <v>39</v>
      </c>
      <c r="E604" t="s">
        <v>40</v>
      </c>
      <c r="F604" t="s">
        <v>2349</v>
      </c>
      <c r="G604" t="s">
        <v>2350</v>
      </c>
      <c r="H604">
        <v>14</v>
      </c>
      <c r="Q604" t="s">
        <v>51</v>
      </c>
      <c r="R604" t="s">
        <v>2351</v>
      </c>
      <c r="V604" t="s">
        <v>2352</v>
      </c>
      <c r="X604" t="s">
        <v>2353</v>
      </c>
      <c r="AF604">
        <v>1008490745</v>
      </c>
      <c r="AM604" t="str" cm="1">
        <f t="array" ref="AM604">_xlfn.IFS(OR(O604="Persoonlijk",O604="Zoon",O604="Dochter"),P604,OR(Q604="Persoonlijk",Q604="Zoon",Q604="Dochter"),R604,OR(S604="Persoonlijk",S604="Zoon",S604="Dochter"),T604,O604="Vader",P604,Q604="Vader",R604,S604="Vader",T604,O604="Moeder",P604,Q604="Moeder",R604,S604="Moeder",T604,TRUE,IF(P604&lt;&gt;"",P604,IF(R604&lt;&gt;"",R604,IF(T604&lt;&gt;"",T604,""))))</f>
        <v>angelovandorpe@msn.com</v>
      </c>
      <c r="AN604" t="str" cm="1">
        <f t="array" ref="AN604">_xlfn.LET(_xlpm.raw,_xlfn.IFS(OR(U604="Persoonlijk",U604="Zoon",U604="Dochter"),V604,OR(W604="Persoonlijk",W604="Zoon",W604="Dochter"),X604,OR(Y604="Persoonlijk",Y604="Zoon",Y604="Dochter"),Z604,U604="Vader",V604,W604="Vader",X604,Y604="Vader",Z604,U604="Moeder",V604,W604="Moeder",X604,Y604="Moeder",Z604,TRUE,IF(V604&lt;&gt;"",V604,IF(X604&lt;&gt;"",X604,IF(Z604&lt;&gt;"",Z604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+32499368402</v>
      </c>
    </row>
    <row r="605" spans="1:40" x14ac:dyDescent="0.3">
      <c r="A605">
        <v>9500022</v>
      </c>
      <c r="B605" t="s">
        <v>2354</v>
      </c>
      <c r="C605" t="s">
        <v>2355</v>
      </c>
      <c r="D605" t="s">
        <v>39</v>
      </c>
      <c r="E605" t="s">
        <v>40</v>
      </c>
      <c r="F605" t="s">
        <v>2356</v>
      </c>
      <c r="G605" t="s">
        <v>2357</v>
      </c>
      <c r="H605">
        <v>45</v>
      </c>
      <c r="U605" t="s">
        <v>46</v>
      </c>
      <c r="V605">
        <v>32470671727</v>
      </c>
      <c r="AB605" t="s">
        <v>2358</v>
      </c>
      <c r="AD605">
        <v>11</v>
      </c>
      <c r="AF605">
        <v>1009500022</v>
      </c>
      <c r="AJ605" t="s">
        <v>286</v>
      </c>
      <c r="AK605" t="s">
        <v>61</v>
      </c>
      <c r="AM605" t="str" cm="1">
        <f t="array" ref="AM605">_xlfn.IFS(OR(O605="Persoonlijk",O605="Zoon",O605="Dochter"),P605,OR(Q605="Persoonlijk",Q605="Zoon",Q605="Dochter"),R605,OR(S605="Persoonlijk",S605="Zoon",S605="Dochter"),T605,O605="Vader",P605,Q605="Vader",R605,S605="Vader",T605,O605="Moeder",P605,Q605="Moeder",R605,S605="Moeder",T605,TRUE,IF(P605&lt;&gt;"",P605,IF(R605&lt;&gt;"",R605,IF(T605&lt;&gt;"",T605,""))))</f>
        <v/>
      </c>
      <c r="AN605" t="str" cm="1">
        <f t="array" ref="AN605">_xlfn.LET(_xlpm.raw,_xlfn.IFS(OR(U605="Persoonlijk",U605="Zoon",U605="Dochter"),V605,OR(W605="Persoonlijk",W605="Zoon",W605="Dochter"),X605,OR(Y605="Persoonlijk",Y605="Zoon",Y605="Dochter"),Z605,U605="Vader",V605,W605="Vader",X605,Y605="Vader",Z605,U605="Moeder",V605,W605="Moeder",X605,Y605="Moeder",Z605,TRUE,IF(V605&lt;&gt;"",V605,IF(X605&lt;&gt;"",X605,IF(Z605&lt;&gt;"",Z605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+32470671727</v>
      </c>
    </row>
    <row r="606" spans="1:40" x14ac:dyDescent="0.3">
      <c r="A606">
        <v>9500022</v>
      </c>
      <c r="B606" t="s">
        <v>2354</v>
      </c>
      <c r="C606" t="s">
        <v>2355</v>
      </c>
      <c r="D606" t="s">
        <v>39</v>
      </c>
      <c r="E606" t="s">
        <v>40</v>
      </c>
      <c r="F606" t="s">
        <v>2356</v>
      </c>
      <c r="G606" t="s">
        <v>2357</v>
      </c>
      <c r="H606">
        <v>45</v>
      </c>
      <c r="U606" t="s">
        <v>46</v>
      </c>
      <c r="V606">
        <v>32470671727</v>
      </c>
      <c r="AB606" t="s">
        <v>2358</v>
      </c>
      <c r="AD606">
        <v>11</v>
      </c>
      <c r="AF606">
        <v>1009500022</v>
      </c>
      <c r="AJ606" t="s">
        <v>63</v>
      </c>
      <c r="AK606" t="s">
        <v>61</v>
      </c>
      <c r="AM606" t="str" cm="1">
        <f t="array" ref="AM606">_xlfn.IFS(OR(O606="Persoonlijk",O606="Zoon",O606="Dochter"),P606,OR(Q606="Persoonlijk",Q606="Zoon",Q606="Dochter"),R606,OR(S606="Persoonlijk",S606="Zoon",S606="Dochter"),T606,O606="Vader",P606,Q606="Vader",R606,S606="Vader",T606,O606="Moeder",P606,Q606="Moeder",R606,S606="Moeder",T606,TRUE,IF(P606&lt;&gt;"",P606,IF(R606&lt;&gt;"",R606,IF(T606&lt;&gt;"",T606,""))))</f>
        <v/>
      </c>
      <c r="AN606" t="str" cm="1">
        <f t="array" ref="AN606">_xlfn.LET(_xlpm.raw,_xlfn.IFS(OR(U606="Persoonlijk",U606="Zoon",U606="Dochter"),V606,OR(W606="Persoonlijk",W606="Zoon",W606="Dochter"),X606,OR(Y606="Persoonlijk",Y606="Zoon",Y606="Dochter"),Z606,U606="Vader",V606,W606="Vader",X606,Y606="Vader",Z606,U606="Moeder",V606,W606="Moeder",X606,Y606="Moeder",Z606,TRUE,IF(V606&lt;&gt;"",V606,IF(X606&lt;&gt;"",X606,IF(Z606&lt;&gt;"",Z606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+32470671727</v>
      </c>
    </row>
    <row r="607" spans="1:40" x14ac:dyDescent="0.3">
      <c r="A607">
        <v>9500022</v>
      </c>
      <c r="B607" t="s">
        <v>2354</v>
      </c>
      <c r="C607" t="s">
        <v>2355</v>
      </c>
      <c r="D607" t="s">
        <v>39</v>
      </c>
      <c r="E607" t="s">
        <v>40</v>
      </c>
      <c r="F607" t="s">
        <v>2356</v>
      </c>
      <c r="G607" t="s">
        <v>2357</v>
      </c>
      <c r="H607">
        <v>45</v>
      </c>
      <c r="U607" t="s">
        <v>46</v>
      </c>
      <c r="V607">
        <v>32470671727</v>
      </c>
      <c r="AB607" t="s">
        <v>2358</v>
      </c>
      <c r="AD607">
        <v>11</v>
      </c>
      <c r="AF607">
        <v>1009500022</v>
      </c>
      <c r="AJ607" t="s">
        <v>180</v>
      </c>
      <c r="AK607" t="s">
        <v>61</v>
      </c>
      <c r="AM607" t="str" cm="1">
        <f t="array" ref="AM607">_xlfn.IFS(OR(O607="Persoonlijk",O607="Zoon",O607="Dochter"),P607,OR(Q607="Persoonlijk",Q607="Zoon",Q607="Dochter"),R607,OR(S607="Persoonlijk",S607="Zoon",S607="Dochter"),T607,O607="Vader",P607,Q607="Vader",R607,S607="Vader",T607,O607="Moeder",P607,Q607="Moeder",R607,S607="Moeder",T607,TRUE,IF(P607&lt;&gt;"",P607,IF(R607&lt;&gt;"",R607,IF(T607&lt;&gt;"",T607,""))))</f>
        <v/>
      </c>
      <c r="AN607" t="str" cm="1">
        <f t="array" ref="AN607">_xlfn.LET(_xlpm.raw,_xlfn.IFS(OR(U607="Persoonlijk",U607="Zoon",U607="Dochter"),V607,OR(W607="Persoonlijk",W607="Zoon",W607="Dochter"),X607,OR(Y607="Persoonlijk",Y607="Zoon",Y607="Dochter"),Z607,U607="Vader",V607,W607="Vader",X607,Y607="Vader",Z607,U607="Moeder",V607,W607="Moeder",X607,Y607="Moeder",Z607,TRUE,IF(V607&lt;&gt;"",V607,IF(X607&lt;&gt;"",X607,IF(Z607&lt;&gt;"",Z607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+32470671727</v>
      </c>
    </row>
    <row r="608" spans="1:40" x14ac:dyDescent="0.3">
      <c r="A608">
        <v>4212657</v>
      </c>
      <c r="B608" t="s">
        <v>2359</v>
      </c>
      <c r="C608" t="s">
        <v>2360</v>
      </c>
      <c r="D608" t="s">
        <v>39</v>
      </c>
      <c r="E608" t="s">
        <v>40</v>
      </c>
      <c r="F608" t="s">
        <v>2361</v>
      </c>
      <c r="G608" t="s">
        <v>2362</v>
      </c>
      <c r="H608">
        <v>3</v>
      </c>
      <c r="Q608" t="s">
        <v>53</v>
      </c>
      <c r="R608" t="s">
        <v>2363</v>
      </c>
      <c r="U608" t="s">
        <v>46</v>
      </c>
      <c r="V608" t="s">
        <v>2364</v>
      </c>
      <c r="W608" t="s">
        <v>53</v>
      </c>
      <c r="X608">
        <v>32476669313</v>
      </c>
      <c r="AF608">
        <v>1004212657</v>
      </c>
      <c r="AM608" t="str" cm="1">
        <f t="array" ref="AM608">_xlfn.IFS(OR(O608="Persoonlijk",O608="Zoon",O608="Dochter"),P608,OR(Q608="Persoonlijk",Q608="Zoon",Q608="Dochter"),R608,OR(S608="Persoonlijk",S608="Zoon",S608="Dochter"),T608,O608="Vader",P608,Q608="Vader",R608,S608="Vader",T608,O608="Moeder",P608,Q608="Moeder",R608,S608="Moeder",T608,TRUE,IF(P608&lt;&gt;"",P608,IF(R608&lt;&gt;"",R608,IF(T608&lt;&gt;"",T608,""))))</f>
        <v>wendydv@telenet.be</v>
      </c>
      <c r="AN608" t="str" cm="1">
        <f t="array" ref="AN608">_xlfn.LET(_xlpm.raw,_xlfn.IFS(OR(U608="Persoonlijk",U608="Zoon",U608="Dochter"),V608,OR(W608="Persoonlijk",W608="Zoon",W608="Dochter"),X608,OR(Y608="Persoonlijk",Y608="Zoon",Y608="Dochter"),Z608,U608="Vader",V608,W608="Vader",X608,Y608="Vader",Z608,U608="Moeder",V608,W608="Moeder",X608,Y608="Moeder",Z608,TRUE,IF(V608&lt;&gt;"",V608,IF(X608&lt;&gt;"",X608,IF(Z608&lt;&gt;"",Z608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+32484050702</v>
      </c>
    </row>
    <row r="609" spans="1:40" x14ac:dyDescent="0.3">
      <c r="A609">
        <v>10682646</v>
      </c>
      <c r="B609" t="s">
        <v>2365</v>
      </c>
      <c r="C609" t="s">
        <v>948</v>
      </c>
      <c r="D609" t="s">
        <v>39</v>
      </c>
      <c r="E609" t="s">
        <v>40</v>
      </c>
      <c r="F609" t="s">
        <v>2366</v>
      </c>
      <c r="G609" t="s">
        <v>778</v>
      </c>
      <c r="H609">
        <v>48</v>
      </c>
      <c r="U609" t="s">
        <v>53</v>
      </c>
      <c r="V609" t="s">
        <v>2367</v>
      </c>
      <c r="W609" t="s">
        <v>51</v>
      </c>
      <c r="X609" t="s">
        <v>2368</v>
      </c>
      <c r="AC609" t="s">
        <v>2369</v>
      </c>
      <c r="AF609">
        <v>1010682646</v>
      </c>
      <c r="AJ609" t="s">
        <v>104</v>
      </c>
      <c r="AK609" t="s">
        <v>61</v>
      </c>
      <c r="AM609" t="str" cm="1">
        <f t="array" ref="AM609">_xlfn.IFS(OR(O609="Persoonlijk",O609="Zoon",O609="Dochter"),P609,OR(Q609="Persoonlijk",Q609="Zoon",Q609="Dochter"),R609,OR(S609="Persoonlijk",S609="Zoon",S609="Dochter"),T609,O609="Vader",P609,Q609="Vader",R609,S609="Vader",T609,O609="Moeder",P609,Q609="Moeder",R609,S609="Moeder",T609,TRUE,IF(P609&lt;&gt;"",P609,IF(R609&lt;&gt;"",R609,IF(T609&lt;&gt;"",T609,""))))</f>
        <v/>
      </c>
      <c r="AN609" t="str" cm="1">
        <f t="array" ref="AN609">_xlfn.LET(_xlpm.raw,_xlfn.IFS(OR(U609="Persoonlijk",U609="Zoon",U609="Dochter"),V609,OR(W609="Persoonlijk",W609="Zoon",W609="Dochter"),X609,OR(Y609="Persoonlijk",Y609="Zoon",Y609="Dochter"),Z609,U609="Vader",V609,W609="Vader",X609,Y609="Vader",Z609,U609="Moeder",V609,W609="Moeder",X609,Y609="Moeder",Z609,TRUE,IF(V609&lt;&gt;"",V609,IF(X609&lt;&gt;"",X609,IF(Z609&lt;&gt;"",Z609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+32479775361</v>
      </c>
    </row>
    <row r="610" spans="1:40" x14ac:dyDescent="0.3">
      <c r="A610">
        <v>10682646</v>
      </c>
      <c r="B610" t="s">
        <v>2365</v>
      </c>
      <c r="C610" t="s">
        <v>948</v>
      </c>
      <c r="D610" t="s">
        <v>39</v>
      </c>
      <c r="E610" t="s">
        <v>40</v>
      </c>
      <c r="F610" t="s">
        <v>2366</v>
      </c>
      <c r="G610" t="s">
        <v>778</v>
      </c>
      <c r="H610">
        <v>48</v>
      </c>
      <c r="U610" t="s">
        <v>53</v>
      </c>
      <c r="V610" t="s">
        <v>2367</v>
      </c>
      <c r="W610" t="s">
        <v>51</v>
      </c>
      <c r="X610" t="s">
        <v>2368</v>
      </c>
      <c r="AC610" t="s">
        <v>2369</v>
      </c>
      <c r="AF610">
        <v>1010682646</v>
      </c>
      <c r="AJ610" t="s">
        <v>63</v>
      </c>
      <c r="AK610" t="s">
        <v>61</v>
      </c>
      <c r="AM610" t="str" cm="1">
        <f t="array" ref="AM610">_xlfn.IFS(OR(O610="Persoonlijk",O610="Zoon",O610="Dochter"),P610,OR(Q610="Persoonlijk",Q610="Zoon",Q610="Dochter"),R610,OR(S610="Persoonlijk",S610="Zoon",S610="Dochter"),T610,O610="Vader",P610,Q610="Vader",R610,S610="Vader",T610,O610="Moeder",P610,Q610="Moeder",R610,S610="Moeder",T610,TRUE,IF(P610&lt;&gt;"",P610,IF(R610&lt;&gt;"",R610,IF(T610&lt;&gt;"",T610,""))))</f>
        <v/>
      </c>
      <c r="AN610" t="str" cm="1">
        <f t="array" ref="AN610">_xlfn.LET(_xlpm.raw,_xlfn.IFS(OR(U610="Persoonlijk",U610="Zoon",U610="Dochter"),V610,OR(W610="Persoonlijk",W610="Zoon",W610="Dochter"),X610,OR(Y610="Persoonlijk",Y610="Zoon",Y610="Dochter"),Z610,U610="Vader",V610,W610="Vader",X610,Y610="Vader",Z610,U610="Moeder",V610,W610="Moeder",X610,Y610="Moeder",Z610,TRUE,IF(V610&lt;&gt;"",V610,IF(X610&lt;&gt;"",X610,IF(Z610&lt;&gt;"",Z610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+32479775361</v>
      </c>
    </row>
    <row r="611" spans="1:40" x14ac:dyDescent="0.3">
      <c r="A611">
        <v>4246065</v>
      </c>
      <c r="B611" t="s">
        <v>2370</v>
      </c>
      <c r="C611" t="s">
        <v>2371</v>
      </c>
      <c r="D611" t="s">
        <v>39</v>
      </c>
      <c r="E611" t="s">
        <v>49</v>
      </c>
      <c r="F611" t="s">
        <v>2372</v>
      </c>
      <c r="G611" t="s">
        <v>2373</v>
      </c>
      <c r="H611">
        <v>16</v>
      </c>
      <c r="V611">
        <v>0</v>
      </c>
      <c r="X611">
        <v>0</v>
      </c>
      <c r="Z611">
        <v>0</v>
      </c>
      <c r="AA611">
        <v>0</v>
      </c>
      <c r="AC611" t="s">
        <v>2374</v>
      </c>
      <c r="AF611">
        <v>1004246065</v>
      </c>
      <c r="AG611">
        <v>242295</v>
      </c>
      <c r="AM611" t="str" cm="1">
        <f t="array" ref="AM611">_xlfn.IFS(OR(O611="Persoonlijk",O611="Zoon",O611="Dochter"),P611,OR(Q611="Persoonlijk",Q611="Zoon",Q611="Dochter"),R611,OR(S611="Persoonlijk",S611="Zoon",S611="Dochter"),T611,O611="Vader",P611,Q611="Vader",R611,S611="Vader",T611,O611="Moeder",P611,Q611="Moeder",R611,S611="Moeder",T611,TRUE,IF(P611&lt;&gt;"",P611,IF(R611&lt;&gt;"",R611,IF(T611&lt;&gt;"",T611,""))))</f>
        <v/>
      </c>
      <c r="AN611" t="str" cm="1">
        <f t="array" ref="AN611">_xlfn.LET(_xlpm.raw,_xlfn.IFS(OR(U611="Persoonlijk",U611="Zoon",U611="Dochter"),V611,OR(W611="Persoonlijk",W611="Zoon",W611="Dochter"),X611,OR(Y611="Persoonlijk",Y611="Zoon",Y611="Dochter"),Z611,U611="Vader",V611,W611="Vader",X611,Y611="Vader",Z611,U611="Moeder",V611,W611="Moeder",X611,Y611="Moeder",Z611,TRUE,IF(V611&lt;&gt;"",V611,IF(X611&lt;&gt;"",X611,IF(Z611&lt;&gt;"",Z611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12" spans="1:40" x14ac:dyDescent="0.3">
      <c r="A612">
        <v>6094381</v>
      </c>
      <c r="B612" t="s">
        <v>2375</v>
      </c>
      <c r="C612" t="s">
        <v>1720</v>
      </c>
      <c r="D612" t="s">
        <v>39</v>
      </c>
      <c r="E612" t="s">
        <v>40</v>
      </c>
      <c r="F612" t="s">
        <v>2376</v>
      </c>
      <c r="G612" t="s">
        <v>2377</v>
      </c>
      <c r="H612">
        <v>20</v>
      </c>
      <c r="U612" t="s">
        <v>53</v>
      </c>
      <c r="V612" t="s">
        <v>2378</v>
      </c>
      <c r="AE612" t="s">
        <v>2379</v>
      </c>
      <c r="AF612">
        <v>1006094381</v>
      </c>
      <c r="AM612" t="str" cm="1">
        <f t="array" ref="AM612">_xlfn.IFS(OR(O612="Persoonlijk",O612="Zoon",O612="Dochter"),P612,OR(Q612="Persoonlijk",Q612="Zoon",Q612="Dochter"),R612,OR(S612="Persoonlijk",S612="Zoon",S612="Dochter"),T612,O612="Vader",P612,Q612="Vader",R612,S612="Vader",T612,O612="Moeder",P612,Q612="Moeder",R612,S612="Moeder",T612,TRUE,IF(P612&lt;&gt;"",P612,IF(R612&lt;&gt;"",R612,IF(T612&lt;&gt;"",T612,""))))</f>
        <v/>
      </c>
      <c r="AN612" t="str" cm="1">
        <f t="array" ref="AN612">_xlfn.LET(_xlpm.raw,_xlfn.IFS(OR(U612="Persoonlijk",U612="Zoon",U612="Dochter"),V612,OR(W612="Persoonlijk",W612="Zoon",W612="Dochter"),X612,OR(Y612="Persoonlijk",Y612="Zoon",Y612="Dochter"),Z612,U612="Vader",V612,W612="Vader",X612,Y612="Vader",Z612,U612="Moeder",V612,W612="Moeder",X612,Y612="Moeder",Z612,TRUE,IF(V612&lt;&gt;"",V612,IF(X612&lt;&gt;"",X612,IF(Z612&lt;&gt;"",Z612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+32499215817</v>
      </c>
    </row>
    <row r="613" spans="1:40" x14ac:dyDescent="0.3">
      <c r="A613">
        <v>2655220</v>
      </c>
      <c r="B613" t="s">
        <v>2380</v>
      </c>
      <c r="C613" t="s">
        <v>2381</v>
      </c>
      <c r="D613" t="s">
        <v>39</v>
      </c>
      <c r="E613" t="s">
        <v>49</v>
      </c>
      <c r="F613" t="s">
        <v>2382</v>
      </c>
      <c r="G613" t="s">
        <v>2383</v>
      </c>
      <c r="H613">
        <v>1</v>
      </c>
      <c r="AC613" t="s">
        <v>2384</v>
      </c>
      <c r="AE613" t="s">
        <v>2385</v>
      </c>
      <c r="AF613">
        <v>1002655220</v>
      </c>
      <c r="AG613">
        <v>644354</v>
      </c>
      <c r="AM613" t="str" cm="1">
        <f t="array" ref="AM613">_xlfn.IFS(OR(O613="Persoonlijk",O613="Zoon",O613="Dochter"),P613,OR(Q613="Persoonlijk",Q613="Zoon",Q613="Dochter"),R613,OR(S613="Persoonlijk",S613="Zoon",S613="Dochter"),T613,O613="Vader",P613,Q613="Vader",R613,S613="Vader",T613,O613="Moeder",P613,Q613="Moeder",R613,S613="Moeder",T613,TRUE,IF(P613&lt;&gt;"",P613,IF(R613&lt;&gt;"",R613,IF(T613&lt;&gt;"",T613,""))))</f>
        <v/>
      </c>
      <c r="AN613" t="str" cm="1">
        <f t="array" ref="AN613">_xlfn.LET(_xlpm.raw,_xlfn.IFS(OR(U613="Persoonlijk",U613="Zoon",U613="Dochter"),V613,OR(W613="Persoonlijk",W613="Zoon",W613="Dochter"),X613,OR(Y613="Persoonlijk",Y613="Zoon",Y613="Dochter"),Z613,U613="Vader",V613,W613="Vader",X613,Y613="Vader",Z613,U613="Moeder",V613,W613="Moeder",X613,Y613="Moeder",Z613,TRUE,IF(V613&lt;&gt;"",V613,IF(X613&lt;&gt;"",X613,IF(Z613&lt;&gt;"",Z613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14" spans="1:40" x14ac:dyDescent="0.3">
      <c r="A614">
        <v>2183297</v>
      </c>
      <c r="B614" t="s">
        <v>2380</v>
      </c>
      <c r="C614" t="s">
        <v>1533</v>
      </c>
      <c r="D614" t="s">
        <v>39</v>
      </c>
      <c r="E614" t="s">
        <v>49</v>
      </c>
      <c r="F614" t="s">
        <v>2386</v>
      </c>
      <c r="G614" t="s">
        <v>2383</v>
      </c>
      <c r="H614">
        <v>1</v>
      </c>
      <c r="AC614" t="s">
        <v>2387</v>
      </c>
      <c r="AF614">
        <v>1002183297</v>
      </c>
      <c r="AG614">
        <v>617084</v>
      </c>
      <c r="AM614" t="str" cm="1">
        <f t="array" ref="AM614">_xlfn.IFS(OR(O614="Persoonlijk",O614="Zoon",O614="Dochter"),P614,OR(Q614="Persoonlijk",Q614="Zoon",Q614="Dochter"),R614,OR(S614="Persoonlijk",S614="Zoon",S614="Dochter"),T614,O614="Vader",P614,Q614="Vader",R614,S614="Vader",T614,O614="Moeder",P614,Q614="Moeder",R614,S614="Moeder",T614,TRUE,IF(P614&lt;&gt;"",P614,IF(R614&lt;&gt;"",R614,IF(T614&lt;&gt;"",T614,""))))</f>
        <v/>
      </c>
      <c r="AN614" t="str" cm="1">
        <f t="array" ref="AN614">_xlfn.LET(_xlpm.raw,_xlfn.IFS(OR(U614="Persoonlijk",U614="Zoon",U614="Dochter"),V614,OR(W614="Persoonlijk",W614="Zoon",W614="Dochter"),X614,OR(Y614="Persoonlijk",Y614="Zoon",Y614="Dochter"),Z614,U614="Vader",V614,W614="Vader",X614,Y614="Vader",Z614,U614="Moeder",V614,W614="Moeder",X614,Y614="Moeder",Z614,TRUE,IF(V614&lt;&gt;"",V614,IF(X614&lt;&gt;"",X614,IF(Z614&lt;&gt;"",Z614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15" spans="1:40" x14ac:dyDescent="0.3">
      <c r="A615">
        <v>4080394</v>
      </c>
      <c r="B615" t="s">
        <v>2388</v>
      </c>
      <c r="C615" t="s">
        <v>2389</v>
      </c>
      <c r="D615" t="s">
        <v>39</v>
      </c>
      <c r="E615" t="s">
        <v>40</v>
      </c>
      <c r="F615" t="s">
        <v>2390</v>
      </c>
      <c r="G615" t="s">
        <v>1529</v>
      </c>
      <c r="H615">
        <v>50</v>
      </c>
      <c r="U615" t="s">
        <v>53</v>
      </c>
      <c r="V615">
        <v>32474552662</v>
      </c>
      <c r="W615" t="s">
        <v>116</v>
      </c>
      <c r="X615">
        <v>320472516116</v>
      </c>
      <c r="AC615" t="s">
        <v>2391</v>
      </c>
      <c r="AD615">
        <v>5</v>
      </c>
      <c r="AE615" t="s">
        <v>2392</v>
      </c>
      <c r="AF615">
        <v>1004080394</v>
      </c>
      <c r="AJ615" t="s">
        <v>121</v>
      </c>
      <c r="AK615" t="s">
        <v>61</v>
      </c>
      <c r="AL615" t="s">
        <v>62</v>
      </c>
      <c r="AM615" t="str" cm="1">
        <f t="array" ref="AM615">_xlfn.IFS(OR(O615="Persoonlijk",O615="Zoon",O615="Dochter"),P615,OR(Q615="Persoonlijk",Q615="Zoon",Q615="Dochter"),R615,OR(S615="Persoonlijk",S615="Zoon",S615="Dochter"),T615,O615="Vader",P615,Q615="Vader",R615,S615="Vader",T615,O615="Moeder",P615,Q615="Moeder",R615,S615="Moeder",T615,TRUE,IF(P615&lt;&gt;"",P615,IF(R615&lt;&gt;"",R615,IF(T615&lt;&gt;"",T615,""))))</f>
        <v/>
      </c>
      <c r="AN615" t="str" cm="1">
        <f t="array" ref="AN615">_xlfn.LET(_xlpm.raw,_xlfn.IFS(OR(U615="Persoonlijk",U615="Zoon",U615="Dochter"),V615,OR(W615="Persoonlijk",W615="Zoon",W615="Dochter"),X615,OR(Y615="Persoonlijk",Y615="Zoon",Y615="Dochter"),Z615,U615="Vader",V615,W615="Vader",X615,Y615="Vader",Z615,U615="Moeder",V615,W615="Moeder",X615,Y615="Moeder",Z615,TRUE,IF(V615&lt;&gt;"",V615,IF(X615&lt;&gt;"",X615,IF(Z615&lt;&gt;"",Z615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+32472516116</v>
      </c>
    </row>
    <row r="616" spans="1:40" x14ac:dyDescent="0.3">
      <c r="A616">
        <v>4080394</v>
      </c>
      <c r="B616" t="s">
        <v>2388</v>
      </c>
      <c r="C616" t="s">
        <v>2389</v>
      </c>
      <c r="D616" t="s">
        <v>39</v>
      </c>
      <c r="E616" t="s">
        <v>40</v>
      </c>
      <c r="F616" t="s">
        <v>2390</v>
      </c>
      <c r="G616" t="s">
        <v>1529</v>
      </c>
      <c r="H616">
        <v>50</v>
      </c>
      <c r="U616" t="s">
        <v>53</v>
      </c>
      <c r="V616">
        <v>32474552662</v>
      </c>
      <c r="W616" t="s">
        <v>116</v>
      </c>
      <c r="X616">
        <v>320472516116</v>
      </c>
      <c r="AC616" t="s">
        <v>2391</v>
      </c>
      <c r="AD616">
        <v>5</v>
      </c>
      <c r="AE616" t="s">
        <v>2392</v>
      </c>
      <c r="AF616">
        <v>1004080394</v>
      </c>
      <c r="AL616" t="s">
        <v>62</v>
      </c>
      <c r="AM616" t="str" cm="1">
        <f t="array" ref="AM616">_xlfn.IFS(OR(O616="Persoonlijk",O616="Zoon",O616="Dochter"),P616,OR(Q616="Persoonlijk",Q616="Zoon",Q616="Dochter"),R616,OR(S616="Persoonlijk",S616="Zoon",S616="Dochter"),T616,O616="Vader",P616,Q616="Vader",R616,S616="Vader",T616,O616="Moeder",P616,Q616="Moeder",R616,S616="Moeder",T616,TRUE,IF(P616&lt;&gt;"",P616,IF(R616&lt;&gt;"",R616,IF(T616&lt;&gt;"",T616,""))))</f>
        <v/>
      </c>
      <c r="AN616" t="str" cm="1">
        <f t="array" ref="AN616">_xlfn.LET(_xlpm.raw,_xlfn.IFS(OR(U616="Persoonlijk",U616="Zoon",U616="Dochter"),V616,OR(W616="Persoonlijk",W616="Zoon",W616="Dochter"),X616,OR(Y616="Persoonlijk",Y616="Zoon",Y616="Dochter"),Z616,U616="Vader",V616,W616="Vader",X616,Y616="Vader",Z616,U616="Moeder",V616,W616="Moeder",X616,Y616="Moeder",Z616,TRUE,IF(V616&lt;&gt;"",V616,IF(X616&lt;&gt;"",X616,IF(Z616&lt;&gt;"",Z616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+32472516116</v>
      </c>
    </row>
    <row r="617" spans="1:40" x14ac:dyDescent="0.3">
      <c r="A617">
        <v>4080394</v>
      </c>
      <c r="B617" t="s">
        <v>2388</v>
      </c>
      <c r="C617" t="s">
        <v>2389</v>
      </c>
      <c r="D617" t="s">
        <v>39</v>
      </c>
      <c r="E617" t="s">
        <v>40</v>
      </c>
      <c r="F617" t="s">
        <v>2390</v>
      </c>
      <c r="G617" t="s">
        <v>1529</v>
      </c>
      <c r="H617">
        <v>50</v>
      </c>
      <c r="U617" t="s">
        <v>53</v>
      </c>
      <c r="V617">
        <v>32474552662</v>
      </c>
      <c r="W617" t="s">
        <v>116</v>
      </c>
      <c r="X617">
        <v>320472516116</v>
      </c>
      <c r="AC617" t="s">
        <v>2391</v>
      </c>
      <c r="AD617">
        <v>5</v>
      </c>
      <c r="AE617" t="s">
        <v>2392</v>
      </c>
      <c r="AF617">
        <v>1004080394</v>
      </c>
      <c r="AL617" t="s">
        <v>62</v>
      </c>
      <c r="AM617" t="str" cm="1">
        <f t="array" ref="AM617">_xlfn.IFS(OR(O617="Persoonlijk",O617="Zoon",O617="Dochter"),P617,OR(Q617="Persoonlijk",Q617="Zoon",Q617="Dochter"),R617,OR(S617="Persoonlijk",S617="Zoon",S617="Dochter"),T617,O617="Vader",P617,Q617="Vader",R617,S617="Vader",T617,O617="Moeder",P617,Q617="Moeder",R617,S617="Moeder",T617,TRUE,IF(P617&lt;&gt;"",P617,IF(R617&lt;&gt;"",R617,IF(T617&lt;&gt;"",T617,""))))</f>
        <v/>
      </c>
      <c r="AN617" t="str" cm="1">
        <f t="array" ref="AN617">_xlfn.LET(_xlpm.raw,_xlfn.IFS(OR(U617="Persoonlijk",U617="Zoon",U617="Dochter"),V617,OR(W617="Persoonlijk",W617="Zoon",W617="Dochter"),X617,OR(Y617="Persoonlijk",Y617="Zoon",Y617="Dochter"),Z617,U617="Vader",V617,W617="Vader",X617,Y617="Vader",Z617,U617="Moeder",V617,W617="Moeder",X617,Y617="Moeder",Z617,TRUE,IF(V617&lt;&gt;"",V617,IF(X617&lt;&gt;"",X617,IF(Z617&lt;&gt;"",Z617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+32472516116</v>
      </c>
    </row>
    <row r="618" spans="1:40" x14ac:dyDescent="0.3">
      <c r="A618">
        <v>4421891</v>
      </c>
      <c r="B618" t="s">
        <v>2393</v>
      </c>
      <c r="C618" t="s">
        <v>2394</v>
      </c>
      <c r="D618" t="s">
        <v>39</v>
      </c>
      <c r="E618" t="s">
        <v>40</v>
      </c>
      <c r="F618" t="s">
        <v>2395</v>
      </c>
      <c r="G618" t="s">
        <v>2396</v>
      </c>
      <c r="H618">
        <v>6</v>
      </c>
      <c r="Q618" t="s">
        <v>51</v>
      </c>
      <c r="R618" t="s">
        <v>2397</v>
      </c>
      <c r="V618" t="s">
        <v>2398</v>
      </c>
      <c r="AC618" t="s">
        <v>2399</v>
      </c>
      <c r="AF618">
        <v>1004421891</v>
      </c>
      <c r="AJ618" t="s">
        <v>483</v>
      </c>
      <c r="AK618" t="s">
        <v>61</v>
      </c>
      <c r="AM618" t="str" cm="1">
        <f t="array" ref="AM618">_xlfn.IFS(OR(O618="Persoonlijk",O618="Zoon",O618="Dochter"),P618,OR(Q618="Persoonlijk",Q618="Zoon",Q618="Dochter"),R618,OR(S618="Persoonlijk",S618="Zoon",S618="Dochter"),T618,O618="Vader",P618,Q618="Vader",R618,S618="Vader",T618,O618="Moeder",P618,Q618="Moeder",R618,S618="Moeder",T618,TRUE,IF(P618&lt;&gt;"",P618,IF(R618&lt;&gt;"",R618,IF(T618&lt;&gt;"",T618,""))))</f>
        <v>jzvanmeenen@telenet.be</v>
      </c>
      <c r="AN618" t="str" cm="1">
        <f t="array" ref="AN618">_xlfn.LET(_xlpm.raw,_xlfn.IFS(OR(U618="Persoonlijk",U618="Zoon",U618="Dochter"),V618,OR(W618="Persoonlijk",W618="Zoon",W618="Dochter"),X618,OR(Y618="Persoonlijk",Y618="Zoon",Y618="Dochter"),Z618,U618="Vader",V618,W618="Vader",X618,Y618="Vader",Z618,U618="Moeder",V618,W618="Moeder",X618,Y618="Moeder",Z618,TRUE,IF(V618&lt;&gt;"",V618,IF(X618&lt;&gt;"",X618,IF(Z618&lt;&gt;"",Z618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+32468153046</v>
      </c>
    </row>
    <row r="619" spans="1:40" x14ac:dyDescent="0.3">
      <c r="A619">
        <v>9499842</v>
      </c>
      <c r="B619" t="s">
        <v>2393</v>
      </c>
      <c r="C619" t="s">
        <v>2400</v>
      </c>
      <c r="D619" t="s">
        <v>39</v>
      </c>
      <c r="E619" t="s">
        <v>49</v>
      </c>
      <c r="F619" t="s">
        <v>2401</v>
      </c>
      <c r="G619" t="s">
        <v>2396</v>
      </c>
      <c r="H619">
        <v>6</v>
      </c>
      <c r="Q619" t="s">
        <v>51</v>
      </c>
      <c r="R619" t="s">
        <v>2397</v>
      </c>
      <c r="V619">
        <v>0</v>
      </c>
      <c r="X619">
        <v>0</v>
      </c>
      <c r="Z619">
        <v>0</v>
      </c>
      <c r="AA619">
        <v>0</v>
      </c>
      <c r="AF619">
        <v>1009499842</v>
      </c>
      <c r="AG619">
        <v>658412</v>
      </c>
      <c r="AM619" t="str" cm="1">
        <f t="array" ref="AM619">_xlfn.IFS(OR(O619="Persoonlijk",O619="Zoon",O619="Dochter"),P619,OR(Q619="Persoonlijk",Q619="Zoon",Q619="Dochter"),R619,OR(S619="Persoonlijk",S619="Zoon",S619="Dochter"),T619,O619="Vader",P619,Q619="Vader",R619,S619="Vader",T619,O619="Moeder",P619,Q619="Moeder",R619,S619="Moeder",T619,TRUE,IF(P619&lt;&gt;"",P619,IF(R619&lt;&gt;"",R619,IF(T619&lt;&gt;"",T619,""))))</f>
        <v>jzvanmeenen@telenet.be</v>
      </c>
      <c r="AN619" t="str" cm="1">
        <f t="array" ref="AN619">_xlfn.LET(_xlpm.raw,_xlfn.IFS(OR(U619="Persoonlijk",U619="Zoon",U619="Dochter"),V619,OR(W619="Persoonlijk",W619="Zoon",W619="Dochter"),X619,OR(Y619="Persoonlijk",Y619="Zoon",Y619="Dochter"),Z619,U619="Vader",V619,W619="Vader",X619,Y619="Vader",Z619,U619="Moeder",V619,W619="Moeder",X619,Y619="Moeder",Z619,TRUE,IF(V619&lt;&gt;"",V619,IF(X619&lt;&gt;"",X619,IF(Z619&lt;&gt;"",Z619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20" spans="1:40" x14ac:dyDescent="0.3">
      <c r="A620">
        <v>2183312</v>
      </c>
      <c r="B620" t="s">
        <v>2402</v>
      </c>
      <c r="C620" t="s">
        <v>2403</v>
      </c>
      <c r="D620" t="s">
        <v>39</v>
      </c>
      <c r="E620" t="s">
        <v>40</v>
      </c>
      <c r="F620" t="s">
        <v>2404</v>
      </c>
      <c r="G620" t="s">
        <v>305</v>
      </c>
      <c r="H620">
        <v>37</v>
      </c>
      <c r="AC620" t="s">
        <v>2405</v>
      </c>
      <c r="AD620">
        <v>6</v>
      </c>
      <c r="AF620">
        <v>1002183312</v>
      </c>
      <c r="AG620">
        <v>663125</v>
      </c>
      <c r="AJ620" t="s">
        <v>483</v>
      </c>
      <c r="AK620" t="s">
        <v>61</v>
      </c>
      <c r="AM620" t="str" cm="1">
        <f t="array" ref="AM620">_xlfn.IFS(OR(O620="Persoonlijk",O620="Zoon",O620="Dochter"),P620,OR(Q620="Persoonlijk",Q620="Zoon",Q620="Dochter"),R620,OR(S620="Persoonlijk",S620="Zoon",S620="Dochter"),T620,O620="Vader",P620,Q620="Vader",R620,S620="Vader",T620,O620="Moeder",P620,Q620="Moeder",R620,S620="Moeder",T620,TRUE,IF(P620&lt;&gt;"",P620,IF(R620&lt;&gt;"",R620,IF(T620&lt;&gt;"",T620,""))))</f>
        <v/>
      </c>
      <c r="AN620" t="str" cm="1">
        <f t="array" ref="AN620">_xlfn.LET(_xlpm.raw,_xlfn.IFS(OR(U620="Persoonlijk",U620="Zoon",U620="Dochter"),V620,OR(W620="Persoonlijk",W620="Zoon",W620="Dochter"),X620,OR(Y620="Persoonlijk",Y620="Zoon",Y620="Dochter"),Z620,U620="Vader",V620,W620="Vader",X620,Y620="Vader",Z620,U620="Moeder",V620,W620="Moeder",X620,Y620="Moeder",Z620,TRUE,IF(V620&lt;&gt;"",V620,IF(X620&lt;&gt;"",X620,IF(Z620&lt;&gt;"",Z620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21" spans="1:40" x14ac:dyDescent="0.3">
      <c r="A621">
        <v>5573904</v>
      </c>
      <c r="B621" t="s">
        <v>2406</v>
      </c>
      <c r="C621" t="s">
        <v>1256</v>
      </c>
      <c r="D621" t="s">
        <v>39</v>
      </c>
      <c r="E621" t="s">
        <v>49</v>
      </c>
      <c r="F621" t="s">
        <v>2407</v>
      </c>
      <c r="G621" t="s">
        <v>2408</v>
      </c>
      <c r="H621">
        <v>59</v>
      </c>
      <c r="Q621" t="s">
        <v>46</v>
      </c>
      <c r="R621" t="s">
        <v>2409</v>
      </c>
      <c r="AB621" t="s">
        <v>2410</v>
      </c>
      <c r="AC621" t="s">
        <v>2411</v>
      </c>
      <c r="AF621">
        <v>1005573904</v>
      </c>
      <c r="AG621">
        <v>201618</v>
      </c>
      <c r="AJ621" t="s">
        <v>64</v>
      </c>
      <c r="AK621" t="s">
        <v>65</v>
      </c>
      <c r="AM621" t="str" cm="1">
        <f t="array" ref="AM621">_xlfn.IFS(OR(O621="Persoonlijk",O621="Zoon",O621="Dochter"),P621,OR(Q621="Persoonlijk",Q621="Zoon",Q621="Dochter"),R621,OR(S621="Persoonlijk",S621="Zoon",S621="Dochter"),T621,O621="Vader",P621,Q621="Vader",R621,S621="Vader",T621,O621="Moeder",P621,Q621="Moeder",R621,S621="Moeder",T621,TRUE,IF(P621&lt;&gt;"",P621,IF(R621&lt;&gt;"",R621,IF(T621&lt;&gt;"",T621,""))))</f>
        <v>charlotte.vanmoorleghem1@gmail.com</v>
      </c>
      <c r="AN621" t="str" cm="1">
        <f t="array" ref="AN621">_xlfn.LET(_xlpm.raw,_xlfn.IFS(OR(U621="Persoonlijk",U621="Zoon",U621="Dochter"),V621,OR(W621="Persoonlijk",W621="Zoon",W621="Dochter"),X621,OR(Y621="Persoonlijk",Y621="Zoon",Y621="Dochter"),Z621,U621="Vader",V621,W621="Vader",X621,Y621="Vader",Z621,U621="Moeder",V621,W621="Moeder",X621,Y621="Moeder",Z621,TRUE,IF(V621&lt;&gt;"",V621,IF(X621&lt;&gt;"",X621,IF(Z621&lt;&gt;"",Z621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22" spans="1:40" x14ac:dyDescent="0.3">
      <c r="A622">
        <v>11859928</v>
      </c>
      <c r="B622" t="s">
        <v>2412</v>
      </c>
      <c r="C622" t="s">
        <v>2413</v>
      </c>
      <c r="D622" t="s">
        <v>39</v>
      </c>
      <c r="E622" t="s">
        <v>49</v>
      </c>
      <c r="F622" t="s">
        <v>2414</v>
      </c>
      <c r="G622" t="s">
        <v>581</v>
      </c>
      <c r="H622">
        <v>33</v>
      </c>
      <c r="I622" t="s">
        <v>2415</v>
      </c>
      <c r="Q622" t="s">
        <v>53</v>
      </c>
      <c r="R622" t="s">
        <v>2417</v>
      </c>
      <c r="U622" t="s">
        <v>51</v>
      </c>
      <c r="V622" t="s">
        <v>2418</v>
      </c>
      <c r="W622" t="s">
        <v>53</v>
      </c>
      <c r="X622" t="s">
        <v>2419</v>
      </c>
      <c r="AC622" t="s">
        <v>2420</v>
      </c>
      <c r="AF622">
        <v>1011859928</v>
      </c>
      <c r="AJ622" t="s">
        <v>174</v>
      </c>
      <c r="AK622" t="s">
        <v>61</v>
      </c>
      <c r="AM622" t="str" cm="1">
        <f t="array" ref="AM622">_xlfn.IFS(OR(O622="Persoonlijk",O622="Zoon",O622="Dochter"),P622,OR(Q622="Persoonlijk",Q622="Zoon",Q622="Dochter"),R622,OR(S622="Persoonlijk",S622="Zoon",S622="Dochter"),T622,O622="Vader",P622,Q622="Vader",R622,S622="Vader",T622,O622="Moeder",P622,Q622="Moeder",R622,S622="Moeder",T622,TRUE,IF(P622&lt;&gt;"",P622,IF(R622&lt;&gt;"",R622,IF(T622&lt;&gt;"",T622,""))))</f>
        <v>maaikeschiettecatte@gmail.com</v>
      </c>
      <c r="AN622" t="str" cm="1">
        <f t="array" ref="AN622">_xlfn.LET(_xlpm.raw,_xlfn.IFS(OR(U622="Persoonlijk",U622="Zoon",U622="Dochter"),V622,OR(W622="Persoonlijk",W622="Zoon",W622="Dochter"),X622,OR(Y622="Persoonlijk",Y622="Zoon",Y622="Dochter"),Z622,U622="Vader",V622,W622="Vader",X622,Y622="Vader",Z622,U622="Moeder",V622,W622="Moeder",X622,Y622="Moeder",Z622,TRUE,IF(V622&lt;&gt;"",V622,IF(X622&lt;&gt;"",X622,IF(Z622&lt;&gt;"",Z622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+32477259667</v>
      </c>
    </row>
    <row r="623" spans="1:40" x14ac:dyDescent="0.3">
      <c r="A623">
        <v>11859928</v>
      </c>
      <c r="B623" t="s">
        <v>2412</v>
      </c>
      <c r="C623" t="s">
        <v>2413</v>
      </c>
      <c r="D623" t="s">
        <v>39</v>
      </c>
      <c r="E623" t="s">
        <v>49</v>
      </c>
      <c r="F623" t="s">
        <v>2414</v>
      </c>
      <c r="G623" t="s">
        <v>581</v>
      </c>
      <c r="H623">
        <v>33</v>
      </c>
      <c r="I623" t="s">
        <v>2415</v>
      </c>
      <c r="Q623" t="s">
        <v>53</v>
      </c>
      <c r="R623" t="s">
        <v>2417</v>
      </c>
      <c r="U623" t="s">
        <v>51</v>
      </c>
      <c r="V623" t="s">
        <v>2418</v>
      </c>
      <c r="W623" t="s">
        <v>53</v>
      </c>
      <c r="X623" t="s">
        <v>2419</v>
      </c>
      <c r="AC623" t="s">
        <v>2420</v>
      </c>
      <c r="AF623">
        <v>1011859928</v>
      </c>
      <c r="AJ623" t="s">
        <v>87</v>
      </c>
      <c r="AK623" t="s">
        <v>61</v>
      </c>
      <c r="AM623" t="str" cm="1">
        <f t="array" ref="AM623">_xlfn.IFS(OR(O623="Persoonlijk",O623="Zoon",O623="Dochter"),P623,OR(Q623="Persoonlijk",Q623="Zoon",Q623="Dochter"),R623,OR(S623="Persoonlijk",S623="Zoon",S623="Dochter"),T623,O623="Vader",P623,Q623="Vader",R623,S623="Vader",T623,O623="Moeder",P623,Q623="Moeder",R623,S623="Moeder",T623,TRUE,IF(P623&lt;&gt;"",P623,IF(R623&lt;&gt;"",R623,IF(T623&lt;&gt;"",T623,""))))</f>
        <v>maaikeschiettecatte@gmail.com</v>
      </c>
      <c r="AN623" t="str" cm="1">
        <f t="array" ref="AN623">_xlfn.LET(_xlpm.raw,_xlfn.IFS(OR(U623="Persoonlijk",U623="Zoon",U623="Dochter"),V623,OR(W623="Persoonlijk",W623="Zoon",W623="Dochter"),X623,OR(Y623="Persoonlijk",Y623="Zoon",Y623="Dochter"),Z623,U623="Vader",V623,W623="Vader",X623,Y623="Vader",Z623,U623="Moeder",V623,W623="Moeder",X623,Y623="Moeder",Z623,TRUE,IF(V623&lt;&gt;"",V623,IF(X623&lt;&gt;"",X623,IF(Z623&lt;&gt;"",Z623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+32477259667</v>
      </c>
    </row>
    <row r="624" spans="1:40" x14ac:dyDescent="0.3">
      <c r="A624">
        <v>7790443</v>
      </c>
      <c r="B624" t="s">
        <v>2412</v>
      </c>
      <c r="C624" t="s">
        <v>1128</v>
      </c>
      <c r="D624" t="s">
        <v>39</v>
      </c>
      <c r="E624" t="s">
        <v>40</v>
      </c>
      <c r="F624" t="s">
        <v>2421</v>
      </c>
      <c r="G624" t="s">
        <v>581</v>
      </c>
      <c r="H624">
        <v>33</v>
      </c>
      <c r="I624" t="s">
        <v>2415</v>
      </c>
      <c r="Q624" t="s">
        <v>51</v>
      </c>
      <c r="R624" t="s">
        <v>2416</v>
      </c>
      <c r="U624" t="s">
        <v>53</v>
      </c>
      <c r="V624" t="s">
        <v>2419</v>
      </c>
      <c r="W624" t="s">
        <v>51</v>
      </c>
      <c r="X624" t="s">
        <v>2418</v>
      </c>
      <c r="AF624">
        <v>1007790443</v>
      </c>
      <c r="AJ624" t="s">
        <v>192</v>
      </c>
      <c r="AK624" t="s">
        <v>61</v>
      </c>
      <c r="AM624" t="str" cm="1">
        <f t="array" ref="AM624">_xlfn.IFS(OR(O624="Persoonlijk",O624="Zoon",O624="Dochter"),P624,OR(Q624="Persoonlijk",Q624="Zoon",Q624="Dochter"),R624,OR(S624="Persoonlijk",S624="Zoon",S624="Dochter"),T624,O624="Vader",P624,Q624="Vader",R624,S624="Vader",T624,O624="Moeder",P624,Q624="Moeder",R624,S624="Moeder",T624,TRUE,IF(P624&lt;&gt;"",P624,IF(R624&lt;&gt;"",R624,IF(T624&lt;&gt;"",T624,""))))</f>
        <v>pietervannieuwenhuyze1984@gmail.com</v>
      </c>
      <c r="AN624" t="str" cm="1">
        <f t="array" ref="AN624">_xlfn.LET(_xlpm.raw,_xlfn.IFS(OR(U624="Persoonlijk",U624="Zoon",U624="Dochter"),V624,OR(W624="Persoonlijk",W624="Zoon",W624="Dochter"),X624,OR(Y624="Persoonlijk",Y624="Zoon",Y624="Dochter"),Z624,U624="Vader",V624,W624="Vader",X624,Y624="Vader",Z624,U624="Moeder",V624,W624="Moeder",X624,Y624="Moeder",Z624,TRUE,IF(V624&lt;&gt;"",V624,IF(X624&lt;&gt;"",X624,IF(Z624&lt;&gt;"",Z624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+32477259667</v>
      </c>
    </row>
    <row r="625" spans="1:40" x14ac:dyDescent="0.3">
      <c r="A625">
        <v>7790443</v>
      </c>
      <c r="B625" t="s">
        <v>2412</v>
      </c>
      <c r="C625" t="s">
        <v>1128</v>
      </c>
      <c r="D625" t="s">
        <v>39</v>
      </c>
      <c r="E625" t="s">
        <v>40</v>
      </c>
      <c r="F625" t="s">
        <v>2421</v>
      </c>
      <c r="G625" t="s">
        <v>581</v>
      </c>
      <c r="H625">
        <v>33</v>
      </c>
      <c r="I625" t="s">
        <v>2415</v>
      </c>
      <c r="Q625" t="s">
        <v>51</v>
      </c>
      <c r="R625" t="s">
        <v>2416</v>
      </c>
      <c r="U625" t="s">
        <v>53</v>
      </c>
      <c r="V625" t="s">
        <v>2419</v>
      </c>
      <c r="W625" t="s">
        <v>51</v>
      </c>
      <c r="X625" t="s">
        <v>2418</v>
      </c>
      <c r="AF625">
        <v>1007790443</v>
      </c>
      <c r="AJ625" t="s">
        <v>295</v>
      </c>
      <c r="AK625" t="s">
        <v>61</v>
      </c>
      <c r="AM625" t="str" cm="1">
        <f t="array" ref="AM625">_xlfn.IFS(OR(O625="Persoonlijk",O625="Zoon",O625="Dochter"),P625,OR(Q625="Persoonlijk",Q625="Zoon",Q625="Dochter"),R625,OR(S625="Persoonlijk",S625="Zoon",S625="Dochter"),T625,O625="Vader",P625,Q625="Vader",R625,S625="Vader",T625,O625="Moeder",P625,Q625="Moeder",R625,S625="Moeder",T625,TRUE,IF(P625&lt;&gt;"",P625,IF(R625&lt;&gt;"",R625,IF(T625&lt;&gt;"",T625,""))))</f>
        <v>pietervannieuwenhuyze1984@gmail.com</v>
      </c>
      <c r="AN625" t="str" cm="1">
        <f t="array" ref="AN625">_xlfn.LET(_xlpm.raw,_xlfn.IFS(OR(U625="Persoonlijk",U625="Zoon",U625="Dochter"),V625,OR(W625="Persoonlijk",W625="Zoon",W625="Dochter"),X625,OR(Y625="Persoonlijk",Y625="Zoon",Y625="Dochter"),Z625,U625="Vader",V625,W625="Vader",X625,Y625="Vader",Z625,U625="Moeder",V625,W625="Moeder",X625,Y625="Moeder",Z625,TRUE,IF(V625&lt;&gt;"",V625,IF(X625&lt;&gt;"",X625,IF(Z625&lt;&gt;"",Z625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+32477259667</v>
      </c>
    </row>
    <row r="626" spans="1:40" x14ac:dyDescent="0.3">
      <c r="A626">
        <v>3239912</v>
      </c>
      <c r="B626" t="s">
        <v>2422</v>
      </c>
      <c r="C626" t="s">
        <v>2423</v>
      </c>
      <c r="D626" t="s">
        <v>39</v>
      </c>
      <c r="E626" t="s">
        <v>40</v>
      </c>
      <c r="F626" t="s">
        <v>2424</v>
      </c>
      <c r="U626" t="s">
        <v>46</v>
      </c>
      <c r="V626">
        <v>486024513</v>
      </c>
      <c r="X626">
        <v>0</v>
      </c>
      <c r="Z626">
        <v>0</v>
      </c>
      <c r="AA626">
        <v>0</v>
      </c>
      <c r="AF626">
        <v>1003239912</v>
      </c>
      <c r="AG626">
        <v>156447</v>
      </c>
      <c r="AM626" t="str" cm="1">
        <f t="array" ref="AM626">_xlfn.IFS(OR(O626="Persoonlijk",O626="Zoon",O626="Dochter"),P626,OR(Q626="Persoonlijk",Q626="Zoon",Q626="Dochter"),R626,OR(S626="Persoonlijk",S626="Zoon",S626="Dochter"),T626,O626="Vader",P626,Q626="Vader",R626,S626="Vader",T626,O626="Moeder",P626,Q626="Moeder",R626,S626="Moeder",T626,TRUE,IF(P626&lt;&gt;"",P626,IF(R626&lt;&gt;"",R626,IF(T626&lt;&gt;"",T626,""))))</f>
        <v/>
      </c>
      <c r="AN626" t="str" cm="1">
        <f t="array" ref="AN626">_xlfn.LET(_xlpm.raw,_xlfn.IFS(OR(U626="Persoonlijk",U626="Zoon",U626="Dochter"),V626,OR(W626="Persoonlijk",W626="Zoon",W626="Dochter"),X626,OR(Y626="Persoonlijk",Y626="Zoon",Y626="Dochter"),Z626,U626="Vader",V626,W626="Vader",X626,Y626="Vader",Z626,U626="Moeder",V626,W626="Moeder",X626,Y626="Moeder",Z626,TRUE,IF(V626&lt;&gt;"",V626,IF(X626&lt;&gt;"",X626,IF(Z626&lt;&gt;"",Z626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+32486024513</v>
      </c>
    </row>
    <row r="627" spans="1:40" x14ac:dyDescent="0.3">
      <c r="A627">
        <v>2183317</v>
      </c>
      <c r="B627" t="s">
        <v>2425</v>
      </c>
      <c r="C627" t="s">
        <v>2426</v>
      </c>
      <c r="D627" t="s">
        <v>39</v>
      </c>
      <c r="E627" t="s">
        <v>40</v>
      </c>
      <c r="F627" t="s">
        <v>2427</v>
      </c>
      <c r="G627" t="s">
        <v>703</v>
      </c>
      <c r="H627">
        <v>57</v>
      </c>
      <c r="R627" t="s">
        <v>2428</v>
      </c>
      <c r="AC627" t="s">
        <v>2429</v>
      </c>
      <c r="AF627">
        <v>1002183317</v>
      </c>
      <c r="AG627">
        <v>712723</v>
      </c>
      <c r="AM627" t="str" cm="1">
        <f t="array" ref="AM627">_xlfn.IFS(OR(O627="Persoonlijk",O627="Zoon",O627="Dochter"),P627,OR(Q627="Persoonlijk",Q627="Zoon",Q627="Dochter"),R627,OR(S627="Persoonlijk",S627="Zoon",S627="Dochter"),T627,O627="Vader",P627,Q627="Vader",R627,S627="Vader",T627,O627="Moeder",P627,Q627="Moeder",R627,S627="Moeder",T627,TRUE,IF(P627&lt;&gt;"",P627,IF(R627&lt;&gt;"",R627,IF(T627&lt;&gt;"",T627,""))))</f>
        <v>elke.de.boever@telenet.be</v>
      </c>
      <c r="AN627" t="str" cm="1">
        <f t="array" ref="AN627">_xlfn.LET(_xlpm.raw,_xlfn.IFS(OR(U627="Persoonlijk",U627="Zoon",U627="Dochter"),V627,OR(W627="Persoonlijk",W627="Zoon",W627="Dochter"),X627,OR(Y627="Persoonlijk",Y627="Zoon",Y627="Dochter"),Z627,U627="Vader",V627,W627="Vader",X627,Y627="Vader",Z627,U627="Moeder",V627,W627="Moeder",X627,Y627="Moeder",Z627,TRUE,IF(V627&lt;&gt;"",V627,IF(X627&lt;&gt;"",X627,IF(Z627&lt;&gt;"",Z627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28" spans="1:40" x14ac:dyDescent="0.3">
      <c r="A628">
        <v>2183322</v>
      </c>
      <c r="B628" t="s">
        <v>2425</v>
      </c>
      <c r="C628" t="s">
        <v>920</v>
      </c>
      <c r="D628" t="s">
        <v>39</v>
      </c>
      <c r="E628" t="s">
        <v>40</v>
      </c>
      <c r="F628" t="s">
        <v>2430</v>
      </c>
      <c r="G628" t="s">
        <v>703</v>
      </c>
      <c r="H628">
        <v>57</v>
      </c>
      <c r="R628" t="s">
        <v>2428</v>
      </c>
      <c r="V628" t="s">
        <v>2431</v>
      </c>
      <c r="AC628" t="s">
        <v>2432</v>
      </c>
      <c r="AE628" t="s">
        <v>2433</v>
      </c>
      <c r="AF628">
        <v>1002183322</v>
      </c>
      <c r="AG628">
        <v>703874</v>
      </c>
      <c r="AL628" t="s">
        <v>62</v>
      </c>
      <c r="AM628" t="str" cm="1">
        <f t="array" ref="AM628">_xlfn.IFS(OR(O628="Persoonlijk",O628="Zoon",O628="Dochter"),P628,OR(Q628="Persoonlijk",Q628="Zoon",Q628="Dochter"),R628,OR(S628="Persoonlijk",S628="Zoon",S628="Dochter"),T628,O628="Vader",P628,Q628="Vader",R628,S628="Vader",T628,O628="Moeder",P628,Q628="Moeder",R628,S628="Moeder",T628,TRUE,IF(P628&lt;&gt;"",P628,IF(R628&lt;&gt;"",R628,IF(T628&lt;&gt;"",T628,""))))</f>
        <v>elke.de.boever@telenet.be</v>
      </c>
      <c r="AN628" t="str" cm="1">
        <f t="array" ref="AN628">_xlfn.LET(_xlpm.raw,_xlfn.IFS(OR(U628="Persoonlijk",U628="Zoon",U628="Dochter"),V628,OR(W628="Persoonlijk",W628="Zoon",W628="Dochter"),X628,OR(Y628="Persoonlijk",Y628="Zoon",Y628="Dochter"),Z628,U628="Vader",V628,W628="Vader",X628,Y628="Vader",Z628,U628="Moeder",V628,W628="Moeder",X628,Y628="Moeder",Z628,TRUE,IF(V628&lt;&gt;"",V628,IF(X628&lt;&gt;"",X628,IF(Z628&lt;&gt;"",Z628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+32478999985</v>
      </c>
    </row>
    <row r="629" spans="1:40" x14ac:dyDescent="0.3">
      <c r="A629">
        <v>2183327</v>
      </c>
      <c r="B629" t="s">
        <v>2434</v>
      </c>
      <c r="C629" t="s">
        <v>2435</v>
      </c>
      <c r="D629" t="s">
        <v>39</v>
      </c>
      <c r="E629" t="s">
        <v>40</v>
      </c>
      <c r="F629" t="s">
        <v>2436</v>
      </c>
      <c r="G629" t="s">
        <v>305</v>
      </c>
      <c r="H629">
        <v>169</v>
      </c>
      <c r="R629" t="s">
        <v>2437</v>
      </c>
      <c r="U629" t="s">
        <v>46</v>
      </c>
      <c r="V629">
        <v>32491640325</v>
      </c>
      <c r="AC629" t="s">
        <v>2438</v>
      </c>
      <c r="AE629" t="s">
        <v>2439</v>
      </c>
      <c r="AF629">
        <v>1002183327</v>
      </c>
      <c r="AG629">
        <v>642983</v>
      </c>
      <c r="AM629" t="str" cm="1">
        <f t="array" ref="AM629">_xlfn.IFS(OR(O629="Persoonlijk",O629="Zoon",O629="Dochter"),P629,OR(Q629="Persoonlijk",Q629="Zoon",Q629="Dochter"),R629,OR(S629="Persoonlijk",S629="Zoon",S629="Dochter"),T629,O629="Vader",P629,Q629="Vader",R629,S629="Vader",T629,O629="Moeder",P629,Q629="Moeder",R629,S629="Moeder",T629,TRUE,IF(P629&lt;&gt;"",P629,IF(R629&lt;&gt;"",R629,IF(T629&lt;&gt;"",T629,""))))</f>
        <v>wout.vanovermeire@hotmail.com</v>
      </c>
      <c r="AN629" t="str" cm="1">
        <f t="array" ref="AN629">_xlfn.LET(_xlpm.raw,_xlfn.IFS(OR(U629="Persoonlijk",U629="Zoon",U629="Dochter"),V629,OR(W629="Persoonlijk",W629="Zoon",W629="Dochter"),X629,OR(Y629="Persoonlijk",Y629="Zoon",Y629="Dochter"),Z629,U629="Vader",V629,W629="Vader",X629,Y629="Vader",Z629,U629="Moeder",V629,W629="Moeder",X629,Y629="Moeder",Z629,TRUE,IF(V629&lt;&gt;"",V629,IF(X629&lt;&gt;"",X629,IF(Z629&lt;&gt;"",Z629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+32491640325</v>
      </c>
    </row>
    <row r="630" spans="1:40" x14ac:dyDescent="0.3">
      <c r="A630">
        <v>2183332</v>
      </c>
      <c r="B630" t="s">
        <v>2440</v>
      </c>
      <c r="C630" t="s">
        <v>2441</v>
      </c>
      <c r="D630" t="s">
        <v>39</v>
      </c>
      <c r="E630" t="s">
        <v>40</v>
      </c>
      <c r="F630" t="s">
        <v>2442</v>
      </c>
      <c r="G630" t="s">
        <v>2443</v>
      </c>
      <c r="H630">
        <v>22</v>
      </c>
      <c r="U630" t="s">
        <v>46</v>
      </c>
      <c r="V630">
        <v>32468241830</v>
      </c>
      <c r="AA630">
        <v>32</v>
      </c>
      <c r="AC630" t="s">
        <v>2444</v>
      </c>
      <c r="AE630" t="s">
        <v>2445</v>
      </c>
      <c r="AF630">
        <v>1002183332</v>
      </c>
      <c r="AG630">
        <v>647819</v>
      </c>
      <c r="AM630" t="str" cm="1">
        <f t="array" ref="AM630">_xlfn.IFS(OR(O630="Persoonlijk",O630="Zoon",O630="Dochter"),P630,OR(Q630="Persoonlijk",Q630="Zoon",Q630="Dochter"),R630,OR(S630="Persoonlijk",S630="Zoon",S630="Dochter"),T630,O630="Vader",P630,Q630="Vader",R630,S630="Vader",T630,O630="Moeder",P630,Q630="Moeder",R630,S630="Moeder",T630,TRUE,IF(P630&lt;&gt;"",P630,IF(R630&lt;&gt;"",R630,IF(T630&lt;&gt;"",T630,""))))</f>
        <v/>
      </c>
      <c r="AN630" t="str" cm="1">
        <f t="array" ref="AN630">_xlfn.LET(_xlpm.raw,_xlfn.IFS(OR(U630="Persoonlijk",U630="Zoon",U630="Dochter"),V630,OR(W630="Persoonlijk",W630="Zoon",W630="Dochter"),X630,OR(Y630="Persoonlijk",Y630="Zoon",Y630="Dochter"),Z630,U630="Vader",V630,W630="Vader",X630,Y630="Vader",Z630,U630="Moeder",V630,W630="Moeder",X630,Y630="Moeder",Z630,TRUE,IF(V630&lt;&gt;"",V630,IF(X630&lt;&gt;"",X630,IF(Z630&lt;&gt;"",Z630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+32468241830</v>
      </c>
    </row>
    <row r="631" spans="1:40" x14ac:dyDescent="0.3">
      <c r="A631">
        <v>2650608</v>
      </c>
      <c r="B631" t="s">
        <v>2446</v>
      </c>
      <c r="C631" t="s">
        <v>307</v>
      </c>
      <c r="D631" t="s">
        <v>39</v>
      </c>
      <c r="E631" t="s">
        <v>40</v>
      </c>
      <c r="F631" t="s">
        <v>2447</v>
      </c>
      <c r="G631" t="s">
        <v>2448</v>
      </c>
      <c r="H631">
        <v>7</v>
      </c>
      <c r="Q631" t="s">
        <v>53</v>
      </c>
      <c r="R631" t="s">
        <v>2449</v>
      </c>
      <c r="U631" t="s">
        <v>53</v>
      </c>
      <c r="V631">
        <v>32478784192</v>
      </c>
      <c r="W631" t="s">
        <v>53</v>
      </c>
      <c r="X631">
        <v>32477268318</v>
      </c>
      <c r="Y631" t="s">
        <v>46</v>
      </c>
      <c r="Z631">
        <v>32494744847</v>
      </c>
      <c r="AC631" t="s">
        <v>2450</v>
      </c>
      <c r="AE631" t="s">
        <v>2451</v>
      </c>
      <c r="AF631">
        <v>1002650608</v>
      </c>
      <c r="AG631">
        <v>742367</v>
      </c>
      <c r="AJ631" t="s">
        <v>83</v>
      </c>
      <c r="AK631" t="s">
        <v>61</v>
      </c>
      <c r="AM631" t="str" cm="1">
        <f t="array" ref="AM631">_xlfn.IFS(OR(O631="Persoonlijk",O631="Zoon",O631="Dochter"),P631,OR(Q631="Persoonlijk",Q631="Zoon",Q631="Dochter"),R631,OR(S631="Persoonlijk",S631="Zoon",S631="Dochter"),T631,O631="Vader",P631,Q631="Vader",R631,S631="Vader",T631,O631="Moeder",P631,Q631="Moeder",R631,S631="Moeder",T631,TRUE,IF(P631&lt;&gt;"",P631,IF(R631&lt;&gt;"",R631,IF(T631&lt;&gt;"",T631,""))))</f>
        <v>Sylvie.mincke@outlook.com</v>
      </c>
      <c r="AN631" t="str" cm="1">
        <f t="array" ref="AN631">_xlfn.LET(_xlpm.raw,_xlfn.IFS(OR(U631="Persoonlijk",U631="Zoon",U631="Dochter"),V631,OR(W631="Persoonlijk",W631="Zoon",W631="Dochter"),X631,OR(Y631="Persoonlijk",Y631="Zoon",Y631="Dochter"),Z631,U631="Vader",V631,W631="Vader",X631,Y631="Vader",Z631,U631="Moeder",V631,W631="Moeder",X631,Y631="Moeder",Z631,TRUE,IF(V631&lt;&gt;"",V631,IF(X631&lt;&gt;"",X631,IF(Z631&lt;&gt;"",Z631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+32494744847</v>
      </c>
    </row>
    <row r="632" spans="1:40" x14ac:dyDescent="0.3">
      <c r="A632">
        <v>9499800</v>
      </c>
      <c r="B632" t="s">
        <v>2452</v>
      </c>
      <c r="C632" t="s">
        <v>2453</v>
      </c>
      <c r="D632" t="s">
        <v>39</v>
      </c>
      <c r="E632" t="s">
        <v>40</v>
      </c>
      <c r="F632" t="s">
        <v>2454</v>
      </c>
      <c r="G632" t="s">
        <v>2455</v>
      </c>
      <c r="H632" t="s">
        <v>2456</v>
      </c>
      <c r="Q632" t="s">
        <v>46</v>
      </c>
      <c r="R632" t="s">
        <v>2457</v>
      </c>
      <c r="S632" t="s">
        <v>51</v>
      </c>
      <c r="T632" t="s">
        <v>2458</v>
      </c>
      <c r="U632" t="s">
        <v>46</v>
      </c>
      <c r="V632">
        <v>32496771030</v>
      </c>
      <c r="W632" t="s">
        <v>53</v>
      </c>
      <c r="X632">
        <v>32476711767</v>
      </c>
      <c r="Y632" t="s">
        <v>51</v>
      </c>
      <c r="Z632">
        <v>32498523468</v>
      </c>
      <c r="AA632">
        <v>32476711767</v>
      </c>
      <c r="AF632">
        <v>1009499800</v>
      </c>
      <c r="AG632">
        <v>709427</v>
      </c>
      <c r="AJ632" t="s">
        <v>286</v>
      </c>
      <c r="AK632" t="s">
        <v>61</v>
      </c>
      <c r="AM632" t="str" cm="1">
        <f t="array" ref="AM632">_xlfn.IFS(OR(O632="Persoonlijk",O632="Zoon",O632="Dochter"),P632,OR(Q632="Persoonlijk",Q632="Zoon",Q632="Dochter"),R632,OR(S632="Persoonlijk",S632="Zoon",S632="Dochter"),T632,O632="Vader",P632,Q632="Vader",R632,S632="Vader",T632,O632="Moeder",P632,Q632="Moeder",R632,S632="Moeder",T632,TRUE,IF(P632&lt;&gt;"",P632,IF(R632&lt;&gt;"",R632,IF(T632&lt;&gt;"",T632,""))))</f>
        <v>mirovanschoorisse@gmail.com</v>
      </c>
      <c r="AN632" t="str" cm="1">
        <f t="array" ref="AN632">_xlfn.LET(_xlpm.raw,_xlfn.IFS(OR(U632="Persoonlijk",U632="Zoon",U632="Dochter"),V632,OR(W632="Persoonlijk",W632="Zoon",W632="Dochter"),X632,OR(Y632="Persoonlijk",Y632="Zoon",Y632="Dochter"),Z632,U632="Vader",V632,W632="Vader",X632,Y632="Vader",Z632,U632="Moeder",V632,W632="Moeder",X632,Y632="Moeder",Z632,TRUE,IF(V632&lt;&gt;"",V632,IF(X632&lt;&gt;"",X632,IF(Z632&lt;&gt;"",Z632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+32496771030</v>
      </c>
    </row>
    <row r="633" spans="1:40" x14ac:dyDescent="0.3">
      <c r="A633">
        <v>8620058</v>
      </c>
      <c r="B633" t="s">
        <v>2459</v>
      </c>
      <c r="C633" t="s">
        <v>335</v>
      </c>
      <c r="D633" t="s">
        <v>39</v>
      </c>
      <c r="E633" t="s">
        <v>40</v>
      </c>
      <c r="F633" t="s">
        <v>2460</v>
      </c>
      <c r="V633">
        <v>0</v>
      </c>
      <c r="X633">
        <v>0</v>
      </c>
      <c r="Z633">
        <v>0</v>
      </c>
      <c r="AA633">
        <v>0</v>
      </c>
      <c r="AF633">
        <v>1008620058</v>
      </c>
      <c r="AM633" t="str" cm="1">
        <f t="array" ref="AM633">_xlfn.IFS(OR(O633="Persoonlijk",O633="Zoon",O633="Dochter"),P633,OR(Q633="Persoonlijk",Q633="Zoon",Q633="Dochter"),R633,OR(S633="Persoonlijk",S633="Zoon",S633="Dochter"),T633,O633="Vader",P633,Q633="Vader",R633,S633="Vader",T633,O633="Moeder",P633,Q633="Moeder",R633,S633="Moeder",T633,TRUE,IF(P633&lt;&gt;"",P633,IF(R633&lt;&gt;"",R633,IF(T633&lt;&gt;"",T633,""))))</f>
        <v/>
      </c>
      <c r="AN633" t="str" cm="1">
        <f t="array" ref="AN633">_xlfn.LET(_xlpm.raw,_xlfn.IFS(OR(U633="Persoonlijk",U633="Zoon",U633="Dochter"),V633,OR(W633="Persoonlijk",W633="Zoon",W633="Dochter"),X633,OR(Y633="Persoonlijk",Y633="Zoon",Y633="Dochter"),Z633,U633="Vader",V633,W633="Vader",X633,Y633="Vader",Z633,U633="Moeder",V633,W633="Moeder",X633,Y633="Moeder",Z633,TRUE,IF(V633&lt;&gt;"",V633,IF(X633&lt;&gt;"",X633,IF(Z633&lt;&gt;"",Z633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34" spans="1:40" x14ac:dyDescent="0.3">
      <c r="A634">
        <v>2183337</v>
      </c>
      <c r="B634" t="s">
        <v>2461</v>
      </c>
      <c r="C634" t="s">
        <v>1802</v>
      </c>
      <c r="D634" t="s">
        <v>39</v>
      </c>
      <c r="E634" t="s">
        <v>40</v>
      </c>
      <c r="F634" t="s">
        <v>2462</v>
      </c>
      <c r="G634" t="s">
        <v>2463</v>
      </c>
      <c r="H634">
        <v>247</v>
      </c>
      <c r="AC634" t="s">
        <v>2464</v>
      </c>
      <c r="AF634">
        <v>1002183337</v>
      </c>
      <c r="AG634">
        <v>214873</v>
      </c>
      <c r="AM634" t="str" cm="1">
        <f t="array" ref="AM634">_xlfn.IFS(OR(O634="Persoonlijk",O634="Zoon",O634="Dochter"),P634,OR(Q634="Persoonlijk",Q634="Zoon",Q634="Dochter"),R634,OR(S634="Persoonlijk",S634="Zoon",S634="Dochter"),T634,O634="Vader",P634,Q634="Vader",R634,S634="Vader",T634,O634="Moeder",P634,Q634="Moeder",R634,S634="Moeder",T634,TRUE,IF(P634&lt;&gt;"",P634,IF(R634&lt;&gt;"",R634,IF(T634&lt;&gt;"",T634,""))))</f>
        <v/>
      </c>
      <c r="AN634" t="str" cm="1">
        <f t="array" ref="AN634">_xlfn.LET(_xlpm.raw,_xlfn.IFS(OR(U634="Persoonlijk",U634="Zoon",U634="Dochter"),V634,OR(W634="Persoonlijk",W634="Zoon",W634="Dochter"),X634,OR(Y634="Persoonlijk",Y634="Zoon",Y634="Dochter"),Z634,U634="Vader",V634,W634="Vader",X634,Y634="Vader",Z634,U634="Moeder",V634,W634="Moeder",X634,Y634="Moeder",Z634,TRUE,IF(V634&lt;&gt;"",V634,IF(X634&lt;&gt;"",X634,IF(Z634&lt;&gt;"",Z634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35" spans="1:40" x14ac:dyDescent="0.3">
      <c r="A635">
        <v>11086991</v>
      </c>
      <c r="B635" t="s">
        <v>2465</v>
      </c>
      <c r="C635" t="s">
        <v>2466</v>
      </c>
      <c r="D635" t="s">
        <v>39</v>
      </c>
      <c r="E635" t="s">
        <v>40</v>
      </c>
      <c r="F635" t="s">
        <v>2467</v>
      </c>
      <c r="G635" t="s">
        <v>2468</v>
      </c>
      <c r="H635">
        <v>13</v>
      </c>
      <c r="U635" t="s">
        <v>46</v>
      </c>
      <c r="V635" t="s">
        <v>2469</v>
      </c>
      <c r="AC635" t="s">
        <v>2470</v>
      </c>
      <c r="AF635">
        <v>1011086991</v>
      </c>
      <c r="AJ635" t="s">
        <v>743</v>
      </c>
      <c r="AK635" t="s">
        <v>65</v>
      </c>
      <c r="AM635" t="str" cm="1">
        <f t="array" ref="AM635">_xlfn.IFS(OR(O635="Persoonlijk",O635="Zoon",O635="Dochter"),P635,OR(Q635="Persoonlijk",Q635="Zoon",Q635="Dochter"),R635,OR(S635="Persoonlijk",S635="Zoon",S635="Dochter"),T635,O635="Vader",P635,Q635="Vader",R635,S635="Vader",T635,O635="Moeder",P635,Q635="Moeder",R635,S635="Moeder",T635,TRUE,IF(P635&lt;&gt;"",P635,IF(R635&lt;&gt;"",R635,IF(T635&lt;&gt;"",T635,""))))</f>
        <v/>
      </c>
      <c r="AN635" t="str" cm="1">
        <f t="array" ref="AN635">_xlfn.LET(_xlpm.raw,_xlfn.IFS(OR(U635="Persoonlijk",U635="Zoon",U635="Dochter"),V635,OR(W635="Persoonlijk",W635="Zoon",W635="Dochter"),X635,OR(Y635="Persoonlijk",Y635="Zoon",Y635="Dochter"),Z635,U635="Vader",V635,W635="Vader",X635,Y635="Vader",Z635,U635="Moeder",V635,W635="Moeder",X635,Y635="Moeder",Z635,TRUE,IF(V635&lt;&gt;"",V635,IF(X635&lt;&gt;"",X635,IF(Z635&lt;&gt;"",Z635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+32477349575</v>
      </c>
    </row>
    <row r="636" spans="1:40" x14ac:dyDescent="0.3">
      <c r="A636">
        <v>11086991</v>
      </c>
      <c r="B636" t="s">
        <v>2465</v>
      </c>
      <c r="C636" t="s">
        <v>2466</v>
      </c>
      <c r="D636" t="s">
        <v>39</v>
      </c>
      <c r="E636" t="s">
        <v>40</v>
      </c>
      <c r="F636" t="s">
        <v>2467</v>
      </c>
      <c r="G636" t="s">
        <v>2468</v>
      </c>
      <c r="H636">
        <v>13</v>
      </c>
      <c r="U636" t="s">
        <v>46</v>
      </c>
      <c r="V636" t="s">
        <v>2469</v>
      </c>
      <c r="AC636" t="s">
        <v>2470</v>
      </c>
      <c r="AF636">
        <v>1011086991</v>
      </c>
      <c r="AJ636" t="s">
        <v>286</v>
      </c>
      <c r="AK636" t="s">
        <v>65</v>
      </c>
      <c r="AM636" t="str" cm="1">
        <f t="array" ref="AM636">_xlfn.IFS(OR(O636="Persoonlijk",O636="Zoon",O636="Dochter"),P636,OR(Q636="Persoonlijk",Q636="Zoon",Q636="Dochter"),R636,OR(S636="Persoonlijk",S636="Zoon",S636="Dochter"),T636,O636="Vader",P636,Q636="Vader",R636,S636="Vader",T636,O636="Moeder",P636,Q636="Moeder",R636,S636="Moeder",T636,TRUE,IF(P636&lt;&gt;"",P636,IF(R636&lt;&gt;"",R636,IF(T636&lt;&gt;"",T636,""))))</f>
        <v/>
      </c>
      <c r="AN636" t="str" cm="1">
        <f t="array" ref="AN636">_xlfn.LET(_xlpm.raw,_xlfn.IFS(OR(U636="Persoonlijk",U636="Zoon",U636="Dochter"),V636,OR(W636="Persoonlijk",W636="Zoon",W636="Dochter"),X636,OR(Y636="Persoonlijk",Y636="Zoon",Y636="Dochter"),Z636,U636="Vader",V636,W636="Vader",X636,Y636="Vader",Z636,U636="Moeder",V636,W636="Moeder",X636,Y636="Moeder",Z636,TRUE,IF(V636&lt;&gt;"",V636,IF(X636&lt;&gt;"",X636,IF(Z636&lt;&gt;"",Z636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+32477349575</v>
      </c>
    </row>
    <row r="637" spans="1:40" x14ac:dyDescent="0.3">
      <c r="A637">
        <v>4292310</v>
      </c>
      <c r="B637" t="s">
        <v>2471</v>
      </c>
      <c r="C637" t="s">
        <v>2472</v>
      </c>
      <c r="D637" t="s">
        <v>39</v>
      </c>
      <c r="E637" t="s">
        <v>49</v>
      </c>
      <c r="F637" t="s">
        <v>1947</v>
      </c>
      <c r="G637" t="s">
        <v>2473</v>
      </c>
      <c r="H637">
        <v>17</v>
      </c>
      <c r="Q637" t="s">
        <v>51</v>
      </c>
      <c r="R637" t="s">
        <v>2474</v>
      </c>
      <c r="U637" t="s">
        <v>53</v>
      </c>
      <c r="V637" t="s">
        <v>2475</v>
      </c>
      <c r="W637" t="s">
        <v>51</v>
      </c>
      <c r="X637">
        <v>483081624</v>
      </c>
      <c r="AE637" t="s">
        <v>2476</v>
      </c>
      <c r="AF637">
        <v>1004292310</v>
      </c>
      <c r="AJ637" t="s">
        <v>63</v>
      </c>
      <c r="AK637" t="s">
        <v>61</v>
      </c>
      <c r="AM637" t="str" cm="1">
        <f t="array" ref="AM637">_xlfn.IFS(OR(O637="Persoonlijk",O637="Zoon",O637="Dochter"),P637,OR(Q637="Persoonlijk",Q637="Zoon",Q637="Dochter"),R637,OR(S637="Persoonlijk",S637="Zoon",S637="Dochter"),T637,O637="Vader",P637,Q637="Vader",R637,S637="Vader",T637,O637="Moeder",P637,Q637="Moeder",R637,S637="Moeder",T637,TRUE,IF(P637&lt;&gt;"",P637,IF(R637&lt;&gt;"",R637,IF(T637&lt;&gt;"",T637,""))))</f>
        <v>Mike.vb@telenet.be</v>
      </c>
      <c r="AN637" t="str" cm="1">
        <f t="array" ref="AN637">_xlfn.LET(_xlpm.raw,_xlfn.IFS(OR(U637="Persoonlijk",U637="Zoon",U637="Dochter"),V637,OR(W637="Persoonlijk",W637="Zoon",W637="Dochter"),X637,OR(Y637="Persoonlijk",Y637="Zoon",Y637="Dochter"),Z637,U637="Vader",V637,W637="Vader",X637,Y637="Vader",Z637,U637="Moeder",V637,W637="Moeder",X637,Y637="Moeder",Z637,TRUE,IF(V637&lt;&gt;"",V637,IF(X637&lt;&gt;"",X637,IF(Z637&lt;&gt;"",Z637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+32483081624</v>
      </c>
    </row>
    <row r="638" spans="1:40" x14ac:dyDescent="0.3">
      <c r="A638">
        <v>4292310</v>
      </c>
      <c r="B638" t="s">
        <v>2471</v>
      </c>
      <c r="C638" t="s">
        <v>2472</v>
      </c>
      <c r="D638" t="s">
        <v>39</v>
      </c>
      <c r="E638" t="s">
        <v>49</v>
      </c>
      <c r="F638" t="s">
        <v>1947</v>
      </c>
      <c r="G638" t="s">
        <v>2473</v>
      </c>
      <c r="H638">
        <v>17</v>
      </c>
      <c r="Q638" t="s">
        <v>51</v>
      </c>
      <c r="R638" t="s">
        <v>2474</v>
      </c>
      <c r="U638" t="s">
        <v>53</v>
      </c>
      <c r="V638" t="s">
        <v>2475</v>
      </c>
      <c r="W638" t="s">
        <v>51</v>
      </c>
      <c r="X638">
        <v>483081624</v>
      </c>
      <c r="AE638" t="s">
        <v>2476</v>
      </c>
      <c r="AF638">
        <v>1004292310</v>
      </c>
      <c r="AJ638" t="s">
        <v>127</v>
      </c>
      <c r="AK638" t="s">
        <v>61</v>
      </c>
      <c r="AM638" t="str" cm="1">
        <f t="array" ref="AM638">_xlfn.IFS(OR(O638="Persoonlijk",O638="Zoon",O638="Dochter"),P638,OR(Q638="Persoonlijk",Q638="Zoon",Q638="Dochter"),R638,OR(S638="Persoonlijk",S638="Zoon",S638="Dochter"),T638,O638="Vader",P638,Q638="Vader",R638,S638="Vader",T638,O638="Moeder",P638,Q638="Moeder",R638,S638="Moeder",T638,TRUE,IF(P638&lt;&gt;"",P638,IF(R638&lt;&gt;"",R638,IF(T638&lt;&gt;"",T638,""))))</f>
        <v>Mike.vb@telenet.be</v>
      </c>
      <c r="AN638" t="str" cm="1">
        <f t="array" ref="AN638">_xlfn.LET(_xlpm.raw,_xlfn.IFS(OR(U638="Persoonlijk",U638="Zoon",U638="Dochter"),V638,OR(W638="Persoonlijk",W638="Zoon",W638="Dochter"),X638,OR(Y638="Persoonlijk",Y638="Zoon",Y638="Dochter"),Z638,U638="Vader",V638,W638="Vader",X638,Y638="Vader",Z638,U638="Moeder",V638,W638="Moeder",X638,Y638="Moeder",Z638,TRUE,IF(V638&lt;&gt;"",V638,IF(X638&lt;&gt;"",X638,IF(Z638&lt;&gt;"",Z638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+32483081624</v>
      </c>
    </row>
    <row r="639" spans="1:40" x14ac:dyDescent="0.3">
      <c r="A639">
        <v>2650790</v>
      </c>
      <c r="B639" t="s">
        <v>2477</v>
      </c>
      <c r="C639" t="s">
        <v>335</v>
      </c>
      <c r="D639" t="s">
        <v>39</v>
      </c>
      <c r="E639" t="s">
        <v>40</v>
      </c>
      <c r="F639" t="s">
        <v>2478</v>
      </c>
      <c r="G639" t="s">
        <v>2479</v>
      </c>
      <c r="H639">
        <v>15</v>
      </c>
      <c r="V639">
        <v>478439213</v>
      </c>
      <c r="X639">
        <v>498764036</v>
      </c>
      <c r="AC639" t="s">
        <v>2480</v>
      </c>
      <c r="AF639">
        <v>1002650790</v>
      </c>
      <c r="AG639">
        <v>739424</v>
      </c>
      <c r="AJ639" t="s">
        <v>143</v>
      </c>
      <c r="AK639" t="s">
        <v>61</v>
      </c>
      <c r="AM639" t="str" cm="1">
        <f t="array" ref="AM639">_xlfn.IFS(OR(O639="Persoonlijk",O639="Zoon",O639="Dochter"),P639,OR(Q639="Persoonlijk",Q639="Zoon",Q639="Dochter"),R639,OR(S639="Persoonlijk",S639="Zoon",S639="Dochter"),T639,O639="Vader",P639,Q639="Vader",R639,S639="Vader",T639,O639="Moeder",P639,Q639="Moeder",R639,S639="Moeder",T639,TRUE,IF(P639&lt;&gt;"",P639,IF(R639&lt;&gt;"",R639,IF(T639&lt;&gt;"",T639,""))))</f>
        <v/>
      </c>
      <c r="AN639" t="str" cm="1">
        <f t="array" ref="AN639">_xlfn.LET(_xlpm.raw,_xlfn.IFS(OR(U639="Persoonlijk",U639="Zoon",U639="Dochter"),V639,OR(W639="Persoonlijk",W639="Zoon",W639="Dochter"),X639,OR(Y639="Persoonlijk",Y639="Zoon",Y639="Dochter"),Z639,U639="Vader",V639,W639="Vader",X639,Y639="Vader",Z639,U639="Moeder",V639,W639="Moeder",X639,Y639="Moeder",Z639,TRUE,IF(V639&lt;&gt;"",V639,IF(X639&lt;&gt;"",X639,IF(Z639&lt;&gt;"",Z639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+32478439213</v>
      </c>
    </row>
    <row r="640" spans="1:40" x14ac:dyDescent="0.3">
      <c r="A640">
        <v>2669991</v>
      </c>
      <c r="B640" t="s">
        <v>2481</v>
      </c>
      <c r="C640" t="s">
        <v>1128</v>
      </c>
      <c r="D640" t="s">
        <v>39</v>
      </c>
      <c r="E640" t="s">
        <v>40</v>
      </c>
      <c r="F640" t="s">
        <v>2482</v>
      </c>
      <c r="G640" t="s">
        <v>2483</v>
      </c>
      <c r="H640" t="s">
        <v>864</v>
      </c>
      <c r="V640" t="s">
        <v>2484</v>
      </c>
      <c r="AF640">
        <v>1002669991</v>
      </c>
      <c r="AG640">
        <v>705824</v>
      </c>
      <c r="AJ640" t="s">
        <v>286</v>
      </c>
      <c r="AK640" t="s">
        <v>61</v>
      </c>
      <c r="AM640" t="str" cm="1">
        <f t="array" ref="AM640">_xlfn.IFS(OR(O640="Persoonlijk",O640="Zoon",O640="Dochter"),P640,OR(Q640="Persoonlijk",Q640="Zoon",Q640="Dochter"),R640,OR(S640="Persoonlijk",S640="Zoon",S640="Dochter"),T640,O640="Vader",P640,Q640="Vader",R640,S640="Vader",T640,O640="Moeder",P640,Q640="Moeder",R640,S640="Moeder",T640,TRUE,IF(P640&lt;&gt;"",P640,IF(R640&lt;&gt;"",R640,IF(T640&lt;&gt;"",T640,""))))</f>
        <v/>
      </c>
      <c r="AN640" t="str" cm="1">
        <f t="array" ref="AN640">_xlfn.LET(_xlpm.raw,_xlfn.IFS(OR(U640="Persoonlijk",U640="Zoon",U640="Dochter"),V640,OR(W640="Persoonlijk",W640="Zoon",W640="Dochter"),X640,OR(Y640="Persoonlijk",Y640="Zoon",Y640="Dochter"),Z640,U640="Vader",V640,W640="Vader",X640,Y640="Vader",Z640,U640="Moeder",V640,W640="Moeder",X640,Y640="Moeder",Z640,TRUE,IF(V640&lt;&gt;"",V640,IF(X640&lt;&gt;"",X640,IF(Z640&lt;&gt;"",Z640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+32498621224</v>
      </c>
    </row>
    <row r="641" spans="1:40" x14ac:dyDescent="0.3">
      <c r="A641">
        <v>2669991</v>
      </c>
      <c r="B641" t="s">
        <v>2481</v>
      </c>
      <c r="C641" t="s">
        <v>1128</v>
      </c>
      <c r="D641" t="s">
        <v>39</v>
      </c>
      <c r="E641" t="s">
        <v>40</v>
      </c>
      <c r="F641" t="s">
        <v>2482</v>
      </c>
      <c r="G641" t="s">
        <v>2483</v>
      </c>
      <c r="H641" t="s">
        <v>864</v>
      </c>
      <c r="V641" t="s">
        <v>2484</v>
      </c>
      <c r="AF641">
        <v>1002669991</v>
      </c>
      <c r="AG641">
        <v>705824</v>
      </c>
      <c r="AJ641" t="s">
        <v>63</v>
      </c>
      <c r="AK641" t="s">
        <v>61</v>
      </c>
      <c r="AM641" t="str" cm="1">
        <f t="array" ref="AM641">_xlfn.IFS(OR(O641="Persoonlijk",O641="Zoon",O641="Dochter"),P641,OR(Q641="Persoonlijk",Q641="Zoon",Q641="Dochter"),R641,OR(S641="Persoonlijk",S641="Zoon",S641="Dochter"),T641,O641="Vader",P641,Q641="Vader",R641,S641="Vader",T641,O641="Moeder",P641,Q641="Moeder",R641,S641="Moeder",T641,TRUE,IF(P641&lt;&gt;"",P641,IF(R641&lt;&gt;"",R641,IF(T641&lt;&gt;"",T641,""))))</f>
        <v/>
      </c>
      <c r="AN641" t="str" cm="1">
        <f t="array" ref="AN641">_xlfn.LET(_xlpm.raw,_xlfn.IFS(OR(U641="Persoonlijk",U641="Zoon",U641="Dochter"),V641,OR(W641="Persoonlijk",W641="Zoon",W641="Dochter"),X641,OR(Y641="Persoonlijk",Y641="Zoon",Y641="Dochter"),Z641,U641="Vader",V641,W641="Vader",X641,Y641="Vader",Z641,U641="Moeder",V641,W641="Moeder",X641,Y641="Moeder",Z641,TRUE,IF(V641&lt;&gt;"",V641,IF(X641&lt;&gt;"",X641,IF(Z641&lt;&gt;"",Z641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+32498621224</v>
      </c>
    </row>
    <row r="642" spans="1:40" x14ac:dyDescent="0.3">
      <c r="A642">
        <v>2183342</v>
      </c>
      <c r="B642" t="s">
        <v>2485</v>
      </c>
      <c r="C642" t="s">
        <v>1462</v>
      </c>
      <c r="D642" t="s">
        <v>39</v>
      </c>
      <c r="E642" t="s">
        <v>40</v>
      </c>
      <c r="F642" t="s">
        <v>2486</v>
      </c>
      <c r="G642" t="s">
        <v>382</v>
      </c>
      <c r="H642">
        <v>105</v>
      </c>
      <c r="U642" t="s">
        <v>46</v>
      </c>
      <c r="V642">
        <v>477310473</v>
      </c>
      <c r="AC642" t="s">
        <v>2487</v>
      </c>
      <c r="AF642">
        <v>1002183342</v>
      </c>
      <c r="AG642">
        <v>192768</v>
      </c>
      <c r="AM642" t="str" cm="1">
        <f t="array" ref="AM642">_xlfn.IFS(OR(O642="Persoonlijk",O642="Zoon",O642="Dochter"),P642,OR(Q642="Persoonlijk",Q642="Zoon",Q642="Dochter"),R642,OR(S642="Persoonlijk",S642="Zoon",S642="Dochter"),T642,O642="Vader",P642,Q642="Vader",R642,S642="Vader",T642,O642="Moeder",P642,Q642="Moeder",R642,S642="Moeder",T642,TRUE,IF(P642&lt;&gt;"",P642,IF(R642&lt;&gt;"",R642,IF(T642&lt;&gt;"",T642,""))))</f>
        <v/>
      </c>
      <c r="AN642" t="str" cm="1">
        <f t="array" ref="AN642">_xlfn.LET(_xlpm.raw,_xlfn.IFS(OR(U642="Persoonlijk",U642="Zoon",U642="Dochter"),V642,OR(W642="Persoonlijk",W642="Zoon",W642="Dochter"),X642,OR(Y642="Persoonlijk",Y642="Zoon",Y642="Dochter"),Z642,U642="Vader",V642,W642="Vader",X642,Y642="Vader",Z642,U642="Moeder",V642,W642="Moeder",X642,Y642="Moeder",Z642,TRUE,IF(V642&lt;&gt;"",V642,IF(X642&lt;&gt;"",X642,IF(Z642&lt;&gt;"",Z642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+32477310473</v>
      </c>
    </row>
    <row r="643" spans="1:40" x14ac:dyDescent="0.3">
      <c r="A643">
        <v>2714073</v>
      </c>
      <c r="B643" t="s">
        <v>2488</v>
      </c>
      <c r="C643" t="s">
        <v>1560</v>
      </c>
      <c r="D643" t="s">
        <v>39</v>
      </c>
      <c r="E643" t="s">
        <v>49</v>
      </c>
      <c r="F643" t="s">
        <v>2489</v>
      </c>
      <c r="G643" t="s">
        <v>581</v>
      </c>
      <c r="H643">
        <v>189</v>
      </c>
      <c r="V643">
        <v>0</v>
      </c>
      <c r="X643">
        <v>0</v>
      </c>
      <c r="Z643">
        <v>0</v>
      </c>
      <c r="AA643">
        <v>0</v>
      </c>
      <c r="AC643" t="s">
        <v>2490</v>
      </c>
      <c r="AF643">
        <v>1002714073</v>
      </c>
      <c r="AM643" t="str" cm="1">
        <f t="array" ref="AM643">_xlfn.IFS(OR(O643="Persoonlijk",O643="Zoon",O643="Dochter"),P643,OR(Q643="Persoonlijk",Q643="Zoon",Q643="Dochter"),R643,OR(S643="Persoonlijk",S643="Zoon",S643="Dochter"),T643,O643="Vader",P643,Q643="Vader",R643,S643="Vader",T643,O643="Moeder",P643,Q643="Moeder",R643,S643="Moeder",T643,TRUE,IF(P643&lt;&gt;"",P643,IF(R643&lt;&gt;"",R643,IF(T643&lt;&gt;"",T643,""))))</f>
        <v/>
      </c>
      <c r="AN643" t="str" cm="1">
        <f t="array" ref="AN643">_xlfn.LET(_xlpm.raw,_xlfn.IFS(OR(U643="Persoonlijk",U643="Zoon",U643="Dochter"),V643,OR(W643="Persoonlijk",W643="Zoon",W643="Dochter"),X643,OR(Y643="Persoonlijk",Y643="Zoon",Y643="Dochter"),Z643,U643="Vader",V643,W643="Vader",X643,Y643="Vader",Z643,U643="Moeder",V643,W643="Moeder",X643,Y643="Moeder",Z643,TRUE,IF(V643&lt;&gt;"",V643,IF(X643&lt;&gt;"",X643,IF(Z643&lt;&gt;"",Z643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44" spans="1:40" x14ac:dyDescent="0.3">
      <c r="A644">
        <v>2183347</v>
      </c>
      <c r="B644" t="s">
        <v>2491</v>
      </c>
      <c r="C644" t="s">
        <v>2492</v>
      </c>
      <c r="D644" t="s">
        <v>39</v>
      </c>
      <c r="E644" t="s">
        <v>40</v>
      </c>
      <c r="F644" t="s">
        <v>2493</v>
      </c>
      <c r="G644" t="s">
        <v>184</v>
      </c>
      <c r="H644">
        <v>5</v>
      </c>
      <c r="Q644" t="s">
        <v>51</v>
      </c>
      <c r="R644" t="s">
        <v>2494</v>
      </c>
      <c r="S644" t="s">
        <v>53</v>
      </c>
      <c r="T644" t="s">
        <v>2495</v>
      </c>
      <c r="U644" t="s">
        <v>53</v>
      </c>
      <c r="V644">
        <v>3247849513</v>
      </c>
      <c r="W644" t="s">
        <v>46</v>
      </c>
      <c r="X644">
        <v>32491941753</v>
      </c>
      <c r="Y644" t="s">
        <v>51</v>
      </c>
      <c r="Z644">
        <v>32493259185</v>
      </c>
      <c r="AC644" t="s">
        <v>2496</v>
      </c>
      <c r="AF644">
        <v>1002183347</v>
      </c>
      <c r="AG644">
        <v>735083</v>
      </c>
      <c r="AJ644" t="s">
        <v>143</v>
      </c>
      <c r="AK644" t="s">
        <v>61</v>
      </c>
      <c r="AL644" t="s">
        <v>62</v>
      </c>
      <c r="AM644" t="str" cm="1">
        <f t="array" ref="AM644">_xlfn.IFS(OR(O644="Persoonlijk",O644="Zoon",O644="Dochter"),P644,OR(Q644="Persoonlijk",Q644="Zoon",Q644="Dochter"),R644,OR(S644="Persoonlijk",S644="Zoon",S644="Dochter"),T644,O644="Vader",P644,Q644="Vader",R644,S644="Vader",T644,O644="Moeder",P644,Q644="Moeder",R644,S644="Moeder",T644,TRUE,IF(P644&lt;&gt;"",P644,IF(R644&lt;&gt;"",R644,IF(T644&lt;&gt;"",T644,""))))</f>
        <v>Wimvandemaele@hotmail.com</v>
      </c>
      <c r="AN644" t="str" cm="1">
        <f t="array" ref="AN644">_xlfn.LET(_xlpm.raw,_xlfn.IFS(OR(U644="Persoonlijk",U644="Zoon",U644="Dochter"),V644,OR(W644="Persoonlijk",W644="Zoon",W644="Dochter"),X644,OR(Y644="Persoonlijk",Y644="Zoon",Y644="Dochter"),Z644,U644="Vader",V644,W644="Vader",X644,Y644="Vader",Z644,U644="Moeder",V644,W644="Moeder",X644,Y644="Moeder",Z644,TRUE,IF(V644&lt;&gt;"",V644,IF(X644&lt;&gt;"",X644,IF(Z644&lt;&gt;"",Z644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+32491941753</v>
      </c>
    </row>
    <row r="645" spans="1:40" x14ac:dyDescent="0.3">
      <c r="A645">
        <v>2183347</v>
      </c>
      <c r="B645" t="s">
        <v>2491</v>
      </c>
      <c r="C645" t="s">
        <v>2492</v>
      </c>
      <c r="D645" t="s">
        <v>39</v>
      </c>
      <c r="E645" t="s">
        <v>40</v>
      </c>
      <c r="F645" t="s">
        <v>2493</v>
      </c>
      <c r="G645" t="s">
        <v>184</v>
      </c>
      <c r="H645">
        <v>5</v>
      </c>
      <c r="Q645" t="s">
        <v>51</v>
      </c>
      <c r="R645" t="s">
        <v>2494</v>
      </c>
      <c r="S645" t="s">
        <v>53</v>
      </c>
      <c r="T645" t="s">
        <v>2495</v>
      </c>
      <c r="U645" t="s">
        <v>53</v>
      </c>
      <c r="V645">
        <v>3247849513</v>
      </c>
      <c r="W645" t="s">
        <v>46</v>
      </c>
      <c r="X645">
        <v>32491941753</v>
      </c>
      <c r="Y645" t="s">
        <v>51</v>
      </c>
      <c r="Z645">
        <v>32493259185</v>
      </c>
      <c r="AC645" t="s">
        <v>2496</v>
      </c>
      <c r="AF645">
        <v>1002183347</v>
      </c>
      <c r="AG645">
        <v>735083</v>
      </c>
      <c r="AL645" t="s">
        <v>62</v>
      </c>
      <c r="AM645" t="str" cm="1">
        <f t="array" ref="AM645">_xlfn.IFS(OR(O645="Persoonlijk",O645="Zoon",O645="Dochter"),P645,OR(Q645="Persoonlijk",Q645="Zoon",Q645="Dochter"),R645,OR(S645="Persoonlijk",S645="Zoon",S645="Dochter"),T645,O645="Vader",P645,Q645="Vader",R645,S645="Vader",T645,O645="Moeder",P645,Q645="Moeder",R645,S645="Moeder",T645,TRUE,IF(P645&lt;&gt;"",P645,IF(R645&lt;&gt;"",R645,IF(T645&lt;&gt;"",T645,""))))</f>
        <v>Wimvandemaele@hotmail.com</v>
      </c>
      <c r="AN645" t="str" cm="1">
        <f t="array" ref="AN645">_xlfn.LET(_xlpm.raw,_xlfn.IFS(OR(U645="Persoonlijk",U645="Zoon",U645="Dochter"),V645,OR(W645="Persoonlijk",W645="Zoon",W645="Dochter"),X645,OR(Y645="Persoonlijk",Y645="Zoon",Y645="Dochter"),Z645,U645="Vader",V645,W645="Vader",X645,Y645="Vader",Z645,U645="Moeder",V645,W645="Moeder",X645,Y645="Moeder",Z645,TRUE,IF(V645&lt;&gt;"",V645,IF(X645&lt;&gt;"",X645,IF(Z645&lt;&gt;"",Z645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+32491941753</v>
      </c>
    </row>
    <row r="646" spans="1:40" x14ac:dyDescent="0.3">
      <c r="A646">
        <v>2650862</v>
      </c>
      <c r="B646" t="s">
        <v>2491</v>
      </c>
      <c r="C646" t="s">
        <v>657</v>
      </c>
      <c r="D646" t="s">
        <v>39</v>
      </c>
      <c r="E646" t="s">
        <v>40</v>
      </c>
      <c r="F646" t="s">
        <v>2497</v>
      </c>
      <c r="G646" t="s">
        <v>184</v>
      </c>
      <c r="H646">
        <v>5</v>
      </c>
      <c r="AC646" t="s">
        <v>2498</v>
      </c>
      <c r="AF646">
        <v>1002650862</v>
      </c>
      <c r="AG646">
        <v>737366</v>
      </c>
      <c r="AM646" t="str" cm="1">
        <f t="array" ref="AM646">_xlfn.IFS(OR(O646="Persoonlijk",O646="Zoon",O646="Dochter"),P646,OR(Q646="Persoonlijk",Q646="Zoon",Q646="Dochter"),R646,OR(S646="Persoonlijk",S646="Zoon",S646="Dochter"),T646,O646="Vader",P646,Q646="Vader",R646,S646="Vader",T646,O646="Moeder",P646,Q646="Moeder",R646,S646="Moeder",T646,TRUE,IF(P646&lt;&gt;"",P646,IF(R646&lt;&gt;"",R646,IF(T646&lt;&gt;"",T646,""))))</f>
        <v/>
      </c>
      <c r="AN646" t="str" cm="1">
        <f t="array" ref="AN646">_xlfn.LET(_xlpm.raw,_xlfn.IFS(OR(U646="Persoonlijk",U646="Zoon",U646="Dochter"),V646,OR(W646="Persoonlijk",W646="Zoon",W646="Dochter"),X646,OR(Y646="Persoonlijk",Y646="Zoon",Y646="Dochter"),Z646,U646="Vader",V646,W646="Vader",X646,Y646="Vader",Z646,U646="Moeder",V646,W646="Moeder",X646,Y646="Moeder",Z646,TRUE,IF(V646&lt;&gt;"",V646,IF(X646&lt;&gt;"",X646,IF(Z646&lt;&gt;"",Z646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47" spans="1:40" x14ac:dyDescent="0.3">
      <c r="A647">
        <v>4421928</v>
      </c>
      <c r="B647" t="s">
        <v>2499</v>
      </c>
      <c r="C647" t="s">
        <v>1030</v>
      </c>
      <c r="D647" t="s">
        <v>39</v>
      </c>
      <c r="E647" t="s">
        <v>40</v>
      </c>
      <c r="F647" t="s">
        <v>2500</v>
      </c>
      <c r="G647" t="s">
        <v>305</v>
      </c>
      <c r="H647">
        <v>259</v>
      </c>
      <c r="Q647" t="s">
        <v>53</v>
      </c>
      <c r="R647" t="s">
        <v>2501</v>
      </c>
      <c r="U647" t="s">
        <v>51</v>
      </c>
      <c r="V647" t="s">
        <v>2502</v>
      </c>
      <c r="AC647" t="s">
        <v>2503</v>
      </c>
      <c r="AD647">
        <v>5</v>
      </c>
      <c r="AE647" t="s">
        <v>2504</v>
      </c>
      <c r="AF647">
        <v>1004421928</v>
      </c>
      <c r="AM647" t="str" cm="1">
        <f t="array" ref="AM647">_xlfn.IFS(OR(O647="Persoonlijk",O647="Zoon",O647="Dochter"),P647,OR(Q647="Persoonlijk",Q647="Zoon",Q647="Dochter"),R647,OR(S647="Persoonlijk",S647="Zoon",S647="Dochter"),T647,O647="Vader",P647,Q647="Vader",R647,S647="Vader",T647,O647="Moeder",P647,Q647="Moeder",R647,S647="Moeder",T647,TRUE,IF(P647&lt;&gt;"",P647,IF(R647&lt;&gt;"",R647,IF(T647&lt;&gt;"",T647,""))))</f>
        <v>vdbkatrien@gmail.com</v>
      </c>
      <c r="AN647" t="str" cm="1">
        <f t="array" ref="AN647">_xlfn.LET(_xlpm.raw,_xlfn.IFS(OR(U647="Persoonlijk",U647="Zoon",U647="Dochter"),V647,OR(W647="Persoonlijk",W647="Zoon",W647="Dochter"),X647,OR(Y647="Persoonlijk",Y647="Zoon",Y647="Dochter"),Z647,U647="Vader",V647,W647="Vader",X647,Y647="Vader",Z647,U647="Moeder",V647,W647="Moeder",X647,Y647="Moeder",Z647,TRUE,IF(V647&lt;&gt;"",V647,IF(X647&lt;&gt;"",X647,IF(Z647&lt;&gt;"",Z647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+32468328900</v>
      </c>
    </row>
    <row r="648" spans="1:40" x14ac:dyDescent="0.3">
      <c r="A648">
        <v>10733442</v>
      </c>
      <c r="B648" t="s">
        <v>2505</v>
      </c>
      <c r="C648" t="s">
        <v>266</v>
      </c>
      <c r="D648" t="s">
        <v>39</v>
      </c>
      <c r="E648" t="s">
        <v>40</v>
      </c>
      <c r="F648" t="s">
        <v>2506</v>
      </c>
      <c r="G648" t="s">
        <v>1964</v>
      </c>
      <c r="H648">
        <v>27</v>
      </c>
      <c r="I648" t="s">
        <v>2415</v>
      </c>
      <c r="Q648" t="s">
        <v>51</v>
      </c>
      <c r="R648" t="s">
        <v>2507</v>
      </c>
      <c r="V648" t="s">
        <v>2508</v>
      </c>
      <c r="AC648" t="s">
        <v>2509</v>
      </c>
      <c r="AE648" t="s">
        <v>2510</v>
      </c>
      <c r="AF648">
        <v>1010733442</v>
      </c>
      <c r="AJ648" t="s">
        <v>131</v>
      </c>
      <c r="AK648" t="s">
        <v>61</v>
      </c>
      <c r="AM648" t="str" cm="1">
        <f t="array" ref="AM648">_xlfn.IFS(OR(O648="Persoonlijk",O648="Zoon",O648="Dochter"),P648,OR(Q648="Persoonlijk",Q648="Zoon",Q648="Dochter"),R648,OR(S648="Persoonlijk",S648="Zoon",S648="Dochter"),T648,O648="Vader",P648,Q648="Vader",R648,S648="Vader",T648,O648="Moeder",P648,Q648="Moeder",R648,S648="Moeder",T648,TRUE,IF(P648&lt;&gt;"",P648,IF(R648&lt;&gt;"",R648,IF(T648&lt;&gt;"",T648,""))))</f>
        <v>Kevin.vdh@gmail.com</v>
      </c>
      <c r="AN648" t="str" cm="1">
        <f t="array" ref="AN648">_xlfn.LET(_xlpm.raw,_xlfn.IFS(OR(U648="Persoonlijk",U648="Zoon",U648="Dochter"),V648,OR(W648="Persoonlijk",W648="Zoon",W648="Dochter"),X648,OR(Y648="Persoonlijk",Y648="Zoon",Y648="Dochter"),Z648,U648="Vader",V648,W648="Vader",X648,Y648="Vader",Z648,U648="Moeder",V648,W648="Moeder",X648,Y648="Moeder",Z648,TRUE,IF(V648&lt;&gt;"",V648,IF(X648&lt;&gt;"",X648,IF(Z648&lt;&gt;"",Z648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+32473448896</v>
      </c>
    </row>
    <row r="649" spans="1:40" x14ac:dyDescent="0.3">
      <c r="A649">
        <v>4776399</v>
      </c>
      <c r="B649" t="s">
        <v>2511</v>
      </c>
      <c r="C649" t="s">
        <v>2512</v>
      </c>
      <c r="D649" t="s">
        <v>39</v>
      </c>
      <c r="E649" t="s">
        <v>40</v>
      </c>
      <c r="F649" t="s">
        <v>2513</v>
      </c>
      <c r="G649" t="s">
        <v>1521</v>
      </c>
      <c r="H649">
        <v>64</v>
      </c>
      <c r="Q649" t="s">
        <v>51</v>
      </c>
      <c r="R649" t="s">
        <v>2514</v>
      </c>
      <c r="U649" t="s">
        <v>53</v>
      </c>
      <c r="V649" t="s">
        <v>2515</v>
      </c>
      <c r="W649" t="s">
        <v>51</v>
      </c>
      <c r="X649" t="s">
        <v>2516</v>
      </c>
      <c r="AE649" t="s">
        <v>2517</v>
      </c>
      <c r="AF649">
        <v>1004776399</v>
      </c>
      <c r="AM649" t="str" cm="1">
        <f t="array" ref="AM649">_xlfn.IFS(OR(O649="Persoonlijk",O649="Zoon",O649="Dochter"),P649,OR(Q649="Persoonlijk",Q649="Zoon",Q649="Dochter"),R649,OR(S649="Persoonlijk",S649="Zoon",S649="Dochter"),T649,O649="Vader",P649,Q649="Vader",R649,S649="Vader",T649,O649="Moeder",P649,Q649="Moeder",R649,S649="Moeder",T649,TRUE,IF(P649&lt;&gt;"",P649,IF(R649&lt;&gt;"",R649,IF(T649&lt;&gt;"",T649,""))))</f>
        <v>wouter_vandenbergh@hotmail.com</v>
      </c>
      <c r="AN649" t="str" cm="1">
        <f t="array" ref="AN649">_xlfn.LET(_xlpm.raw,_xlfn.IFS(OR(U649="Persoonlijk",U649="Zoon",U649="Dochter"),V649,OR(W649="Persoonlijk",W649="Zoon",W649="Dochter"),X649,OR(Y649="Persoonlijk",Y649="Zoon",Y649="Dochter"),Z649,U649="Vader",V649,W649="Vader",X649,Y649="Vader",Z649,U649="Moeder",V649,W649="Moeder",X649,Y649="Moeder",Z649,TRUE,IF(V649&lt;&gt;"",V649,IF(X649&lt;&gt;"",X649,IF(Z649&lt;&gt;"",Z649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+32472445676</v>
      </c>
    </row>
    <row r="650" spans="1:40" x14ac:dyDescent="0.3">
      <c r="A650">
        <v>2183352</v>
      </c>
      <c r="B650" t="s">
        <v>2518</v>
      </c>
      <c r="C650" t="s">
        <v>2519</v>
      </c>
      <c r="D650" t="s">
        <v>39</v>
      </c>
      <c r="E650" t="s">
        <v>49</v>
      </c>
      <c r="F650" t="s">
        <v>2520</v>
      </c>
      <c r="G650" t="s">
        <v>1032</v>
      </c>
      <c r="H650">
        <v>68</v>
      </c>
      <c r="AC650" t="s">
        <v>2521</v>
      </c>
      <c r="AF650">
        <v>1002183352</v>
      </c>
      <c r="AG650">
        <v>725138</v>
      </c>
      <c r="AM650" t="str" cm="1">
        <f t="array" ref="AM650">_xlfn.IFS(OR(O650="Persoonlijk",O650="Zoon",O650="Dochter"),P650,OR(Q650="Persoonlijk",Q650="Zoon",Q650="Dochter"),R650,OR(S650="Persoonlijk",S650="Zoon",S650="Dochter"),T650,O650="Vader",P650,Q650="Vader",R650,S650="Vader",T650,O650="Moeder",P650,Q650="Moeder",R650,S650="Moeder",T650,TRUE,IF(P650&lt;&gt;"",P650,IF(R650&lt;&gt;"",R650,IF(T650&lt;&gt;"",T650,""))))</f>
        <v/>
      </c>
      <c r="AN650" t="str" cm="1">
        <f t="array" ref="AN650">_xlfn.LET(_xlpm.raw,_xlfn.IFS(OR(U650="Persoonlijk",U650="Zoon",U650="Dochter"),V650,OR(W650="Persoonlijk",W650="Zoon",W650="Dochter"),X650,OR(Y650="Persoonlijk",Y650="Zoon",Y650="Dochter"),Z650,U650="Vader",V650,W650="Vader",X650,Y650="Vader",Z650,U650="Moeder",V650,W650="Moeder",X650,Y650="Moeder",Z650,TRUE,IF(V650&lt;&gt;"",V650,IF(X650&lt;&gt;"",X650,IF(Z650&lt;&gt;"",Z650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51" spans="1:40" x14ac:dyDescent="0.3">
      <c r="A651">
        <v>2714080</v>
      </c>
      <c r="B651" t="s">
        <v>2522</v>
      </c>
      <c r="C651" t="s">
        <v>1616</v>
      </c>
      <c r="D651" t="s">
        <v>39</v>
      </c>
      <c r="E651" t="s">
        <v>49</v>
      </c>
      <c r="F651" t="s">
        <v>2523</v>
      </c>
      <c r="G651" t="s">
        <v>2524</v>
      </c>
      <c r="H651">
        <v>12</v>
      </c>
      <c r="V651">
        <v>0</v>
      </c>
      <c r="X651">
        <v>0</v>
      </c>
      <c r="Z651">
        <v>0</v>
      </c>
      <c r="AA651">
        <v>0</v>
      </c>
      <c r="AC651" t="s">
        <v>2525</v>
      </c>
      <c r="AF651">
        <v>1002714080</v>
      </c>
      <c r="AM651" t="str" cm="1">
        <f t="array" ref="AM651">_xlfn.IFS(OR(O651="Persoonlijk",O651="Zoon",O651="Dochter"),P651,OR(Q651="Persoonlijk",Q651="Zoon",Q651="Dochter"),R651,OR(S651="Persoonlijk",S651="Zoon",S651="Dochter"),T651,O651="Vader",P651,Q651="Vader",R651,S651="Vader",T651,O651="Moeder",P651,Q651="Moeder",R651,S651="Moeder",T651,TRUE,IF(P651&lt;&gt;"",P651,IF(R651&lt;&gt;"",R651,IF(T651&lt;&gt;"",T651,""))))</f>
        <v/>
      </c>
      <c r="AN651" t="str" cm="1">
        <f t="array" ref="AN651">_xlfn.LET(_xlpm.raw,_xlfn.IFS(OR(U651="Persoonlijk",U651="Zoon",U651="Dochter"),V651,OR(W651="Persoonlijk",W651="Zoon",W651="Dochter"),X651,OR(Y651="Persoonlijk",Y651="Zoon",Y651="Dochter"),Z651,U651="Vader",V651,W651="Vader",X651,Y651="Vader",Z651,U651="Moeder",V651,W651="Moeder",X651,Y651="Moeder",Z651,TRUE,IF(V651&lt;&gt;"",V651,IF(X651&lt;&gt;"",X651,IF(Z651&lt;&gt;"",Z651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52" spans="1:40" x14ac:dyDescent="0.3">
      <c r="A652">
        <v>9547112</v>
      </c>
      <c r="B652" t="s">
        <v>2526</v>
      </c>
      <c r="C652" t="s">
        <v>266</v>
      </c>
      <c r="D652" t="s">
        <v>39</v>
      </c>
      <c r="E652" t="s">
        <v>40</v>
      </c>
      <c r="F652" t="s">
        <v>2527</v>
      </c>
      <c r="G652" t="s">
        <v>2528</v>
      </c>
      <c r="H652">
        <v>2</v>
      </c>
      <c r="U652" t="s">
        <v>46</v>
      </c>
      <c r="V652" t="s">
        <v>2529</v>
      </c>
      <c r="AC652" t="s">
        <v>2530</v>
      </c>
      <c r="AF652">
        <v>1009547112</v>
      </c>
      <c r="AM652" t="str" cm="1">
        <f t="array" ref="AM652">_xlfn.IFS(OR(O652="Persoonlijk",O652="Zoon",O652="Dochter"),P652,OR(Q652="Persoonlijk",Q652="Zoon",Q652="Dochter"),R652,OR(S652="Persoonlijk",S652="Zoon",S652="Dochter"),T652,O652="Vader",P652,Q652="Vader",R652,S652="Vader",T652,O652="Moeder",P652,Q652="Moeder",R652,S652="Moeder",T652,TRUE,IF(P652&lt;&gt;"",P652,IF(R652&lt;&gt;"",R652,IF(T652&lt;&gt;"",T652,""))))</f>
        <v/>
      </c>
      <c r="AN652" t="str" cm="1">
        <f t="array" ref="AN652">_xlfn.LET(_xlpm.raw,_xlfn.IFS(OR(U652="Persoonlijk",U652="Zoon",U652="Dochter"),V652,OR(W652="Persoonlijk",W652="Zoon",W652="Dochter"),X652,OR(Y652="Persoonlijk",Y652="Zoon",Y652="Dochter"),Z652,U652="Vader",V652,W652="Vader",X652,Y652="Vader",Z652,U652="Moeder",V652,W652="Moeder",X652,Y652="Moeder",Z652,TRUE,IF(V652&lt;&gt;"",V652,IF(X652&lt;&gt;"",X652,IF(Z652&lt;&gt;"",Z652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+32474061517</v>
      </c>
    </row>
    <row r="653" spans="1:40" x14ac:dyDescent="0.3">
      <c r="A653">
        <v>7790447</v>
      </c>
      <c r="B653" t="s">
        <v>2531</v>
      </c>
      <c r="C653" t="s">
        <v>2532</v>
      </c>
      <c r="D653" t="s">
        <v>39</v>
      </c>
      <c r="E653" t="s">
        <v>49</v>
      </c>
      <c r="F653" t="s">
        <v>2533</v>
      </c>
      <c r="G653" t="s">
        <v>2534</v>
      </c>
      <c r="H653">
        <v>34</v>
      </c>
      <c r="Q653" t="s">
        <v>51</v>
      </c>
      <c r="R653" t="s">
        <v>2535</v>
      </c>
      <c r="V653" t="s">
        <v>2536</v>
      </c>
      <c r="AF653">
        <v>1007790447</v>
      </c>
      <c r="AM653" t="str" cm="1">
        <f t="array" ref="AM653">_xlfn.IFS(OR(O653="Persoonlijk",O653="Zoon",O653="Dochter"),P653,OR(Q653="Persoonlijk",Q653="Zoon",Q653="Dochter"),R653,OR(S653="Persoonlijk",S653="Zoon",S653="Dochter"),T653,O653="Vader",P653,Q653="Vader",R653,S653="Vader",T653,O653="Moeder",P653,Q653="Moeder",R653,S653="Moeder",T653,TRUE,IF(P653&lt;&gt;"",P653,IF(R653&lt;&gt;"",R653,IF(T653&lt;&gt;"",T653,""))))</f>
        <v>wovanden@microsoft.com</v>
      </c>
      <c r="AN653" t="str" cm="1">
        <f t="array" ref="AN653">_xlfn.LET(_xlpm.raw,_xlfn.IFS(OR(U653="Persoonlijk",U653="Zoon",U653="Dochter"),V653,OR(W653="Persoonlijk",W653="Zoon",W653="Dochter"),X653,OR(Y653="Persoonlijk",Y653="Zoon",Y653="Dochter"),Z653,U653="Vader",V653,W653="Vader",X653,Y653="Vader",Z653,U653="Moeder",V653,W653="Moeder",X653,Y653="Moeder",Z653,TRUE,IF(V653&lt;&gt;"",V653,IF(X653&lt;&gt;"",X653,IF(Z653&lt;&gt;"",Z653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+32475594603</v>
      </c>
    </row>
    <row r="654" spans="1:40" x14ac:dyDescent="0.3">
      <c r="A654">
        <v>11858683</v>
      </c>
      <c r="B654" t="s">
        <v>2537</v>
      </c>
      <c r="C654" t="s">
        <v>2538</v>
      </c>
      <c r="D654" t="s">
        <v>39</v>
      </c>
      <c r="E654" t="s">
        <v>40</v>
      </c>
      <c r="F654" t="s">
        <v>2539</v>
      </c>
      <c r="G654" t="s">
        <v>2540</v>
      </c>
      <c r="H654">
        <v>38</v>
      </c>
      <c r="V654">
        <v>0</v>
      </c>
      <c r="X654">
        <v>0</v>
      </c>
      <c r="Z654">
        <v>0</v>
      </c>
      <c r="AA654">
        <v>0</v>
      </c>
      <c r="AF654">
        <v>1011858683</v>
      </c>
      <c r="AM654" t="str" cm="1">
        <f t="array" ref="AM654">_xlfn.IFS(OR(O654="Persoonlijk",O654="Zoon",O654="Dochter"),P654,OR(Q654="Persoonlijk",Q654="Zoon",Q654="Dochter"),R654,OR(S654="Persoonlijk",S654="Zoon",S654="Dochter"),T654,O654="Vader",P654,Q654="Vader",R654,S654="Vader",T654,O654="Moeder",P654,Q654="Moeder",R654,S654="Moeder",T654,TRUE,IF(P654&lt;&gt;"",P654,IF(R654&lt;&gt;"",R654,IF(T654&lt;&gt;"",T654,""))))</f>
        <v/>
      </c>
      <c r="AN654" t="str" cm="1">
        <f t="array" ref="AN654">_xlfn.LET(_xlpm.raw,_xlfn.IFS(OR(U654="Persoonlijk",U654="Zoon",U654="Dochter"),V654,OR(W654="Persoonlijk",W654="Zoon",W654="Dochter"),X654,OR(Y654="Persoonlijk",Y654="Zoon",Y654="Dochter"),Z654,U654="Vader",V654,W654="Vader",X654,Y654="Vader",Z654,U654="Moeder",V654,W654="Moeder",X654,Y654="Moeder",Z654,TRUE,IF(V654&lt;&gt;"",V654,IF(X654&lt;&gt;"",X654,IF(Z654&lt;&gt;"",Z654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55" spans="1:40" x14ac:dyDescent="0.3">
      <c r="A655">
        <v>9469457</v>
      </c>
      <c r="B655" t="s">
        <v>2541</v>
      </c>
      <c r="C655" t="s">
        <v>2542</v>
      </c>
      <c r="D655" t="s">
        <v>39</v>
      </c>
      <c r="E655" t="s">
        <v>40</v>
      </c>
      <c r="F655" t="s">
        <v>1152</v>
      </c>
      <c r="G655" t="s">
        <v>2543</v>
      </c>
      <c r="H655">
        <v>10</v>
      </c>
      <c r="Q655" t="s">
        <v>46</v>
      </c>
      <c r="R655" t="s">
        <v>2545</v>
      </c>
      <c r="S655" t="s">
        <v>53</v>
      </c>
      <c r="T655" t="s">
        <v>2546</v>
      </c>
      <c r="U655" t="s">
        <v>51</v>
      </c>
      <c r="V655" t="s">
        <v>2547</v>
      </c>
      <c r="W655" t="s">
        <v>53</v>
      </c>
      <c r="X655" t="s">
        <v>2548</v>
      </c>
      <c r="Z655">
        <v>32496404704</v>
      </c>
      <c r="AC655" t="s">
        <v>2549</v>
      </c>
      <c r="AE655" t="s">
        <v>2550</v>
      </c>
      <c r="AF655">
        <v>1009469457</v>
      </c>
      <c r="AJ655" t="s">
        <v>63</v>
      </c>
      <c r="AK655" t="s">
        <v>61</v>
      </c>
      <c r="AM655" t="str" cm="1">
        <f t="array" ref="AM655">_xlfn.IFS(OR(O655="Persoonlijk",O655="Zoon",O655="Dochter"),P655,OR(Q655="Persoonlijk",Q655="Zoon",Q655="Dochter"),R655,OR(S655="Persoonlijk",S655="Zoon",S655="Dochter"),T655,O655="Vader",P655,Q655="Vader",R655,S655="Vader",T655,O655="Moeder",P655,Q655="Moeder",R655,S655="Moeder",T655,TRUE,IF(P655&lt;&gt;"",P655,IF(R655&lt;&gt;"",R655,IF(T655&lt;&gt;"",T655,""))))</f>
        <v>tine_de_smet90@hotmail.com</v>
      </c>
      <c r="AN655" t="str" cm="1">
        <f t="array" ref="AN655">_xlfn.LET(_xlpm.raw,_xlfn.IFS(OR(U655="Persoonlijk",U655="Zoon",U655="Dochter"),V655,OR(W655="Persoonlijk",W655="Zoon",W655="Dochter"),X655,OR(Y655="Persoonlijk",Y655="Zoon",Y655="Dochter"),Z655,U655="Vader",V655,W655="Vader",X655,Y655="Vader",Z655,U655="Moeder",V655,W655="Moeder",X655,Y655="Moeder",Z655,TRUE,IF(V655&lt;&gt;"",V655,IF(X655&lt;&gt;"",X655,IF(Z655&lt;&gt;"",Z655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+32468142508</v>
      </c>
    </row>
    <row r="656" spans="1:40" x14ac:dyDescent="0.3">
      <c r="A656">
        <v>9469457</v>
      </c>
      <c r="B656" t="s">
        <v>2541</v>
      </c>
      <c r="C656" t="s">
        <v>2542</v>
      </c>
      <c r="D656" t="s">
        <v>39</v>
      </c>
      <c r="E656" t="s">
        <v>40</v>
      </c>
      <c r="F656" t="s">
        <v>1152</v>
      </c>
      <c r="G656" t="s">
        <v>2543</v>
      </c>
      <c r="H656">
        <v>10</v>
      </c>
      <c r="Q656" t="s">
        <v>46</v>
      </c>
      <c r="R656" t="s">
        <v>2545</v>
      </c>
      <c r="S656" t="s">
        <v>53</v>
      </c>
      <c r="T656" t="s">
        <v>2546</v>
      </c>
      <c r="U656" t="s">
        <v>51</v>
      </c>
      <c r="V656" t="s">
        <v>2547</v>
      </c>
      <c r="W656" t="s">
        <v>53</v>
      </c>
      <c r="X656" t="s">
        <v>2548</v>
      </c>
      <c r="Z656">
        <v>32496404704</v>
      </c>
      <c r="AC656" t="s">
        <v>2549</v>
      </c>
      <c r="AE656" t="s">
        <v>2550</v>
      </c>
      <c r="AF656">
        <v>1009469457</v>
      </c>
      <c r="AJ656" t="s">
        <v>744</v>
      </c>
      <c r="AK656" t="s">
        <v>61</v>
      </c>
      <c r="AM656" t="str" cm="1">
        <f t="array" ref="AM656">_xlfn.IFS(OR(O656="Persoonlijk",O656="Zoon",O656="Dochter"),P656,OR(Q656="Persoonlijk",Q656="Zoon",Q656="Dochter"),R656,OR(S656="Persoonlijk",S656="Zoon",S656="Dochter"),T656,O656="Vader",P656,Q656="Vader",R656,S656="Vader",T656,O656="Moeder",P656,Q656="Moeder",R656,S656="Moeder",T656,TRUE,IF(P656&lt;&gt;"",P656,IF(R656&lt;&gt;"",R656,IF(T656&lt;&gt;"",T656,""))))</f>
        <v>tine_de_smet90@hotmail.com</v>
      </c>
      <c r="AN656" t="str" cm="1">
        <f t="array" ref="AN656">_xlfn.LET(_xlpm.raw,_xlfn.IFS(OR(U656="Persoonlijk",U656="Zoon",U656="Dochter"),V656,OR(W656="Persoonlijk",W656="Zoon",W656="Dochter"),X656,OR(Y656="Persoonlijk",Y656="Zoon",Y656="Dochter"),Z656,U656="Vader",V656,W656="Vader",X656,Y656="Vader",Z656,U656="Moeder",V656,W656="Moeder",X656,Y656="Moeder",Z656,TRUE,IF(V656&lt;&gt;"",V656,IF(X656&lt;&gt;"",X656,IF(Z656&lt;&gt;"",Z656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+32468142508</v>
      </c>
    </row>
    <row r="657" spans="1:40" x14ac:dyDescent="0.3">
      <c r="A657">
        <v>11244589</v>
      </c>
      <c r="B657" t="s">
        <v>2541</v>
      </c>
      <c r="C657" t="s">
        <v>2551</v>
      </c>
      <c r="D657" t="s">
        <v>39</v>
      </c>
      <c r="E657" t="s">
        <v>40</v>
      </c>
      <c r="G657" t="s">
        <v>2162</v>
      </c>
      <c r="H657">
        <v>10</v>
      </c>
      <c r="V657" t="s">
        <v>2547</v>
      </c>
      <c r="AF657">
        <v>1011244589</v>
      </c>
      <c r="AM657" t="str" cm="1">
        <f t="array" ref="AM657">_xlfn.IFS(OR(O657="Persoonlijk",O657="Zoon",O657="Dochter"),P657,OR(Q657="Persoonlijk",Q657="Zoon",Q657="Dochter"),R657,OR(S657="Persoonlijk",S657="Zoon",S657="Dochter"),T657,O657="Vader",P657,Q657="Vader",R657,S657="Vader",T657,O657="Moeder",P657,Q657="Moeder",R657,S657="Moeder",T657,TRUE,IF(P657&lt;&gt;"",P657,IF(R657&lt;&gt;"",R657,IF(T657&lt;&gt;"",T657,""))))</f>
        <v/>
      </c>
      <c r="AN657" t="str" cm="1">
        <f t="array" ref="AN657">_xlfn.LET(_xlpm.raw,_xlfn.IFS(OR(U657="Persoonlijk",U657="Zoon",U657="Dochter"),V657,OR(W657="Persoonlijk",W657="Zoon",W657="Dochter"),X657,OR(Y657="Persoonlijk",Y657="Zoon",Y657="Dochter"),Z657,U657="Vader",V657,W657="Vader",X657,Y657="Vader",Z657,U657="Moeder",V657,W657="Moeder",X657,Y657="Moeder",Z657,TRUE,IF(V657&lt;&gt;"",V657,IF(X657&lt;&gt;"",X657,IF(Z657&lt;&gt;"",Z657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+32468142508</v>
      </c>
    </row>
    <row r="658" spans="1:40" x14ac:dyDescent="0.3">
      <c r="A658">
        <v>8482997</v>
      </c>
      <c r="B658" t="s">
        <v>2541</v>
      </c>
      <c r="C658" t="s">
        <v>2552</v>
      </c>
      <c r="D658" t="s">
        <v>39</v>
      </c>
      <c r="E658" t="s">
        <v>40</v>
      </c>
      <c r="F658" t="s">
        <v>2553</v>
      </c>
      <c r="G658" t="s">
        <v>2554</v>
      </c>
      <c r="H658">
        <v>11</v>
      </c>
      <c r="Q658" t="s">
        <v>51</v>
      </c>
      <c r="R658" t="s">
        <v>2544</v>
      </c>
      <c r="V658" t="s">
        <v>2555</v>
      </c>
      <c r="AF658">
        <v>1008482997</v>
      </c>
      <c r="AM658" t="str" cm="1">
        <f t="array" ref="AM658">_xlfn.IFS(OR(O658="Persoonlijk",O658="Zoon",O658="Dochter"),P658,OR(Q658="Persoonlijk",Q658="Zoon",Q658="Dochter"),R658,OR(S658="Persoonlijk",S658="Zoon",S658="Dochter"),T658,O658="Vader",P658,Q658="Vader",R658,S658="Vader",T658,O658="Moeder",P658,Q658="Moeder",R658,S658="Moeder",T658,TRUE,IF(P658&lt;&gt;"",P658,IF(R658&lt;&gt;"",R658,IF(T658&lt;&gt;"",T658,""))))</f>
        <v>joshua.vander.beken@gmail.com</v>
      </c>
      <c r="AN658" t="str" cm="1">
        <f t="array" ref="AN658">_xlfn.LET(_xlpm.raw,_xlfn.IFS(OR(U658="Persoonlijk",U658="Zoon",U658="Dochter"),V658,OR(W658="Persoonlijk",W658="Zoon",W658="Dochter"),X658,OR(Y658="Persoonlijk",Y658="Zoon",Y658="Dochter"),Z658,U658="Vader",V658,W658="Vader",X658,Y658="Vader",Z658,U658="Moeder",V658,W658="Moeder",X658,Y658="Moeder",Z658,TRUE,IF(V658&lt;&gt;"",V658,IF(X658&lt;&gt;"",X658,IF(Z658&lt;&gt;"",Z658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+32496404704</v>
      </c>
    </row>
    <row r="659" spans="1:40" x14ac:dyDescent="0.3">
      <c r="A659">
        <v>2183362</v>
      </c>
      <c r="B659" t="s">
        <v>2556</v>
      </c>
      <c r="C659" t="s">
        <v>2557</v>
      </c>
      <c r="D659" t="s">
        <v>39</v>
      </c>
      <c r="E659" t="s">
        <v>49</v>
      </c>
      <c r="F659" t="s">
        <v>2558</v>
      </c>
      <c r="G659" t="s">
        <v>2559</v>
      </c>
      <c r="H659">
        <v>25</v>
      </c>
      <c r="Q659" t="s">
        <v>51</v>
      </c>
      <c r="R659" t="s">
        <v>2560</v>
      </c>
      <c r="U659" t="s">
        <v>53</v>
      </c>
      <c r="V659" t="s">
        <v>2561</v>
      </c>
      <c r="W659" t="s">
        <v>51</v>
      </c>
      <c r="X659" t="s">
        <v>2562</v>
      </c>
      <c r="AC659" t="s">
        <v>2563</v>
      </c>
      <c r="AD659">
        <v>5</v>
      </c>
      <c r="AE659" t="s">
        <v>2564</v>
      </c>
      <c r="AF659">
        <v>1002183362</v>
      </c>
      <c r="AG659">
        <v>733969</v>
      </c>
      <c r="AM659" t="str" cm="1">
        <f t="array" ref="AM659">_xlfn.IFS(OR(O659="Persoonlijk",O659="Zoon",O659="Dochter"),P659,OR(Q659="Persoonlijk",Q659="Zoon",Q659="Dochter"),R659,OR(S659="Persoonlijk",S659="Zoon",S659="Dochter"),T659,O659="Vader",P659,Q659="Vader",R659,S659="Vader",T659,O659="Moeder",P659,Q659="Moeder",R659,S659="Moeder",T659,TRUE,IF(P659&lt;&gt;"",P659,IF(R659&lt;&gt;"",R659,IF(T659&lt;&gt;"",T659,""))))</f>
        <v>tim.vanderhaeghen@gmail.com</v>
      </c>
      <c r="AN659" t="str" cm="1">
        <f t="array" ref="AN659">_xlfn.LET(_xlpm.raw,_xlfn.IFS(OR(U659="Persoonlijk",U659="Zoon",U659="Dochter"),V659,OR(W659="Persoonlijk",W659="Zoon",W659="Dochter"),X659,OR(Y659="Persoonlijk",Y659="Zoon",Y659="Dochter"),Z659,U659="Vader",V659,W659="Vader",X659,Y659="Vader",Z659,U659="Moeder",V659,W659="Moeder",X659,Y659="Moeder",Z659,TRUE,IF(V659&lt;&gt;"",V659,IF(X659&lt;&gt;"",X659,IF(Z659&lt;&gt;"",Z659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+32477797513</v>
      </c>
    </row>
    <row r="660" spans="1:40" x14ac:dyDescent="0.3">
      <c r="A660">
        <v>4061491</v>
      </c>
      <c r="B660" t="s">
        <v>2556</v>
      </c>
      <c r="C660" t="s">
        <v>2031</v>
      </c>
      <c r="D660" t="s">
        <v>39</v>
      </c>
      <c r="E660" t="s">
        <v>40</v>
      </c>
      <c r="G660" t="s">
        <v>2559</v>
      </c>
      <c r="H660">
        <v>25</v>
      </c>
      <c r="V660">
        <v>320477797513</v>
      </c>
      <c r="X660">
        <v>0</v>
      </c>
      <c r="Z660">
        <v>0</v>
      </c>
      <c r="AA660">
        <v>0</v>
      </c>
      <c r="AF660">
        <v>1004061491</v>
      </c>
      <c r="AM660" t="str" cm="1">
        <f t="array" ref="AM660">_xlfn.IFS(OR(O660="Persoonlijk",O660="Zoon",O660="Dochter"),P660,OR(Q660="Persoonlijk",Q660="Zoon",Q660="Dochter"),R660,OR(S660="Persoonlijk",S660="Zoon",S660="Dochter"),T660,O660="Vader",P660,Q660="Vader",R660,S660="Vader",T660,O660="Moeder",P660,Q660="Moeder",R660,S660="Moeder",T660,TRUE,IF(P660&lt;&gt;"",P660,IF(R660&lt;&gt;"",R660,IF(T660&lt;&gt;"",T660,""))))</f>
        <v/>
      </c>
      <c r="AN660" t="str" cm="1">
        <f t="array" ref="AN660">_xlfn.LET(_xlpm.raw,_xlfn.IFS(OR(U660="Persoonlijk",U660="Zoon",U660="Dochter"),V660,OR(W660="Persoonlijk",W660="Zoon",W660="Dochter"),X660,OR(Y660="Persoonlijk",Y660="Zoon",Y660="Dochter"),Z660,U660="Vader",V660,W660="Vader",X660,Y660="Vader",Z660,U660="Moeder",V660,W660="Moeder",X660,Y660="Moeder",Z660,TRUE,IF(V660&lt;&gt;"",V660,IF(X660&lt;&gt;"",X660,IF(Z660&lt;&gt;"",Z660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+32477797513</v>
      </c>
    </row>
    <row r="661" spans="1:40" x14ac:dyDescent="0.3">
      <c r="A661">
        <v>2183367</v>
      </c>
      <c r="B661" t="s">
        <v>2565</v>
      </c>
      <c r="C661" t="s">
        <v>1937</v>
      </c>
      <c r="D661" t="s">
        <v>39</v>
      </c>
      <c r="E661" t="s">
        <v>40</v>
      </c>
      <c r="F661" t="s">
        <v>2566</v>
      </c>
      <c r="G661" t="s">
        <v>2567</v>
      </c>
      <c r="H661">
        <v>8</v>
      </c>
      <c r="Q661" t="s">
        <v>53</v>
      </c>
      <c r="R661" t="s">
        <v>804</v>
      </c>
      <c r="T661" t="s">
        <v>2568</v>
      </c>
      <c r="AC661" t="s">
        <v>2569</v>
      </c>
      <c r="AF661">
        <v>1002183367</v>
      </c>
      <c r="AG661">
        <v>666306</v>
      </c>
      <c r="AJ661" t="s">
        <v>179</v>
      </c>
      <c r="AK661" t="s">
        <v>61</v>
      </c>
      <c r="AM661" t="str" cm="1">
        <f t="array" ref="AM661">_xlfn.IFS(OR(O661="Persoonlijk",O661="Zoon",O661="Dochter"),P661,OR(Q661="Persoonlijk",Q661="Zoon",Q661="Dochter"),R661,OR(S661="Persoonlijk",S661="Zoon",S661="Dochter"),T661,O661="Vader",P661,Q661="Vader",R661,S661="Vader",T661,O661="Moeder",P661,Q661="Moeder",R661,S661="Moeder",T661,TRUE,IF(P661&lt;&gt;"",P661,IF(R661&lt;&gt;"",R661,IF(T661&lt;&gt;"",T661,""))))</f>
        <v>anneleendesmet1978@outlook.com</v>
      </c>
      <c r="AN661" t="str" cm="1">
        <f t="array" ref="AN661">_xlfn.LET(_xlpm.raw,_xlfn.IFS(OR(U661="Persoonlijk",U661="Zoon",U661="Dochter"),V661,OR(W661="Persoonlijk",W661="Zoon",W661="Dochter"),X661,OR(Y661="Persoonlijk",Y661="Zoon",Y661="Dochter"),Z661,U661="Vader",V661,W661="Vader",X661,Y661="Vader",Z661,U661="Moeder",V661,W661="Moeder",X661,Y661="Moeder",Z661,TRUE,IF(V661&lt;&gt;"",V661,IF(X661&lt;&gt;"",X661,IF(Z661&lt;&gt;"",Z661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62" spans="1:40" x14ac:dyDescent="0.3">
      <c r="A662">
        <v>4523854</v>
      </c>
      <c r="B662" t="s">
        <v>2570</v>
      </c>
      <c r="C662" t="s">
        <v>2571</v>
      </c>
      <c r="D662" t="s">
        <v>39</v>
      </c>
      <c r="E662" t="s">
        <v>40</v>
      </c>
      <c r="F662" t="s">
        <v>2572</v>
      </c>
      <c r="G662" t="s">
        <v>2573</v>
      </c>
      <c r="H662">
        <v>5</v>
      </c>
      <c r="Q662" t="s">
        <v>51</v>
      </c>
      <c r="R662" t="s">
        <v>2574</v>
      </c>
      <c r="AF662">
        <v>1004523854</v>
      </c>
      <c r="AJ662" t="s">
        <v>192</v>
      </c>
      <c r="AK662" t="s">
        <v>61</v>
      </c>
      <c r="AM662" t="str" cm="1">
        <f t="array" ref="AM662">_xlfn.IFS(OR(O662="Persoonlijk",O662="Zoon",O662="Dochter"),P662,OR(Q662="Persoonlijk",Q662="Zoon",Q662="Dochter"),R662,OR(S662="Persoonlijk",S662="Zoon",S662="Dochter"),T662,O662="Vader",P662,Q662="Vader",R662,S662="Vader",T662,O662="Moeder",P662,Q662="Moeder",R662,S662="Moeder",T662,TRUE,IF(P662&lt;&gt;"",P662,IF(R662&lt;&gt;"",R662,IF(T662&lt;&gt;"",T662,""))))</f>
        <v>olivier.vanderschueren@safetyjogger.com</v>
      </c>
      <c r="AN662" t="str" cm="1">
        <f t="array" ref="AN662">_xlfn.LET(_xlpm.raw,_xlfn.IFS(OR(U662="Persoonlijk",U662="Zoon",U662="Dochter"),V662,OR(W662="Persoonlijk",W662="Zoon",W662="Dochter"),X662,OR(Y662="Persoonlijk",Y662="Zoon",Y662="Dochter"),Z662,U662="Vader",V662,W662="Vader",X662,Y662="Vader",Z662,U662="Moeder",V662,W662="Moeder",X662,Y662="Moeder",Z662,TRUE,IF(V662&lt;&gt;"",V662,IF(X662&lt;&gt;"",X662,IF(Z662&lt;&gt;"",Z662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63" spans="1:40" x14ac:dyDescent="0.3">
      <c r="A663">
        <v>7501903</v>
      </c>
      <c r="B663" t="s">
        <v>2575</v>
      </c>
      <c r="C663" t="s">
        <v>2576</v>
      </c>
      <c r="D663" t="s">
        <v>39</v>
      </c>
      <c r="E663" t="s">
        <v>49</v>
      </c>
      <c r="F663" t="s">
        <v>2577</v>
      </c>
      <c r="G663" t="s">
        <v>2578</v>
      </c>
      <c r="H663" t="s">
        <v>2579</v>
      </c>
      <c r="V663" t="s">
        <v>2580</v>
      </c>
      <c r="AF663">
        <v>1007501903</v>
      </c>
      <c r="AM663" t="str" cm="1">
        <f t="array" ref="AM663">_xlfn.IFS(OR(O663="Persoonlijk",O663="Zoon",O663="Dochter"),P663,OR(Q663="Persoonlijk",Q663="Zoon",Q663="Dochter"),R663,OR(S663="Persoonlijk",S663="Zoon",S663="Dochter"),T663,O663="Vader",P663,Q663="Vader",R663,S663="Vader",T663,O663="Moeder",P663,Q663="Moeder",R663,S663="Moeder",T663,TRUE,IF(P663&lt;&gt;"",P663,IF(R663&lt;&gt;"",R663,IF(T663&lt;&gt;"",T663,""))))</f>
        <v/>
      </c>
      <c r="AN663" t="str" cm="1">
        <f t="array" ref="AN663">_xlfn.LET(_xlpm.raw,_xlfn.IFS(OR(U663="Persoonlijk",U663="Zoon",U663="Dochter"),V663,OR(W663="Persoonlijk",W663="Zoon",W663="Dochter"),X663,OR(Y663="Persoonlijk",Y663="Zoon",Y663="Dochter"),Z663,U663="Vader",V663,W663="Vader",X663,Y663="Vader",Z663,U663="Moeder",V663,W663="Moeder",X663,Y663="Moeder",Z663,TRUE,IF(V663&lt;&gt;"",V663,IF(X663&lt;&gt;"",X663,IF(Z663&lt;&gt;"",Z663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+32496654860</v>
      </c>
    </row>
    <row r="664" spans="1:40" x14ac:dyDescent="0.3">
      <c r="A664">
        <v>3447788</v>
      </c>
      <c r="B664" t="s">
        <v>2575</v>
      </c>
      <c r="C664" t="s">
        <v>1631</v>
      </c>
      <c r="D664" t="s">
        <v>39</v>
      </c>
      <c r="E664" t="s">
        <v>40</v>
      </c>
      <c r="F664" t="s">
        <v>2581</v>
      </c>
      <c r="G664" t="s">
        <v>2578</v>
      </c>
      <c r="H664" t="s">
        <v>2579</v>
      </c>
      <c r="U664" t="s">
        <v>53</v>
      </c>
      <c r="V664" t="s">
        <v>2580</v>
      </c>
      <c r="AC664" t="s">
        <v>2582</v>
      </c>
      <c r="AD664">
        <v>13</v>
      </c>
      <c r="AE664" t="s">
        <v>2583</v>
      </c>
      <c r="AF664">
        <v>1003447788</v>
      </c>
      <c r="AJ664" t="s">
        <v>104</v>
      </c>
      <c r="AK664" t="s">
        <v>61</v>
      </c>
      <c r="AM664" t="str" cm="1">
        <f t="array" ref="AM664">_xlfn.IFS(OR(O664="Persoonlijk",O664="Zoon",O664="Dochter"),P664,OR(Q664="Persoonlijk",Q664="Zoon",Q664="Dochter"),R664,OR(S664="Persoonlijk",S664="Zoon",S664="Dochter"),T664,O664="Vader",P664,Q664="Vader",R664,S664="Vader",T664,O664="Moeder",P664,Q664="Moeder",R664,S664="Moeder",T664,TRUE,IF(P664&lt;&gt;"",P664,IF(R664&lt;&gt;"",R664,IF(T664&lt;&gt;"",T664,""))))</f>
        <v/>
      </c>
      <c r="AN664" t="str" cm="1">
        <f t="array" ref="AN664">_xlfn.LET(_xlpm.raw,_xlfn.IFS(OR(U664="Persoonlijk",U664="Zoon",U664="Dochter"),V664,OR(W664="Persoonlijk",W664="Zoon",W664="Dochter"),X664,OR(Y664="Persoonlijk",Y664="Zoon",Y664="Dochter"),Z664,U664="Vader",V664,W664="Vader",X664,Y664="Vader",Z664,U664="Moeder",V664,W664="Moeder",X664,Y664="Moeder",Z664,TRUE,IF(V664&lt;&gt;"",V664,IF(X664&lt;&gt;"",X664,IF(Z664&lt;&gt;"",Z664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+32496654860</v>
      </c>
    </row>
    <row r="665" spans="1:40" x14ac:dyDescent="0.3">
      <c r="A665">
        <v>3447788</v>
      </c>
      <c r="B665" t="s">
        <v>2575</v>
      </c>
      <c r="C665" t="s">
        <v>1631</v>
      </c>
      <c r="D665" t="s">
        <v>39</v>
      </c>
      <c r="E665" t="s">
        <v>40</v>
      </c>
      <c r="F665" t="s">
        <v>2581</v>
      </c>
      <c r="G665" t="s">
        <v>2578</v>
      </c>
      <c r="H665" t="s">
        <v>2579</v>
      </c>
      <c r="U665" t="s">
        <v>53</v>
      </c>
      <c r="V665" t="s">
        <v>2580</v>
      </c>
      <c r="AC665" t="s">
        <v>2582</v>
      </c>
      <c r="AD665">
        <v>13</v>
      </c>
      <c r="AE665" t="s">
        <v>2583</v>
      </c>
      <c r="AF665">
        <v>1003447788</v>
      </c>
      <c r="AJ665" t="s">
        <v>63</v>
      </c>
      <c r="AK665" t="s">
        <v>61</v>
      </c>
      <c r="AM665" t="str" cm="1">
        <f t="array" ref="AM665">_xlfn.IFS(OR(O665="Persoonlijk",O665="Zoon",O665="Dochter"),P665,OR(Q665="Persoonlijk",Q665="Zoon",Q665="Dochter"),R665,OR(S665="Persoonlijk",S665="Zoon",S665="Dochter"),T665,O665="Vader",P665,Q665="Vader",R665,S665="Vader",T665,O665="Moeder",P665,Q665="Moeder",R665,S665="Moeder",T665,TRUE,IF(P665&lt;&gt;"",P665,IF(R665&lt;&gt;"",R665,IF(T665&lt;&gt;"",T665,""))))</f>
        <v/>
      </c>
      <c r="AN665" t="str" cm="1">
        <f t="array" ref="AN665">_xlfn.LET(_xlpm.raw,_xlfn.IFS(OR(U665="Persoonlijk",U665="Zoon",U665="Dochter"),V665,OR(W665="Persoonlijk",W665="Zoon",W665="Dochter"),X665,OR(Y665="Persoonlijk",Y665="Zoon",Y665="Dochter"),Z665,U665="Vader",V665,W665="Vader",X665,Y665="Vader",Z665,U665="Moeder",V665,W665="Moeder",X665,Y665="Moeder",Z665,TRUE,IF(V665&lt;&gt;"",V665,IF(X665&lt;&gt;"",X665,IF(Z665&lt;&gt;"",Z665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+32496654860</v>
      </c>
    </row>
    <row r="666" spans="1:40" x14ac:dyDescent="0.3">
      <c r="A666">
        <v>3447788</v>
      </c>
      <c r="B666" t="s">
        <v>2575</v>
      </c>
      <c r="C666" t="s">
        <v>1631</v>
      </c>
      <c r="D666" t="s">
        <v>39</v>
      </c>
      <c r="E666" t="s">
        <v>40</v>
      </c>
      <c r="F666" t="s">
        <v>2581</v>
      </c>
      <c r="G666" t="s">
        <v>2578</v>
      </c>
      <c r="H666" t="s">
        <v>2579</v>
      </c>
      <c r="U666" t="s">
        <v>53</v>
      </c>
      <c r="V666" t="s">
        <v>2580</v>
      </c>
      <c r="AC666" t="s">
        <v>2582</v>
      </c>
      <c r="AD666">
        <v>13</v>
      </c>
      <c r="AE666" t="s">
        <v>2583</v>
      </c>
      <c r="AF666">
        <v>1003447788</v>
      </c>
      <c r="AJ666" t="s">
        <v>87</v>
      </c>
      <c r="AK666" t="s">
        <v>61</v>
      </c>
      <c r="AM666" t="str" cm="1">
        <f t="array" ref="AM666">_xlfn.IFS(OR(O666="Persoonlijk",O666="Zoon",O666="Dochter"),P666,OR(Q666="Persoonlijk",Q666="Zoon",Q666="Dochter"),R666,OR(S666="Persoonlijk",S666="Zoon",S666="Dochter"),T666,O666="Vader",P666,Q666="Vader",R666,S666="Vader",T666,O666="Moeder",P666,Q666="Moeder",R666,S666="Moeder",T666,TRUE,IF(P666&lt;&gt;"",P666,IF(R666&lt;&gt;"",R666,IF(T666&lt;&gt;"",T666,""))))</f>
        <v/>
      </c>
      <c r="AN666" t="str" cm="1">
        <f t="array" ref="AN666">_xlfn.LET(_xlpm.raw,_xlfn.IFS(OR(U666="Persoonlijk",U666="Zoon",U666="Dochter"),V666,OR(W666="Persoonlijk",W666="Zoon",W666="Dochter"),X666,OR(Y666="Persoonlijk",Y666="Zoon",Y666="Dochter"),Z666,U666="Vader",V666,W666="Vader",X666,Y666="Vader",Z666,U666="Moeder",V666,W666="Moeder",X666,Y666="Moeder",Z666,TRUE,IF(V666&lt;&gt;"",V666,IF(X666&lt;&gt;"",X666,IF(Z666&lt;&gt;"",Z666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+32496654860</v>
      </c>
    </row>
    <row r="667" spans="1:40" x14ac:dyDescent="0.3">
      <c r="A667">
        <v>6169565</v>
      </c>
      <c r="B667" t="s">
        <v>2584</v>
      </c>
      <c r="C667" t="s">
        <v>2435</v>
      </c>
      <c r="D667" t="s">
        <v>39</v>
      </c>
      <c r="E667" t="s">
        <v>40</v>
      </c>
      <c r="F667" t="s">
        <v>2585</v>
      </c>
      <c r="G667" t="s">
        <v>2586</v>
      </c>
      <c r="H667">
        <v>1</v>
      </c>
      <c r="V667">
        <v>0</v>
      </c>
      <c r="X667">
        <v>0</v>
      </c>
      <c r="Z667">
        <v>0</v>
      </c>
      <c r="AA667">
        <v>0</v>
      </c>
      <c r="AC667" t="s">
        <v>2587</v>
      </c>
      <c r="AF667">
        <v>1006169565</v>
      </c>
      <c r="AM667" t="str" cm="1">
        <f t="array" ref="AM667">_xlfn.IFS(OR(O667="Persoonlijk",O667="Zoon",O667="Dochter"),P667,OR(Q667="Persoonlijk",Q667="Zoon",Q667="Dochter"),R667,OR(S667="Persoonlijk",S667="Zoon",S667="Dochter"),T667,O667="Vader",P667,Q667="Vader",R667,S667="Vader",T667,O667="Moeder",P667,Q667="Moeder",R667,S667="Moeder",T667,TRUE,IF(P667&lt;&gt;"",P667,IF(R667&lt;&gt;"",R667,IF(T667&lt;&gt;"",T667,""))))</f>
        <v/>
      </c>
      <c r="AN667" t="str" cm="1">
        <f t="array" ref="AN667">_xlfn.LET(_xlpm.raw,_xlfn.IFS(OR(U667="Persoonlijk",U667="Zoon",U667="Dochter"),V667,OR(W667="Persoonlijk",W667="Zoon",W667="Dochter"),X667,OR(Y667="Persoonlijk",Y667="Zoon",Y667="Dochter"),Z667,U667="Vader",V667,W667="Vader",X667,Y667="Vader",Z667,U667="Moeder",V667,W667="Moeder",X667,Y667="Moeder",Z667,TRUE,IF(V667&lt;&gt;"",V667,IF(X667&lt;&gt;"",X667,IF(Z667&lt;&gt;"",Z667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68" spans="1:40" x14ac:dyDescent="0.3">
      <c r="A668">
        <v>2183372</v>
      </c>
      <c r="B668" t="s">
        <v>2588</v>
      </c>
      <c r="C668" t="s">
        <v>2589</v>
      </c>
      <c r="D668" t="s">
        <v>39</v>
      </c>
      <c r="E668" t="s">
        <v>49</v>
      </c>
      <c r="F668" t="s">
        <v>2590</v>
      </c>
      <c r="G668" t="s">
        <v>2591</v>
      </c>
      <c r="H668">
        <v>21</v>
      </c>
      <c r="I668">
        <v>102</v>
      </c>
      <c r="U668" t="s">
        <v>46</v>
      </c>
      <c r="V668" t="s">
        <v>2592</v>
      </c>
      <c r="AC668" t="s">
        <v>2593</v>
      </c>
      <c r="AF668">
        <v>1002183372</v>
      </c>
      <c r="AG668">
        <v>150148</v>
      </c>
      <c r="AM668" t="str" cm="1">
        <f t="array" ref="AM668">_xlfn.IFS(OR(O668="Persoonlijk",O668="Zoon",O668="Dochter"),P668,OR(Q668="Persoonlijk",Q668="Zoon",Q668="Dochter"),R668,OR(S668="Persoonlijk",S668="Zoon",S668="Dochter"),T668,O668="Vader",P668,Q668="Vader",R668,S668="Vader",T668,O668="Moeder",P668,Q668="Moeder",R668,S668="Moeder",T668,TRUE,IF(P668&lt;&gt;"",P668,IF(R668&lt;&gt;"",R668,IF(T668&lt;&gt;"",T668,""))))</f>
        <v/>
      </c>
      <c r="AN668" t="str" cm="1">
        <f t="array" ref="AN668">_xlfn.LET(_xlpm.raw,_xlfn.IFS(OR(U668="Persoonlijk",U668="Zoon",U668="Dochter"),V668,OR(W668="Persoonlijk",W668="Zoon",W668="Dochter"),X668,OR(Y668="Persoonlijk",Y668="Zoon",Y668="Dochter"),Z668,U668="Vader",V668,W668="Vader",X668,Y668="Vader",Z668,U668="Moeder",V668,W668="Moeder",X668,Y668="Moeder",Z668,TRUE,IF(V668&lt;&gt;"",V668,IF(X668&lt;&gt;"",X668,IF(Z668&lt;&gt;"",Z668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+3249664.27.78</v>
      </c>
    </row>
    <row r="669" spans="1:40" x14ac:dyDescent="0.3">
      <c r="A669">
        <v>10452584</v>
      </c>
      <c r="B669" t="s">
        <v>2594</v>
      </c>
      <c r="C669" t="s">
        <v>2595</v>
      </c>
      <c r="D669" t="s">
        <v>39</v>
      </c>
      <c r="E669" t="s">
        <v>49</v>
      </c>
      <c r="F669" t="s">
        <v>2596</v>
      </c>
      <c r="G669" t="s">
        <v>290</v>
      </c>
      <c r="H669">
        <v>31</v>
      </c>
      <c r="R669" t="s">
        <v>2597</v>
      </c>
      <c r="U669" t="s">
        <v>53</v>
      </c>
      <c r="V669" t="s">
        <v>2598</v>
      </c>
      <c r="W669" t="s">
        <v>51</v>
      </c>
      <c r="X669">
        <v>32497914889</v>
      </c>
      <c r="AE669" t="s">
        <v>2599</v>
      </c>
      <c r="AF669">
        <v>1010452584</v>
      </c>
      <c r="AJ669" t="s">
        <v>294</v>
      </c>
      <c r="AK669" t="s">
        <v>61</v>
      </c>
      <c r="AM669" t="str" cm="1">
        <f t="array" ref="AM669">_xlfn.IFS(OR(O669="Persoonlijk",O669="Zoon",O669="Dochter"),P669,OR(Q669="Persoonlijk",Q669="Zoon",Q669="Dochter"),R669,OR(S669="Persoonlijk",S669="Zoon",S669="Dochter"),T669,O669="Vader",P669,Q669="Vader",R669,S669="Vader",T669,O669="Moeder",P669,Q669="Moeder",R669,S669="Moeder",T669,TRUE,IF(P669&lt;&gt;"",P669,IF(R669&lt;&gt;"",R669,IF(T669&lt;&gt;"",T669,""))))</f>
        <v>diedev@hotmail.com</v>
      </c>
      <c r="AN669" t="str" cm="1">
        <f t="array" ref="AN669">_xlfn.LET(_xlpm.raw,_xlfn.IFS(OR(U669="Persoonlijk",U669="Zoon",U669="Dochter"),V669,OR(W669="Persoonlijk",W669="Zoon",W669="Dochter"),X669,OR(Y669="Persoonlijk",Y669="Zoon",Y669="Dochter"),Z669,U669="Vader",V669,W669="Vader",X669,Y669="Vader",Z669,U669="Moeder",V669,W669="Moeder",X669,Y669="Moeder",Z669,TRUE,IF(V669&lt;&gt;"",V669,IF(X669&lt;&gt;"",X669,IF(Z669&lt;&gt;"",Z669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+32497914889</v>
      </c>
    </row>
    <row r="670" spans="1:40" x14ac:dyDescent="0.3">
      <c r="A670">
        <v>2183382</v>
      </c>
      <c r="B670" t="s">
        <v>2600</v>
      </c>
      <c r="C670" t="s">
        <v>2601</v>
      </c>
      <c r="D670" t="s">
        <v>39</v>
      </c>
      <c r="E670" t="s">
        <v>49</v>
      </c>
      <c r="F670" t="s">
        <v>2602</v>
      </c>
      <c r="G670" t="s">
        <v>2603</v>
      </c>
      <c r="H670">
        <v>1</v>
      </c>
      <c r="Q670" t="s">
        <v>51</v>
      </c>
      <c r="R670" t="s">
        <v>2604</v>
      </c>
      <c r="V670" t="s">
        <v>2605</v>
      </c>
      <c r="AF670">
        <v>1002183382</v>
      </c>
      <c r="AG670">
        <v>703875</v>
      </c>
      <c r="AJ670" t="s">
        <v>323</v>
      </c>
      <c r="AK670" t="s">
        <v>61</v>
      </c>
      <c r="AM670" t="str" cm="1">
        <f t="array" ref="AM670">_xlfn.IFS(OR(O670="Persoonlijk",O670="Zoon",O670="Dochter"),P670,OR(Q670="Persoonlijk",Q670="Zoon",Q670="Dochter"),R670,OR(S670="Persoonlijk",S670="Zoon",S670="Dochter"),T670,O670="Vader",P670,Q670="Vader",R670,S670="Vader",T670,O670="Moeder",P670,Q670="Moeder",R670,S670="Moeder",T670,TRUE,IF(P670&lt;&gt;"",P670,IF(R670&lt;&gt;"",R670,IF(T670&lt;&gt;"",T670,""))))</f>
        <v>wout.vandriessche@telenet.be</v>
      </c>
      <c r="AN670" t="str" cm="1">
        <f t="array" ref="AN670">_xlfn.LET(_xlpm.raw,_xlfn.IFS(OR(U670="Persoonlijk",U670="Zoon",U670="Dochter"),V670,OR(W670="Persoonlijk",W670="Zoon",W670="Dochter"),X670,OR(Y670="Persoonlijk",Y670="Zoon",Y670="Dochter"),Z670,U670="Vader",V670,W670="Vader",X670,Y670="Vader",Z670,U670="Moeder",V670,W670="Moeder",X670,Y670="Moeder",Z670,TRUE,IF(V670&lt;&gt;"",V670,IF(X670&lt;&gt;"",X670,IF(Z670&lt;&gt;"",Z670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+32474875556</v>
      </c>
    </row>
    <row r="671" spans="1:40" x14ac:dyDescent="0.3">
      <c r="A671">
        <v>2183387</v>
      </c>
      <c r="B671" t="s">
        <v>2600</v>
      </c>
      <c r="C671" t="s">
        <v>1748</v>
      </c>
      <c r="D671" t="s">
        <v>39</v>
      </c>
      <c r="E671" t="s">
        <v>40</v>
      </c>
      <c r="F671" t="s">
        <v>2606</v>
      </c>
      <c r="G671" t="s">
        <v>2603</v>
      </c>
      <c r="H671">
        <v>1</v>
      </c>
      <c r="R671" t="s">
        <v>2604</v>
      </c>
      <c r="AF671">
        <v>1002183387</v>
      </c>
      <c r="AM671" t="str" cm="1">
        <f t="array" ref="AM671">_xlfn.IFS(OR(O671="Persoonlijk",O671="Zoon",O671="Dochter"),P671,OR(Q671="Persoonlijk",Q671="Zoon",Q671="Dochter"),R671,OR(S671="Persoonlijk",S671="Zoon",S671="Dochter"),T671,O671="Vader",P671,Q671="Vader",R671,S671="Vader",T671,O671="Moeder",P671,Q671="Moeder",R671,S671="Moeder",T671,TRUE,IF(P671&lt;&gt;"",P671,IF(R671&lt;&gt;"",R671,IF(T671&lt;&gt;"",T671,""))))</f>
        <v>wout.vandriessche@telenet.be</v>
      </c>
      <c r="AN671" t="str" cm="1">
        <f t="array" ref="AN671">_xlfn.LET(_xlpm.raw,_xlfn.IFS(OR(U671="Persoonlijk",U671="Zoon",U671="Dochter"),V671,OR(W671="Persoonlijk",W671="Zoon",W671="Dochter"),X671,OR(Y671="Persoonlijk",Y671="Zoon",Y671="Dochter"),Z671,U671="Vader",V671,W671="Vader",X671,Y671="Vader",Z671,U671="Moeder",V671,W671="Moeder",X671,Y671="Moeder",Z671,TRUE,IF(V671&lt;&gt;"",V671,IF(X671&lt;&gt;"",X671,IF(Z671&lt;&gt;"",Z671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72" spans="1:40" x14ac:dyDescent="0.3">
      <c r="A672">
        <v>2183392</v>
      </c>
      <c r="B672" t="s">
        <v>2607</v>
      </c>
      <c r="C672" t="s">
        <v>2608</v>
      </c>
      <c r="D672" t="s">
        <v>39</v>
      </c>
      <c r="E672" t="s">
        <v>49</v>
      </c>
      <c r="F672" t="s">
        <v>690</v>
      </c>
      <c r="G672" t="s">
        <v>305</v>
      </c>
      <c r="H672">
        <v>204</v>
      </c>
      <c r="R672" t="s">
        <v>2609</v>
      </c>
      <c r="U672" t="s">
        <v>51</v>
      </c>
      <c r="V672" t="s">
        <v>2610</v>
      </c>
      <c r="W672" t="s">
        <v>53</v>
      </c>
      <c r="X672" t="s">
        <v>2611</v>
      </c>
      <c r="AC672" t="s">
        <v>2612</v>
      </c>
      <c r="AE672" t="s">
        <v>2613</v>
      </c>
      <c r="AF672">
        <v>1002183392</v>
      </c>
      <c r="AG672">
        <v>730033</v>
      </c>
      <c r="AJ672" t="s">
        <v>97</v>
      </c>
      <c r="AK672" t="s">
        <v>61</v>
      </c>
      <c r="AM672" t="str" cm="1">
        <f t="array" ref="AM672">_xlfn.IFS(OR(O672="Persoonlijk",O672="Zoon",O672="Dochter"),P672,OR(Q672="Persoonlijk",Q672="Zoon",Q672="Dochter"),R672,OR(S672="Persoonlijk",S672="Zoon",S672="Dochter"),T672,O672="Vader",P672,Q672="Vader",R672,S672="Vader",T672,O672="Moeder",P672,Q672="Moeder",R672,S672="Moeder",T672,TRUE,IF(P672&lt;&gt;"",P672,IF(R672&lt;&gt;"",R672,IF(T672&lt;&gt;"",T672,""))))</f>
        <v>miekevanderhaeghen@gmail.com</v>
      </c>
      <c r="AN672" t="str" cm="1">
        <f t="array" ref="AN672">_xlfn.LET(_xlpm.raw,_xlfn.IFS(OR(U672="Persoonlijk",U672="Zoon",U672="Dochter"),V672,OR(W672="Persoonlijk",W672="Zoon",W672="Dochter"),X672,OR(Y672="Persoonlijk",Y672="Zoon",Y672="Dochter"),Z672,U672="Vader",V672,W672="Vader",X672,Y672="Vader",Z672,U672="Moeder",V672,W672="Moeder",X672,Y672="Moeder",Z672,TRUE,IF(V672&lt;&gt;"",V672,IF(X672&lt;&gt;"",X672,IF(Z672&lt;&gt;"",Z672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+32477741955</v>
      </c>
    </row>
    <row r="673" spans="1:40" x14ac:dyDescent="0.3">
      <c r="A673">
        <v>2183392</v>
      </c>
      <c r="B673" t="s">
        <v>2607</v>
      </c>
      <c r="C673" t="s">
        <v>2608</v>
      </c>
      <c r="D673" t="s">
        <v>39</v>
      </c>
      <c r="E673" t="s">
        <v>49</v>
      </c>
      <c r="F673" t="s">
        <v>690</v>
      </c>
      <c r="G673" t="s">
        <v>305</v>
      </c>
      <c r="H673">
        <v>204</v>
      </c>
      <c r="R673" t="s">
        <v>2609</v>
      </c>
      <c r="U673" t="s">
        <v>51</v>
      </c>
      <c r="V673" t="s">
        <v>2610</v>
      </c>
      <c r="W673" t="s">
        <v>53</v>
      </c>
      <c r="X673" t="s">
        <v>2611</v>
      </c>
      <c r="AC673" t="s">
        <v>2612</v>
      </c>
      <c r="AE673" t="s">
        <v>2613</v>
      </c>
      <c r="AF673">
        <v>1002183392</v>
      </c>
      <c r="AG673">
        <v>730033</v>
      </c>
      <c r="AJ673" t="s">
        <v>63</v>
      </c>
      <c r="AK673" t="s">
        <v>61</v>
      </c>
      <c r="AM673" t="str" cm="1">
        <f t="array" ref="AM673">_xlfn.IFS(OR(O673="Persoonlijk",O673="Zoon",O673="Dochter"),P673,OR(Q673="Persoonlijk",Q673="Zoon",Q673="Dochter"),R673,OR(S673="Persoonlijk",S673="Zoon",S673="Dochter"),T673,O673="Vader",P673,Q673="Vader",R673,S673="Vader",T673,O673="Moeder",P673,Q673="Moeder",R673,S673="Moeder",T673,TRUE,IF(P673&lt;&gt;"",P673,IF(R673&lt;&gt;"",R673,IF(T673&lt;&gt;"",T673,""))))</f>
        <v>miekevanderhaeghen@gmail.com</v>
      </c>
      <c r="AN673" t="str" cm="1">
        <f t="array" ref="AN673">_xlfn.LET(_xlpm.raw,_xlfn.IFS(OR(U673="Persoonlijk",U673="Zoon",U673="Dochter"),V673,OR(W673="Persoonlijk",W673="Zoon",W673="Dochter"),X673,OR(Y673="Persoonlijk",Y673="Zoon",Y673="Dochter"),Z673,U673="Vader",V673,W673="Vader",X673,Y673="Vader",Z673,U673="Moeder",V673,W673="Moeder",X673,Y673="Moeder",Z673,TRUE,IF(V673&lt;&gt;"",V673,IF(X673&lt;&gt;"",X673,IF(Z673&lt;&gt;"",Z673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+32477741955</v>
      </c>
    </row>
    <row r="674" spans="1:40" x14ac:dyDescent="0.3">
      <c r="A674">
        <v>2650948</v>
      </c>
      <c r="B674" t="s">
        <v>2607</v>
      </c>
      <c r="C674" t="s">
        <v>2614</v>
      </c>
      <c r="D674" t="s">
        <v>39</v>
      </c>
      <c r="E674" t="s">
        <v>40</v>
      </c>
      <c r="F674" t="s">
        <v>2615</v>
      </c>
      <c r="G674" t="s">
        <v>305</v>
      </c>
      <c r="H674">
        <v>204</v>
      </c>
      <c r="R674" t="s">
        <v>2609</v>
      </c>
      <c r="U674" t="s">
        <v>51</v>
      </c>
      <c r="V674">
        <v>320477741955</v>
      </c>
      <c r="W674" t="s">
        <v>53</v>
      </c>
      <c r="X674">
        <v>320474478913</v>
      </c>
      <c r="AC674" t="s">
        <v>2616</v>
      </c>
      <c r="AE674" t="s">
        <v>2617</v>
      </c>
      <c r="AF674">
        <v>1002650948</v>
      </c>
      <c r="AG674">
        <v>742178</v>
      </c>
      <c r="AM674" t="str" cm="1">
        <f t="array" ref="AM674">_xlfn.IFS(OR(O674="Persoonlijk",O674="Zoon",O674="Dochter"),P674,OR(Q674="Persoonlijk",Q674="Zoon",Q674="Dochter"),R674,OR(S674="Persoonlijk",S674="Zoon",S674="Dochter"),T674,O674="Vader",P674,Q674="Vader",R674,S674="Vader",T674,O674="Moeder",P674,Q674="Moeder",R674,S674="Moeder",T674,TRUE,IF(P674&lt;&gt;"",P674,IF(R674&lt;&gt;"",R674,IF(T674&lt;&gt;"",T674,""))))</f>
        <v>miekevanderhaeghen@gmail.com</v>
      </c>
      <c r="AN674" t="str" cm="1">
        <f t="array" ref="AN674">_xlfn.LET(_xlpm.raw,_xlfn.IFS(OR(U674="Persoonlijk",U674="Zoon",U674="Dochter"),V674,OR(W674="Persoonlijk",W674="Zoon",W674="Dochter"),X674,OR(Y674="Persoonlijk",Y674="Zoon",Y674="Dochter"),Z674,U674="Vader",V674,W674="Vader",X674,Y674="Vader",Z674,U674="Moeder",V674,W674="Moeder",X674,Y674="Moeder",Z674,TRUE,IF(V674&lt;&gt;"",V674,IF(X674&lt;&gt;"",X674,IF(Z674&lt;&gt;"",Z674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+32477741955</v>
      </c>
    </row>
    <row r="675" spans="1:40" x14ac:dyDescent="0.3">
      <c r="A675">
        <v>2655206</v>
      </c>
      <c r="B675" t="s">
        <v>2607</v>
      </c>
      <c r="C675" t="s">
        <v>1170</v>
      </c>
      <c r="D675" t="s">
        <v>39</v>
      </c>
      <c r="E675" t="s">
        <v>40</v>
      </c>
      <c r="F675" t="s">
        <v>2618</v>
      </c>
      <c r="G675" t="s">
        <v>305</v>
      </c>
      <c r="H675">
        <v>204</v>
      </c>
      <c r="U675" t="s">
        <v>51</v>
      </c>
      <c r="V675">
        <v>320477741955</v>
      </c>
      <c r="AC675" t="s">
        <v>2619</v>
      </c>
      <c r="AE675" t="s">
        <v>2620</v>
      </c>
      <c r="AF675">
        <v>1002655206</v>
      </c>
      <c r="AG675">
        <v>742179</v>
      </c>
      <c r="AL675" t="s">
        <v>593</v>
      </c>
      <c r="AM675" t="str" cm="1">
        <f t="array" ref="AM675">_xlfn.IFS(OR(O675="Persoonlijk",O675="Zoon",O675="Dochter"),P675,OR(Q675="Persoonlijk",Q675="Zoon",Q675="Dochter"),R675,OR(S675="Persoonlijk",S675="Zoon",S675="Dochter"),T675,O675="Vader",P675,Q675="Vader",R675,S675="Vader",T675,O675="Moeder",P675,Q675="Moeder",R675,S675="Moeder",T675,TRUE,IF(P675&lt;&gt;"",P675,IF(R675&lt;&gt;"",R675,IF(T675&lt;&gt;"",T675,""))))</f>
        <v/>
      </c>
      <c r="AN675" t="str" cm="1">
        <f t="array" ref="AN675">_xlfn.LET(_xlpm.raw,_xlfn.IFS(OR(U675="Persoonlijk",U675="Zoon",U675="Dochter"),V675,OR(W675="Persoonlijk",W675="Zoon",W675="Dochter"),X675,OR(Y675="Persoonlijk",Y675="Zoon",Y675="Dochter"),Z675,U675="Vader",V675,W675="Vader",X675,Y675="Vader",Z675,U675="Moeder",V675,W675="Moeder",X675,Y675="Moeder",Z675,TRUE,IF(V675&lt;&gt;"",V675,IF(X675&lt;&gt;"",X675,IF(Z675&lt;&gt;"",Z675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+32477741955</v>
      </c>
    </row>
    <row r="676" spans="1:40" x14ac:dyDescent="0.3">
      <c r="A676">
        <v>2183397</v>
      </c>
      <c r="B676" t="s">
        <v>2621</v>
      </c>
      <c r="C676" t="s">
        <v>2622</v>
      </c>
      <c r="D676" t="s">
        <v>39</v>
      </c>
      <c r="E676" t="s">
        <v>40</v>
      </c>
      <c r="F676" t="s">
        <v>2623</v>
      </c>
      <c r="G676" t="s">
        <v>1253</v>
      </c>
      <c r="H676">
        <v>1</v>
      </c>
      <c r="V676" t="s">
        <v>2624</v>
      </c>
      <c r="AC676" t="s">
        <v>2625</v>
      </c>
      <c r="AE676" t="s">
        <v>2626</v>
      </c>
      <c r="AF676">
        <v>1002183397</v>
      </c>
      <c r="AG676">
        <v>717354</v>
      </c>
      <c r="AL676" t="s">
        <v>62</v>
      </c>
      <c r="AM676" t="str" cm="1">
        <f t="array" ref="AM676">_xlfn.IFS(OR(O676="Persoonlijk",O676="Zoon",O676="Dochter"),P676,OR(Q676="Persoonlijk",Q676="Zoon",Q676="Dochter"),R676,OR(S676="Persoonlijk",S676="Zoon",S676="Dochter"),T676,O676="Vader",P676,Q676="Vader",R676,S676="Vader",T676,O676="Moeder",P676,Q676="Moeder",R676,S676="Moeder",T676,TRUE,IF(P676&lt;&gt;"",P676,IF(R676&lt;&gt;"",R676,IF(T676&lt;&gt;"",T676,""))))</f>
        <v/>
      </c>
      <c r="AN676" t="str" cm="1">
        <f t="array" ref="AN676">_xlfn.LET(_xlpm.raw,_xlfn.IFS(OR(U676="Persoonlijk",U676="Zoon",U676="Dochter"),V676,OR(W676="Persoonlijk",W676="Zoon",W676="Dochter"),X676,OR(Y676="Persoonlijk",Y676="Zoon",Y676="Dochter"),Z676,U676="Vader",V676,W676="Vader",X676,Y676="Vader",Z676,U676="Moeder",V676,W676="Moeder",X676,Y676="Moeder",Z676,TRUE,IF(V676&lt;&gt;"",V676,IF(X676&lt;&gt;"",X676,IF(Z676&lt;&gt;"",Z676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+32477684192</v>
      </c>
    </row>
    <row r="677" spans="1:40" x14ac:dyDescent="0.3">
      <c r="A677">
        <v>2183402</v>
      </c>
      <c r="B677" t="s">
        <v>2621</v>
      </c>
      <c r="C677" t="s">
        <v>1887</v>
      </c>
      <c r="D677" t="s">
        <v>39</v>
      </c>
      <c r="E677" t="s">
        <v>49</v>
      </c>
      <c r="F677" t="s">
        <v>2627</v>
      </c>
      <c r="G677" t="s">
        <v>1080</v>
      </c>
      <c r="H677">
        <v>34</v>
      </c>
      <c r="R677" t="s">
        <v>2628</v>
      </c>
      <c r="U677" t="s">
        <v>46</v>
      </c>
      <c r="V677">
        <v>472774656</v>
      </c>
      <c r="AC677" t="s">
        <v>2629</v>
      </c>
      <c r="AF677">
        <v>1002183402</v>
      </c>
      <c r="AG677">
        <v>154095</v>
      </c>
      <c r="AM677" t="str" cm="1">
        <f t="array" ref="AM677">_xlfn.IFS(OR(O677="Persoonlijk",O677="Zoon",O677="Dochter"),P677,OR(Q677="Persoonlijk",Q677="Zoon",Q677="Dochter"),R677,OR(S677="Persoonlijk",S677="Zoon",S677="Dochter"),T677,O677="Vader",P677,Q677="Vader",R677,S677="Vader",T677,O677="Moeder",P677,Q677="Moeder",R677,S677="Moeder",T677,TRUE,IF(P677&lt;&gt;"",P677,IF(R677&lt;&gt;"",R677,IF(T677&lt;&gt;"",T677,""))))</f>
        <v>jeugdcoordinator@haantjesoudenaarde.be</v>
      </c>
      <c r="AN677" t="str" cm="1">
        <f t="array" ref="AN677">_xlfn.LET(_xlpm.raw,_xlfn.IFS(OR(U677="Persoonlijk",U677="Zoon",U677="Dochter"),V677,OR(W677="Persoonlijk",W677="Zoon",W677="Dochter"),X677,OR(Y677="Persoonlijk",Y677="Zoon",Y677="Dochter"),Z677,U677="Vader",V677,W677="Vader",X677,Y677="Vader",Z677,U677="Moeder",V677,W677="Moeder",X677,Y677="Moeder",Z677,TRUE,IF(V677&lt;&gt;"",V677,IF(X677&lt;&gt;"",X677,IF(Z677&lt;&gt;"",Z677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+32472774656</v>
      </c>
    </row>
    <row r="678" spans="1:40" x14ac:dyDescent="0.3">
      <c r="A678">
        <v>2183407</v>
      </c>
      <c r="B678" t="s">
        <v>2621</v>
      </c>
      <c r="C678" t="s">
        <v>2630</v>
      </c>
      <c r="D678" t="s">
        <v>39</v>
      </c>
      <c r="E678" t="s">
        <v>40</v>
      </c>
      <c r="F678" t="s">
        <v>2631</v>
      </c>
      <c r="G678" t="s">
        <v>1253</v>
      </c>
      <c r="H678">
        <v>1</v>
      </c>
      <c r="AC678" t="s">
        <v>2632</v>
      </c>
      <c r="AF678">
        <v>1002183407</v>
      </c>
      <c r="AG678">
        <v>727381</v>
      </c>
      <c r="AM678" t="str" cm="1">
        <f t="array" ref="AM678">_xlfn.IFS(OR(O678="Persoonlijk",O678="Zoon",O678="Dochter"),P678,OR(Q678="Persoonlijk",Q678="Zoon",Q678="Dochter"),R678,OR(S678="Persoonlijk",S678="Zoon",S678="Dochter"),T678,O678="Vader",P678,Q678="Vader",R678,S678="Vader",T678,O678="Moeder",P678,Q678="Moeder",R678,S678="Moeder",T678,TRUE,IF(P678&lt;&gt;"",P678,IF(R678&lt;&gt;"",R678,IF(T678&lt;&gt;"",T678,""))))</f>
        <v/>
      </c>
      <c r="AN678" t="str" cm="1">
        <f t="array" ref="AN678">_xlfn.LET(_xlpm.raw,_xlfn.IFS(OR(U678="Persoonlijk",U678="Zoon",U678="Dochter"),V678,OR(W678="Persoonlijk",W678="Zoon",W678="Dochter"),X678,OR(Y678="Persoonlijk",Y678="Zoon",Y678="Dochter"),Z678,U678="Vader",V678,W678="Vader",X678,Y678="Vader",Z678,U678="Moeder",V678,W678="Moeder",X678,Y678="Moeder",Z678,TRUE,IF(V678&lt;&gt;"",V678,IF(X678&lt;&gt;"",X678,IF(Z678&lt;&gt;"",Z678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79" spans="1:40" x14ac:dyDescent="0.3">
      <c r="A679">
        <v>7992424</v>
      </c>
      <c r="B679" t="s">
        <v>2633</v>
      </c>
      <c r="C679" t="s">
        <v>2634</v>
      </c>
      <c r="D679" t="s">
        <v>39</v>
      </c>
      <c r="E679" t="s">
        <v>40</v>
      </c>
      <c r="F679" t="s">
        <v>2635</v>
      </c>
      <c r="G679" t="s">
        <v>2636</v>
      </c>
      <c r="H679">
        <v>3</v>
      </c>
      <c r="Q679" t="s">
        <v>51</v>
      </c>
      <c r="R679" t="s">
        <v>2637</v>
      </c>
      <c r="V679" t="s">
        <v>2638</v>
      </c>
      <c r="W679" t="s">
        <v>51</v>
      </c>
      <c r="X679">
        <v>32472817695</v>
      </c>
      <c r="AE679" t="s">
        <v>2639</v>
      </c>
      <c r="AF679">
        <v>1007992424</v>
      </c>
      <c r="AJ679" t="s">
        <v>656</v>
      </c>
      <c r="AK679" t="s">
        <v>61</v>
      </c>
      <c r="AM679" t="str" cm="1">
        <f t="array" ref="AM679">_xlfn.IFS(OR(O679="Persoonlijk",O679="Zoon",O679="Dochter"),P679,OR(Q679="Persoonlijk",Q679="Zoon",Q679="Dochter"),R679,OR(S679="Persoonlijk",S679="Zoon",S679="Dochter"),T679,O679="Vader",P679,Q679="Vader",R679,S679="Vader",T679,O679="Moeder",P679,Q679="Moeder",R679,S679="Moeder",T679,TRUE,IF(P679&lt;&gt;"",P679,IF(R679&lt;&gt;"",R679,IF(T679&lt;&gt;"",T679,""))))</f>
        <v>Koen.vanneste.k@gmail.com</v>
      </c>
      <c r="AN679" t="str" cm="1">
        <f t="array" ref="AN679">_xlfn.LET(_xlpm.raw,_xlfn.IFS(OR(U679="Persoonlijk",U679="Zoon",U679="Dochter"),V679,OR(W679="Persoonlijk",W679="Zoon",W679="Dochter"),X679,OR(Y679="Persoonlijk",Y679="Zoon",Y679="Dochter"),Z679,U679="Vader",V679,W679="Vader",X679,Y679="Vader",Z679,U679="Moeder",V679,W679="Moeder",X679,Y679="Moeder",Z679,TRUE,IF(V679&lt;&gt;"",V679,IF(X679&lt;&gt;"",X679,IF(Z679&lt;&gt;"",Z679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+32472817695</v>
      </c>
    </row>
    <row r="680" spans="1:40" x14ac:dyDescent="0.3">
      <c r="A680">
        <v>7992424</v>
      </c>
      <c r="B680" t="s">
        <v>2633</v>
      </c>
      <c r="C680" t="s">
        <v>2634</v>
      </c>
      <c r="D680" t="s">
        <v>39</v>
      </c>
      <c r="E680" t="s">
        <v>40</v>
      </c>
      <c r="F680" t="s">
        <v>2635</v>
      </c>
      <c r="G680" t="s">
        <v>2636</v>
      </c>
      <c r="H680">
        <v>3</v>
      </c>
      <c r="Q680" t="s">
        <v>51</v>
      </c>
      <c r="R680" t="s">
        <v>2637</v>
      </c>
      <c r="V680" t="s">
        <v>2638</v>
      </c>
      <c r="W680" t="s">
        <v>51</v>
      </c>
      <c r="X680">
        <v>32472817695</v>
      </c>
      <c r="AE680" t="s">
        <v>2639</v>
      </c>
      <c r="AF680">
        <v>1007992424</v>
      </c>
      <c r="AJ680" t="s">
        <v>295</v>
      </c>
      <c r="AK680" t="s">
        <v>61</v>
      </c>
      <c r="AM680" t="str" cm="1">
        <f t="array" ref="AM680">_xlfn.IFS(OR(O680="Persoonlijk",O680="Zoon",O680="Dochter"),P680,OR(Q680="Persoonlijk",Q680="Zoon",Q680="Dochter"),R680,OR(S680="Persoonlijk",S680="Zoon",S680="Dochter"),T680,O680="Vader",P680,Q680="Vader",R680,S680="Vader",T680,O680="Moeder",P680,Q680="Moeder",R680,S680="Moeder",T680,TRUE,IF(P680&lt;&gt;"",P680,IF(R680&lt;&gt;"",R680,IF(T680&lt;&gt;"",T680,""))))</f>
        <v>Koen.vanneste.k@gmail.com</v>
      </c>
      <c r="AN680" t="str" cm="1">
        <f t="array" ref="AN680">_xlfn.LET(_xlpm.raw,_xlfn.IFS(OR(U680="Persoonlijk",U680="Zoon",U680="Dochter"),V680,OR(W680="Persoonlijk",W680="Zoon",W680="Dochter"),X680,OR(Y680="Persoonlijk",Y680="Zoon",Y680="Dochter"),Z680,U680="Vader",V680,W680="Vader",X680,Y680="Vader",Z680,U680="Moeder",V680,W680="Moeder",X680,Y680="Moeder",Z680,TRUE,IF(V680&lt;&gt;"",V680,IF(X680&lt;&gt;"",X680,IF(Z680&lt;&gt;"",Z680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+32472817695</v>
      </c>
    </row>
    <row r="681" spans="1:40" x14ac:dyDescent="0.3">
      <c r="A681">
        <v>7500726</v>
      </c>
      <c r="B681" t="s">
        <v>2640</v>
      </c>
      <c r="C681" t="s">
        <v>2641</v>
      </c>
      <c r="D681" t="s">
        <v>39</v>
      </c>
      <c r="E681" t="s">
        <v>49</v>
      </c>
      <c r="F681" t="s">
        <v>2642</v>
      </c>
      <c r="G681" t="s">
        <v>2643</v>
      </c>
      <c r="H681">
        <v>46</v>
      </c>
      <c r="Q681" t="s">
        <v>53</v>
      </c>
      <c r="R681" t="s">
        <v>2644</v>
      </c>
      <c r="U681" t="s">
        <v>51</v>
      </c>
      <c r="V681">
        <v>32494645568</v>
      </c>
      <c r="W681" t="s">
        <v>53</v>
      </c>
      <c r="X681">
        <v>32474708670</v>
      </c>
      <c r="AB681" t="s">
        <v>2645</v>
      </c>
      <c r="AC681" t="s">
        <v>2646</v>
      </c>
      <c r="AE681" t="s">
        <v>2647</v>
      </c>
      <c r="AF681">
        <v>1007500726</v>
      </c>
      <c r="AJ681" t="s">
        <v>174</v>
      </c>
      <c r="AK681" t="s">
        <v>61</v>
      </c>
      <c r="AM681" t="str" cm="1">
        <f t="array" ref="AM681">_xlfn.IFS(OR(O681="Persoonlijk",O681="Zoon",O681="Dochter"),P681,OR(Q681="Persoonlijk",Q681="Zoon",Q681="Dochter"),R681,OR(S681="Persoonlijk",S681="Zoon",S681="Dochter"),T681,O681="Vader",P681,Q681="Vader",R681,S681="Vader",T681,O681="Moeder",P681,Q681="Moeder",R681,S681="Moeder",T681,TRUE,IF(P681&lt;&gt;"",P681,IF(R681&lt;&gt;"",R681,IF(T681&lt;&gt;"",T681,""))))</f>
        <v>elisabeth.vercammen@outlook.com</v>
      </c>
      <c r="AN681" t="str" cm="1">
        <f t="array" ref="AN681">_xlfn.LET(_xlpm.raw,_xlfn.IFS(OR(U681="Persoonlijk",U681="Zoon",U681="Dochter"),V681,OR(W681="Persoonlijk",W681="Zoon",W681="Dochter"),X681,OR(Y681="Persoonlijk",Y681="Zoon",Y681="Dochter"),Z681,U681="Vader",V681,W681="Vader",X681,Y681="Vader",Z681,U681="Moeder",V681,W681="Moeder",X681,Y681="Moeder",Z681,TRUE,IF(V681&lt;&gt;"",V681,IF(X681&lt;&gt;"",X681,IF(Z681&lt;&gt;"",Z681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+32494645568</v>
      </c>
    </row>
    <row r="682" spans="1:40" x14ac:dyDescent="0.3">
      <c r="A682">
        <v>2183412</v>
      </c>
      <c r="B682" t="s">
        <v>2648</v>
      </c>
      <c r="C682" t="s">
        <v>2031</v>
      </c>
      <c r="D682" t="s">
        <v>39</v>
      </c>
      <c r="E682" t="s">
        <v>40</v>
      </c>
      <c r="F682" t="s">
        <v>2649</v>
      </c>
      <c r="G682" t="s">
        <v>2650</v>
      </c>
      <c r="H682">
        <v>37</v>
      </c>
      <c r="AC682" t="s">
        <v>2651</v>
      </c>
      <c r="AF682">
        <v>1002183412</v>
      </c>
      <c r="AM682" t="str" cm="1">
        <f t="array" ref="AM682">_xlfn.IFS(OR(O682="Persoonlijk",O682="Zoon",O682="Dochter"),P682,OR(Q682="Persoonlijk",Q682="Zoon",Q682="Dochter"),R682,OR(S682="Persoonlijk",S682="Zoon",S682="Dochter"),T682,O682="Vader",P682,Q682="Vader",R682,S682="Vader",T682,O682="Moeder",P682,Q682="Moeder",R682,S682="Moeder",T682,TRUE,IF(P682&lt;&gt;"",P682,IF(R682&lt;&gt;"",R682,IF(T682&lt;&gt;"",T682,""))))</f>
        <v/>
      </c>
      <c r="AN682" t="str" cm="1">
        <f t="array" ref="AN682">_xlfn.LET(_xlpm.raw,_xlfn.IFS(OR(U682="Persoonlijk",U682="Zoon",U682="Dochter"),V682,OR(W682="Persoonlijk",W682="Zoon",W682="Dochter"),X682,OR(Y682="Persoonlijk",Y682="Zoon",Y682="Dochter"),Z682,U682="Vader",V682,W682="Vader",X682,Y682="Vader",Z682,U682="Moeder",V682,W682="Moeder",X682,Y682="Moeder",Z682,TRUE,IF(V682&lt;&gt;"",V682,IF(X682&lt;&gt;"",X682,IF(Z682&lt;&gt;"",Z682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83" spans="1:40" x14ac:dyDescent="0.3">
      <c r="A683">
        <v>2669926</v>
      </c>
      <c r="B683" t="s">
        <v>2652</v>
      </c>
      <c r="C683" t="s">
        <v>2653</v>
      </c>
      <c r="D683" t="s">
        <v>39</v>
      </c>
      <c r="E683" t="s">
        <v>49</v>
      </c>
      <c r="F683" t="s">
        <v>2654</v>
      </c>
      <c r="G683" t="s">
        <v>2655</v>
      </c>
      <c r="H683">
        <v>22</v>
      </c>
      <c r="AF683">
        <v>1002669926</v>
      </c>
      <c r="AG683">
        <v>705268</v>
      </c>
      <c r="AM683" t="str" cm="1">
        <f t="array" ref="AM683">_xlfn.IFS(OR(O683="Persoonlijk",O683="Zoon",O683="Dochter"),P683,OR(Q683="Persoonlijk",Q683="Zoon",Q683="Dochter"),R683,OR(S683="Persoonlijk",S683="Zoon",S683="Dochter"),T683,O683="Vader",P683,Q683="Vader",R683,S683="Vader",T683,O683="Moeder",P683,Q683="Moeder",R683,S683="Moeder",T683,TRUE,IF(P683&lt;&gt;"",P683,IF(R683&lt;&gt;"",R683,IF(T683&lt;&gt;"",T683,""))))</f>
        <v/>
      </c>
      <c r="AN683" t="str" cm="1">
        <f t="array" ref="AN683">_xlfn.LET(_xlpm.raw,_xlfn.IFS(OR(U683="Persoonlijk",U683="Zoon",U683="Dochter"),V683,OR(W683="Persoonlijk",W683="Zoon",W683="Dochter"),X683,OR(Y683="Persoonlijk",Y683="Zoon",Y683="Dochter"),Z683,U683="Vader",V683,W683="Vader",X683,Y683="Vader",Z683,U683="Moeder",V683,W683="Moeder",X683,Y683="Moeder",Z683,TRUE,IF(V683&lt;&gt;"",V683,IF(X683&lt;&gt;"",X683,IF(Z683&lt;&gt;"",Z683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84" spans="1:40" x14ac:dyDescent="0.3">
      <c r="A684">
        <v>3445768</v>
      </c>
      <c r="B684" t="s">
        <v>2656</v>
      </c>
      <c r="C684" t="s">
        <v>2657</v>
      </c>
      <c r="D684" t="s">
        <v>39</v>
      </c>
      <c r="E684" t="s">
        <v>40</v>
      </c>
      <c r="F684" t="s">
        <v>2658</v>
      </c>
      <c r="G684" t="s">
        <v>2659</v>
      </c>
      <c r="H684">
        <v>25</v>
      </c>
      <c r="R684" t="s">
        <v>2660</v>
      </c>
      <c r="U684" t="s">
        <v>53</v>
      </c>
      <c r="V684" t="s">
        <v>2661</v>
      </c>
      <c r="AE684" t="s">
        <v>2662</v>
      </c>
      <c r="AF684">
        <v>1003445768</v>
      </c>
      <c r="AJ684" t="s">
        <v>88</v>
      </c>
      <c r="AK684" t="s">
        <v>61</v>
      </c>
      <c r="AM684" t="str" cm="1">
        <f t="array" ref="AM684">_xlfn.IFS(OR(O684="Persoonlijk",O684="Zoon",O684="Dochter"),P684,OR(Q684="Persoonlijk",Q684="Zoon",Q684="Dochter"),R684,OR(S684="Persoonlijk",S684="Zoon",S684="Dochter"),T684,O684="Vader",P684,Q684="Vader",R684,S684="Vader",T684,O684="Moeder",P684,Q684="Moeder",R684,S684="Moeder",T684,TRUE,IF(P684&lt;&gt;"",P684,IF(R684&lt;&gt;"",R684,IF(T684&lt;&gt;"",T684,""))))</f>
        <v>natacham_davidv@hotmail.be</v>
      </c>
      <c r="AN684" t="str" cm="1">
        <f t="array" ref="AN684">_xlfn.LET(_xlpm.raw,_xlfn.IFS(OR(U684="Persoonlijk",U684="Zoon",U684="Dochter"),V684,OR(W684="Persoonlijk",W684="Zoon",W684="Dochter"),X684,OR(Y684="Persoonlijk",Y684="Zoon",Y684="Dochter"),Z684,U684="Vader",V684,W684="Vader",X684,Y684="Vader",Z684,U684="Moeder",V684,W684="Moeder",X684,Y684="Moeder",Z684,TRUE,IF(V684&lt;&gt;"",V684,IF(X684&lt;&gt;"",X684,IF(Z684&lt;&gt;"",Z684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+32498593233</v>
      </c>
    </row>
    <row r="685" spans="1:40" x14ac:dyDescent="0.3">
      <c r="A685">
        <v>3619002</v>
      </c>
      <c r="B685" t="s">
        <v>2656</v>
      </c>
      <c r="C685" t="s">
        <v>2532</v>
      </c>
      <c r="D685" t="s">
        <v>39</v>
      </c>
      <c r="E685" t="s">
        <v>49</v>
      </c>
      <c r="V685">
        <v>0</v>
      </c>
      <c r="X685">
        <v>0</v>
      </c>
      <c r="Z685">
        <v>0</v>
      </c>
      <c r="AA685">
        <v>0</v>
      </c>
      <c r="AF685">
        <v>1003619002</v>
      </c>
      <c r="AM685" t="str" cm="1">
        <f t="array" ref="AM685">_xlfn.IFS(OR(O685="Persoonlijk",O685="Zoon",O685="Dochter"),P685,OR(Q685="Persoonlijk",Q685="Zoon",Q685="Dochter"),R685,OR(S685="Persoonlijk",S685="Zoon",S685="Dochter"),T685,O685="Vader",P685,Q685="Vader",R685,S685="Vader",T685,O685="Moeder",P685,Q685="Moeder",R685,S685="Moeder",T685,TRUE,IF(P685&lt;&gt;"",P685,IF(R685&lt;&gt;"",R685,IF(T685&lt;&gt;"",T685,""))))</f>
        <v/>
      </c>
      <c r="AN685" t="str" cm="1">
        <f t="array" ref="AN685">_xlfn.LET(_xlpm.raw,_xlfn.IFS(OR(U685="Persoonlijk",U685="Zoon",U685="Dochter"),V685,OR(W685="Persoonlijk",W685="Zoon",W685="Dochter"),X685,OR(Y685="Persoonlijk",Y685="Zoon",Y685="Dochter"),Z685,U685="Vader",V685,W685="Vader",X685,Y685="Vader",Z685,U685="Moeder",V685,W685="Moeder",X685,Y685="Moeder",Z685,TRUE,IF(V685&lt;&gt;"",V685,IF(X685&lt;&gt;"",X685,IF(Z685&lt;&gt;"",Z685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86" spans="1:40" x14ac:dyDescent="0.3">
      <c r="A686">
        <v>5570242</v>
      </c>
      <c r="B686" t="s">
        <v>2663</v>
      </c>
      <c r="C686" t="s">
        <v>1272</v>
      </c>
      <c r="D686" t="s">
        <v>39</v>
      </c>
      <c r="E686" t="s">
        <v>40</v>
      </c>
      <c r="F686" t="s">
        <v>2664</v>
      </c>
      <c r="G686" t="s">
        <v>2665</v>
      </c>
      <c r="H686">
        <v>4</v>
      </c>
      <c r="Q686" t="s">
        <v>51</v>
      </c>
      <c r="R686" t="s">
        <v>2666</v>
      </c>
      <c r="U686" t="s">
        <v>53</v>
      </c>
      <c r="V686" t="s">
        <v>2667</v>
      </c>
      <c r="W686" t="s">
        <v>51</v>
      </c>
      <c r="X686" t="s">
        <v>2668</v>
      </c>
      <c r="AC686" t="s">
        <v>2669</v>
      </c>
      <c r="AF686">
        <v>1005570242</v>
      </c>
      <c r="AM686" t="str" cm="1">
        <f t="array" ref="AM686">_xlfn.IFS(OR(O686="Persoonlijk",O686="Zoon",O686="Dochter"),P686,OR(Q686="Persoonlijk",Q686="Zoon",Q686="Dochter"),R686,OR(S686="Persoonlijk",S686="Zoon",S686="Dochter"),T686,O686="Vader",P686,Q686="Vader",R686,S686="Vader",T686,O686="Moeder",P686,Q686="Moeder",R686,S686="Moeder",T686,TRUE,IF(P686&lt;&gt;"",P686,IF(R686&lt;&gt;"",R686,IF(T686&lt;&gt;"",T686,""))))</f>
        <v>antonyv@gmail.com</v>
      </c>
      <c r="AN686" t="str" cm="1">
        <f t="array" ref="AN686">_xlfn.LET(_xlpm.raw,_xlfn.IFS(OR(U686="Persoonlijk",U686="Zoon",U686="Dochter"),V686,OR(W686="Persoonlijk",W686="Zoon",W686="Dochter"),X686,OR(Y686="Persoonlijk",Y686="Zoon",Y686="Dochter"),Z686,U686="Vader",V686,W686="Vader",X686,Y686="Vader",Z686,U686="Moeder",V686,W686="Moeder",X686,Y686="Moeder",Z686,TRUE,IF(V686&lt;&gt;"",V686,IF(X686&lt;&gt;"",X686,IF(Z686&lt;&gt;"",Z686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+32470404300</v>
      </c>
    </row>
    <row r="687" spans="1:40" x14ac:dyDescent="0.3">
      <c r="A687">
        <v>3884882</v>
      </c>
      <c r="B687" t="s">
        <v>2670</v>
      </c>
      <c r="C687" t="s">
        <v>2671</v>
      </c>
      <c r="D687" t="s">
        <v>39</v>
      </c>
      <c r="E687" t="s">
        <v>40</v>
      </c>
      <c r="F687" t="s">
        <v>2672</v>
      </c>
      <c r="G687" t="s">
        <v>2673</v>
      </c>
      <c r="H687">
        <v>36</v>
      </c>
      <c r="Q687" t="s">
        <v>51</v>
      </c>
      <c r="R687" t="s">
        <v>2674</v>
      </c>
      <c r="U687" t="s">
        <v>51</v>
      </c>
      <c r="V687">
        <v>32479311550</v>
      </c>
      <c r="W687" t="s">
        <v>53</v>
      </c>
      <c r="X687">
        <v>32486860121</v>
      </c>
      <c r="AF687">
        <v>1003884882</v>
      </c>
      <c r="AJ687" t="s">
        <v>88</v>
      </c>
      <c r="AK687" t="s">
        <v>61</v>
      </c>
      <c r="AM687" t="str" cm="1">
        <f t="array" ref="AM687">_xlfn.IFS(OR(O687="Persoonlijk",O687="Zoon",O687="Dochter"),P687,OR(Q687="Persoonlijk",Q687="Zoon",Q687="Dochter"),R687,OR(S687="Persoonlijk",S687="Zoon",S687="Dochter"),T687,O687="Vader",P687,Q687="Vader",R687,S687="Vader",T687,O687="Moeder",P687,Q687="Moeder",R687,S687="Moeder",T687,TRUE,IF(P687&lt;&gt;"",P687,IF(R687&lt;&gt;"",R687,IF(T687&lt;&gt;"",T687,""))))</f>
        <v>Chrisverbrugghe@hotmail.com</v>
      </c>
      <c r="AN687" t="str" cm="1">
        <f t="array" ref="AN687">_xlfn.LET(_xlpm.raw,_xlfn.IFS(OR(U687="Persoonlijk",U687="Zoon",U687="Dochter"),V687,OR(W687="Persoonlijk",W687="Zoon",W687="Dochter"),X687,OR(Y687="Persoonlijk",Y687="Zoon",Y687="Dochter"),Z687,U687="Vader",V687,W687="Vader",X687,Y687="Vader",Z687,U687="Moeder",V687,W687="Moeder",X687,Y687="Moeder",Z687,TRUE,IF(V687&lt;&gt;"",V687,IF(X687&lt;&gt;"",X687,IF(Z687&lt;&gt;"",Z687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+32479311550</v>
      </c>
    </row>
    <row r="688" spans="1:40" x14ac:dyDescent="0.3">
      <c r="A688">
        <v>4495958</v>
      </c>
      <c r="B688" t="s">
        <v>2670</v>
      </c>
      <c r="C688" t="s">
        <v>2675</v>
      </c>
      <c r="D688" t="s">
        <v>39</v>
      </c>
      <c r="E688" t="s">
        <v>49</v>
      </c>
      <c r="F688" t="s">
        <v>2676</v>
      </c>
      <c r="V688">
        <v>0</v>
      </c>
      <c r="X688">
        <v>0</v>
      </c>
      <c r="Z688">
        <v>0</v>
      </c>
      <c r="AA688">
        <v>0</v>
      </c>
      <c r="AF688">
        <v>1004495958</v>
      </c>
      <c r="AM688" t="str" cm="1">
        <f t="array" ref="AM688">_xlfn.IFS(OR(O688="Persoonlijk",O688="Zoon",O688="Dochter"),P688,OR(Q688="Persoonlijk",Q688="Zoon",Q688="Dochter"),R688,OR(S688="Persoonlijk",S688="Zoon",S688="Dochter"),T688,O688="Vader",P688,Q688="Vader",R688,S688="Vader",T688,O688="Moeder",P688,Q688="Moeder",R688,S688="Moeder",T688,TRUE,IF(P688&lt;&gt;"",P688,IF(R688&lt;&gt;"",R688,IF(T688&lt;&gt;"",T688,""))))</f>
        <v/>
      </c>
      <c r="AN688" t="str" cm="1">
        <f t="array" ref="AN688">_xlfn.LET(_xlpm.raw,_xlfn.IFS(OR(U688="Persoonlijk",U688="Zoon",U688="Dochter"),V688,OR(W688="Persoonlijk",W688="Zoon",W688="Dochter"),X688,OR(Y688="Persoonlijk",Y688="Zoon",Y688="Dochter"),Z688,U688="Vader",V688,W688="Vader",X688,Y688="Vader",Z688,U688="Moeder",V688,W688="Moeder",X688,Y688="Moeder",Z688,TRUE,IF(V688&lt;&gt;"",V688,IF(X688&lt;&gt;"",X688,IF(Z688&lt;&gt;"",Z688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89" spans="1:40" x14ac:dyDescent="0.3">
      <c r="A689">
        <v>4361675</v>
      </c>
      <c r="B689" t="s">
        <v>2677</v>
      </c>
      <c r="C689" t="s">
        <v>378</v>
      </c>
      <c r="D689" t="s">
        <v>39</v>
      </c>
      <c r="E689" t="s">
        <v>49</v>
      </c>
      <c r="F689" t="s">
        <v>2678</v>
      </c>
      <c r="G689" t="s">
        <v>342</v>
      </c>
      <c r="H689">
        <v>110</v>
      </c>
      <c r="AC689" t="s">
        <v>2679</v>
      </c>
      <c r="AD689">
        <v>7</v>
      </c>
      <c r="AE689" t="s">
        <v>2680</v>
      </c>
      <c r="AF689">
        <v>1004361675</v>
      </c>
      <c r="AG689">
        <v>222635</v>
      </c>
      <c r="AM689" t="str" cm="1">
        <f t="array" ref="AM689">_xlfn.IFS(OR(O689="Persoonlijk",O689="Zoon",O689="Dochter"),P689,OR(Q689="Persoonlijk",Q689="Zoon",Q689="Dochter"),R689,OR(S689="Persoonlijk",S689="Zoon",S689="Dochter"),T689,O689="Vader",P689,Q689="Vader",R689,S689="Vader",T689,O689="Moeder",P689,Q689="Moeder",R689,S689="Moeder",T689,TRUE,IF(P689&lt;&gt;"",P689,IF(R689&lt;&gt;"",R689,IF(T689&lt;&gt;"",T689,""))))</f>
        <v/>
      </c>
      <c r="AN689" t="str" cm="1">
        <f t="array" ref="AN689">_xlfn.LET(_xlpm.raw,_xlfn.IFS(OR(U689="Persoonlijk",U689="Zoon",U689="Dochter"),V689,OR(W689="Persoonlijk",W689="Zoon",W689="Dochter"),X689,OR(Y689="Persoonlijk",Y689="Zoon",Y689="Dochter"),Z689,U689="Vader",V689,W689="Vader",X689,Y689="Vader",Z689,U689="Moeder",V689,W689="Moeder",X689,Y689="Moeder",Z689,TRUE,IF(V689&lt;&gt;"",V689,IF(X689&lt;&gt;"",X689,IF(Z689&lt;&gt;"",Z689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90" spans="1:40" x14ac:dyDescent="0.3">
      <c r="A690">
        <v>7664134</v>
      </c>
      <c r="B690" t="s">
        <v>2681</v>
      </c>
      <c r="C690" t="s">
        <v>2077</v>
      </c>
      <c r="D690" t="s">
        <v>39</v>
      </c>
      <c r="E690" t="s">
        <v>49</v>
      </c>
      <c r="V690">
        <v>0</v>
      </c>
      <c r="X690">
        <v>0</v>
      </c>
      <c r="Z690">
        <v>0</v>
      </c>
      <c r="AA690">
        <v>0</v>
      </c>
      <c r="AE690" t="s">
        <v>2682</v>
      </c>
      <c r="AF690">
        <v>1007664134</v>
      </c>
      <c r="AM690" t="str" cm="1">
        <f t="array" ref="AM690">_xlfn.IFS(OR(O690="Persoonlijk",O690="Zoon",O690="Dochter"),P690,OR(Q690="Persoonlijk",Q690="Zoon",Q690="Dochter"),R690,OR(S690="Persoonlijk",S690="Zoon",S690="Dochter"),T690,O690="Vader",P690,Q690="Vader",R690,S690="Vader",T690,O690="Moeder",P690,Q690="Moeder",R690,S690="Moeder",T690,TRUE,IF(P690&lt;&gt;"",P690,IF(R690&lt;&gt;"",R690,IF(T690&lt;&gt;"",T690,""))))</f>
        <v/>
      </c>
      <c r="AN690" t="str" cm="1">
        <f t="array" ref="AN690">_xlfn.LET(_xlpm.raw,_xlfn.IFS(OR(U690="Persoonlijk",U690="Zoon",U690="Dochter"),V690,OR(W690="Persoonlijk",W690="Zoon",W690="Dochter"),X690,OR(Y690="Persoonlijk",Y690="Zoon",Y690="Dochter"),Z690,U690="Vader",V690,W690="Vader",X690,Y690="Vader",Z690,U690="Moeder",V690,W690="Moeder",X690,Y690="Moeder",Z690,TRUE,IF(V690&lt;&gt;"",V690,IF(X690&lt;&gt;"",X690,IF(Z690&lt;&gt;"",Z690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91" spans="1:40" x14ac:dyDescent="0.3">
      <c r="A691">
        <v>3618721</v>
      </c>
      <c r="B691" t="s">
        <v>2683</v>
      </c>
      <c r="C691" t="s">
        <v>2684</v>
      </c>
      <c r="D691" t="s">
        <v>39</v>
      </c>
      <c r="E691" t="s">
        <v>40</v>
      </c>
      <c r="F691" t="s">
        <v>2685</v>
      </c>
      <c r="G691" t="s">
        <v>92</v>
      </c>
      <c r="H691">
        <v>68</v>
      </c>
      <c r="U691" t="s">
        <v>53</v>
      </c>
      <c r="V691" t="s">
        <v>2686</v>
      </c>
      <c r="AF691">
        <v>1003618721</v>
      </c>
      <c r="AM691" t="str" cm="1">
        <f t="array" ref="AM691">_xlfn.IFS(OR(O691="Persoonlijk",O691="Zoon",O691="Dochter"),P691,OR(Q691="Persoonlijk",Q691="Zoon",Q691="Dochter"),R691,OR(S691="Persoonlijk",S691="Zoon",S691="Dochter"),T691,O691="Vader",P691,Q691="Vader",R691,S691="Vader",T691,O691="Moeder",P691,Q691="Moeder",R691,S691="Moeder",T691,TRUE,IF(P691&lt;&gt;"",P691,IF(R691&lt;&gt;"",R691,IF(T691&lt;&gt;"",T691,""))))</f>
        <v/>
      </c>
      <c r="AN691" t="str" cm="1">
        <f t="array" ref="AN691">_xlfn.LET(_xlpm.raw,_xlfn.IFS(OR(U691="Persoonlijk",U691="Zoon",U691="Dochter"),V691,OR(W691="Persoonlijk",W691="Zoon",W691="Dochter"),X691,OR(Y691="Persoonlijk",Y691="Zoon",Y691="Dochter"),Z691,U691="Vader",V691,W691="Vader",X691,Y691="Vader",Z691,U691="Moeder",V691,W691="Moeder",X691,Y691="Moeder",Z691,TRUE,IF(V691&lt;&gt;"",V691,IF(X691&lt;&gt;"",X691,IF(Z691&lt;&gt;"",Z691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+32484692806</v>
      </c>
    </row>
    <row r="692" spans="1:40" x14ac:dyDescent="0.3">
      <c r="A692">
        <v>3706826</v>
      </c>
      <c r="B692" t="s">
        <v>2687</v>
      </c>
      <c r="C692" t="s">
        <v>2688</v>
      </c>
      <c r="D692" t="s">
        <v>39</v>
      </c>
      <c r="E692" t="s">
        <v>49</v>
      </c>
      <c r="F692" t="s">
        <v>2689</v>
      </c>
      <c r="G692" t="s">
        <v>2690</v>
      </c>
      <c r="H692">
        <v>4</v>
      </c>
      <c r="Q692" t="s">
        <v>53</v>
      </c>
      <c r="R692" t="s">
        <v>2691</v>
      </c>
      <c r="S692" t="s">
        <v>46</v>
      </c>
      <c r="T692" t="s">
        <v>2692</v>
      </c>
      <c r="AC692" t="s">
        <v>2693</v>
      </c>
      <c r="AD692">
        <v>9</v>
      </c>
      <c r="AE692" t="s">
        <v>2694</v>
      </c>
      <c r="AF692">
        <v>1003706826</v>
      </c>
      <c r="AJ692" t="s">
        <v>60</v>
      </c>
      <c r="AK692" t="s">
        <v>61</v>
      </c>
      <c r="AM692" t="str" cm="1">
        <f t="array" ref="AM692">_xlfn.IFS(OR(O692="Persoonlijk",O692="Zoon",O692="Dochter"),P692,OR(Q692="Persoonlijk",Q692="Zoon",Q692="Dochter"),R692,OR(S692="Persoonlijk",S692="Zoon",S692="Dochter"),T692,O692="Vader",P692,Q692="Vader",R692,S692="Vader",T692,O692="Moeder",P692,Q692="Moeder",R692,S692="Moeder",T692,TRUE,IF(P692&lt;&gt;"",P692,IF(R692&lt;&gt;"",R692,IF(T692&lt;&gt;"",T692,""))))</f>
        <v>verhaeghelente@gmail.com</v>
      </c>
      <c r="AN692" t="str" cm="1">
        <f t="array" ref="AN692">_xlfn.LET(_xlpm.raw,_xlfn.IFS(OR(U692="Persoonlijk",U692="Zoon",U692="Dochter"),V692,OR(W692="Persoonlijk",W692="Zoon",W692="Dochter"),X692,OR(Y692="Persoonlijk",Y692="Zoon",Y692="Dochter"),Z692,U692="Vader",V692,W692="Vader",X692,Y692="Vader",Z692,U692="Moeder",V692,W692="Moeder",X692,Y692="Moeder",Z692,TRUE,IF(V692&lt;&gt;"",V692,IF(X692&lt;&gt;"",X692,IF(Z692&lt;&gt;"",Z692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93" spans="1:40" x14ac:dyDescent="0.3">
      <c r="A693">
        <v>3706826</v>
      </c>
      <c r="B693" t="s">
        <v>2687</v>
      </c>
      <c r="C693" t="s">
        <v>2688</v>
      </c>
      <c r="D693" t="s">
        <v>39</v>
      </c>
      <c r="E693" t="s">
        <v>49</v>
      </c>
      <c r="F693" t="s">
        <v>2689</v>
      </c>
      <c r="G693" t="s">
        <v>2690</v>
      </c>
      <c r="H693">
        <v>4</v>
      </c>
      <c r="Q693" t="s">
        <v>53</v>
      </c>
      <c r="R693" t="s">
        <v>2691</v>
      </c>
      <c r="S693" t="s">
        <v>46</v>
      </c>
      <c r="T693" t="s">
        <v>2692</v>
      </c>
      <c r="AC693" t="s">
        <v>2693</v>
      </c>
      <c r="AD693">
        <v>9</v>
      </c>
      <c r="AE693" t="s">
        <v>2694</v>
      </c>
      <c r="AF693">
        <v>1003706826</v>
      </c>
      <c r="AJ693" t="s">
        <v>63</v>
      </c>
      <c r="AK693" t="s">
        <v>61</v>
      </c>
      <c r="AM693" t="str" cm="1">
        <f t="array" ref="AM693">_xlfn.IFS(OR(O693="Persoonlijk",O693="Zoon",O693="Dochter"),P693,OR(Q693="Persoonlijk",Q693="Zoon",Q693="Dochter"),R693,OR(S693="Persoonlijk",S693="Zoon",S693="Dochter"),T693,O693="Vader",P693,Q693="Vader",R693,S693="Vader",T693,O693="Moeder",P693,Q693="Moeder",R693,S693="Moeder",T693,TRUE,IF(P693&lt;&gt;"",P693,IF(R693&lt;&gt;"",R693,IF(T693&lt;&gt;"",T693,""))))</f>
        <v>verhaeghelente@gmail.com</v>
      </c>
      <c r="AN693" t="str" cm="1">
        <f t="array" ref="AN693">_xlfn.LET(_xlpm.raw,_xlfn.IFS(OR(U693="Persoonlijk",U693="Zoon",U693="Dochter"),V693,OR(W693="Persoonlijk",W693="Zoon",W693="Dochter"),X693,OR(Y693="Persoonlijk",Y693="Zoon",Y693="Dochter"),Z693,U693="Vader",V693,W693="Vader",X693,Y693="Vader",Z693,U693="Moeder",V693,W693="Moeder",X693,Y693="Moeder",Z693,TRUE,IF(V693&lt;&gt;"",V693,IF(X693&lt;&gt;"",X693,IF(Z693&lt;&gt;"",Z693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94" spans="1:40" x14ac:dyDescent="0.3">
      <c r="A694">
        <v>3706826</v>
      </c>
      <c r="B694" t="s">
        <v>2687</v>
      </c>
      <c r="C694" t="s">
        <v>2688</v>
      </c>
      <c r="D694" t="s">
        <v>39</v>
      </c>
      <c r="E694" t="s">
        <v>49</v>
      </c>
      <c r="F694" t="s">
        <v>2689</v>
      </c>
      <c r="G694" t="s">
        <v>2690</v>
      </c>
      <c r="H694">
        <v>4</v>
      </c>
      <c r="Q694" t="s">
        <v>53</v>
      </c>
      <c r="R694" t="s">
        <v>2691</v>
      </c>
      <c r="S694" t="s">
        <v>46</v>
      </c>
      <c r="T694" t="s">
        <v>2692</v>
      </c>
      <c r="AC694" t="s">
        <v>2693</v>
      </c>
      <c r="AD694">
        <v>9</v>
      </c>
      <c r="AE694" t="s">
        <v>2694</v>
      </c>
      <c r="AF694">
        <v>1003706826</v>
      </c>
      <c r="AJ694" t="s">
        <v>323</v>
      </c>
      <c r="AK694" t="s">
        <v>61</v>
      </c>
      <c r="AM694" t="str" cm="1">
        <f t="array" ref="AM694">_xlfn.IFS(OR(O694="Persoonlijk",O694="Zoon",O694="Dochter"),P694,OR(Q694="Persoonlijk",Q694="Zoon",Q694="Dochter"),R694,OR(S694="Persoonlijk",S694="Zoon",S694="Dochter"),T694,O694="Vader",P694,Q694="Vader",R694,S694="Vader",T694,O694="Moeder",P694,Q694="Moeder",R694,S694="Moeder",T694,TRUE,IF(P694&lt;&gt;"",P694,IF(R694&lt;&gt;"",R694,IF(T694&lt;&gt;"",T694,""))))</f>
        <v>verhaeghelente@gmail.com</v>
      </c>
      <c r="AN694" t="str" cm="1">
        <f t="array" ref="AN694">_xlfn.LET(_xlpm.raw,_xlfn.IFS(OR(U694="Persoonlijk",U694="Zoon",U694="Dochter"),V694,OR(W694="Persoonlijk",W694="Zoon",W694="Dochter"),X694,OR(Y694="Persoonlijk",Y694="Zoon",Y694="Dochter"),Z694,U694="Vader",V694,W694="Vader",X694,Y694="Vader",Z694,U694="Moeder",V694,W694="Moeder",X694,Y694="Moeder",Z694,TRUE,IF(V694&lt;&gt;"",V694,IF(X694&lt;&gt;"",X694,IF(Z694&lt;&gt;"",Z694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95" spans="1:40" x14ac:dyDescent="0.3">
      <c r="A695">
        <v>9480443</v>
      </c>
      <c r="B695" t="s">
        <v>2695</v>
      </c>
      <c r="C695" t="s">
        <v>2696</v>
      </c>
      <c r="D695" t="s">
        <v>39</v>
      </c>
      <c r="E695" t="s">
        <v>49</v>
      </c>
      <c r="F695" t="s">
        <v>2697</v>
      </c>
      <c r="G695" t="s">
        <v>448</v>
      </c>
      <c r="H695">
        <v>25</v>
      </c>
      <c r="AA695" t="s">
        <v>2698</v>
      </c>
      <c r="AC695" t="s">
        <v>2699</v>
      </c>
      <c r="AF695">
        <v>1009480443</v>
      </c>
      <c r="AG695">
        <v>181550</v>
      </c>
      <c r="AJ695" t="s">
        <v>192</v>
      </c>
      <c r="AK695" t="s">
        <v>65</v>
      </c>
      <c r="AM695" t="str" cm="1">
        <f t="array" ref="AM695">_xlfn.IFS(OR(O695="Persoonlijk",O695="Zoon",O695="Dochter"),P695,OR(Q695="Persoonlijk",Q695="Zoon",Q695="Dochter"),R695,OR(S695="Persoonlijk",S695="Zoon",S695="Dochter"),T695,O695="Vader",P695,Q695="Vader",R695,S695="Vader",T695,O695="Moeder",P695,Q695="Moeder",R695,S695="Moeder",T695,TRUE,IF(P695&lt;&gt;"",P695,IF(R695&lt;&gt;"",R695,IF(T695&lt;&gt;"",T695,""))))</f>
        <v/>
      </c>
      <c r="AN695" t="str" cm="1">
        <f t="array" ref="AN695">_xlfn.LET(_xlpm.raw,_xlfn.IFS(OR(U695="Persoonlijk",U695="Zoon",U695="Dochter"),V695,OR(W695="Persoonlijk",W695="Zoon",W695="Dochter"),X695,OR(Y695="Persoonlijk",Y695="Zoon",Y695="Dochter"),Z695,U695="Vader",V695,W695="Vader",X695,Y695="Vader",Z695,U695="Moeder",V695,W695="Moeder",X695,Y695="Moeder",Z695,TRUE,IF(V695&lt;&gt;"",V695,IF(X695&lt;&gt;"",X695,IF(Z695&lt;&gt;"",Z695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96" spans="1:40" x14ac:dyDescent="0.3">
      <c r="A696">
        <v>2183417</v>
      </c>
      <c r="B696" t="s">
        <v>2700</v>
      </c>
      <c r="C696" t="s">
        <v>2701</v>
      </c>
      <c r="D696" t="s">
        <v>39</v>
      </c>
      <c r="E696" t="s">
        <v>40</v>
      </c>
      <c r="F696" t="s">
        <v>2702</v>
      </c>
      <c r="G696" t="s">
        <v>2703</v>
      </c>
      <c r="H696">
        <v>35</v>
      </c>
      <c r="AC696" t="s">
        <v>2704</v>
      </c>
      <c r="AF696">
        <v>1002183417</v>
      </c>
      <c r="AM696" t="str" cm="1">
        <f t="array" ref="AM696">_xlfn.IFS(OR(O696="Persoonlijk",O696="Zoon",O696="Dochter"),P696,OR(Q696="Persoonlijk",Q696="Zoon",Q696="Dochter"),R696,OR(S696="Persoonlijk",S696="Zoon",S696="Dochter"),T696,O696="Vader",P696,Q696="Vader",R696,S696="Vader",T696,O696="Moeder",P696,Q696="Moeder",R696,S696="Moeder",T696,TRUE,IF(P696&lt;&gt;"",P696,IF(R696&lt;&gt;"",R696,IF(T696&lt;&gt;"",T696,""))))</f>
        <v/>
      </c>
      <c r="AN696" t="str" cm="1">
        <f t="array" ref="AN696">_xlfn.LET(_xlpm.raw,_xlfn.IFS(OR(U696="Persoonlijk",U696="Zoon",U696="Dochter"),V696,OR(W696="Persoonlijk",W696="Zoon",W696="Dochter"),X696,OR(Y696="Persoonlijk",Y696="Zoon",Y696="Dochter"),Z696,U696="Vader",V696,W696="Vader",X696,Y696="Vader",Z696,U696="Moeder",V696,W696="Moeder",X696,Y696="Moeder",Z696,TRUE,IF(V696&lt;&gt;"",V696,IF(X696&lt;&gt;"",X696,IF(Z696&lt;&gt;"",Z696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97" spans="1:40" x14ac:dyDescent="0.3">
      <c r="A697">
        <v>6109376</v>
      </c>
      <c r="B697" t="s">
        <v>2700</v>
      </c>
      <c r="C697" t="s">
        <v>2705</v>
      </c>
      <c r="D697" t="s">
        <v>39</v>
      </c>
      <c r="E697" t="s">
        <v>40</v>
      </c>
      <c r="F697" t="s">
        <v>2706</v>
      </c>
      <c r="G697" t="s">
        <v>2707</v>
      </c>
      <c r="U697" t="s">
        <v>53</v>
      </c>
      <c r="V697" t="s">
        <v>2708</v>
      </c>
      <c r="AC697" t="s">
        <v>2709</v>
      </c>
      <c r="AF697">
        <v>1006109376</v>
      </c>
      <c r="AJ697" t="s">
        <v>83</v>
      </c>
      <c r="AK697" t="s">
        <v>61</v>
      </c>
      <c r="AM697" t="str" cm="1">
        <f t="array" ref="AM697">_xlfn.IFS(OR(O697="Persoonlijk",O697="Zoon",O697="Dochter"),P697,OR(Q697="Persoonlijk",Q697="Zoon",Q697="Dochter"),R697,OR(S697="Persoonlijk",S697="Zoon",S697="Dochter"),T697,O697="Vader",P697,Q697="Vader",R697,S697="Vader",T697,O697="Moeder",P697,Q697="Moeder",R697,S697="Moeder",T697,TRUE,IF(P697&lt;&gt;"",P697,IF(R697&lt;&gt;"",R697,IF(T697&lt;&gt;"",T697,""))))</f>
        <v/>
      </c>
      <c r="AN697" t="str" cm="1">
        <f t="array" ref="AN697">_xlfn.LET(_xlpm.raw,_xlfn.IFS(OR(U697="Persoonlijk",U697="Zoon",U697="Dochter"),V697,OR(W697="Persoonlijk",W697="Zoon",W697="Dochter"),X697,OR(Y697="Persoonlijk",Y697="Zoon",Y697="Dochter"),Z697,U697="Vader",V697,W697="Vader",X697,Y697="Vader",Z697,U697="Moeder",V697,W697="Moeder",X697,Y697="Moeder",Z697,TRUE,IF(V697&lt;&gt;"",V697,IF(X697&lt;&gt;"",X697,IF(Z697&lt;&gt;"",Z697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+32470229908</v>
      </c>
    </row>
    <row r="698" spans="1:40" x14ac:dyDescent="0.3">
      <c r="A698">
        <v>2183422</v>
      </c>
      <c r="B698" t="s">
        <v>2710</v>
      </c>
      <c r="C698" t="s">
        <v>2711</v>
      </c>
      <c r="D698" t="s">
        <v>39</v>
      </c>
      <c r="E698" t="s">
        <v>40</v>
      </c>
      <c r="F698" t="s">
        <v>2712</v>
      </c>
      <c r="G698" t="s">
        <v>2713</v>
      </c>
      <c r="H698">
        <v>579</v>
      </c>
      <c r="AC698" t="s">
        <v>2714</v>
      </c>
      <c r="AF698">
        <v>1002183422</v>
      </c>
      <c r="AM698" t="str" cm="1">
        <f t="array" ref="AM698">_xlfn.IFS(OR(O698="Persoonlijk",O698="Zoon",O698="Dochter"),P698,OR(Q698="Persoonlijk",Q698="Zoon",Q698="Dochter"),R698,OR(S698="Persoonlijk",S698="Zoon",S698="Dochter"),T698,O698="Vader",P698,Q698="Vader",R698,S698="Vader",T698,O698="Moeder",P698,Q698="Moeder",R698,S698="Moeder",T698,TRUE,IF(P698&lt;&gt;"",P698,IF(R698&lt;&gt;"",R698,IF(T698&lt;&gt;"",T698,""))))</f>
        <v/>
      </c>
      <c r="AN698" t="str" cm="1">
        <f t="array" ref="AN698">_xlfn.LET(_xlpm.raw,_xlfn.IFS(OR(U698="Persoonlijk",U698="Zoon",U698="Dochter"),V698,OR(W698="Persoonlijk",W698="Zoon",W698="Dochter"),X698,OR(Y698="Persoonlijk",Y698="Zoon",Y698="Dochter"),Z698,U698="Vader",V698,W698="Vader",X698,Y698="Vader",Z698,U698="Moeder",V698,W698="Moeder",X698,Y698="Moeder",Z698,TRUE,IF(V698&lt;&gt;"",V698,IF(X698&lt;&gt;"",X698,IF(Z698&lt;&gt;"",Z698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99" spans="1:40" x14ac:dyDescent="0.3">
      <c r="A699">
        <v>4396685</v>
      </c>
      <c r="B699" t="s">
        <v>2715</v>
      </c>
      <c r="C699" t="s">
        <v>2413</v>
      </c>
      <c r="D699" t="s">
        <v>39</v>
      </c>
      <c r="E699" t="s">
        <v>49</v>
      </c>
      <c r="F699" t="s">
        <v>2716</v>
      </c>
      <c r="G699" t="s">
        <v>2717</v>
      </c>
      <c r="H699" t="s">
        <v>2718</v>
      </c>
      <c r="R699" t="s">
        <v>2719</v>
      </c>
      <c r="U699" t="s">
        <v>51</v>
      </c>
      <c r="V699" t="s">
        <v>2720</v>
      </c>
      <c r="W699" t="s">
        <v>56</v>
      </c>
      <c r="X699" t="s">
        <v>2721</v>
      </c>
      <c r="AC699" t="s">
        <v>2722</v>
      </c>
      <c r="AF699">
        <v>1004396685</v>
      </c>
      <c r="AJ699" t="s">
        <v>97</v>
      </c>
      <c r="AK699" t="s">
        <v>61</v>
      </c>
      <c r="AM699" t="str" cm="1">
        <f t="array" ref="AM699">_xlfn.IFS(OR(O699="Persoonlijk",O699="Zoon",O699="Dochter"),P699,OR(Q699="Persoonlijk",Q699="Zoon",Q699="Dochter"),R699,OR(S699="Persoonlijk",S699="Zoon",S699="Dochter"),T699,O699="Vader",P699,Q699="Vader",R699,S699="Vader",T699,O699="Moeder",P699,Q699="Moeder",R699,S699="Moeder",T699,TRUE,IF(P699&lt;&gt;"",P699,IF(R699&lt;&gt;"",R699,IF(T699&lt;&gt;"",T699,""))))</f>
        <v>emma.verleyen094@gmail.com</v>
      </c>
      <c r="AN699" t="str" cm="1">
        <f t="array" ref="AN699">_xlfn.LET(_xlpm.raw,_xlfn.IFS(OR(U699="Persoonlijk",U699="Zoon",U699="Dochter"),V699,OR(W699="Persoonlijk",W699="Zoon",W699="Dochter"),X699,OR(Y699="Persoonlijk",Y699="Zoon",Y699="Dochter"),Z699,U699="Vader",V699,W699="Vader",X699,Y699="Vader",Z699,U699="Moeder",V699,W699="Moeder",X699,Y699="Moeder",Z699,TRUE,IF(V699&lt;&gt;"",V699,IF(X699&lt;&gt;"",X699,IF(Z699&lt;&gt;"",Z699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+32496129595</v>
      </c>
    </row>
    <row r="700" spans="1:40" x14ac:dyDescent="0.3">
      <c r="A700">
        <v>4396685</v>
      </c>
      <c r="B700" t="s">
        <v>2715</v>
      </c>
      <c r="C700" t="s">
        <v>2413</v>
      </c>
      <c r="D700" t="s">
        <v>39</v>
      </c>
      <c r="E700" t="s">
        <v>49</v>
      </c>
      <c r="F700" t="s">
        <v>2716</v>
      </c>
      <c r="G700" t="s">
        <v>2717</v>
      </c>
      <c r="H700" t="s">
        <v>2718</v>
      </c>
      <c r="R700" t="s">
        <v>2719</v>
      </c>
      <c r="U700" t="s">
        <v>51</v>
      </c>
      <c r="V700" t="s">
        <v>2720</v>
      </c>
      <c r="W700" t="s">
        <v>56</v>
      </c>
      <c r="X700" t="s">
        <v>2721</v>
      </c>
      <c r="AC700" t="s">
        <v>2722</v>
      </c>
      <c r="AF700">
        <v>1004396685</v>
      </c>
      <c r="AJ700" t="s">
        <v>63</v>
      </c>
      <c r="AK700" t="s">
        <v>61</v>
      </c>
      <c r="AM700" t="str" cm="1">
        <f t="array" ref="AM700">_xlfn.IFS(OR(O700="Persoonlijk",O700="Zoon",O700="Dochter"),P700,OR(Q700="Persoonlijk",Q700="Zoon",Q700="Dochter"),R700,OR(S700="Persoonlijk",S700="Zoon",S700="Dochter"),T700,O700="Vader",P700,Q700="Vader",R700,S700="Vader",T700,O700="Moeder",P700,Q700="Moeder",R700,S700="Moeder",T700,TRUE,IF(P700&lt;&gt;"",P700,IF(R700&lt;&gt;"",R700,IF(T700&lt;&gt;"",T700,""))))</f>
        <v>emma.verleyen094@gmail.com</v>
      </c>
      <c r="AN700" t="str" cm="1">
        <f t="array" ref="AN700">_xlfn.LET(_xlpm.raw,_xlfn.IFS(OR(U700="Persoonlijk",U700="Zoon",U700="Dochter"),V700,OR(W700="Persoonlijk",W700="Zoon",W700="Dochter"),X700,OR(Y700="Persoonlijk",Y700="Zoon",Y700="Dochter"),Z700,U700="Vader",V700,W700="Vader",X700,Y700="Vader",Z700,U700="Moeder",V700,W700="Moeder",X700,Y700="Moeder",Z700,TRUE,IF(V700&lt;&gt;"",V700,IF(X700&lt;&gt;"",X700,IF(Z700&lt;&gt;"",Z700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+32496129595</v>
      </c>
    </row>
    <row r="701" spans="1:40" x14ac:dyDescent="0.3">
      <c r="A701">
        <v>2183427</v>
      </c>
      <c r="B701" t="s">
        <v>2723</v>
      </c>
      <c r="C701" t="s">
        <v>1937</v>
      </c>
      <c r="D701" t="s">
        <v>39</v>
      </c>
      <c r="E701" t="s">
        <v>40</v>
      </c>
      <c r="F701" t="s">
        <v>2724</v>
      </c>
      <c r="G701" t="s">
        <v>2725</v>
      </c>
      <c r="H701">
        <v>7</v>
      </c>
      <c r="U701" t="s">
        <v>53</v>
      </c>
      <c r="V701" t="s">
        <v>2726</v>
      </c>
      <c r="AC701" t="s">
        <v>2727</v>
      </c>
      <c r="AF701">
        <v>1002183427</v>
      </c>
      <c r="AG701">
        <v>733989</v>
      </c>
      <c r="AJ701" t="s">
        <v>121</v>
      </c>
      <c r="AK701" t="s">
        <v>61</v>
      </c>
      <c r="AM701" t="str" cm="1">
        <f t="array" ref="AM701">_xlfn.IFS(OR(O701="Persoonlijk",O701="Zoon",O701="Dochter"),P701,OR(Q701="Persoonlijk",Q701="Zoon",Q701="Dochter"),R701,OR(S701="Persoonlijk",S701="Zoon",S701="Dochter"),T701,O701="Vader",P701,Q701="Vader",R701,S701="Vader",T701,O701="Moeder",P701,Q701="Moeder",R701,S701="Moeder",T701,TRUE,IF(P701&lt;&gt;"",P701,IF(R701&lt;&gt;"",R701,IF(T701&lt;&gt;"",T701,""))))</f>
        <v/>
      </c>
      <c r="AN701" t="str" cm="1">
        <f t="array" ref="AN701">_xlfn.LET(_xlpm.raw,_xlfn.IFS(OR(U701="Persoonlijk",U701="Zoon",U701="Dochter"),V701,OR(W701="Persoonlijk",W701="Zoon",W701="Dochter"),X701,OR(Y701="Persoonlijk",Y701="Zoon",Y701="Dochter"),Z701,U701="Vader",V701,W701="Vader",X701,Y701="Vader",Z701,U701="Moeder",V701,W701="Moeder",X701,Y701="Moeder",Z701,TRUE,IF(V701&lt;&gt;"",V701,IF(X701&lt;&gt;"",X701,IF(Z701&lt;&gt;"",Z701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+32478376691</v>
      </c>
    </row>
    <row r="702" spans="1:40" x14ac:dyDescent="0.3">
      <c r="A702">
        <v>2183432</v>
      </c>
      <c r="B702" t="s">
        <v>2723</v>
      </c>
      <c r="C702" t="s">
        <v>2728</v>
      </c>
      <c r="D702" t="s">
        <v>39</v>
      </c>
      <c r="E702" t="s">
        <v>40</v>
      </c>
      <c r="F702" t="s">
        <v>2729</v>
      </c>
      <c r="G702" t="s">
        <v>2730</v>
      </c>
      <c r="H702">
        <v>82</v>
      </c>
      <c r="AC702" t="s">
        <v>2731</v>
      </c>
      <c r="AF702">
        <v>1002183432</v>
      </c>
      <c r="AM702" t="str" cm="1">
        <f t="array" ref="AM702">_xlfn.IFS(OR(O702="Persoonlijk",O702="Zoon",O702="Dochter"),P702,OR(Q702="Persoonlijk",Q702="Zoon",Q702="Dochter"),R702,OR(S702="Persoonlijk",S702="Zoon",S702="Dochter"),T702,O702="Vader",P702,Q702="Vader",R702,S702="Vader",T702,O702="Moeder",P702,Q702="Moeder",R702,S702="Moeder",T702,TRUE,IF(P702&lt;&gt;"",P702,IF(R702&lt;&gt;"",R702,IF(T702&lt;&gt;"",T702,""))))</f>
        <v/>
      </c>
      <c r="AN702" t="str" cm="1">
        <f t="array" ref="AN702">_xlfn.LET(_xlpm.raw,_xlfn.IFS(OR(U702="Persoonlijk",U702="Zoon",U702="Dochter"),V702,OR(W702="Persoonlijk",W702="Zoon",W702="Dochter"),X702,OR(Y702="Persoonlijk",Y702="Zoon",Y702="Dochter"),Z702,U702="Vader",V702,W702="Vader",X702,Y702="Vader",Z702,U702="Moeder",V702,W702="Moeder",X702,Y702="Moeder",Z702,TRUE,IF(V702&lt;&gt;"",V702,IF(X702&lt;&gt;"",X702,IF(Z702&lt;&gt;"",Z702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03" spans="1:40" x14ac:dyDescent="0.3">
      <c r="A703">
        <v>3451561</v>
      </c>
      <c r="B703" t="s">
        <v>2723</v>
      </c>
      <c r="C703" t="s">
        <v>1631</v>
      </c>
      <c r="D703" t="s">
        <v>39</v>
      </c>
      <c r="E703" t="s">
        <v>40</v>
      </c>
      <c r="F703" t="s">
        <v>2732</v>
      </c>
      <c r="G703" t="s">
        <v>2733</v>
      </c>
      <c r="H703">
        <v>21</v>
      </c>
      <c r="U703" t="s">
        <v>51</v>
      </c>
      <c r="V703">
        <v>32486682066</v>
      </c>
      <c r="W703" t="s">
        <v>53</v>
      </c>
      <c r="X703">
        <v>32499238387</v>
      </c>
      <c r="AF703">
        <v>1003451561</v>
      </c>
      <c r="AJ703" t="s">
        <v>63</v>
      </c>
      <c r="AK703" t="s">
        <v>61</v>
      </c>
      <c r="AM703" t="str" cm="1">
        <f t="array" ref="AM703">_xlfn.IFS(OR(O703="Persoonlijk",O703="Zoon",O703="Dochter"),P703,OR(Q703="Persoonlijk",Q703="Zoon",Q703="Dochter"),R703,OR(S703="Persoonlijk",S703="Zoon",S703="Dochter"),T703,O703="Vader",P703,Q703="Vader",R703,S703="Vader",T703,O703="Moeder",P703,Q703="Moeder",R703,S703="Moeder",T703,TRUE,IF(P703&lt;&gt;"",P703,IF(R703&lt;&gt;"",R703,IF(T703&lt;&gt;"",T703,""))))</f>
        <v/>
      </c>
      <c r="AN703" t="str" cm="1">
        <f t="array" ref="AN703">_xlfn.LET(_xlpm.raw,_xlfn.IFS(OR(U703="Persoonlijk",U703="Zoon",U703="Dochter"),V703,OR(W703="Persoonlijk",W703="Zoon",W703="Dochter"),X703,OR(Y703="Persoonlijk",Y703="Zoon",Y703="Dochter"),Z703,U703="Vader",V703,W703="Vader",X703,Y703="Vader",Z703,U703="Moeder",V703,W703="Moeder",X703,Y703="Moeder",Z703,TRUE,IF(V703&lt;&gt;"",V703,IF(X703&lt;&gt;"",X703,IF(Z703&lt;&gt;"",Z703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+32486682066</v>
      </c>
    </row>
    <row r="704" spans="1:40" x14ac:dyDescent="0.3">
      <c r="A704">
        <v>3451561</v>
      </c>
      <c r="B704" t="s">
        <v>2723</v>
      </c>
      <c r="C704" t="s">
        <v>1631</v>
      </c>
      <c r="D704" t="s">
        <v>39</v>
      </c>
      <c r="E704" t="s">
        <v>40</v>
      </c>
      <c r="F704" t="s">
        <v>2732</v>
      </c>
      <c r="G704" t="s">
        <v>2733</v>
      </c>
      <c r="H704">
        <v>21</v>
      </c>
      <c r="U704" t="s">
        <v>51</v>
      </c>
      <c r="V704">
        <v>32486682066</v>
      </c>
      <c r="W704" t="s">
        <v>53</v>
      </c>
      <c r="X704">
        <v>32499238387</v>
      </c>
      <c r="AF704">
        <v>1003451561</v>
      </c>
      <c r="AJ704" t="s">
        <v>744</v>
      </c>
      <c r="AK704" t="s">
        <v>61</v>
      </c>
      <c r="AM704" t="str" cm="1">
        <f t="array" ref="AM704">_xlfn.IFS(OR(O704="Persoonlijk",O704="Zoon",O704="Dochter"),P704,OR(Q704="Persoonlijk",Q704="Zoon",Q704="Dochter"),R704,OR(S704="Persoonlijk",S704="Zoon",S704="Dochter"),T704,O704="Vader",P704,Q704="Vader",R704,S704="Vader",T704,O704="Moeder",P704,Q704="Moeder",R704,S704="Moeder",T704,TRUE,IF(P704&lt;&gt;"",P704,IF(R704&lt;&gt;"",R704,IF(T704&lt;&gt;"",T704,""))))</f>
        <v/>
      </c>
      <c r="AN704" t="str" cm="1">
        <f t="array" ref="AN704">_xlfn.LET(_xlpm.raw,_xlfn.IFS(OR(U704="Persoonlijk",U704="Zoon",U704="Dochter"),V704,OR(W704="Persoonlijk",W704="Zoon",W704="Dochter"),X704,OR(Y704="Persoonlijk",Y704="Zoon",Y704="Dochter"),Z704,U704="Vader",V704,W704="Vader",X704,Y704="Vader",Z704,U704="Moeder",V704,W704="Moeder",X704,Y704="Moeder",Z704,TRUE,IF(V704&lt;&gt;"",V704,IF(X704&lt;&gt;"",X704,IF(Z704&lt;&gt;"",Z704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+32486682066</v>
      </c>
    </row>
    <row r="705" spans="1:40" x14ac:dyDescent="0.3">
      <c r="A705">
        <v>7284638</v>
      </c>
      <c r="B705" t="s">
        <v>2734</v>
      </c>
      <c r="C705" t="s">
        <v>307</v>
      </c>
      <c r="D705" t="s">
        <v>39</v>
      </c>
      <c r="E705" t="s">
        <v>40</v>
      </c>
      <c r="F705" t="s">
        <v>2735</v>
      </c>
      <c r="G705" t="s">
        <v>2736</v>
      </c>
      <c r="H705">
        <v>8</v>
      </c>
      <c r="Q705" t="s">
        <v>51</v>
      </c>
      <c r="R705" t="s">
        <v>2737</v>
      </c>
      <c r="U705" t="s">
        <v>53</v>
      </c>
      <c r="V705" t="s">
        <v>2738</v>
      </c>
      <c r="W705" t="s">
        <v>51</v>
      </c>
      <c r="X705" t="s">
        <v>2739</v>
      </c>
      <c r="Y705" t="s">
        <v>46</v>
      </c>
      <c r="Z705">
        <v>32497427216</v>
      </c>
      <c r="AD705">
        <v>4</v>
      </c>
      <c r="AF705">
        <v>1007284638</v>
      </c>
      <c r="AJ705" t="s">
        <v>83</v>
      </c>
      <c r="AK705" t="s">
        <v>61</v>
      </c>
      <c r="AM705" t="str" cm="1">
        <f t="array" ref="AM705">_xlfn.IFS(OR(O705="Persoonlijk",O705="Zoon",O705="Dochter"),P705,OR(Q705="Persoonlijk",Q705="Zoon",Q705="Dochter"),R705,OR(S705="Persoonlijk",S705="Zoon",S705="Dochter"),T705,O705="Vader",P705,Q705="Vader",R705,S705="Vader",T705,O705="Moeder",P705,Q705="Moeder",R705,S705="Moeder",T705,TRUE,IF(P705&lt;&gt;"",P705,IF(R705&lt;&gt;"",R705,IF(T705&lt;&gt;"",T705,""))))</f>
        <v>twizzit@kevinvermassen.be</v>
      </c>
      <c r="AN705" t="str" cm="1">
        <f t="array" ref="AN705">_xlfn.LET(_xlpm.raw,_xlfn.IFS(OR(U705="Persoonlijk",U705="Zoon",U705="Dochter"),V705,OR(W705="Persoonlijk",W705="Zoon",W705="Dochter"),X705,OR(Y705="Persoonlijk",Y705="Zoon",Y705="Dochter"),Z705,U705="Vader",V705,W705="Vader",X705,Y705="Vader",Z705,U705="Moeder",V705,W705="Moeder",X705,Y705="Moeder",Z705,TRUE,IF(V705&lt;&gt;"",V705,IF(X705&lt;&gt;"",X705,IF(Z705&lt;&gt;"",Z705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+32497427216</v>
      </c>
    </row>
    <row r="706" spans="1:40" x14ac:dyDescent="0.3">
      <c r="A706">
        <v>11844716</v>
      </c>
      <c r="B706" t="s">
        <v>2734</v>
      </c>
      <c r="C706" t="s">
        <v>1105</v>
      </c>
      <c r="D706" t="s">
        <v>39</v>
      </c>
      <c r="E706" t="s">
        <v>40</v>
      </c>
      <c r="F706" t="s">
        <v>1152</v>
      </c>
      <c r="G706" t="s">
        <v>894</v>
      </c>
      <c r="H706">
        <v>18</v>
      </c>
      <c r="U706" t="s">
        <v>53</v>
      </c>
      <c r="V706" t="s">
        <v>2740</v>
      </c>
      <c r="W706" t="s">
        <v>51</v>
      </c>
      <c r="X706" t="s">
        <v>2740</v>
      </c>
      <c r="AF706">
        <v>1011844716</v>
      </c>
      <c r="AJ706" t="s">
        <v>63</v>
      </c>
      <c r="AK706" t="s">
        <v>61</v>
      </c>
      <c r="AM706" t="str" cm="1">
        <f t="array" ref="AM706">_xlfn.IFS(OR(O706="Persoonlijk",O706="Zoon",O706="Dochter"),P706,OR(Q706="Persoonlijk",Q706="Zoon",Q706="Dochter"),R706,OR(S706="Persoonlijk",S706="Zoon",S706="Dochter"),T706,O706="Vader",P706,Q706="Vader",R706,S706="Vader",T706,O706="Moeder",P706,Q706="Moeder",R706,S706="Moeder",T706,TRUE,IF(P706&lt;&gt;"",P706,IF(R706&lt;&gt;"",R706,IF(T706&lt;&gt;"",T706,""))))</f>
        <v/>
      </c>
      <c r="AN706" t="str" cm="1">
        <f t="array" ref="AN706">_xlfn.LET(_xlpm.raw,_xlfn.IFS(OR(U706="Persoonlijk",U706="Zoon",U706="Dochter"),V706,OR(W706="Persoonlijk",W706="Zoon",W706="Dochter"),X706,OR(Y706="Persoonlijk",Y706="Zoon",Y706="Dochter"),Z706,U706="Vader",V706,W706="Vader",X706,Y706="Vader",Z706,U706="Moeder",V706,W706="Moeder",X706,Y706="Moeder",Z706,TRUE,IF(V706&lt;&gt;"",V706,IF(X706&lt;&gt;"",X706,IF(Z706&lt;&gt;"",Z706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+32498493330</v>
      </c>
    </row>
    <row r="707" spans="1:40" x14ac:dyDescent="0.3">
      <c r="A707">
        <v>11844716</v>
      </c>
      <c r="B707" t="s">
        <v>2734</v>
      </c>
      <c r="C707" t="s">
        <v>1105</v>
      </c>
      <c r="D707" t="s">
        <v>39</v>
      </c>
      <c r="E707" t="s">
        <v>40</v>
      </c>
      <c r="F707" t="s">
        <v>1152</v>
      </c>
      <c r="G707" t="s">
        <v>894</v>
      </c>
      <c r="H707">
        <v>18</v>
      </c>
      <c r="U707" t="s">
        <v>53</v>
      </c>
      <c r="V707" t="s">
        <v>2740</v>
      </c>
      <c r="W707" t="s">
        <v>51</v>
      </c>
      <c r="X707" t="s">
        <v>2740</v>
      </c>
      <c r="AF707">
        <v>1011844716</v>
      </c>
      <c r="AJ707" t="s">
        <v>104</v>
      </c>
      <c r="AK707" t="s">
        <v>61</v>
      </c>
      <c r="AM707" t="str" cm="1">
        <f t="array" ref="AM707">_xlfn.IFS(OR(O707="Persoonlijk",O707="Zoon",O707="Dochter"),P707,OR(Q707="Persoonlijk",Q707="Zoon",Q707="Dochter"),R707,OR(S707="Persoonlijk",S707="Zoon",S707="Dochter"),T707,O707="Vader",P707,Q707="Vader",R707,S707="Vader",T707,O707="Moeder",P707,Q707="Moeder",R707,S707="Moeder",T707,TRUE,IF(P707&lt;&gt;"",P707,IF(R707&lt;&gt;"",R707,IF(T707&lt;&gt;"",T707,""))))</f>
        <v/>
      </c>
      <c r="AN707" t="str" cm="1">
        <f t="array" ref="AN707">_xlfn.LET(_xlpm.raw,_xlfn.IFS(OR(U707="Persoonlijk",U707="Zoon",U707="Dochter"),V707,OR(W707="Persoonlijk",W707="Zoon",W707="Dochter"),X707,OR(Y707="Persoonlijk",Y707="Zoon",Y707="Dochter"),Z707,U707="Vader",V707,W707="Vader",X707,Y707="Vader",Z707,U707="Moeder",V707,W707="Moeder",X707,Y707="Moeder",Z707,TRUE,IF(V707&lt;&gt;"",V707,IF(X707&lt;&gt;"",X707,IF(Z707&lt;&gt;"",Z707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+32498493330</v>
      </c>
    </row>
    <row r="708" spans="1:40" x14ac:dyDescent="0.3">
      <c r="A708">
        <v>2183437</v>
      </c>
      <c r="B708" t="s">
        <v>2741</v>
      </c>
      <c r="C708" t="s">
        <v>2742</v>
      </c>
      <c r="D708" t="s">
        <v>39</v>
      </c>
      <c r="E708" t="s">
        <v>40</v>
      </c>
      <c r="F708" t="s">
        <v>2743</v>
      </c>
      <c r="G708" t="s">
        <v>2408</v>
      </c>
      <c r="H708">
        <v>59</v>
      </c>
      <c r="Q708" t="s">
        <v>53</v>
      </c>
      <c r="R708" t="s">
        <v>2409</v>
      </c>
      <c r="AC708" t="s">
        <v>2744</v>
      </c>
      <c r="AF708">
        <v>1002183437</v>
      </c>
      <c r="AG708">
        <v>729844</v>
      </c>
      <c r="AJ708" t="s">
        <v>75</v>
      </c>
      <c r="AK708" t="s">
        <v>61</v>
      </c>
      <c r="AM708" t="str" cm="1">
        <f t="array" ref="AM708">_xlfn.IFS(OR(O708="Persoonlijk",O708="Zoon",O708="Dochter"),P708,OR(Q708="Persoonlijk",Q708="Zoon",Q708="Dochter"),R708,OR(S708="Persoonlijk",S708="Zoon",S708="Dochter"),T708,O708="Vader",P708,Q708="Vader",R708,S708="Vader",T708,O708="Moeder",P708,Q708="Moeder",R708,S708="Moeder",T708,TRUE,IF(P708&lt;&gt;"",P708,IF(R708&lt;&gt;"",R708,IF(T708&lt;&gt;"",T708,""))))</f>
        <v>charlotte.vanmoorleghem1@gmail.com</v>
      </c>
      <c r="AN708" t="str" cm="1">
        <f t="array" ref="AN708">_xlfn.LET(_xlpm.raw,_xlfn.IFS(OR(U708="Persoonlijk",U708="Zoon",U708="Dochter"),V708,OR(W708="Persoonlijk",W708="Zoon",W708="Dochter"),X708,OR(Y708="Persoonlijk",Y708="Zoon",Y708="Dochter"),Z708,U708="Vader",V708,W708="Vader",X708,Y708="Vader",Z708,U708="Moeder",V708,W708="Moeder",X708,Y708="Moeder",Z708,TRUE,IF(V708&lt;&gt;"",V708,IF(X708&lt;&gt;"",X708,IF(Z708&lt;&gt;"",Z708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09" spans="1:40" x14ac:dyDescent="0.3">
      <c r="A709">
        <v>2183437</v>
      </c>
      <c r="B709" t="s">
        <v>2741</v>
      </c>
      <c r="C709" t="s">
        <v>2742</v>
      </c>
      <c r="D709" t="s">
        <v>39</v>
      </c>
      <c r="E709" t="s">
        <v>40</v>
      </c>
      <c r="F709" t="s">
        <v>2743</v>
      </c>
      <c r="G709" t="s">
        <v>2408</v>
      </c>
      <c r="H709">
        <v>59</v>
      </c>
      <c r="Q709" t="s">
        <v>53</v>
      </c>
      <c r="R709" t="s">
        <v>2409</v>
      </c>
      <c r="AC709" t="s">
        <v>2744</v>
      </c>
      <c r="AF709">
        <v>1002183437</v>
      </c>
      <c r="AG709">
        <v>729844</v>
      </c>
      <c r="AJ709" t="s">
        <v>63</v>
      </c>
      <c r="AK709" t="s">
        <v>61</v>
      </c>
      <c r="AM709" t="str" cm="1">
        <f t="array" ref="AM709">_xlfn.IFS(OR(O709="Persoonlijk",O709="Zoon",O709="Dochter"),P709,OR(Q709="Persoonlijk",Q709="Zoon",Q709="Dochter"),R709,OR(S709="Persoonlijk",S709="Zoon",S709="Dochter"),T709,O709="Vader",P709,Q709="Vader",R709,S709="Vader",T709,O709="Moeder",P709,Q709="Moeder",R709,S709="Moeder",T709,TRUE,IF(P709&lt;&gt;"",P709,IF(R709&lt;&gt;"",R709,IF(T709&lt;&gt;"",T709,""))))</f>
        <v>charlotte.vanmoorleghem1@gmail.com</v>
      </c>
      <c r="AN709" t="str" cm="1">
        <f t="array" ref="AN709">_xlfn.LET(_xlpm.raw,_xlfn.IFS(OR(U709="Persoonlijk",U709="Zoon",U709="Dochter"),V709,OR(W709="Persoonlijk",W709="Zoon",W709="Dochter"),X709,OR(Y709="Persoonlijk",Y709="Zoon",Y709="Dochter"),Z709,U709="Vader",V709,W709="Vader",X709,Y709="Vader",Z709,U709="Moeder",V709,W709="Moeder",X709,Y709="Moeder",Z709,TRUE,IF(V709&lt;&gt;"",V709,IF(X709&lt;&gt;"",X709,IF(Z709&lt;&gt;"",Z709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10" spans="1:40" x14ac:dyDescent="0.3">
      <c r="A710">
        <v>3557796</v>
      </c>
      <c r="B710" t="s">
        <v>2745</v>
      </c>
      <c r="C710" t="s">
        <v>2274</v>
      </c>
      <c r="D710" t="s">
        <v>39</v>
      </c>
      <c r="E710" t="s">
        <v>40</v>
      </c>
      <c r="F710" t="s">
        <v>2746</v>
      </c>
      <c r="G710" t="s">
        <v>2524</v>
      </c>
      <c r="H710">
        <v>12</v>
      </c>
      <c r="V710" t="s">
        <v>2747</v>
      </c>
      <c r="X710" t="s">
        <v>2748</v>
      </c>
      <c r="AE710" t="s">
        <v>2749</v>
      </c>
      <c r="AF710">
        <v>1003557796</v>
      </c>
      <c r="AJ710" t="s">
        <v>744</v>
      </c>
      <c r="AK710" t="s">
        <v>61</v>
      </c>
      <c r="AM710" t="str" cm="1">
        <f t="array" ref="AM710">_xlfn.IFS(OR(O710="Persoonlijk",O710="Zoon",O710="Dochter"),P710,OR(Q710="Persoonlijk",Q710="Zoon",Q710="Dochter"),R710,OR(S710="Persoonlijk",S710="Zoon",S710="Dochter"),T710,O710="Vader",P710,Q710="Vader",R710,S710="Vader",T710,O710="Moeder",P710,Q710="Moeder",R710,S710="Moeder",T710,TRUE,IF(P710&lt;&gt;"",P710,IF(R710&lt;&gt;"",R710,IF(T710&lt;&gt;"",T710,""))))</f>
        <v/>
      </c>
      <c r="AN710" t="str" cm="1">
        <f t="array" ref="AN710">_xlfn.LET(_xlpm.raw,_xlfn.IFS(OR(U710="Persoonlijk",U710="Zoon",U710="Dochter"),V710,OR(W710="Persoonlijk",W710="Zoon",W710="Dochter"),X710,OR(Y710="Persoonlijk",Y710="Zoon",Y710="Dochter"),Z710,U710="Vader",V710,W710="Vader",X710,Y710="Vader",Z710,U710="Moeder",V710,W710="Moeder",X710,Y710="Moeder",Z710,TRUE,IF(V710&lt;&gt;"",V710,IF(X710&lt;&gt;"",X710,IF(Z710&lt;&gt;"",Z710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+32468516883</v>
      </c>
    </row>
    <row r="711" spans="1:40" x14ac:dyDescent="0.3">
      <c r="A711">
        <v>2183442</v>
      </c>
      <c r="B711" t="s">
        <v>2745</v>
      </c>
      <c r="C711" t="s">
        <v>2750</v>
      </c>
      <c r="D711" t="s">
        <v>39</v>
      </c>
      <c r="E711" t="s">
        <v>49</v>
      </c>
      <c r="F711" t="s">
        <v>2751</v>
      </c>
      <c r="G711" t="s">
        <v>2524</v>
      </c>
      <c r="H711">
        <v>12</v>
      </c>
      <c r="V711" t="s">
        <v>2747</v>
      </c>
      <c r="X711" t="s">
        <v>2748</v>
      </c>
      <c r="AC711" t="s">
        <v>2752</v>
      </c>
      <c r="AF711">
        <v>1002183442</v>
      </c>
      <c r="AG711">
        <v>735282</v>
      </c>
      <c r="AJ711" t="s">
        <v>63</v>
      </c>
      <c r="AK711" t="s">
        <v>61</v>
      </c>
      <c r="AM711" t="str" cm="1">
        <f t="array" ref="AM711">_xlfn.IFS(OR(O711="Persoonlijk",O711="Zoon",O711="Dochter"),P711,OR(Q711="Persoonlijk",Q711="Zoon",Q711="Dochter"),R711,OR(S711="Persoonlijk",S711="Zoon",S711="Dochter"),T711,O711="Vader",P711,Q711="Vader",R711,S711="Vader",T711,O711="Moeder",P711,Q711="Moeder",R711,S711="Moeder",T711,TRUE,IF(P711&lt;&gt;"",P711,IF(R711&lt;&gt;"",R711,IF(T711&lt;&gt;"",T711,""))))</f>
        <v/>
      </c>
      <c r="AN711" t="str" cm="1">
        <f t="array" ref="AN711">_xlfn.LET(_xlpm.raw,_xlfn.IFS(OR(U711="Persoonlijk",U711="Zoon",U711="Dochter"),V711,OR(W711="Persoonlijk",W711="Zoon",W711="Dochter"),X711,OR(Y711="Persoonlijk",Y711="Zoon",Y711="Dochter"),Z711,U711="Vader",V711,W711="Vader",X711,Y711="Vader",Z711,U711="Moeder",V711,W711="Moeder",X711,Y711="Moeder",Z711,TRUE,IF(V711&lt;&gt;"",V711,IF(X711&lt;&gt;"",X711,IF(Z711&lt;&gt;"",Z711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+32468516883</v>
      </c>
    </row>
    <row r="712" spans="1:40" x14ac:dyDescent="0.3">
      <c r="A712">
        <v>2183442</v>
      </c>
      <c r="B712" t="s">
        <v>2745</v>
      </c>
      <c r="C712" t="s">
        <v>2750</v>
      </c>
      <c r="D712" t="s">
        <v>39</v>
      </c>
      <c r="E712" t="s">
        <v>49</v>
      </c>
      <c r="F712" t="s">
        <v>2751</v>
      </c>
      <c r="G712" t="s">
        <v>2524</v>
      </c>
      <c r="H712">
        <v>12</v>
      </c>
      <c r="V712" t="s">
        <v>2747</v>
      </c>
      <c r="X712" t="s">
        <v>2748</v>
      </c>
      <c r="AC712" t="s">
        <v>2752</v>
      </c>
      <c r="AF712">
        <v>1002183442</v>
      </c>
      <c r="AG712">
        <v>735282</v>
      </c>
      <c r="AJ712" t="s">
        <v>323</v>
      </c>
      <c r="AK712" t="s">
        <v>61</v>
      </c>
      <c r="AM712" t="str" cm="1">
        <f t="array" ref="AM712">_xlfn.IFS(OR(O712="Persoonlijk",O712="Zoon",O712="Dochter"),P712,OR(Q712="Persoonlijk",Q712="Zoon",Q712="Dochter"),R712,OR(S712="Persoonlijk",S712="Zoon",S712="Dochter"),T712,O712="Vader",P712,Q712="Vader",R712,S712="Vader",T712,O712="Moeder",P712,Q712="Moeder",R712,S712="Moeder",T712,TRUE,IF(P712&lt;&gt;"",P712,IF(R712&lt;&gt;"",R712,IF(T712&lt;&gt;"",T712,""))))</f>
        <v/>
      </c>
      <c r="AN712" t="str" cm="1">
        <f t="array" ref="AN712">_xlfn.LET(_xlpm.raw,_xlfn.IFS(OR(U712="Persoonlijk",U712="Zoon",U712="Dochter"),V712,OR(W712="Persoonlijk",W712="Zoon",W712="Dochter"),X712,OR(Y712="Persoonlijk",Y712="Zoon",Y712="Dochter"),Z712,U712="Vader",V712,W712="Vader",X712,Y712="Vader",Z712,U712="Moeder",V712,W712="Moeder",X712,Y712="Moeder",Z712,TRUE,IF(V712&lt;&gt;"",V712,IF(X712&lt;&gt;"",X712,IF(Z712&lt;&gt;"",Z712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+32468516883</v>
      </c>
    </row>
    <row r="713" spans="1:40" x14ac:dyDescent="0.3">
      <c r="A713">
        <v>2183447</v>
      </c>
      <c r="B713" t="s">
        <v>2753</v>
      </c>
      <c r="C713" t="s">
        <v>1256</v>
      </c>
      <c r="D713" t="s">
        <v>39</v>
      </c>
      <c r="E713" t="s">
        <v>49</v>
      </c>
      <c r="F713" t="s">
        <v>2754</v>
      </c>
      <c r="G713" t="s">
        <v>448</v>
      </c>
      <c r="H713">
        <v>16</v>
      </c>
      <c r="V713">
        <v>320474278078</v>
      </c>
      <c r="AC713" t="s">
        <v>2755</v>
      </c>
      <c r="AE713" t="s">
        <v>2756</v>
      </c>
      <c r="AF713">
        <v>1002183447</v>
      </c>
      <c r="AG713">
        <v>241914</v>
      </c>
      <c r="AJ713" t="s">
        <v>294</v>
      </c>
      <c r="AK713" t="s">
        <v>65</v>
      </c>
      <c r="AM713" t="str" cm="1">
        <f t="array" ref="AM713">_xlfn.IFS(OR(O713="Persoonlijk",O713="Zoon",O713="Dochter"),P713,OR(Q713="Persoonlijk",Q713="Zoon",Q713="Dochter"),R713,OR(S713="Persoonlijk",S713="Zoon",S713="Dochter"),T713,O713="Vader",P713,Q713="Vader",R713,S713="Vader",T713,O713="Moeder",P713,Q713="Moeder",R713,S713="Moeder",T713,TRUE,IF(P713&lt;&gt;"",P713,IF(R713&lt;&gt;"",R713,IF(T713&lt;&gt;"",T713,""))))</f>
        <v/>
      </c>
      <c r="AN713" t="str" cm="1">
        <f t="array" ref="AN713">_xlfn.LET(_xlpm.raw,_xlfn.IFS(OR(U713="Persoonlijk",U713="Zoon",U713="Dochter"),V713,OR(W713="Persoonlijk",W713="Zoon",W713="Dochter"),X713,OR(Y713="Persoonlijk",Y713="Zoon",Y713="Dochter"),Z713,U713="Vader",V713,W713="Vader",X713,Y713="Vader",Z713,U713="Moeder",V713,W713="Moeder",X713,Y713="Moeder",Z713,TRUE,IF(V713&lt;&gt;"",V713,IF(X713&lt;&gt;"",X713,IF(Z713&lt;&gt;"",Z713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+32474278078</v>
      </c>
    </row>
    <row r="714" spans="1:40" x14ac:dyDescent="0.3">
      <c r="A714">
        <v>3447367</v>
      </c>
      <c r="B714" t="s">
        <v>2757</v>
      </c>
      <c r="C714" t="s">
        <v>485</v>
      </c>
      <c r="D714" t="s">
        <v>39</v>
      </c>
      <c r="E714" t="s">
        <v>40</v>
      </c>
      <c r="F714" t="s">
        <v>2758</v>
      </c>
      <c r="G714" t="s">
        <v>2759</v>
      </c>
      <c r="H714">
        <v>31</v>
      </c>
      <c r="Q714" t="s">
        <v>53</v>
      </c>
      <c r="R714" t="s">
        <v>2760</v>
      </c>
      <c r="U714" t="s">
        <v>46</v>
      </c>
      <c r="V714">
        <v>32499030802</v>
      </c>
      <c r="W714" t="s">
        <v>53</v>
      </c>
      <c r="X714">
        <v>32478513537</v>
      </c>
      <c r="AE714" t="s">
        <v>2761</v>
      </c>
      <c r="AF714">
        <v>1003447367</v>
      </c>
      <c r="AJ714" t="s">
        <v>131</v>
      </c>
      <c r="AK714" t="s">
        <v>61</v>
      </c>
      <c r="AM714" t="str" cm="1">
        <f t="array" ref="AM714">_xlfn.IFS(OR(O714="Persoonlijk",O714="Zoon",O714="Dochter"),P714,OR(Q714="Persoonlijk",Q714="Zoon",Q714="Dochter"),R714,OR(S714="Persoonlijk",S714="Zoon",S714="Dochter"),T714,O714="Vader",P714,Q714="Vader",R714,S714="Vader",T714,O714="Moeder",P714,Q714="Moeder",R714,S714="Moeder",T714,TRUE,IF(P714&lt;&gt;"",P714,IF(R714&lt;&gt;"",R714,IF(T714&lt;&gt;"",T714,""))))</f>
        <v>veerle_coussement@hotmail.com</v>
      </c>
      <c r="AN714" t="str" cm="1">
        <f t="array" ref="AN714">_xlfn.LET(_xlpm.raw,_xlfn.IFS(OR(U714="Persoonlijk",U714="Zoon",U714="Dochter"),V714,OR(W714="Persoonlijk",W714="Zoon",W714="Dochter"),X714,OR(Y714="Persoonlijk",Y714="Zoon",Y714="Dochter"),Z714,U714="Vader",V714,W714="Vader",X714,Y714="Vader",Z714,U714="Moeder",V714,W714="Moeder",X714,Y714="Moeder",Z714,TRUE,IF(V714&lt;&gt;"",V714,IF(X714&lt;&gt;"",X714,IF(Z714&lt;&gt;"",Z714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+32499030802</v>
      </c>
    </row>
    <row r="715" spans="1:40" x14ac:dyDescent="0.3">
      <c r="A715">
        <v>3447367</v>
      </c>
      <c r="B715" t="s">
        <v>2757</v>
      </c>
      <c r="C715" t="s">
        <v>485</v>
      </c>
      <c r="D715" t="s">
        <v>39</v>
      </c>
      <c r="E715" t="s">
        <v>40</v>
      </c>
      <c r="F715" t="s">
        <v>2758</v>
      </c>
      <c r="G715" t="s">
        <v>2759</v>
      </c>
      <c r="H715">
        <v>31</v>
      </c>
      <c r="Q715" t="s">
        <v>53</v>
      </c>
      <c r="R715" t="s">
        <v>2760</v>
      </c>
      <c r="U715" t="s">
        <v>46</v>
      </c>
      <c r="V715">
        <v>32499030802</v>
      </c>
      <c r="W715" t="s">
        <v>53</v>
      </c>
      <c r="X715">
        <v>32478513537</v>
      </c>
      <c r="AE715" t="s">
        <v>2761</v>
      </c>
      <c r="AF715">
        <v>1003447367</v>
      </c>
      <c r="AJ715" t="s">
        <v>87</v>
      </c>
      <c r="AK715" t="s">
        <v>61</v>
      </c>
      <c r="AM715" t="str" cm="1">
        <f t="array" ref="AM715">_xlfn.IFS(OR(O715="Persoonlijk",O715="Zoon",O715="Dochter"),P715,OR(Q715="Persoonlijk",Q715="Zoon",Q715="Dochter"),R715,OR(S715="Persoonlijk",S715="Zoon",S715="Dochter"),T715,O715="Vader",P715,Q715="Vader",R715,S715="Vader",T715,O715="Moeder",P715,Q715="Moeder",R715,S715="Moeder",T715,TRUE,IF(P715&lt;&gt;"",P715,IF(R715&lt;&gt;"",R715,IF(T715&lt;&gt;"",T715,""))))</f>
        <v>veerle_coussement@hotmail.com</v>
      </c>
      <c r="AN715" t="str" cm="1">
        <f t="array" ref="AN715">_xlfn.LET(_xlpm.raw,_xlfn.IFS(OR(U715="Persoonlijk",U715="Zoon",U715="Dochter"),V715,OR(W715="Persoonlijk",W715="Zoon",W715="Dochter"),X715,OR(Y715="Persoonlijk",Y715="Zoon",Y715="Dochter"),Z715,U715="Vader",V715,W715="Vader",X715,Y715="Vader",Z715,U715="Moeder",V715,W715="Moeder",X715,Y715="Moeder",Z715,TRUE,IF(V715&lt;&gt;"",V715,IF(X715&lt;&gt;"",X715,IF(Z715&lt;&gt;"",Z715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+32499030802</v>
      </c>
    </row>
    <row r="716" spans="1:40" x14ac:dyDescent="0.3">
      <c r="A716">
        <v>11846375</v>
      </c>
      <c r="B716" t="s">
        <v>2762</v>
      </c>
      <c r="C716" t="s">
        <v>2763</v>
      </c>
      <c r="D716" t="s">
        <v>39</v>
      </c>
      <c r="E716" t="s">
        <v>40</v>
      </c>
      <c r="F716" t="s">
        <v>2764</v>
      </c>
      <c r="G716" t="s">
        <v>2765</v>
      </c>
      <c r="H716">
        <v>74</v>
      </c>
      <c r="R716" t="s">
        <v>2766</v>
      </c>
      <c r="U716" t="s">
        <v>53</v>
      </c>
      <c r="V716" t="s">
        <v>2767</v>
      </c>
      <c r="W716" t="s">
        <v>46</v>
      </c>
      <c r="X716" t="s">
        <v>2768</v>
      </c>
      <c r="AC716" t="s">
        <v>2769</v>
      </c>
      <c r="AF716">
        <v>1011846375</v>
      </c>
      <c r="AG716">
        <v>705479</v>
      </c>
      <c r="AJ716" t="s">
        <v>179</v>
      </c>
      <c r="AK716" t="s">
        <v>61</v>
      </c>
      <c r="AM716" t="str" cm="1">
        <f t="array" ref="AM716">_xlfn.IFS(OR(O716="Persoonlijk",O716="Zoon",O716="Dochter"),P716,OR(Q716="Persoonlijk",Q716="Zoon",Q716="Dochter"),R716,OR(S716="Persoonlijk",S716="Zoon",S716="Dochter"),T716,O716="Vader",P716,Q716="Vader",R716,S716="Vader",T716,O716="Moeder",P716,Q716="Moeder",R716,S716="Moeder",T716,TRUE,IF(P716&lt;&gt;"",P716,IF(R716&lt;&gt;"",R716,IF(T716&lt;&gt;"",T716,""))))</f>
        <v>wtbi.verstraete@gmail.com</v>
      </c>
      <c r="AN716" t="str" cm="1">
        <f t="array" ref="AN716">_xlfn.LET(_xlpm.raw,_xlfn.IFS(OR(U716="Persoonlijk",U716="Zoon",U716="Dochter"),V716,OR(W716="Persoonlijk",W716="Zoon",W716="Dochter"),X716,OR(Y716="Persoonlijk",Y716="Zoon",Y716="Dochter"),Z716,U716="Vader",V716,W716="Vader",X716,Y716="Vader",Z716,U716="Moeder",V716,W716="Moeder",X716,Y716="Moeder",Z716,TRUE,IF(V716&lt;&gt;"",V716,IF(X716&lt;&gt;"",X716,IF(Z716&lt;&gt;"",Z716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+32468305290</v>
      </c>
    </row>
    <row r="717" spans="1:40" x14ac:dyDescent="0.3">
      <c r="A717">
        <v>3399322</v>
      </c>
      <c r="B717" t="s">
        <v>2770</v>
      </c>
      <c r="C717" t="s">
        <v>853</v>
      </c>
      <c r="D717" t="s">
        <v>39</v>
      </c>
      <c r="E717" t="s">
        <v>40</v>
      </c>
      <c r="F717" t="s">
        <v>2771</v>
      </c>
      <c r="G717" t="s">
        <v>2772</v>
      </c>
      <c r="H717">
        <v>25</v>
      </c>
      <c r="V717">
        <v>497152857</v>
      </c>
      <c r="X717">
        <v>0</v>
      </c>
      <c r="Z717">
        <v>0</v>
      </c>
      <c r="AA717">
        <v>0</v>
      </c>
      <c r="AF717">
        <v>1003399322</v>
      </c>
      <c r="AJ717" t="s">
        <v>143</v>
      </c>
      <c r="AK717" t="s">
        <v>61</v>
      </c>
      <c r="AM717" t="str" cm="1">
        <f t="array" ref="AM717">_xlfn.IFS(OR(O717="Persoonlijk",O717="Zoon",O717="Dochter"),P717,OR(Q717="Persoonlijk",Q717="Zoon",Q717="Dochter"),R717,OR(S717="Persoonlijk",S717="Zoon",S717="Dochter"),T717,O717="Vader",P717,Q717="Vader",R717,S717="Vader",T717,O717="Moeder",P717,Q717="Moeder",R717,S717="Moeder",T717,TRUE,IF(P717&lt;&gt;"",P717,IF(R717&lt;&gt;"",R717,IF(T717&lt;&gt;"",T717,""))))</f>
        <v/>
      </c>
      <c r="AN717" t="str" cm="1">
        <f t="array" ref="AN717">_xlfn.LET(_xlpm.raw,_xlfn.IFS(OR(U717="Persoonlijk",U717="Zoon",U717="Dochter"),V717,OR(W717="Persoonlijk",W717="Zoon",W717="Dochter"),X717,OR(Y717="Persoonlijk",Y717="Zoon",Y717="Dochter"),Z717,U717="Vader",V717,W717="Vader",X717,Y717="Vader",Z717,U717="Moeder",V717,W717="Moeder",X717,Y717="Moeder",Z717,TRUE,IF(V717&lt;&gt;"",V717,IF(X717&lt;&gt;"",X717,IF(Z717&lt;&gt;"",Z717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+32497152857</v>
      </c>
    </row>
    <row r="718" spans="1:40" x14ac:dyDescent="0.3">
      <c r="A718">
        <v>2650665</v>
      </c>
      <c r="B718" t="s">
        <v>2770</v>
      </c>
      <c r="C718" t="s">
        <v>2773</v>
      </c>
      <c r="D718" t="s">
        <v>39</v>
      </c>
      <c r="E718" t="s">
        <v>40</v>
      </c>
      <c r="F718" t="s">
        <v>2774</v>
      </c>
      <c r="G718" t="s">
        <v>2772</v>
      </c>
      <c r="H718">
        <v>25</v>
      </c>
      <c r="V718">
        <v>32497152857</v>
      </c>
      <c r="AF718">
        <v>1002650665</v>
      </c>
      <c r="AG718">
        <v>742359</v>
      </c>
      <c r="AM718" t="str" cm="1">
        <f t="array" ref="AM718">_xlfn.IFS(OR(O718="Persoonlijk",O718="Zoon",O718="Dochter"),P718,OR(Q718="Persoonlijk",Q718="Zoon",Q718="Dochter"),R718,OR(S718="Persoonlijk",S718="Zoon",S718="Dochter"),T718,O718="Vader",P718,Q718="Vader",R718,S718="Vader",T718,O718="Moeder",P718,Q718="Moeder",R718,S718="Moeder",T718,TRUE,IF(P718&lt;&gt;"",P718,IF(R718&lt;&gt;"",R718,IF(T718&lt;&gt;"",T718,""))))</f>
        <v/>
      </c>
      <c r="AN718" t="str" cm="1">
        <f t="array" ref="AN718">_xlfn.LET(_xlpm.raw,_xlfn.IFS(OR(U718="Persoonlijk",U718="Zoon",U718="Dochter"),V718,OR(W718="Persoonlijk",W718="Zoon",W718="Dochter"),X718,OR(Y718="Persoonlijk",Y718="Zoon",Y718="Dochter"),Z718,U718="Vader",V718,W718="Vader",X718,Y718="Vader",Z718,U718="Moeder",V718,W718="Moeder",X718,Y718="Moeder",Z718,TRUE,IF(V718&lt;&gt;"",V718,IF(X718&lt;&gt;"",X718,IF(Z718&lt;&gt;"",Z718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+32497152857</v>
      </c>
    </row>
    <row r="719" spans="1:40" x14ac:dyDescent="0.3">
      <c r="A719">
        <v>2183452</v>
      </c>
      <c r="B719" t="s">
        <v>2775</v>
      </c>
      <c r="C719" t="s">
        <v>2776</v>
      </c>
      <c r="D719" t="s">
        <v>39</v>
      </c>
      <c r="E719" t="s">
        <v>40</v>
      </c>
      <c r="F719" t="s">
        <v>2777</v>
      </c>
      <c r="G719" t="s">
        <v>2778</v>
      </c>
      <c r="H719">
        <v>18</v>
      </c>
      <c r="Q719" t="s">
        <v>51</v>
      </c>
      <c r="R719" t="s">
        <v>2779</v>
      </c>
      <c r="V719" t="s">
        <v>2780</v>
      </c>
      <c r="AF719">
        <v>1002183452</v>
      </c>
      <c r="AG719">
        <v>706697</v>
      </c>
      <c r="AL719" t="s">
        <v>62</v>
      </c>
      <c r="AM719" t="str" cm="1">
        <f t="array" ref="AM719">_xlfn.IFS(OR(O719="Persoonlijk",O719="Zoon",O719="Dochter"),P719,OR(Q719="Persoonlijk",Q719="Zoon",Q719="Dochter"),R719,OR(S719="Persoonlijk",S719="Zoon",S719="Dochter"),T719,O719="Vader",P719,Q719="Vader",R719,S719="Vader",T719,O719="Moeder",P719,Q719="Moeder",R719,S719="Moeder",T719,TRUE,IF(P719&lt;&gt;"",P719,IF(R719&lt;&gt;"",R719,IF(T719&lt;&gt;"",T719,""))))</f>
        <v>Dries.vervaeck@gmail.com</v>
      </c>
      <c r="AN719" t="str" cm="1">
        <f t="array" ref="AN719">_xlfn.LET(_xlpm.raw,_xlfn.IFS(OR(U719="Persoonlijk",U719="Zoon",U719="Dochter"),V719,OR(W719="Persoonlijk",W719="Zoon",W719="Dochter"),X719,OR(Y719="Persoonlijk",Y719="Zoon",Y719="Dochter"),Z719,U719="Vader",V719,W719="Vader",X719,Y719="Vader",Z719,U719="Moeder",V719,W719="Moeder",X719,Y719="Moeder",Z719,TRUE,IF(V719&lt;&gt;"",V719,IF(X719&lt;&gt;"",X719,IF(Z719&lt;&gt;"",Z719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+32479970549</v>
      </c>
    </row>
    <row r="720" spans="1:40" x14ac:dyDescent="0.3">
      <c r="A720">
        <v>6125396</v>
      </c>
      <c r="B720" t="s">
        <v>2775</v>
      </c>
      <c r="C720" t="s">
        <v>1424</v>
      </c>
      <c r="D720" t="s">
        <v>39</v>
      </c>
      <c r="E720" t="s">
        <v>40</v>
      </c>
      <c r="G720" t="s">
        <v>2781</v>
      </c>
      <c r="H720">
        <v>23</v>
      </c>
      <c r="U720" t="s">
        <v>46</v>
      </c>
      <c r="V720" t="s">
        <v>2780</v>
      </c>
      <c r="AF720">
        <v>1006125396</v>
      </c>
      <c r="AM720" t="str" cm="1">
        <f t="array" ref="AM720">_xlfn.IFS(OR(O720="Persoonlijk",O720="Zoon",O720="Dochter"),P720,OR(Q720="Persoonlijk",Q720="Zoon",Q720="Dochter"),R720,OR(S720="Persoonlijk",S720="Zoon",S720="Dochter"),T720,O720="Vader",P720,Q720="Vader",R720,S720="Vader",T720,O720="Moeder",P720,Q720="Moeder",R720,S720="Moeder",T720,TRUE,IF(P720&lt;&gt;"",P720,IF(R720&lt;&gt;"",R720,IF(T720&lt;&gt;"",T720,""))))</f>
        <v/>
      </c>
      <c r="AN720" t="str" cm="1">
        <f t="array" ref="AN720">_xlfn.LET(_xlpm.raw,_xlfn.IFS(OR(U720="Persoonlijk",U720="Zoon",U720="Dochter"),V720,OR(W720="Persoonlijk",W720="Zoon",W720="Dochter"),X720,OR(Y720="Persoonlijk",Y720="Zoon",Y720="Dochter"),Z720,U720="Vader",V720,W720="Vader",X720,Y720="Vader",Z720,U720="Moeder",V720,W720="Moeder",X720,Y720="Moeder",Z720,TRUE,IF(V720&lt;&gt;"",V720,IF(X720&lt;&gt;"",X720,IF(Z720&lt;&gt;"",Z720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+32479970549</v>
      </c>
    </row>
    <row r="721" spans="1:40" x14ac:dyDescent="0.3">
      <c r="A721">
        <v>2183457</v>
      </c>
      <c r="B721" t="s">
        <v>2775</v>
      </c>
      <c r="C721" t="s">
        <v>2782</v>
      </c>
      <c r="D721" t="s">
        <v>39</v>
      </c>
      <c r="E721" t="s">
        <v>49</v>
      </c>
      <c r="F721" t="s">
        <v>2783</v>
      </c>
      <c r="G721" t="s">
        <v>2784</v>
      </c>
      <c r="H721">
        <v>42</v>
      </c>
      <c r="AC721" t="s">
        <v>2785</v>
      </c>
      <c r="AF721">
        <v>1002183457</v>
      </c>
      <c r="AG721">
        <v>164058</v>
      </c>
      <c r="AM721" t="str" cm="1">
        <f t="array" ref="AM721">_xlfn.IFS(OR(O721="Persoonlijk",O721="Zoon",O721="Dochter"),P721,OR(Q721="Persoonlijk",Q721="Zoon",Q721="Dochter"),R721,OR(S721="Persoonlijk",S721="Zoon",S721="Dochter"),T721,O721="Vader",P721,Q721="Vader",R721,S721="Vader",T721,O721="Moeder",P721,Q721="Moeder",R721,S721="Moeder",T721,TRUE,IF(P721&lt;&gt;"",P721,IF(R721&lt;&gt;"",R721,IF(T721&lt;&gt;"",T721,""))))</f>
        <v/>
      </c>
      <c r="AN721" t="str" cm="1">
        <f t="array" ref="AN721">_xlfn.LET(_xlpm.raw,_xlfn.IFS(OR(U721="Persoonlijk",U721="Zoon",U721="Dochter"),V721,OR(W721="Persoonlijk",W721="Zoon",W721="Dochter"),X721,OR(Y721="Persoonlijk",Y721="Zoon",Y721="Dochter"),Z721,U721="Vader",V721,W721="Vader",X721,Y721="Vader",Z721,U721="Moeder",V721,W721="Moeder",X721,Y721="Moeder",Z721,TRUE,IF(V721&lt;&gt;"",V721,IF(X721&lt;&gt;"",X721,IF(Z721&lt;&gt;"",Z721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22" spans="1:40" x14ac:dyDescent="0.3">
      <c r="A722">
        <v>2650831</v>
      </c>
      <c r="B722" t="s">
        <v>2786</v>
      </c>
      <c r="C722" t="s">
        <v>413</v>
      </c>
      <c r="D722" t="s">
        <v>39</v>
      </c>
      <c r="E722" t="s">
        <v>40</v>
      </c>
      <c r="F722" t="s">
        <v>2787</v>
      </c>
      <c r="G722" t="s">
        <v>2524</v>
      </c>
      <c r="H722">
        <v>14</v>
      </c>
      <c r="V722" t="s">
        <v>2788</v>
      </c>
      <c r="X722" t="s">
        <v>2789</v>
      </c>
      <c r="AC722" t="s">
        <v>2790</v>
      </c>
      <c r="AF722">
        <v>1002650831</v>
      </c>
      <c r="AG722">
        <v>739602</v>
      </c>
      <c r="AJ722" t="s">
        <v>286</v>
      </c>
      <c r="AK722" t="s">
        <v>61</v>
      </c>
      <c r="AM722" t="str" cm="1">
        <f t="array" ref="AM722">_xlfn.IFS(OR(O722="Persoonlijk",O722="Zoon",O722="Dochter"),P722,OR(Q722="Persoonlijk",Q722="Zoon",Q722="Dochter"),R722,OR(S722="Persoonlijk",S722="Zoon",S722="Dochter"),T722,O722="Vader",P722,Q722="Vader",R722,S722="Vader",T722,O722="Moeder",P722,Q722="Moeder",R722,S722="Moeder",T722,TRUE,IF(P722&lt;&gt;"",P722,IF(R722&lt;&gt;"",R722,IF(T722&lt;&gt;"",T722,""))))</f>
        <v/>
      </c>
      <c r="AN722" t="str" cm="1">
        <f t="array" ref="AN722">_xlfn.LET(_xlpm.raw,_xlfn.IFS(OR(U722="Persoonlijk",U722="Zoon",U722="Dochter"),V722,OR(W722="Persoonlijk",W722="Zoon",W722="Dochter"),X722,OR(Y722="Persoonlijk",Y722="Zoon",Y722="Dochter"),Z722,U722="Vader",V722,W722="Vader",X722,Y722="Vader",Z722,U722="Moeder",V722,W722="Moeder",X722,Y722="Moeder",Z722,TRUE,IF(V722&lt;&gt;"",V722,IF(X722&lt;&gt;"",X722,IF(Z722&lt;&gt;"",Z722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+32497313727</v>
      </c>
    </row>
    <row r="723" spans="1:40" x14ac:dyDescent="0.3">
      <c r="A723">
        <v>2650831</v>
      </c>
      <c r="B723" t="s">
        <v>2786</v>
      </c>
      <c r="C723" t="s">
        <v>413</v>
      </c>
      <c r="D723" t="s">
        <v>39</v>
      </c>
      <c r="E723" t="s">
        <v>40</v>
      </c>
      <c r="F723" t="s">
        <v>2787</v>
      </c>
      <c r="G723" t="s">
        <v>2524</v>
      </c>
      <c r="H723">
        <v>14</v>
      </c>
      <c r="V723" t="s">
        <v>2788</v>
      </c>
      <c r="X723" t="s">
        <v>2789</v>
      </c>
      <c r="AC723" t="s">
        <v>2790</v>
      </c>
      <c r="AF723">
        <v>1002650831</v>
      </c>
      <c r="AG723">
        <v>739602</v>
      </c>
      <c r="AJ723" t="s">
        <v>63</v>
      </c>
      <c r="AK723" t="s">
        <v>61</v>
      </c>
      <c r="AM723" t="str" cm="1">
        <f t="array" ref="AM723">_xlfn.IFS(OR(O723="Persoonlijk",O723="Zoon",O723="Dochter"),P723,OR(Q723="Persoonlijk",Q723="Zoon",Q723="Dochter"),R723,OR(S723="Persoonlijk",S723="Zoon",S723="Dochter"),T723,O723="Vader",P723,Q723="Vader",R723,S723="Vader",T723,O723="Moeder",P723,Q723="Moeder",R723,S723="Moeder",T723,TRUE,IF(P723&lt;&gt;"",P723,IF(R723&lt;&gt;"",R723,IF(T723&lt;&gt;"",T723,""))))</f>
        <v/>
      </c>
      <c r="AN723" t="str" cm="1">
        <f t="array" ref="AN723">_xlfn.LET(_xlpm.raw,_xlfn.IFS(OR(U723="Persoonlijk",U723="Zoon",U723="Dochter"),V723,OR(W723="Persoonlijk",W723="Zoon",W723="Dochter"),X723,OR(Y723="Persoonlijk",Y723="Zoon",Y723="Dochter"),Z723,U723="Vader",V723,W723="Vader",X723,Y723="Vader",Z723,U723="Moeder",V723,W723="Moeder",X723,Y723="Moeder",Z723,TRUE,IF(V723&lt;&gt;"",V723,IF(X723&lt;&gt;"",X723,IF(Z723&lt;&gt;"",Z723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+32497313727</v>
      </c>
    </row>
    <row r="724" spans="1:40" x14ac:dyDescent="0.3">
      <c r="A724">
        <v>2650831</v>
      </c>
      <c r="B724" t="s">
        <v>2786</v>
      </c>
      <c r="C724" t="s">
        <v>413</v>
      </c>
      <c r="D724" t="s">
        <v>39</v>
      </c>
      <c r="E724" t="s">
        <v>40</v>
      </c>
      <c r="F724" t="s">
        <v>2787</v>
      </c>
      <c r="G724" t="s">
        <v>2524</v>
      </c>
      <c r="H724">
        <v>14</v>
      </c>
      <c r="V724" t="s">
        <v>2788</v>
      </c>
      <c r="X724" t="s">
        <v>2789</v>
      </c>
      <c r="AC724" t="s">
        <v>2790</v>
      </c>
      <c r="AF724">
        <v>1002650831</v>
      </c>
      <c r="AG724">
        <v>739602</v>
      </c>
      <c r="AJ724" t="s">
        <v>180</v>
      </c>
      <c r="AK724" t="s">
        <v>61</v>
      </c>
      <c r="AM724" t="str" cm="1">
        <f t="array" ref="AM724">_xlfn.IFS(OR(O724="Persoonlijk",O724="Zoon",O724="Dochter"),P724,OR(Q724="Persoonlijk",Q724="Zoon",Q724="Dochter"),R724,OR(S724="Persoonlijk",S724="Zoon",S724="Dochter"),T724,O724="Vader",P724,Q724="Vader",R724,S724="Vader",T724,O724="Moeder",P724,Q724="Moeder",R724,S724="Moeder",T724,TRUE,IF(P724&lt;&gt;"",P724,IF(R724&lt;&gt;"",R724,IF(T724&lt;&gt;"",T724,""))))</f>
        <v/>
      </c>
      <c r="AN724" t="str" cm="1">
        <f t="array" ref="AN724">_xlfn.LET(_xlpm.raw,_xlfn.IFS(OR(U724="Persoonlijk",U724="Zoon",U724="Dochter"),V724,OR(W724="Persoonlijk",W724="Zoon",W724="Dochter"),X724,OR(Y724="Persoonlijk",Y724="Zoon",Y724="Dochter"),Z724,U724="Vader",V724,W724="Vader",X724,Y724="Vader",Z724,U724="Moeder",V724,W724="Moeder",X724,Y724="Moeder",Z724,TRUE,IF(V724&lt;&gt;"",V724,IF(X724&lt;&gt;"",X724,IF(Z724&lt;&gt;"",Z724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+32497313727</v>
      </c>
    </row>
    <row r="725" spans="1:40" x14ac:dyDescent="0.3">
      <c r="A725">
        <v>2183462</v>
      </c>
      <c r="B725" t="s">
        <v>2791</v>
      </c>
      <c r="C725" t="s">
        <v>2792</v>
      </c>
      <c r="D725" t="s">
        <v>39</v>
      </c>
      <c r="E725" t="s">
        <v>49</v>
      </c>
      <c r="F725" t="s">
        <v>2793</v>
      </c>
      <c r="G725" t="s">
        <v>2794</v>
      </c>
      <c r="H725">
        <v>28</v>
      </c>
      <c r="U725" t="s">
        <v>46</v>
      </c>
      <c r="V725" t="s">
        <v>2795</v>
      </c>
      <c r="AC725" t="s">
        <v>2796</v>
      </c>
      <c r="AF725">
        <v>1002183462</v>
      </c>
      <c r="AG725">
        <v>207756</v>
      </c>
      <c r="AM725" t="str" cm="1">
        <f t="array" ref="AM725">_xlfn.IFS(OR(O725="Persoonlijk",O725="Zoon",O725="Dochter"),P725,OR(Q725="Persoonlijk",Q725="Zoon",Q725="Dochter"),R725,OR(S725="Persoonlijk",S725="Zoon",S725="Dochter"),T725,O725="Vader",P725,Q725="Vader",R725,S725="Vader",T725,O725="Moeder",P725,Q725="Moeder",R725,S725="Moeder",T725,TRUE,IF(P725&lt;&gt;"",P725,IF(R725&lt;&gt;"",R725,IF(T725&lt;&gt;"",T725,""))))</f>
        <v/>
      </c>
      <c r="AN725" t="str" cm="1">
        <f t="array" ref="AN725">_xlfn.LET(_xlpm.raw,_xlfn.IFS(OR(U725="Persoonlijk",U725="Zoon",U725="Dochter"),V725,OR(W725="Persoonlijk",W725="Zoon",W725="Dochter"),X725,OR(Y725="Persoonlijk",Y725="Zoon",Y725="Dochter"),Z725,U725="Vader",V725,W725="Vader",X725,Y725="Vader",Z725,U725="Moeder",V725,W725="Moeder",X725,Y725="Moeder",Z725,TRUE,IF(V725&lt;&gt;"",V725,IF(X725&lt;&gt;"",X725,IF(Z725&lt;&gt;"",Z725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+3248686.86.51</v>
      </c>
    </row>
    <row r="726" spans="1:40" x14ac:dyDescent="0.3">
      <c r="A726">
        <v>4246468</v>
      </c>
      <c r="B726" t="s">
        <v>2797</v>
      </c>
      <c r="C726" t="s">
        <v>2798</v>
      </c>
      <c r="D726" t="s">
        <v>39</v>
      </c>
      <c r="E726" t="s">
        <v>40</v>
      </c>
      <c r="F726" t="s">
        <v>2799</v>
      </c>
      <c r="G726" t="s">
        <v>2800</v>
      </c>
      <c r="H726">
        <v>2</v>
      </c>
      <c r="U726" t="s">
        <v>46</v>
      </c>
      <c r="V726" t="s">
        <v>2801</v>
      </c>
      <c r="AC726" t="s">
        <v>2802</v>
      </c>
      <c r="AF726">
        <v>1004246468</v>
      </c>
      <c r="AM726" t="str" cm="1">
        <f t="array" ref="AM726">_xlfn.IFS(OR(O726="Persoonlijk",O726="Zoon",O726="Dochter"),P726,OR(Q726="Persoonlijk",Q726="Zoon",Q726="Dochter"),R726,OR(S726="Persoonlijk",S726="Zoon",S726="Dochter"),T726,O726="Vader",P726,Q726="Vader",R726,S726="Vader",T726,O726="Moeder",P726,Q726="Moeder",R726,S726="Moeder",T726,TRUE,IF(P726&lt;&gt;"",P726,IF(R726&lt;&gt;"",R726,IF(T726&lt;&gt;"",T726,""))))</f>
        <v/>
      </c>
      <c r="AN726" t="str" cm="1">
        <f t="array" ref="AN726">_xlfn.LET(_xlpm.raw,_xlfn.IFS(OR(U726="Persoonlijk",U726="Zoon",U726="Dochter"),V726,OR(W726="Persoonlijk",W726="Zoon",W726="Dochter"),X726,OR(Y726="Persoonlijk",Y726="Zoon",Y726="Dochter"),Z726,U726="Vader",V726,W726="Vader",X726,Y726="Vader",Z726,U726="Moeder",V726,W726="Moeder",X726,Y726="Moeder",Z726,TRUE,IF(V726&lt;&gt;"",V726,IF(X726&lt;&gt;"",X726,IF(Z726&lt;&gt;"",Z726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+32475584066</v>
      </c>
    </row>
    <row r="727" spans="1:40" x14ac:dyDescent="0.3">
      <c r="A727">
        <v>2650937</v>
      </c>
      <c r="B727" t="s">
        <v>2803</v>
      </c>
      <c r="C727" t="s">
        <v>2804</v>
      </c>
      <c r="D727" t="s">
        <v>39</v>
      </c>
      <c r="E727" t="s">
        <v>40</v>
      </c>
      <c r="F727" t="s">
        <v>2805</v>
      </c>
      <c r="G727" t="s">
        <v>2806</v>
      </c>
      <c r="H727">
        <v>56</v>
      </c>
      <c r="U727" t="s">
        <v>46</v>
      </c>
      <c r="V727">
        <v>32483038837</v>
      </c>
      <c r="AC727" t="s">
        <v>2807</v>
      </c>
      <c r="AF727">
        <v>1002650937</v>
      </c>
      <c r="AG727">
        <v>644848</v>
      </c>
      <c r="AJ727" t="s">
        <v>483</v>
      </c>
      <c r="AK727" t="s">
        <v>61</v>
      </c>
      <c r="AM727" t="str" cm="1">
        <f t="array" ref="AM727">_xlfn.IFS(OR(O727="Persoonlijk",O727="Zoon",O727="Dochter"),P727,OR(Q727="Persoonlijk",Q727="Zoon",Q727="Dochter"),R727,OR(S727="Persoonlijk",S727="Zoon",S727="Dochter"),T727,O727="Vader",P727,Q727="Vader",R727,S727="Vader",T727,O727="Moeder",P727,Q727="Moeder",R727,S727="Moeder",T727,TRUE,IF(P727&lt;&gt;"",P727,IF(R727&lt;&gt;"",R727,IF(T727&lt;&gt;"",T727,""))))</f>
        <v/>
      </c>
      <c r="AN727" t="str" cm="1">
        <f t="array" ref="AN727">_xlfn.LET(_xlpm.raw,_xlfn.IFS(OR(U727="Persoonlijk",U727="Zoon",U727="Dochter"),V727,OR(W727="Persoonlijk",W727="Zoon",W727="Dochter"),X727,OR(Y727="Persoonlijk",Y727="Zoon",Y727="Dochter"),Z727,U727="Vader",V727,W727="Vader",X727,Y727="Vader",Z727,U727="Moeder",V727,W727="Moeder",X727,Y727="Moeder",Z727,TRUE,IF(V727&lt;&gt;"",V727,IF(X727&lt;&gt;"",X727,IF(Z727&lt;&gt;"",Z727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+32483038837</v>
      </c>
    </row>
    <row r="728" spans="1:40" x14ac:dyDescent="0.3">
      <c r="A728">
        <v>7328323</v>
      </c>
      <c r="B728" t="s">
        <v>2808</v>
      </c>
      <c r="C728" t="s">
        <v>1365</v>
      </c>
      <c r="D728" t="s">
        <v>39</v>
      </c>
      <c r="E728" t="s">
        <v>40</v>
      </c>
      <c r="F728" t="s">
        <v>2809</v>
      </c>
      <c r="G728" t="s">
        <v>2810</v>
      </c>
      <c r="H728">
        <v>21</v>
      </c>
      <c r="Q728" t="s">
        <v>51</v>
      </c>
      <c r="R728" t="s">
        <v>2811</v>
      </c>
      <c r="U728" t="s">
        <v>53</v>
      </c>
      <c r="V728" t="s">
        <v>2812</v>
      </c>
      <c r="W728" t="s">
        <v>51</v>
      </c>
      <c r="X728" t="s">
        <v>2813</v>
      </c>
      <c r="AF728">
        <v>1007328323</v>
      </c>
      <c r="AJ728" t="s">
        <v>192</v>
      </c>
      <c r="AK728" t="s">
        <v>61</v>
      </c>
      <c r="AM728" t="str" cm="1">
        <f t="array" ref="AM728">_xlfn.IFS(OR(O728="Persoonlijk",O728="Zoon",O728="Dochter"),P728,OR(Q728="Persoonlijk",Q728="Zoon",Q728="Dochter"),R728,OR(S728="Persoonlijk",S728="Zoon",S728="Dochter"),T728,O728="Vader",P728,Q728="Vader",R728,S728="Vader",T728,O728="Moeder",P728,Q728="Moeder",R728,S728="Moeder",T728,TRUE,IF(P728&lt;&gt;"",P728,IF(R728&lt;&gt;"",R728,IF(T728&lt;&gt;"",T728,""))))</f>
        <v>pieterpaulvossen@hotmail.com</v>
      </c>
      <c r="AN728" t="str" cm="1">
        <f t="array" ref="AN728">_xlfn.LET(_xlpm.raw,_xlfn.IFS(OR(U728="Persoonlijk",U728="Zoon",U728="Dochter"),V728,OR(W728="Persoonlijk",W728="Zoon",W728="Dochter"),X728,OR(Y728="Persoonlijk",Y728="Zoon",Y728="Dochter"),Z728,U728="Vader",V728,W728="Vader",X728,Y728="Vader",Z728,U728="Moeder",V728,W728="Moeder",X728,Y728="Moeder",Z728,TRUE,IF(V728&lt;&gt;"",V728,IF(X728&lt;&gt;"",X728,IF(Z728&lt;&gt;"",Z728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+32472546513</v>
      </c>
    </row>
    <row r="729" spans="1:40" x14ac:dyDescent="0.3">
      <c r="A729">
        <v>2936188</v>
      </c>
      <c r="B729" t="s">
        <v>2814</v>
      </c>
      <c r="C729" t="s">
        <v>558</v>
      </c>
      <c r="D729" t="s">
        <v>39</v>
      </c>
      <c r="E729" t="s">
        <v>40</v>
      </c>
      <c r="F729" t="s">
        <v>2815</v>
      </c>
      <c r="G729" t="s">
        <v>524</v>
      </c>
      <c r="H729">
        <v>72</v>
      </c>
      <c r="Q729" t="s">
        <v>46</v>
      </c>
      <c r="R729" t="s">
        <v>2816</v>
      </c>
      <c r="U729" t="s">
        <v>53</v>
      </c>
      <c r="V729">
        <v>476675516</v>
      </c>
      <c r="W729" t="s">
        <v>51</v>
      </c>
      <c r="X729">
        <v>476580878</v>
      </c>
      <c r="Y729" t="s">
        <v>46</v>
      </c>
      <c r="Z729">
        <v>320468043576</v>
      </c>
      <c r="AB729" t="s">
        <v>2817</v>
      </c>
      <c r="AC729" t="s">
        <v>2818</v>
      </c>
      <c r="AF729">
        <v>1002936188</v>
      </c>
      <c r="AG729">
        <v>744638</v>
      </c>
      <c r="AM729" t="str" cm="1">
        <f t="array" ref="AM729">_xlfn.IFS(OR(O729="Persoonlijk",O729="Zoon",O729="Dochter"),P729,OR(Q729="Persoonlijk",Q729="Zoon",Q729="Dochter"),R729,OR(S729="Persoonlijk",S729="Zoon",S729="Dochter"),T729,O729="Vader",P729,Q729="Vader",R729,S729="Vader",T729,O729="Moeder",P729,Q729="Moeder",R729,S729="Moeder",T729,TRUE,IF(P729&lt;&gt;"",P729,IF(R729&lt;&gt;"",R729,IF(T729&lt;&gt;"",T729,""))))</f>
        <v>mathis.vrijens@outlook.com</v>
      </c>
      <c r="AN729" t="str" cm="1">
        <f t="array" ref="AN729">_xlfn.LET(_xlpm.raw,_xlfn.IFS(OR(U729="Persoonlijk",U729="Zoon",U729="Dochter"),V729,OR(W729="Persoonlijk",W729="Zoon",W729="Dochter"),X729,OR(Y729="Persoonlijk",Y729="Zoon",Y729="Dochter"),Z729,U729="Vader",V729,W729="Vader",X729,Y729="Vader",Z729,U729="Moeder",V729,W729="Moeder",X729,Y729="Moeder",Z729,TRUE,IF(V729&lt;&gt;"",V729,IF(X729&lt;&gt;"",X729,IF(Z729&lt;&gt;"",Z729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+32468043576</v>
      </c>
    </row>
    <row r="730" spans="1:40" x14ac:dyDescent="0.3">
      <c r="A730">
        <v>8418462</v>
      </c>
      <c r="B730" t="s">
        <v>2819</v>
      </c>
      <c r="C730" t="s">
        <v>1319</v>
      </c>
      <c r="D730" t="s">
        <v>39</v>
      </c>
      <c r="E730" t="s">
        <v>40</v>
      </c>
      <c r="F730" t="s">
        <v>2820</v>
      </c>
      <c r="G730" t="s">
        <v>2821</v>
      </c>
      <c r="H730">
        <v>24</v>
      </c>
      <c r="Q730" t="s">
        <v>51</v>
      </c>
      <c r="R730" t="s">
        <v>2822</v>
      </c>
      <c r="U730" t="s">
        <v>53</v>
      </c>
      <c r="V730">
        <v>320494304295</v>
      </c>
      <c r="W730" t="s">
        <v>51</v>
      </c>
      <c r="X730">
        <v>320473356747</v>
      </c>
      <c r="AD730">
        <v>15</v>
      </c>
      <c r="AE730" t="s">
        <v>2823</v>
      </c>
      <c r="AF730">
        <v>1008418462</v>
      </c>
      <c r="AJ730" t="s">
        <v>131</v>
      </c>
      <c r="AK730" t="s">
        <v>61</v>
      </c>
      <c r="AM730" t="str" cm="1">
        <f t="array" ref="AM730">_xlfn.IFS(OR(O730="Persoonlijk",O730="Zoon",O730="Dochter"),P730,OR(Q730="Persoonlijk",Q730="Zoon",Q730="Dochter"),R730,OR(S730="Persoonlijk",S730="Zoon",S730="Dochter"),T730,O730="Vader",P730,Q730="Vader",R730,S730="Vader",T730,O730="Moeder",P730,Q730="Moeder",R730,S730="Moeder",T730,TRUE,IF(P730&lt;&gt;"",P730,IF(R730&lt;&gt;"",R730,IF(T730&lt;&gt;"",T730,""))))</f>
        <v>fam.vunck.demoor@outlook.com</v>
      </c>
      <c r="AN730" t="str" cm="1">
        <f t="array" ref="AN730">_xlfn.LET(_xlpm.raw,_xlfn.IFS(OR(U730="Persoonlijk",U730="Zoon",U730="Dochter"),V730,OR(W730="Persoonlijk",W730="Zoon",W730="Dochter"),X730,OR(Y730="Persoonlijk",Y730="Zoon",Y730="Dochter"),Z730,U730="Vader",V730,W730="Vader",X730,Y730="Vader",Z730,U730="Moeder",V730,W730="Moeder",X730,Y730="Moeder",Z730,TRUE,IF(V730&lt;&gt;"",V730,IF(X730&lt;&gt;"",X730,IF(Z730&lt;&gt;"",Z730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+32473356747</v>
      </c>
    </row>
    <row r="731" spans="1:40" x14ac:dyDescent="0.3">
      <c r="A731">
        <v>11844943</v>
      </c>
      <c r="B731" t="s">
        <v>2819</v>
      </c>
      <c r="C731" t="s">
        <v>1753</v>
      </c>
      <c r="D731" t="s">
        <v>39</v>
      </c>
      <c r="E731" t="s">
        <v>40</v>
      </c>
      <c r="G731" t="s">
        <v>2821</v>
      </c>
      <c r="H731">
        <v>24</v>
      </c>
      <c r="U731" t="s">
        <v>51</v>
      </c>
      <c r="V731" t="s">
        <v>2824</v>
      </c>
      <c r="X731">
        <v>32</v>
      </c>
      <c r="AF731">
        <v>1011844943</v>
      </c>
      <c r="AM731" t="str" cm="1">
        <f t="array" ref="AM731">_xlfn.IFS(OR(O731="Persoonlijk",O731="Zoon",O731="Dochter"),P731,OR(Q731="Persoonlijk",Q731="Zoon",Q731="Dochter"),R731,OR(S731="Persoonlijk",S731="Zoon",S731="Dochter"),T731,O731="Vader",P731,Q731="Vader",R731,S731="Vader",T731,O731="Moeder",P731,Q731="Moeder",R731,S731="Moeder",T731,TRUE,IF(P731&lt;&gt;"",P731,IF(R731&lt;&gt;"",R731,IF(T731&lt;&gt;"",T731,""))))</f>
        <v/>
      </c>
      <c r="AN731" t="str" cm="1">
        <f t="array" ref="AN731">_xlfn.LET(_xlpm.raw,_xlfn.IFS(OR(U731="Persoonlijk",U731="Zoon",U731="Dochter"),V731,OR(W731="Persoonlijk",W731="Zoon",W731="Dochter"),X731,OR(Y731="Persoonlijk",Y731="Zoon",Y731="Dochter"),Z731,U731="Vader",V731,W731="Vader",X731,Y731="Vader",Z731,U731="Moeder",V731,W731="Moeder",X731,Y731="Moeder",Z731,TRUE,IF(V731&lt;&gt;"",V731,IF(X731&lt;&gt;"",X731,IF(Z731&lt;&gt;"",Z731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+32473356747</v>
      </c>
    </row>
    <row r="732" spans="1:40" x14ac:dyDescent="0.3">
      <c r="A732">
        <v>2183467</v>
      </c>
      <c r="B732" t="s">
        <v>2825</v>
      </c>
      <c r="C732" t="s">
        <v>2826</v>
      </c>
      <c r="D732" t="s">
        <v>39</v>
      </c>
      <c r="E732" t="s">
        <v>40</v>
      </c>
      <c r="F732" t="s">
        <v>2827</v>
      </c>
      <c r="G732" t="s">
        <v>2828</v>
      </c>
      <c r="H732">
        <v>44</v>
      </c>
      <c r="AC732" t="s">
        <v>2830</v>
      </c>
      <c r="AF732">
        <v>1002183467</v>
      </c>
      <c r="AG732">
        <v>708693</v>
      </c>
      <c r="AM732" t="str" cm="1">
        <f t="array" ref="AM732">_xlfn.IFS(OR(O732="Persoonlijk",O732="Zoon",O732="Dochter"),P732,OR(Q732="Persoonlijk",Q732="Zoon",Q732="Dochter"),R732,OR(S732="Persoonlijk",S732="Zoon",S732="Dochter"),T732,O732="Vader",P732,Q732="Vader",R732,S732="Vader",T732,O732="Moeder",P732,Q732="Moeder",R732,S732="Moeder",T732,TRUE,IF(P732&lt;&gt;"",P732,IF(R732&lt;&gt;"",R732,IF(T732&lt;&gt;"",T732,""))))</f>
        <v/>
      </c>
      <c r="AN732" t="str" cm="1">
        <f t="array" ref="AN732">_xlfn.LET(_xlpm.raw,_xlfn.IFS(OR(U732="Persoonlijk",U732="Zoon",U732="Dochter"),V732,OR(W732="Persoonlijk",W732="Zoon",W732="Dochter"),X732,OR(Y732="Persoonlijk",Y732="Zoon",Y732="Dochter"),Z732,U732="Vader",V732,W732="Vader",X732,Y732="Vader",Z732,U732="Moeder",V732,W732="Moeder",X732,Y732="Moeder",Z732,TRUE,IF(V732&lt;&gt;"",V732,IF(X732&lt;&gt;"",X732,IF(Z732&lt;&gt;"",Z732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33" spans="1:40" x14ac:dyDescent="0.3">
      <c r="A733">
        <v>2183472</v>
      </c>
      <c r="B733" t="s">
        <v>2825</v>
      </c>
      <c r="C733" t="s">
        <v>2831</v>
      </c>
      <c r="D733" t="s">
        <v>39</v>
      </c>
      <c r="E733" t="s">
        <v>40</v>
      </c>
      <c r="F733" t="s">
        <v>2832</v>
      </c>
      <c r="G733" t="s">
        <v>2828</v>
      </c>
      <c r="H733">
        <v>44</v>
      </c>
      <c r="R733" t="s">
        <v>2829</v>
      </c>
      <c r="AC733" t="s">
        <v>2830</v>
      </c>
      <c r="AF733">
        <v>1002183472</v>
      </c>
      <c r="AG733">
        <v>665985</v>
      </c>
      <c r="AM733" t="str" cm="1">
        <f t="array" ref="AM733">_xlfn.IFS(OR(O733="Persoonlijk",O733="Zoon",O733="Dochter"),P733,OR(Q733="Persoonlijk",Q733="Zoon",Q733="Dochter"),R733,OR(S733="Persoonlijk",S733="Zoon",S733="Dochter"),T733,O733="Vader",P733,Q733="Vader",R733,S733="Vader",T733,O733="Moeder",P733,Q733="Moeder",R733,S733="Moeder",T733,TRUE,IF(P733&lt;&gt;"",P733,IF(R733&lt;&gt;"",R733,IF(T733&lt;&gt;"",T733,""))))</f>
        <v>frank.waeghe@telenet.be</v>
      </c>
      <c r="AN733" t="str" cm="1">
        <f t="array" ref="AN733">_xlfn.LET(_xlpm.raw,_xlfn.IFS(OR(U733="Persoonlijk",U733="Zoon",U733="Dochter"),V733,OR(W733="Persoonlijk",W733="Zoon",W733="Dochter"),X733,OR(Y733="Persoonlijk",Y733="Zoon",Y733="Dochter"),Z733,U733="Vader",V733,W733="Vader",X733,Y733="Vader",Z733,U733="Moeder",V733,W733="Moeder",X733,Y733="Moeder",Z733,TRUE,IF(V733&lt;&gt;"",V733,IF(X733&lt;&gt;"",X733,IF(Z733&lt;&gt;"",Z733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34" spans="1:40" x14ac:dyDescent="0.3">
      <c r="A734">
        <v>3437289</v>
      </c>
      <c r="B734" t="s">
        <v>2833</v>
      </c>
      <c r="C734" t="s">
        <v>2834</v>
      </c>
      <c r="D734" t="s">
        <v>39</v>
      </c>
      <c r="E734" t="s">
        <v>40</v>
      </c>
      <c r="F734" t="s">
        <v>2835</v>
      </c>
      <c r="G734" t="s">
        <v>2216</v>
      </c>
      <c r="H734">
        <v>24</v>
      </c>
      <c r="U734" t="s">
        <v>53</v>
      </c>
      <c r="V734">
        <v>32495460727</v>
      </c>
      <c r="W734" t="s">
        <v>51</v>
      </c>
      <c r="X734">
        <v>32486694007</v>
      </c>
      <c r="AA734">
        <v>32</v>
      </c>
      <c r="AC734" t="s">
        <v>2836</v>
      </c>
      <c r="AE734" t="s">
        <v>2837</v>
      </c>
      <c r="AF734">
        <v>1003437289</v>
      </c>
      <c r="AJ734" t="s">
        <v>88</v>
      </c>
      <c r="AK734" t="s">
        <v>61</v>
      </c>
      <c r="AM734" t="str" cm="1">
        <f t="array" ref="AM734">_xlfn.IFS(OR(O734="Persoonlijk",O734="Zoon",O734="Dochter"),P734,OR(Q734="Persoonlijk",Q734="Zoon",Q734="Dochter"),R734,OR(S734="Persoonlijk",S734="Zoon",S734="Dochter"),T734,O734="Vader",P734,Q734="Vader",R734,S734="Vader",T734,O734="Moeder",P734,Q734="Moeder",R734,S734="Moeder",T734,TRUE,IF(P734&lt;&gt;"",P734,IF(R734&lt;&gt;"",R734,IF(T734&lt;&gt;"",T734,""))))</f>
        <v/>
      </c>
      <c r="AN734" t="str" cm="1">
        <f t="array" ref="AN734">_xlfn.LET(_xlpm.raw,_xlfn.IFS(OR(U734="Persoonlijk",U734="Zoon",U734="Dochter"),V734,OR(W734="Persoonlijk",W734="Zoon",W734="Dochter"),X734,OR(Y734="Persoonlijk",Y734="Zoon",Y734="Dochter"),Z734,U734="Vader",V734,W734="Vader",X734,Y734="Vader",Z734,U734="Moeder",V734,W734="Moeder",X734,Y734="Moeder",Z734,TRUE,IF(V734&lt;&gt;"",V734,IF(X734&lt;&gt;"",X734,IF(Z734&lt;&gt;"",Z734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+32486694007</v>
      </c>
    </row>
    <row r="735" spans="1:40" x14ac:dyDescent="0.3">
      <c r="A735">
        <v>3437291</v>
      </c>
      <c r="B735" t="s">
        <v>2833</v>
      </c>
      <c r="C735" t="s">
        <v>2838</v>
      </c>
      <c r="D735" t="s">
        <v>39</v>
      </c>
      <c r="E735" t="s">
        <v>49</v>
      </c>
      <c r="F735" t="s">
        <v>2839</v>
      </c>
      <c r="G735" t="s">
        <v>2216</v>
      </c>
      <c r="H735">
        <v>24</v>
      </c>
      <c r="U735" t="s">
        <v>53</v>
      </c>
      <c r="V735">
        <v>32495460727</v>
      </c>
      <c r="W735" t="s">
        <v>53</v>
      </c>
      <c r="X735">
        <v>32486694007</v>
      </c>
      <c r="AA735">
        <v>32</v>
      </c>
      <c r="AC735" t="s">
        <v>2840</v>
      </c>
      <c r="AD735">
        <v>11</v>
      </c>
      <c r="AE735" t="s">
        <v>2841</v>
      </c>
      <c r="AF735">
        <v>1003437291</v>
      </c>
      <c r="AJ735" t="s">
        <v>164</v>
      </c>
      <c r="AK735" t="s">
        <v>61</v>
      </c>
      <c r="AM735" t="str" cm="1">
        <f t="array" ref="AM735">_xlfn.IFS(OR(O735="Persoonlijk",O735="Zoon",O735="Dochter"),P735,OR(Q735="Persoonlijk",Q735="Zoon",Q735="Dochter"),R735,OR(S735="Persoonlijk",S735="Zoon",S735="Dochter"),T735,O735="Vader",P735,Q735="Vader",R735,S735="Vader",T735,O735="Moeder",P735,Q735="Moeder",R735,S735="Moeder",T735,TRUE,IF(P735&lt;&gt;"",P735,IF(R735&lt;&gt;"",R735,IF(T735&lt;&gt;"",T735,""))))</f>
        <v/>
      </c>
      <c r="AN735" t="str" cm="1">
        <f t="array" ref="AN735">_xlfn.LET(_xlpm.raw,_xlfn.IFS(OR(U735="Persoonlijk",U735="Zoon",U735="Dochter"),V735,OR(W735="Persoonlijk",W735="Zoon",W735="Dochter"),X735,OR(Y735="Persoonlijk",Y735="Zoon",Y735="Dochter"),Z735,U735="Vader",V735,W735="Vader",X735,Y735="Vader",Z735,U735="Moeder",V735,W735="Moeder",X735,Y735="Moeder",Z735,TRUE,IF(V735&lt;&gt;"",V735,IF(X735&lt;&gt;"",X735,IF(Z735&lt;&gt;"",Z735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+32495460727</v>
      </c>
    </row>
    <row r="736" spans="1:40" x14ac:dyDescent="0.3">
      <c r="A736">
        <v>4196392</v>
      </c>
      <c r="B736" t="s">
        <v>2842</v>
      </c>
      <c r="C736" t="s">
        <v>2843</v>
      </c>
      <c r="D736" t="s">
        <v>39</v>
      </c>
      <c r="E736" t="s">
        <v>40</v>
      </c>
      <c r="F736" t="s">
        <v>2844</v>
      </c>
      <c r="G736" t="s">
        <v>2845</v>
      </c>
      <c r="H736">
        <v>115</v>
      </c>
      <c r="U736" t="s">
        <v>46</v>
      </c>
      <c r="V736" t="s">
        <v>2846</v>
      </c>
      <c r="AC736" t="s">
        <v>2847</v>
      </c>
      <c r="AF736">
        <v>1004196392</v>
      </c>
      <c r="AG736">
        <v>631034</v>
      </c>
      <c r="AM736" t="str" cm="1">
        <f t="array" ref="AM736">_xlfn.IFS(OR(O736="Persoonlijk",O736="Zoon",O736="Dochter"),P736,OR(Q736="Persoonlijk",Q736="Zoon",Q736="Dochter"),R736,OR(S736="Persoonlijk",S736="Zoon",S736="Dochter"),T736,O736="Vader",P736,Q736="Vader",R736,S736="Vader",T736,O736="Moeder",P736,Q736="Moeder",R736,S736="Moeder",T736,TRUE,IF(P736&lt;&gt;"",P736,IF(R736&lt;&gt;"",R736,IF(T736&lt;&gt;"",T736,""))))</f>
        <v/>
      </c>
      <c r="AN736" t="str" cm="1">
        <f t="array" ref="AN736">_xlfn.LET(_xlpm.raw,_xlfn.IFS(OR(U736="Persoonlijk",U736="Zoon",U736="Dochter"),V736,OR(W736="Persoonlijk",W736="Zoon",W736="Dochter"),X736,OR(Y736="Persoonlijk",Y736="Zoon",Y736="Dochter"),Z736,U736="Vader",V736,W736="Vader",X736,Y736="Vader",Z736,U736="Moeder",V736,W736="Moeder",X736,Y736="Moeder",Z736,TRUE,IF(V736&lt;&gt;"",V736,IF(X736&lt;&gt;"",X736,IF(Z736&lt;&gt;"",Z736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+32470821235</v>
      </c>
    </row>
    <row r="737" spans="1:40" x14ac:dyDescent="0.3">
      <c r="A737">
        <v>3457891</v>
      </c>
      <c r="B737" t="s">
        <v>2848</v>
      </c>
      <c r="C737" t="s">
        <v>2849</v>
      </c>
      <c r="D737" t="s">
        <v>39</v>
      </c>
      <c r="E737" t="s">
        <v>40</v>
      </c>
      <c r="F737" t="s">
        <v>2850</v>
      </c>
      <c r="G737" t="s">
        <v>2851</v>
      </c>
      <c r="V737">
        <v>476325338</v>
      </c>
      <c r="X737">
        <v>0</v>
      </c>
      <c r="Z737">
        <v>0</v>
      </c>
      <c r="AA737">
        <v>0</v>
      </c>
      <c r="AF737">
        <v>1003457891</v>
      </c>
      <c r="AM737" t="str" cm="1">
        <f t="array" ref="AM737">_xlfn.IFS(OR(O737="Persoonlijk",O737="Zoon",O737="Dochter"),P737,OR(Q737="Persoonlijk",Q737="Zoon",Q737="Dochter"),R737,OR(S737="Persoonlijk",S737="Zoon",S737="Dochter"),T737,O737="Vader",P737,Q737="Vader",R737,S737="Vader",T737,O737="Moeder",P737,Q737="Moeder",R737,S737="Moeder",T737,TRUE,IF(P737&lt;&gt;"",P737,IF(R737&lt;&gt;"",R737,IF(T737&lt;&gt;"",T737,""))))</f>
        <v/>
      </c>
      <c r="AN737" t="str" cm="1">
        <f t="array" ref="AN737">_xlfn.LET(_xlpm.raw,_xlfn.IFS(OR(U737="Persoonlijk",U737="Zoon",U737="Dochter"),V737,OR(W737="Persoonlijk",W737="Zoon",W737="Dochter"),X737,OR(Y737="Persoonlijk",Y737="Zoon",Y737="Dochter"),Z737,U737="Vader",V737,W737="Vader",X737,Y737="Vader",Z737,U737="Moeder",V737,W737="Moeder",X737,Y737="Moeder",Z737,TRUE,IF(V737&lt;&gt;"",V737,IF(X737&lt;&gt;"",X737,IF(Z737&lt;&gt;"",Z737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+32476325338</v>
      </c>
    </row>
    <row r="738" spans="1:40" x14ac:dyDescent="0.3">
      <c r="A738">
        <v>11855228</v>
      </c>
      <c r="B738" t="s">
        <v>2852</v>
      </c>
      <c r="C738" t="s">
        <v>862</v>
      </c>
      <c r="D738" t="s">
        <v>39</v>
      </c>
      <c r="E738" t="s">
        <v>40</v>
      </c>
      <c r="F738" t="s">
        <v>2853</v>
      </c>
      <c r="G738" t="s">
        <v>2854</v>
      </c>
      <c r="H738">
        <v>40</v>
      </c>
      <c r="U738" t="s">
        <v>46</v>
      </c>
      <c r="V738" t="s">
        <v>2855</v>
      </c>
      <c r="AC738" t="s">
        <v>2856</v>
      </c>
      <c r="AF738">
        <v>1011855228</v>
      </c>
      <c r="AG738">
        <v>644411</v>
      </c>
      <c r="AJ738" t="s">
        <v>743</v>
      </c>
      <c r="AK738" t="s">
        <v>61</v>
      </c>
      <c r="AM738" t="str" cm="1">
        <f t="array" ref="AM738">_xlfn.IFS(OR(O738="Persoonlijk",O738="Zoon",O738="Dochter"),P738,OR(Q738="Persoonlijk",Q738="Zoon",Q738="Dochter"),R738,OR(S738="Persoonlijk",S738="Zoon",S738="Dochter"),T738,O738="Vader",P738,Q738="Vader",R738,S738="Vader",T738,O738="Moeder",P738,Q738="Moeder",R738,S738="Moeder",T738,TRUE,IF(P738&lt;&gt;"",P738,IF(R738&lt;&gt;"",R738,IF(T738&lt;&gt;"",T738,""))))</f>
        <v/>
      </c>
      <c r="AN738" t="str" cm="1">
        <f t="array" ref="AN738">_xlfn.LET(_xlpm.raw,_xlfn.IFS(OR(U738="Persoonlijk",U738="Zoon",U738="Dochter"),V738,OR(W738="Persoonlijk",W738="Zoon",W738="Dochter"),X738,OR(Y738="Persoonlijk",Y738="Zoon",Y738="Dochter"),Z738,U738="Vader",V738,W738="Vader",X738,Y738="Vader",Z738,U738="Moeder",V738,W738="Moeder",X738,Y738="Moeder",Z738,TRUE,IF(V738&lt;&gt;"",V738,IF(X738&lt;&gt;"",X738,IF(Z738&lt;&gt;"",Z738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+32471244684</v>
      </c>
    </row>
    <row r="739" spans="1:40" x14ac:dyDescent="0.3">
      <c r="A739">
        <v>3861232</v>
      </c>
      <c r="B739" t="s">
        <v>2857</v>
      </c>
      <c r="C739" t="s">
        <v>1471</v>
      </c>
      <c r="D739" t="s">
        <v>39</v>
      </c>
      <c r="E739" t="s">
        <v>40</v>
      </c>
      <c r="F739" t="s">
        <v>2858</v>
      </c>
      <c r="V739">
        <v>0</v>
      </c>
      <c r="X739">
        <v>0</v>
      </c>
      <c r="Z739">
        <v>0</v>
      </c>
      <c r="AA739">
        <v>0</v>
      </c>
      <c r="AF739">
        <v>1003861232</v>
      </c>
      <c r="AM739" t="str" cm="1">
        <f t="array" ref="AM739">_xlfn.IFS(OR(O739="Persoonlijk",O739="Zoon",O739="Dochter"),P739,OR(Q739="Persoonlijk",Q739="Zoon",Q739="Dochter"),R739,OR(S739="Persoonlijk",S739="Zoon",S739="Dochter"),T739,O739="Vader",P739,Q739="Vader",R739,S739="Vader",T739,O739="Moeder",P739,Q739="Moeder",R739,S739="Moeder",T739,TRUE,IF(P739&lt;&gt;"",P739,IF(R739&lt;&gt;"",R739,IF(T739&lt;&gt;"",T739,""))))</f>
        <v/>
      </c>
      <c r="AN739" t="str" cm="1">
        <f t="array" ref="AN739">_xlfn.LET(_xlpm.raw,_xlfn.IFS(OR(U739="Persoonlijk",U739="Zoon",U739="Dochter"),V739,OR(W739="Persoonlijk",W739="Zoon",W739="Dochter"),X739,OR(Y739="Persoonlijk",Y739="Zoon",Y739="Dochter"),Z739,U739="Vader",V739,W739="Vader",X739,Y739="Vader",Z739,U739="Moeder",V739,W739="Moeder",X739,Y739="Moeder",Z739,TRUE,IF(V739&lt;&gt;"",V739,IF(X739&lt;&gt;"",X739,IF(Z739&lt;&gt;"",Z739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40" spans="1:40" x14ac:dyDescent="0.3">
      <c r="A740">
        <v>3533388</v>
      </c>
      <c r="B740" t="s">
        <v>2859</v>
      </c>
      <c r="C740" t="s">
        <v>2860</v>
      </c>
      <c r="D740" t="s">
        <v>39</v>
      </c>
      <c r="E740" t="s">
        <v>40</v>
      </c>
      <c r="F740" t="s">
        <v>2861</v>
      </c>
      <c r="G740" t="s">
        <v>167</v>
      </c>
      <c r="H740">
        <v>42</v>
      </c>
      <c r="Q740" t="s">
        <v>51</v>
      </c>
      <c r="R740" t="s">
        <v>2862</v>
      </c>
      <c r="U740" t="s">
        <v>53</v>
      </c>
      <c r="V740">
        <v>4920764742</v>
      </c>
      <c r="AF740">
        <v>1003533388</v>
      </c>
      <c r="AM740" t="str" cm="1">
        <f t="array" ref="AM740">_xlfn.IFS(OR(O740="Persoonlijk",O740="Zoon",O740="Dochter"),P740,OR(Q740="Persoonlijk",Q740="Zoon",Q740="Dochter"),R740,OR(S740="Persoonlijk",S740="Zoon",S740="Dochter"),T740,O740="Vader",P740,Q740="Vader",R740,S740="Vader",T740,O740="Moeder",P740,Q740="Moeder",R740,S740="Moeder",T740,TRUE,IF(P740&lt;&gt;"",P740,IF(R740&lt;&gt;"",R740,IF(T740&lt;&gt;"",T740,""))))</f>
        <v>eddy.wieme@hotmail.com</v>
      </c>
      <c r="AN740" t="str" cm="1">
        <f t="array" ref="AN740">_xlfn.LET(_xlpm.raw,_xlfn.IFS(OR(U740="Persoonlijk",U740="Zoon",U740="Dochter"),V740,OR(W740="Persoonlijk",W740="Zoon",W740="Dochter"),X740,OR(Y740="Persoonlijk",Y740="Zoon",Y740="Dochter"),Z740,U740="Vader",V740,W740="Vader",X740,Y740="Vader",Z740,U740="Moeder",V740,W740="Moeder",X740,Y740="Moeder",Z740,TRUE,IF(V740&lt;&gt;"",V740,IF(X740&lt;&gt;"",X740,IF(Z740&lt;&gt;"",Z740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+324920764742</v>
      </c>
    </row>
    <row r="741" spans="1:40" x14ac:dyDescent="0.3">
      <c r="A741">
        <v>10452807</v>
      </c>
      <c r="B741" t="s">
        <v>2863</v>
      </c>
      <c r="C741" t="s">
        <v>2864</v>
      </c>
      <c r="D741" t="s">
        <v>39</v>
      </c>
      <c r="E741" t="s">
        <v>49</v>
      </c>
      <c r="F741" t="s">
        <v>2865</v>
      </c>
      <c r="G741" t="s">
        <v>998</v>
      </c>
      <c r="H741">
        <v>15</v>
      </c>
      <c r="R741" t="s">
        <v>2866</v>
      </c>
      <c r="V741" t="s">
        <v>2867</v>
      </c>
      <c r="AF741">
        <v>1010452807</v>
      </c>
      <c r="AJ741" t="s">
        <v>656</v>
      </c>
      <c r="AK741" t="s">
        <v>61</v>
      </c>
      <c r="AM741" t="str" cm="1">
        <f t="array" ref="AM741">_xlfn.IFS(OR(O741="Persoonlijk",O741="Zoon",O741="Dochter"),P741,OR(Q741="Persoonlijk",Q741="Zoon",Q741="Dochter"),R741,OR(S741="Persoonlijk",S741="Zoon",S741="Dochter"),T741,O741="Vader",P741,Q741="Vader",R741,S741="Vader",T741,O741="Moeder",P741,Q741="Moeder",R741,S741="Moeder",T741,TRUE,IF(P741&lt;&gt;"",P741,IF(R741&lt;&gt;"",R741,IF(T741&lt;&gt;"",T741,""))))</f>
        <v>jasper.wisbecq@hotmail.com</v>
      </c>
      <c r="AN741" t="str" cm="1">
        <f t="array" ref="AN741">_xlfn.LET(_xlpm.raw,_xlfn.IFS(OR(U741="Persoonlijk",U741="Zoon",U741="Dochter"),V741,OR(W741="Persoonlijk",W741="Zoon",W741="Dochter"),X741,OR(Y741="Persoonlijk",Y741="Zoon",Y741="Dochter"),Z741,U741="Vader",V741,W741="Vader",X741,Y741="Vader",Z741,U741="Moeder",V741,W741="Moeder",X741,Y741="Moeder",Z741,TRUE,IF(V741&lt;&gt;"",V741,IF(X741&lt;&gt;"",X741,IF(Z741&lt;&gt;"",Z741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+32472459757</v>
      </c>
    </row>
    <row r="742" spans="1:40" x14ac:dyDescent="0.3">
      <c r="A742">
        <v>3370259</v>
      </c>
      <c r="B742" t="s">
        <v>2868</v>
      </c>
      <c r="C742" t="s">
        <v>595</v>
      </c>
      <c r="D742" t="s">
        <v>39</v>
      </c>
      <c r="E742" t="s">
        <v>40</v>
      </c>
      <c r="F742" t="s">
        <v>2869</v>
      </c>
      <c r="G742" t="s">
        <v>1953</v>
      </c>
      <c r="H742">
        <v>60</v>
      </c>
      <c r="U742" t="s">
        <v>53</v>
      </c>
      <c r="V742">
        <v>4995222334</v>
      </c>
      <c r="W742" t="s">
        <v>51</v>
      </c>
      <c r="X742">
        <v>475466618</v>
      </c>
      <c r="AA742">
        <v>32</v>
      </c>
      <c r="AF742">
        <v>1003370259</v>
      </c>
      <c r="AM742" t="str" cm="1">
        <f t="array" ref="AM742">_xlfn.IFS(OR(O742="Persoonlijk",O742="Zoon",O742="Dochter"),P742,OR(Q742="Persoonlijk",Q742="Zoon",Q742="Dochter"),R742,OR(S742="Persoonlijk",S742="Zoon",S742="Dochter"),T742,O742="Vader",P742,Q742="Vader",R742,S742="Vader",T742,O742="Moeder",P742,Q742="Moeder",R742,S742="Moeder",T742,TRUE,IF(P742&lt;&gt;"",P742,IF(R742&lt;&gt;"",R742,IF(T742&lt;&gt;"",T742,""))))</f>
        <v/>
      </c>
      <c r="AN742" t="str" cm="1">
        <f t="array" ref="AN742">_xlfn.LET(_xlpm.raw,_xlfn.IFS(OR(U742="Persoonlijk",U742="Zoon",U742="Dochter"),V742,OR(W742="Persoonlijk",W742="Zoon",W742="Dochter"),X742,OR(Y742="Persoonlijk",Y742="Zoon",Y742="Dochter"),Z742,U742="Vader",V742,W742="Vader",X742,Y742="Vader",Z742,U742="Moeder",V742,W742="Moeder",X742,Y742="Moeder",Z742,TRUE,IF(V742&lt;&gt;"",V742,IF(X742&lt;&gt;"",X742,IF(Z742&lt;&gt;"",Z742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+32475466618</v>
      </c>
    </row>
    <row r="743" spans="1:40" x14ac:dyDescent="0.3">
      <c r="A743">
        <v>2936146</v>
      </c>
      <c r="B743" t="s">
        <v>2870</v>
      </c>
      <c r="C743" t="s">
        <v>2871</v>
      </c>
      <c r="D743" t="s">
        <v>39</v>
      </c>
      <c r="E743" t="s">
        <v>40</v>
      </c>
      <c r="F743" t="s">
        <v>2872</v>
      </c>
      <c r="G743" t="s">
        <v>2650</v>
      </c>
      <c r="H743">
        <v>32</v>
      </c>
      <c r="V743">
        <v>473610262</v>
      </c>
      <c r="AA743">
        <v>32</v>
      </c>
      <c r="AF743">
        <v>1002936146</v>
      </c>
      <c r="AM743" t="str" cm="1">
        <f t="array" ref="AM743">_xlfn.IFS(OR(O743="Persoonlijk",O743="Zoon",O743="Dochter"),P743,OR(Q743="Persoonlijk",Q743="Zoon",Q743="Dochter"),R743,OR(S743="Persoonlijk",S743="Zoon",S743="Dochter"),T743,O743="Vader",P743,Q743="Vader",R743,S743="Vader",T743,O743="Moeder",P743,Q743="Moeder",R743,S743="Moeder",T743,TRUE,IF(P743&lt;&gt;"",P743,IF(R743&lt;&gt;"",R743,IF(T743&lt;&gt;"",T743,""))))</f>
        <v/>
      </c>
      <c r="AN743" t="str" cm="1">
        <f t="array" ref="AN743">_xlfn.LET(_xlpm.raw,_xlfn.IFS(OR(U743="Persoonlijk",U743="Zoon",U743="Dochter"),V743,OR(W743="Persoonlijk",W743="Zoon",W743="Dochter"),X743,OR(Y743="Persoonlijk",Y743="Zoon",Y743="Dochter"),Z743,U743="Vader",V743,W743="Vader",X743,Y743="Vader",Z743,U743="Moeder",V743,W743="Moeder",X743,Y743="Moeder",Z743,TRUE,IF(V743&lt;&gt;"",V743,IF(X743&lt;&gt;"",X743,IF(Z743&lt;&gt;"",Z743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>+32473610262</v>
      </c>
    </row>
    <row r="744" spans="1:40" x14ac:dyDescent="0.3">
      <c r="A744">
        <v>2668121</v>
      </c>
      <c r="B744" t="s">
        <v>2873</v>
      </c>
      <c r="C744" t="s">
        <v>2874</v>
      </c>
      <c r="D744" t="s">
        <v>39</v>
      </c>
      <c r="E744" t="s">
        <v>40</v>
      </c>
      <c r="F744" t="s">
        <v>2875</v>
      </c>
      <c r="G744" t="s">
        <v>2876</v>
      </c>
      <c r="H744">
        <v>2</v>
      </c>
      <c r="J744">
        <v>9600</v>
      </c>
      <c r="K744" t="s">
        <v>136</v>
      </c>
      <c r="L744" t="s">
        <v>44</v>
      </c>
      <c r="M744" t="s">
        <v>45</v>
      </c>
      <c r="O744" t="s">
        <v>46</v>
      </c>
      <c r="P744" t="s">
        <v>2877</v>
      </c>
      <c r="AC744" t="s">
        <v>2878</v>
      </c>
      <c r="AF744">
        <v>1002668121</v>
      </c>
      <c r="AG744">
        <v>636189</v>
      </c>
      <c r="AM744" t="str" cm="1">
        <f t="array" ref="AM744">_xlfn.IFS(OR(O744="Persoonlijk",O744="Zoon",O744="Dochter"),P744,OR(Q744="Persoonlijk",Q744="Zoon",Q744="Dochter"),R744,OR(S744="Persoonlijk",S744="Zoon",S744="Dochter"),T744,O744="Vader",P744,Q744="Vader",R744,S744="Vader",T744,O744="Moeder",P744,Q744="Moeder",R744,S744="Moeder",T744,TRUE,IF(P744&lt;&gt;"",P744,IF(R744&lt;&gt;"",R744,IF(T744&lt;&gt;"",T744,""))))</f>
        <v>mehdi.zekri@outlook.be</v>
      </c>
      <c r="AN744" t="str" cm="1">
        <f t="array" ref="AN744">_xlfn.LET(_xlpm.raw,_xlfn.IFS(OR(U744="Persoonlijk",U744="Zoon",U744="Dochter"),V744,OR(W744="Persoonlijk",W744="Zoon",W744="Dochter"),X744,OR(Y744="Persoonlijk",Y744="Zoon",Y744="Dochter"),Z744,U744="Vader",V744,W744="Vader",X744,Y744="Vader",Z744,U744="Moeder",V744,W744="Moeder",X744,Y744="Moeder",Z744,TRUE,IF(V744&lt;&gt;"",V744,IF(X744&lt;&gt;"",X744,IF(Z744&lt;&gt;"",Z744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73309-8086-4F57-851F-D4318B223315}">
  <dimension ref="A1:P743"/>
  <sheetViews>
    <sheetView workbookViewId="0">
      <pane ySplit="1" topLeftCell="A58" activePane="bottomLeft" state="frozen"/>
      <selection pane="bottomLeft" activeCell="C45" sqref="C45"/>
    </sheetView>
  </sheetViews>
  <sheetFormatPr defaultRowHeight="14.4" outlineLevelCol="1" x14ac:dyDescent="0.3"/>
  <cols>
    <col min="1" max="1" width="29.6640625" customWidth="1"/>
    <col min="2" max="2" width="37" customWidth="1"/>
    <col min="3" max="3" width="20.33203125" customWidth="1"/>
    <col min="4" max="4" width="46.33203125" customWidth="1"/>
    <col min="5" max="5" width="16.6640625" customWidth="1"/>
    <col min="6" max="6" width="40.6640625" customWidth="1"/>
    <col min="7" max="7" width="16.6640625" customWidth="1"/>
    <col min="10" max="16" width="8.88671875" outlineLevel="1"/>
  </cols>
  <sheetData>
    <row r="1" spans="1:16" x14ac:dyDescent="0.3">
      <c r="A1" s="1" t="s">
        <v>1</v>
      </c>
      <c r="B1" s="1" t="s">
        <v>2880</v>
      </c>
      <c r="C1" s="1" t="s">
        <v>2881</v>
      </c>
      <c r="D1" s="1" t="s">
        <v>29</v>
      </c>
      <c r="E1" s="1" t="s">
        <v>2882</v>
      </c>
      <c r="F1" s="1" t="s">
        <v>34</v>
      </c>
      <c r="G1" s="1" t="s">
        <v>2883</v>
      </c>
    </row>
    <row r="2" spans="1:16" x14ac:dyDescent="0.3">
      <c r="A2" t="str" cm="1">
        <f t="array" ref="A2:G394">_xlfn._xlws.FILTER(J2:P743,(P2:P743="Speler")+(P2:P743="Coach"))</f>
        <v>Lily Adam</v>
      </c>
      <c r="B2" t="str">
        <v>Koenadam78@gmail.com</v>
      </c>
      <c r="C2" t="str">
        <v>+32456558867</v>
      </c>
      <c r="D2" t="str">
        <v>https://app.twizzit.com/public/photos/2182441/s/eec7946e1a9e80461f26752840c4aedc7d235bab.jpeg</v>
      </c>
      <c r="E2" s="2">
        <v>728412</v>
      </c>
      <c r="F2" t="str">
        <v>DSE A Haantjes Certifisc Oudenaarde</v>
      </c>
      <c r="G2" t="str">
        <v>Speler</v>
      </c>
      <c r="J2" t="str">
        <f>Worksheet!C2&amp;" "&amp;Worksheet!B2</f>
        <v>Koen Adam</v>
      </c>
      <c r="K2" t="str">
        <f>Worksheet!AM2</f>
        <v>koenadam78@gmail.com</v>
      </c>
      <c r="L2" t="str">
        <f>Worksheet!AN2</f>
        <v/>
      </c>
      <c r="M2" t="str">
        <f>IF(Worksheet!AE2="","",Worksheet!AE2)</f>
        <v/>
      </c>
      <c r="N2" t="str">
        <f>IF(Worksheet!AG2="","",Worksheet!AG2)</f>
        <v/>
      </c>
      <c r="O2" t="str">
        <f>IF(Worksheet!AJ2="","",Worksheet!AJ2)</f>
        <v/>
      </c>
      <c r="P2" t="str">
        <f>IF(Worksheet!AK2="","",Worksheet!AK2)</f>
        <v/>
      </c>
    </row>
    <row r="3" spans="1:16" x14ac:dyDescent="0.3">
      <c r="A3" t="str">
        <v>Lily Adam</v>
      </c>
      <c r="B3" t="str">
        <v>Koenadam78@gmail.com</v>
      </c>
      <c r="C3" t="str">
        <v>+32456558867</v>
      </c>
      <c r="D3" t="str">
        <v>https://app.twizzit.com/public/photos/2182441/s/eec7946e1a9e80461f26752840c4aedc7d235bab.jpeg</v>
      </c>
      <c r="E3" s="2">
        <v>728412</v>
      </c>
      <c r="F3" t="str">
        <v>Zomerstage 2026 (Blankenberge)</v>
      </c>
      <c r="G3" t="str">
        <v>Speler</v>
      </c>
      <c r="J3" t="str">
        <f>Worksheet!C3&amp;" "&amp;Worksheet!B3</f>
        <v>Lily Adam</v>
      </c>
      <c r="K3" t="str">
        <f>Worksheet!AM3</f>
        <v>Koenadam78@gmail.com</v>
      </c>
      <c r="L3" t="str">
        <f>Worksheet!AN3</f>
        <v>+32456558867</v>
      </c>
      <c r="M3" t="str">
        <f>IF(Worksheet!AE3="","",Worksheet!AE3)</f>
        <v>https://app.twizzit.com/public/photos/2182441/s/eec7946e1a9e80461f26752840c4aedc7d235bab.jpeg</v>
      </c>
      <c r="N3">
        <f>IF(Worksheet!AG3="","",Worksheet!AG3)</f>
        <v>728412</v>
      </c>
      <c r="O3" t="str">
        <f>IF(Worksheet!AJ3="","",Worksheet!AJ3)</f>
        <v>DSE A Haantjes Certifisc Oudenaarde</v>
      </c>
      <c r="P3" t="str">
        <f>IF(Worksheet!AK3="","",Worksheet!AK3)</f>
        <v>Speler</v>
      </c>
    </row>
    <row r="4" spans="1:16" x14ac:dyDescent="0.3">
      <c r="A4" t="str">
        <v>Lily Adam</v>
      </c>
      <c r="B4" t="str">
        <v>Koenadam78@gmail.com</v>
      </c>
      <c r="C4" t="str">
        <v>+32456558867</v>
      </c>
      <c r="D4" t="str">
        <v>https://app.twizzit.com/public/photos/2182441/s/eec7946e1a9e80461f26752840c4aedc7d235bab.jpeg</v>
      </c>
      <c r="E4" s="2">
        <v>728412</v>
      </c>
      <c r="F4" t="str">
        <v xml:space="preserve">Trainerspoule </v>
      </c>
      <c r="G4" t="str">
        <v>Coach</v>
      </c>
      <c r="J4" t="str">
        <f>Worksheet!C4&amp;" "&amp;Worksheet!B4</f>
        <v>Lily Adam</v>
      </c>
      <c r="K4" t="str">
        <f>Worksheet!AM4</f>
        <v>Koenadam78@gmail.com</v>
      </c>
      <c r="L4" t="str">
        <f>Worksheet!AN4</f>
        <v>+32456558867</v>
      </c>
      <c r="M4" t="str">
        <f>IF(Worksheet!AE4="","",Worksheet!AE4)</f>
        <v>https://app.twizzit.com/public/photos/2182441/s/eec7946e1a9e80461f26752840c4aedc7d235bab.jpeg</v>
      </c>
      <c r="N4">
        <f>IF(Worksheet!AG4="","",Worksheet!AG4)</f>
        <v>728412</v>
      </c>
      <c r="O4" t="str">
        <f>IF(Worksheet!AJ4="","",Worksheet!AJ4)</f>
        <v>Zomerstage 2026 (Blankenberge)</v>
      </c>
      <c r="P4" t="str">
        <f>IF(Worksheet!AK4="","",Worksheet!AK4)</f>
        <v>Speler</v>
      </c>
    </row>
    <row r="5" spans="1:16" x14ac:dyDescent="0.3">
      <c r="A5" t="str">
        <v>Kledion Alia</v>
      </c>
      <c r="B5" t="str">
        <v/>
      </c>
      <c r="C5" t="str">
        <v>+32499284650</v>
      </c>
      <c r="D5" t="str">
        <v>https://app.twizzit.com/public/photos/2650601/s/f885f644ea63bcfe0579c08cf537df8dcbb43ecc.png</v>
      </c>
      <c r="E5" s="2">
        <v>742334</v>
      </c>
      <c r="F5" t="str">
        <v>G14 A Haantjes CERTIFISC Oudenaarde</v>
      </c>
      <c r="G5" t="str">
        <v>Speler</v>
      </c>
      <c r="J5" t="str">
        <f>Worksheet!C5&amp;" "&amp;Worksheet!B5</f>
        <v>Lily Adam</v>
      </c>
      <c r="K5" t="str">
        <f>Worksheet!AM5</f>
        <v>Koenadam78@gmail.com</v>
      </c>
      <c r="L5" t="str">
        <f>Worksheet!AN5</f>
        <v>+32456558867</v>
      </c>
      <c r="M5" t="str">
        <f>IF(Worksheet!AE5="","",Worksheet!AE5)</f>
        <v>https://app.twizzit.com/public/photos/2182441/s/eec7946e1a9e80461f26752840c4aedc7d235bab.jpeg</v>
      </c>
      <c r="N5">
        <f>IF(Worksheet!AG5="","",Worksheet!AG5)</f>
        <v>728412</v>
      </c>
      <c r="O5" t="str">
        <f>IF(Worksheet!AJ5="","",Worksheet!AJ5)</f>
        <v xml:space="preserve">Trainerspoule </v>
      </c>
      <c r="P5" t="str">
        <f>IF(Worksheet!AK5="","",Worksheet!AK5)</f>
        <v>Coach</v>
      </c>
    </row>
    <row r="6" spans="1:16" x14ac:dyDescent="0.3">
      <c r="A6" t="str">
        <v>Kors Altruy</v>
      </c>
      <c r="B6" t="str">
        <v>David.altruy@outlook.be</v>
      </c>
      <c r="C6" t="str">
        <v>+32475950308</v>
      </c>
      <c r="D6" t="str">
        <v/>
      </c>
      <c r="E6" s="2" t="str">
        <v/>
      </c>
      <c r="F6" t="str">
        <v>G14 B Haantjes CERTIFISC Oudenaarde</v>
      </c>
      <c r="G6" t="str">
        <v>Speler</v>
      </c>
      <c r="J6" t="str">
        <f>Worksheet!C6&amp;" "&amp;Worksheet!B6</f>
        <v>Enida Alia</v>
      </c>
      <c r="K6" t="str">
        <f>Worksheet!AM6</f>
        <v>elidona.eni@gmail.com</v>
      </c>
      <c r="L6" t="str">
        <f>Worksheet!AN6</f>
        <v>+32499284650</v>
      </c>
      <c r="M6" t="str">
        <f>IF(Worksheet!AE6="","",Worksheet!AE6)</f>
        <v/>
      </c>
      <c r="N6" t="str">
        <f>IF(Worksheet!AG6="","",Worksheet!AG6)</f>
        <v/>
      </c>
      <c r="O6" t="str">
        <f>IF(Worksheet!AJ6="","",Worksheet!AJ6)</f>
        <v/>
      </c>
      <c r="P6" t="str">
        <f>IF(Worksheet!AK6="","",Worksheet!AK6)</f>
        <v/>
      </c>
    </row>
    <row r="7" spans="1:16" x14ac:dyDescent="0.3">
      <c r="A7" t="str">
        <v>Lenn Altruy</v>
      </c>
      <c r="B7" t="str">
        <v>David.altruy@outlook.be</v>
      </c>
      <c r="C7" t="str">
        <v>+32475950308</v>
      </c>
      <c r="D7" t="str">
        <v/>
      </c>
      <c r="E7" s="2" t="str">
        <v/>
      </c>
      <c r="F7" t="str">
        <v>Zomerstage 2026 U10 &amp; U12 (Oudenaarde)</v>
      </c>
      <c r="G7" t="str">
        <v>Speler</v>
      </c>
      <c r="J7" t="str">
        <f>Worksheet!C7&amp;" "&amp;Worksheet!B7</f>
        <v>Kledion Alia</v>
      </c>
      <c r="K7" t="str">
        <f>Worksheet!AM7</f>
        <v/>
      </c>
      <c r="L7" t="str">
        <f>Worksheet!AN7</f>
        <v>+32499284650</v>
      </c>
      <c r="M7" t="str">
        <f>IF(Worksheet!AE7="","",Worksheet!AE7)</f>
        <v>https://app.twizzit.com/public/photos/2650601/s/f885f644ea63bcfe0579c08cf537df8dcbb43ecc.png</v>
      </c>
      <c r="N7">
        <f>IF(Worksheet!AG7="","",Worksheet!AG7)</f>
        <v>742334</v>
      </c>
      <c r="O7" t="str">
        <f>IF(Worksheet!AJ7="","",Worksheet!AJ7)</f>
        <v>G14 A Haantjes CERTIFISC Oudenaarde</v>
      </c>
      <c r="P7" t="str">
        <f>IF(Worksheet!AK7="","",Worksheet!AK7)</f>
        <v>Speler</v>
      </c>
    </row>
    <row r="8" spans="1:16" x14ac:dyDescent="0.3">
      <c r="A8" t="str">
        <v>Lenn Altruy</v>
      </c>
      <c r="B8" t="str">
        <v>David.altruy@outlook.be</v>
      </c>
      <c r="C8" t="str">
        <v>+32475950308</v>
      </c>
      <c r="D8" t="str">
        <v/>
      </c>
      <c r="E8" s="2" t="str">
        <v/>
      </c>
      <c r="F8" t="str">
        <v>G10 Geel HAANTJES CERTIFISC OUDENAARDE</v>
      </c>
      <c r="G8" t="str">
        <v>Speler</v>
      </c>
      <c r="J8" t="str">
        <f>Worksheet!C8&amp;" "&amp;Worksheet!B8</f>
        <v>Kors Altruy</v>
      </c>
      <c r="K8" t="str">
        <f>Worksheet!AM8</f>
        <v>David.altruy@outlook.be</v>
      </c>
      <c r="L8" t="str">
        <f>Worksheet!AN8</f>
        <v>+32475950308</v>
      </c>
      <c r="M8" t="str">
        <f>IF(Worksheet!AE8="","",Worksheet!AE8)</f>
        <v/>
      </c>
      <c r="N8" t="str">
        <f>IF(Worksheet!AG8="","",Worksheet!AG8)</f>
        <v/>
      </c>
      <c r="O8" t="str">
        <f>IF(Worksheet!AJ8="","",Worksheet!AJ8)</f>
        <v>G14 B Haantjes CERTIFISC Oudenaarde</v>
      </c>
      <c r="P8" t="str">
        <f>IF(Worksheet!AK8="","",Worksheet!AK8)</f>
        <v>Speler</v>
      </c>
    </row>
    <row r="9" spans="1:16" x14ac:dyDescent="0.3">
      <c r="A9" t="str">
        <v>Isa Ameloot-Vanhove</v>
      </c>
      <c r="B9" t="str">
        <v>sofie.ameloot@huurland.be</v>
      </c>
      <c r="C9" t="str">
        <v>+32483203613</v>
      </c>
      <c r="D9" t="str">
        <v>https://app.twizzit.com/public/photos/5115343/s/0e6908415a8d44c9a80019c8bc87b39596577cc5.jpeg</v>
      </c>
      <c r="E9" s="2" t="str">
        <v/>
      </c>
      <c r="F9" t="str">
        <v>M16 A Haantjes CERTIFISC  Oudenaarde</v>
      </c>
      <c r="G9" t="str">
        <v>Speler</v>
      </c>
      <c r="J9" t="str">
        <f>Worksheet!C9&amp;" "&amp;Worksheet!B9</f>
        <v>Lenn Altruy</v>
      </c>
      <c r="K9" t="str">
        <f>Worksheet!AM9</f>
        <v>David.altruy@outlook.be</v>
      </c>
      <c r="L9" t="str">
        <f>Worksheet!AN9</f>
        <v>+32475950308</v>
      </c>
      <c r="M9" t="str">
        <f>IF(Worksheet!AE9="","",Worksheet!AE9)</f>
        <v/>
      </c>
      <c r="N9" t="str">
        <f>IF(Worksheet!AG9="","",Worksheet!AG9)</f>
        <v/>
      </c>
      <c r="O9" t="str">
        <f>IF(Worksheet!AJ9="","",Worksheet!AJ9)</f>
        <v>Zomerstage 2026 U10 &amp; U12 (Oudenaarde)</v>
      </c>
      <c r="P9" t="str">
        <f>IF(Worksheet!AK9="","",Worksheet!AK9)</f>
        <v>Speler</v>
      </c>
    </row>
    <row r="10" spans="1:16" x14ac:dyDescent="0.3">
      <c r="A10" t="str">
        <v>Arsen Anar</v>
      </c>
      <c r="B10" t="str">
        <v/>
      </c>
      <c r="C10" t="str">
        <v/>
      </c>
      <c r="D10" t="str">
        <v>https://app.twizzit.com/public/photos/11272034/s/339c8f61eeb207a0a7ef82edab3f88fc90d76b77.jpeg</v>
      </c>
      <c r="E10" s="2" t="str">
        <v/>
      </c>
      <c r="F10" t="str">
        <v>G12 Blauw HAANTJES CERTIFISC OUDENAARDE</v>
      </c>
      <c r="G10" t="str">
        <v>Speler</v>
      </c>
      <c r="J10" t="str">
        <f>Worksheet!C10&amp;" "&amp;Worksheet!B10</f>
        <v>Lenn Altruy</v>
      </c>
      <c r="K10" t="str">
        <f>Worksheet!AM10</f>
        <v>David.altruy@outlook.be</v>
      </c>
      <c r="L10" t="str">
        <f>Worksheet!AN10</f>
        <v>+32475950308</v>
      </c>
      <c r="M10" t="str">
        <f>IF(Worksheet!AE10="","",Worksheet!AE10)</f>
        <v/>
      </c>
      <c r="N10" t="str">
        <f>IF(Worksheet!AG10="","",Worksheet!AG10)</f>
        <v/>
      </c>
      <c r="O10" t="str">
        <f>IF(Worksheet!AJ10="","",Worksheet!AJ10)</f>
        <v>G10 Geel HAANTJES CERTIFISC OUDENAARDE</v>
      </c>
      <c r="P10" t="str">
        <f>IF(Worksheet!AK10="","",Worksheet!AK10)</f>
        <v>Speler</v>
      </c>
    </row>
    <row r="11" spans="1:16" x14ac:dyDescent="0.3">
      <c r="A11" t="str">
        <v>Mark Anar</v>
      </c>
      <c r="B11" t="str">
        <v/>
      </c>
      <c r="C11" t="str">
        <v/>
      </c>
      <c r="D11" t="str">
        <v>https://app.twizzit.com/public/photos/11272030/s/d97169c55e4278dd5f5452138091d993430ca8ab.jpeg</v>
      </c>
      <c r="E11" s="2" t="str">
        <v/>
      </c>
      <c r="F11" t="str">
        <v>G12 Blauw HAANTJES CERTIFISC OUDENAARDE</v>
      </c>
      <c r="G11" t="str">
        <v>Speler</v>
      </c>
      <c r="J11" t="str">
        <f>Worksheet!C11&amp;" "&amp;Worksheet!B11</f>
        <v>Isa Ameloot-Vanhove</v>
      </c>
      <c r="K11" t="str">
        <f>Worksheet!AM11</f>
        <v>sofie.ameloot@huurland.be</v>
      </c>
      <c r="L11" t="str">
        <f>Worksheet!AN11</f>
        <v>+32483203613</v>
      </c>
      <c r="M11" t="str">
        <f>IF(Worksheet!AE11="","",Worksheet!AE11)</f>
        <v>https://app.twizzit.com/public/photos/5115343/s/0e6908415a8d44c9a80019c8bc87b39596577cc5.jpeg</v>
      </c>
      <c r="N11" t="str">
        <f>IF(Worksheet!AG11="","",Worksheet!AG11)</f>
        <v/>
      </c>
      <c r="O11" t="str">
        <f>IF(Worksheet!AJ11="","",Worksheet!AJ11)</f>
        <v>M16 A Haantjes CERTIFISC  Oudenaarde</v>
      </c>
      <c r="P11" t="str">
        <f>IF(Worksheet!AK11="","",Worksheet!AK11)</f>
        <v>Speler</v>
      </c>
    </row>
    <row r="12" spans="1:16" x14ac:dyDescent="0.3">
      <c r="A12" t="str">
        <v>Marsel Anar</v>
      </c>
      <c r="B12" t="str">
        <v/>
      </c>
      <c r="C12" t="str">
        <v/>
      </c>
      <c r="D12" t="str">
        <v>https://app.twizzit.com/public/photos/11272039/s/667db68e153309a064042452d0f619e8acb011fa.jpeg</v>
      </c>
      <c r="E12" s="2" t="str">
        <v/>
      </c>
      <c r="F12" t="str">
        <v>G12 Blauw HAANTJES CERTIFISC OUDENAARDE</v>
      </c>
      <c r="G12" t="str">
        <v>Speler</v>
      </c>
      <c r="J12" t="str">
        <f>Worksheet!C12&amp;" "&amp;Worksheet!B12</f>
        <v>Arsen Anar</v>
      </c>
      <c r="K12" t="str">
        <f>Worksheet!AM12</f>
        <v/>
      </c>
      <c r="L12" t="str">
        <f>Worksheet!AN12</f>
        <v/>
      </c>
      <c r="M12" t="str">
        <f>IF(Worksheet!AE12="","",Worksheet!AE12)</f>
        <v>https://app.twizzit.com/public/photos/11272034/s/339c8f61eeb207a0a7ef82edab3f88fc90d76b77.jpeg</v>
      </c>
      <c r="N12" t="str">
        <f>IF(Worksheet!AG12="","",Worksheet!AG12)</f>
        <v/>
      </c>
      <c r="O12" t="str">
        <f>IF(Worksheet!AJ12="","",Worksheet!AJ12)</f>
        <v>G12 Blauw HAANTJES CERTIFISC OUDENAARDE</v>
      </c>
      <c r="P12" t="str">
        <f>IF(Worksheet!AK12="","",Worksheet!AK12)</f>
        <v>Speler</v>
      </c>
    </row>
    <row r="13" spans="1:16" x14ac:dyDescent="0.3">
      <c r="A13" t="str">
        <v>Bent Anseeuw</v>
      </c>
      <c r="B13" t="str">
        <v>bent.anseeuw@gmail.com</v>
      </c>
      <c r="C13" t="str">
        <v>+32497023380</v>
      </c>
      <c r="D13" t="str">
        <v>https://app.twizzit.com/public/photos/2182451/s/d40702514c4affc118f06eee4555b1ca966c4e65.png</v>
      </c>
      <c r="E13" s="2">
        <v>713666</v>
      </c>
      <c r="F13" t="str">
        <v>J18 B Haantjes CERTIFISC Oudenaarde</v>
      </c>
      <c r="G13" t="str">
        <v>Speler</v>
      </c>
      <c r="J13" t="str">
        <f>Worksheet!C13&amp;" "&amp;Worksheet!B13</f>
        <v>Mark Anar</v>
      </c>
      <c r="K13" t="str">
        <f>Worksheet!AM13</f>
        <v/>
      </c>
      <c r="L13" t="str">
        <f>Worksheet!AN13</f>
        <v/>
      </c>
      <c r="M13" t="str">
        <f>IF(Worksheet!AE13="","",Worksheet!AE13)</f>
        <v>https://app.twizzit.com/public/photos/11272030/s/d97169c55e4278dd5f5452138091d993430ca8ab.jpeg</v>
      </c>
      <c r="N13" t="str">
        <f>IF(Worksheet!AG13="","",Worksheet!AG13)</f>
        <v/>
      </c>
      <c r="O13" t="str">
        <f>IF(Worksheet!AJ13="","",Worksheet!AJ13)</f>
        <v>G12 Blauw HAANTJES CERTIFISC OUDENAARDE</v>
      </c>
      <c r="P13" t="str">
        <f>IF(Worksheet!AK13="","",Worksheet!AK13)</f>
        <v>Speler</v>
      </c>
    </row>
    <row r="14" spans="1:16" x14ac:dyDescent="0.3">
      <c r="A14" t="str">
        <v>Bent Anseeuw</v>
      </c>
      <c r="B14" t="str">
        <v>bent.anseeuw@gmail.com</v>
      </c>
      <c r="C14" t="str">
        <v>+32497023380</v>
      </c>
      <c r="D14" t="str">
        <v>https://app.twizzit.com/public/photos/2182451/s/d40702514c4affc118f06eee4555b1ca966c4e65.png</v>
      </c>
      <c r="E14" s="2">
        <v>713666</v>
      </c>
      <c r="F14" t="str">
        <v>Zomerstage 2026 (Blankenberge)</v>
      </c>
      <c r="G14" t="str">
        <v>Speler</v>
      </c>
      <c r="J14" t="str">
        <f>Worksheet!C14&amp;" "&amp;Worksheet!B14</f>
        <v>Marsel Anar</v>
      </c>
      <c r="K14" t="str">
        <f>Worksheet!AM14</f>
        <v/>
      </c>
      <c r="L14" t="str">
        <f>Worksheet!AN14</f>
        <v/>
      </c>
      <c r="M14" t="str">
        <f>IF(Worksheet!AE14="","",Worksheet!AE14)</f>
        <v>https://app.twizzit.com/public/photos/11272039/s/667db68e153309a064042452d0f619e8acb011fa.jpeg</v>
      </c>
      <c r="N14" t="str">
        <f>IF(Worksheet!AG14="","",Worksheet!AG14)</f>
        <v/>
      </c>
      <c r="O14" t="str">
        <f>IF(Worksheet!AJ14="","",Worksheet!AJ14)</f>
        <v>G12 Blauw HAANTJES CERTIFISC OUDENAARDE</v>
      </c>
      <c r="P14" t="str">
        <f>IF(Worksheet!AK14="","",Worksheet!AK14)</f>
        <v>Speler</v>
      </c>
    </row>
    <row r="15" spans="1:16" x14ac:dyDescent="0.3">
      <c r="A15" t="str">
        <v>Mare Anseeuw</v>
      </c>
      <c r="B15" t="str">
        <v>matthias.anseeuw@telenet.be</v>
      </c>
      <c r="C15" t="str">
        <v>+32497023380</v>
      </c>
      <c r="D15" t="str">
        <v>https://app.twizzit.com/public/photos/2182456/s/112b54676bd1e925e699cce3ec7a25a94902a3a2.png</v>
      </c>
      <c r="E15" s="2">
        <v>735071</v>
      </c>
      <c r="F15" t="str">
        <v>Zomerstage 2026 (Blankenberge)</v>
      </c>
      <c r="G15" t="str">
        <v>Speler</v>
      </c>
      <c r="J15" t="str">
        <f>Worksheet!C15&amp;" "&amp;Worksheet!B15</f>
        <v>Bent Anseeuw</v>
      </c>
      <c r="K15" t="str">
        <f>Worksheet!AM15</f>
        <v>bent.anseeuw@gmail.com</v>
      </c>
      <c r="L15" t="str">
        <f>Worksheet!AN15</f>
        <v>+32497023380</v>
      </c>
      <c r="M15" t="str">
        <f>IF(Worksheet!AE15="","",Worksheet!AE15)</f>
        <v>https://app.twizzit.com/public/photos/2182451/s/d40702514c4affc118f06eee4555b1ca966c4e65.png</v>
      </c>
      <c r="N15">
        <f>IF(Worksheet!AG15="","",Worksheet!AG15)</f>
        <v>713666</v>
      </c>
      <c r="O15" t="str">
        <f>IF(Worksheet!AJ15="","",Worksheet!AJ15)</f>
        <v>J18 B Haantjes CERTIFISC Oudenaarde</v>
      </c>
      <c r="P15" t="str">
        <f>IF(Worksheet!AK15="","",Worksheet!AK15)</f>
        <v>Speler</v>
      </c>
    </row>
    <row r="16" spans="1:16" x14ac:dyDescent="0.3">
      <c r="A16" t="str">
        <v>Mare Anseeuw</v>
      </c>
      <c r="B16" t="str">
        <v>matthias.anseeuw@telenet.be</v>
      </c>
      <c r="C16" t="str">
        <v>+32497023380</v>
      </c>
      <c r="D16" t="str">
        <v>https://app.twizzit.com/public/photos/2182456/s/112b54676bd1e925e699cce3ec7a25a94902a3a2.png</v>
      </c>
      <c r="E16" s="2">
        <v>735071</v>
      </c>
      <c r="F16" t="str">
        <v>M14 A Haantjes CERTIFISC  Oudenaarde</v>
      </c>
      <c r="G16" t="str">
        <v>Speler</v>
      </c>
      <c r="J16" t="str">
        <f>Worksheet!C16&amp;" "&amp;Worksheet!B16</f>
        <v>Bent Anseeuw</v>
      </c>
      <c r="K16" t="str">
        <f>Worksheet!AM16</f>
        <v>bent.anseeuw@gmail.com</v>
      </c>
      <c r="L16" t="str">
        <f>Worksheet!AN16</f>
        <v>+32497023380</v>
      </c>
      <c r="M16" t="str">
        <f>IF(Worksheet!AE16="","",Worksheet!AE16)</f>
        <v>https://app.twizzit.com/public/photos/2182451/s/d40702514c4affc118f06eee4555b1ca966c4e65.png</v>
      </c>
      <c r="N16">
        <f>IF(Worksheet!AG16="","",Worksheet!AG16)</f>
        <v>713666</v>
      </c>
      <c r="O16" t="str">
        <f>IF(Worksheet!AJ16="","",Worksheet!AJ16)</f>
        <v>Zomerstage 2026 (Blankenberge)</v>
      </c>
      <c r="P16" t="str">
        <f>IF(Worksheet!AK16="","",Worksheet!AK16)</f>
        <v>Speler</v>
      </c>
    </row>
    <row r="17" spans="1:16" x14ac:dyDescent="0.3">
      <c r="A17" t="str">
        <v>Senn Anseeuw</v>
      </c>
      <c r="B17" t="str">
        <v>matthias.anseeuw@telenet.be</v>
      </c>
      <c r="C17" t="str">
        <v>+32497023380</v>
      </c>
      <c r="D17" t="str">
        <v>https://app.twizzit.com/public/photos/4421954/s/39c1d6c08bc84b336f4c340a175719810e926066.png</v>
      </c>
      <c r="E17" s="2" t="str">
        <v/>
      </c>
      <c r="F17" t="str">
        <v>G10 Blauw HAANTJES CERTIFISC OUDENAARDE</v>
      </c>
      <c r="G17" t="str">
        <v>Speler</v>
      </c>
      <c r="J17" t="str">
        <f>Worksheet!C17&amp;" "&amp;Worksheet!B17</f>
        <v>Mare Anseeuw</v>
      </c>
      <c r="K17" t="str">
        <f>Worksheet!AM17</f>
        <v>matthias.anseeuw@telenet.be</v>
      </c>
      <c r="L17" t="str">
        <f>Worksheet!AN17</f>
        <v>+32497023380</v>
      </c>
      <c r="M17" t="str">
        <f>IF(Worksheet!AE17="","",Worksheet!AE17)</f>
        <v>https://app.twizzit.com/public/photos/2182456/s/112b54676bd1e925e699cce3ec7a25a94902a3a2.png</v>
      </c>
      <c r="N17">
        <f>IF(Worksheet!AG17="","",Worksheet!AG17)</f>
        <v>735071</v>
      </c>
      <c r="O17" t="str">
        <f>IF(Worksheet!AJ17="","",Worksheet!AJ17)</f>
        <v>Zomerstage 2026 (Blankenberge)</v>
      </c>
      <c r="P17" t="str">
        <f>IF(Worksheet!AK17="","",Worksheet!AK17)</f>
        <v>Speler</v>
      </c>
    </row>
    <row r="18" spans="1:16" x14ac:dyDescent="0.3">
      <c r="A18" t="str">
        <v>Senn Anseeuw</v>
      </c>
      <c r="B18" t="str">
        <v>matthias.anseeuw@telenet.be</v>
      </c>
      <c r="C18" t="str">
        <v>+32497023380</v>
      </c>
      <c r="D18" t="str">
        <v>https://app.twizzit.com/public/photos/4421954/s/39c1d6c08bc84b336f4c340a175719810e926066.png</v>
      </c>
      <c r="E18" s="2" t="str">
        <v/>
      </c>
      <c r="F18" t="str">
        <v>Zomerstage 2026 U10 &amp; U12 (Oudenaarde)</v>
      </c>
      <c r="G18" t="str">
        <v>Speler</v>
      </c>
      <c r="J18" t="str">
        <f>Worksheet!C18&amp;" "&amp;Worksheet!B18</f>
        <v>Mare Anseeuw</v>
      </c>
      <c r="K18" t="str">
        <f>Worksheet!AM18</f>
        <v>matthias.anseeuw@telenet.be</v>
      </c>
      <c r="L18" t="str">
        <f>Worksheet!AN18</f>
        <v>+32497023380</v>
      </c>
      <c r="M18" t="str">
        <f>IF(Worksheet!AE18="","",Worksheet!AE18)</f>
        <v>https://app.twizzit.com/public/photos/2182456/s/112b54676bd1e925e699cce3ec7a25a94902a3a2.png</v>
      </c>
      <c r="N18">
        <f>IF(Worksheet!AG18="","",Worksheet!AG18)</f>
        <v>735071</v>
      </c>
      <c r="O18" t="str">
        <f>IF(Worksheet!AJ18="","",Worksheet!AJ18)</f>
        <v>M14 A Haantjes CERTIFISC  Oudenaarde</v>
      </c>
      <c r="P18" t="str">
        <f>IF(Worksheet!AK18="","",Worksheet!AK18)</f>
        <v>Speler</v>
      </c>
    </row>
    <row r="19" spans="1:16" x14ac:dyDescent="0.3">
      <c r="A19" t="str">
        <v>Joao Arickx</v>
      </c>
      <c r="B19" t="str">
        <v/>
      </c>
      <c r="C19" t="str">
        <v>+32489669827</v>
      </c>
      <c r="D19" t="str">
        <v/>
      </c>
      <c r="E19" s="2">
        <v>730038</v>
      </c>
      <c r="F19" t="str">
        <v>J16 B Haantjes CERTIFISC Oudenaarde</v>
      </c>
      <c r="G19" t="str">
        <v>Speler</v>
      </c>
      <c r="J19" t="str">
        <f>Worksheet!C19&amp;" "&amp;Worksheet!B19</f>
        <v>Senn Anseeuw</v>
      </c>
      <c r="K19" t="str">
        <f>Worksheet!AM19</f>
        <v>matthias.anseeuw@telenet.be</v>
      </c>
      <c r="L19" t="str">
        <f>Worksheet!AN19</f>
        <v>+32497023380</v>
      </c>
      <c r="M19" t="str">
        <f>IF(Worksheet!AE19="","",Worksheet!AE19)</f>
        <v>https://app.twizzit.com/public/photos/4421954/s/39c1d6c08bc84b336f4c340a175719810e926066.png</v>
      </c>
      <c r="N19" t="str">
        <f>IF(Worksheet!AG19="","",Worksheet!AG19)</f>
        <v/>
      </c>
      <c r="O19" t="str">
        <f>IF(Worksheet!AJ19="","",Worksheet!AJ19)</f>
        <v>G10 Blauw HAANTJES CERTIFISC OUDENAARDE</v>
      </c>
      <c r="P19" t="str">
        <f>IF(Worksheet!AK19="","",Worksheet!AK19)</f>
        <v>Speler</v>
      </c>
    </row>
    <row r="20" spans="1:16" x14ac:dyDescent="0.3">
      <c r="A20" t="str">
        <v>Jasper Baert</v>
      </c>
      <c r="B20" t="str">
        <v>baert_stijn@hotmail.com</v>
      </c>
      <c r="C20" t="str">
        <v>+32485376691</v>
      </c>
      <c r="D20" t="str">
        <v>https://app.twizzit.com/public/photos/2650780/s/77c3f1ac992ce48307c6c7ab431ab89e2bd37774.png</v>
      </c>
      <c r="E20" s="2">
        <v>736579</v>
      </c>
      <c r="F20" t="str">
        <v>J16 B Haantjes CERTIFISC Oudenaarde</v>
      </c>
      <c r="G20" t="str">
        <v>Speler</v>
      </c>
      <c r="J20" t="str">
        <f>Worksheet!C20&amp;" "&amp;Worksheet!B20</f>
        <v>Senn Anseeuw</v>
      </c>
      <c r="K20" t="str">
        <f>Worksheet!AM20</f>
        <v>matthias.anseeuw@telenet.be</v>
      </c>
      <c r="L20" t="str">
        <f>Worksheet!AN20</f>
        <v>+32497023380</v>
      </c>
      <c r="M20" t="str">
        <f>IF(Worksheet!AE20="","",Worksheet!AE20)</f>
        <v>https://app.twizzit.com/public/photos/4421954/s/39c1d6c08bc84b336f4c340a175719810e926066.png</v>
      </c>
      <c r="N20" t="str">
        <f>IF(Worksheet!AG20="","",Worksheet!AG20)</f>
        <v/>
      </c>
      <c r="O20" t="str">
        <f>IF(Worksheet!AJ20="","",Worksheet!AJ20)</f>
        <v>Zomerstage 2026 U10 &amp; U12 (Oudenaarde)</v>
      </c>
      <c r="P20" t="str">
        <f>IF(Worksheet!AK20="","",Worksheet!AK20)</f>
        <v>Speler</v>
      </c>
    </row>
    <row r="21" spans="1:16" x14ac:dyDescent="0.3">
      <c r="A21" t="str">
        <v>Bo Bauters</v>
      </c>
      <c r="B21" t="str">
        <v>Jurgenbauters@gmail.com</v>
      </c>
      <c r="C21" t="str">
        <v>+32497533520</v>
      </c>
      <c r="D21" t="str">
        <v>https://app.twizzit.com/public/photos/3472864/s/02d5da48533f12868f14fb4b62a0634d769bf8a7.png</v>
      </c>
      <c r="E21" s="2" t="str">
        <v/>
      </c>
      <c r="F21" t="str">
        <v>M10 HAANTJES CERTIFISC OUDENAARDE</v>
      </c>
      <c r="G21" t="str">
        <v>Speler</v>
      </c>
      <c r="J21" t="str">
        <f>Worksheet!C21&amp;" "&amp;Worksheet!B21</f>
        <v>Vlad Alexandru Apostolescu</v>
      </c>
      <c r="K21" t="str">
        <f>Worksheet!AM21</f>
        <v/>
      </c>
      <c r="L21" t="str">
        <f>Worksheet!AN21</f>
        <v>+32493100390</v>
      </c>
      <c r="M21" t="str">
        <f>IF(Worksheet!AE21="","",Worksheet!AE21)</f>
        <v/>
      </c>
      <c r="N21">
        <f>IF(Worksheet!AG21="","",Worksheet!AG21)</f>
        <v>622980</v>
      </c>
      <c r="O21" t="str">
        <f>IF(Worksheet!AJ21="","",Worksheet!AJ21)</f>
        <v/>
      </c>
      <c r="P21" t="str">
        <f>IF(Worksheet!AK21="","",Worksheet!AK21)</f>
        <v/>
      </c>
    </row>
    <row r="22" spans="1:16" x14ac:dyDescent="0.3">
      <c r="A22" t="str">
        <v>Janna Bauters</v>
      </c>
      <c r="B22" t="str">
        <v/>
      </c>
      <c r="C22" t="str">
        <v>+32474344132</v>
      </c>
      <c r="D22" t="str">
        <v>https://app.twizzit.com/public/photos/2182476/s/d120dcfc0ec82f0d803829f917b4287681f3dd01.png</v>
      </c>
      <c r="E22" s="2">
        <v>280371</v>
      </c>
      <c r="F22" t="str">
        <v>DSE A Haantjes Certifisc Oudenaarde</v>
      </c>
      <c r="G22" t="str">
        <v>Speler</v>
      </c>
      <c r="J22" t="str">
        <f>Worksheet!C22&amp;" "&amp;Worksheet!B22</f>
        <v>Joao Arickx</v>
      </c>
      <c r="K22" t="str">
        <f>Worksheet!AM22</f>
        <v/>
      </c>
      <c r="L22" t="str">
        <f>Worksheet!AN22</f>
        <v>+32489669827</v>
      </c>
      <c r="M22" t="str">
        <f>IF(Worksheet!AE22="","",Worksheet!AE22)</f>
        <v/>
      </c>
      <c r="N22">
        <f>IF(Worksheet!AG22="","",Worksheet!AG22)</f>
        <v>730038</v>
      </c>
      <c r="O22" t="str">
        <f>IF(Worksheet!AJ22="","",Worksheet!AJ22)</f>
        <v>J16 B Haantjes CERTIFISC Oudenaarde</v>
      </c>
      <c r="P22" t="str">
        <f>IF(Worksheet!AK22="","",Worksheet!AK22)</f>
        <v>Speler</v>
      </c>
    </row>
    <row r="23" spans="1:16" x14ac:dyDescent="0.3">
      <c r="A23" t="str">
        <v>Janna Bauters</v>
      </c>
      <c r="B23" t="str">
        <v/>
      </c>
      <c r="C23" t="str">
        <v>+32474344132</v>
      </c>
      <c r="D23" t="str">
        <v>https://app.twizzit.com/public/photos/2182476/s/d120dcfc0ec82f0d803829f917b4287681f3dd01.png</v>
      </c>
      <c r="E23" s="2">
        <v>280371</v>
      </c>
      <c r="F23" t="str">
        <v>M14 A Haantjes CERTIFISC  Oudenaarde</v>
      </c>
      <c r="G23" t="str">
        <v>Coach</v>
      </c>
      <c r="J23" t="str">
        <f>Worksheet!C23&amp;" "&amp;Worksheet!B23</f>
        <v>Jasper Baert</v>
      </c>
      <c r="K23" t="str">
        <f>Worksheet!AM23</f>
        <v>baert_stijn@hotmail.com</v>
      </c>
      <c r="L23" t="str">
        <f>Worksheet!AN23</f>
        <v>+32485376691</v>
      </c>
      <c r="M23" t="str">
        <f>IF(Worksheet!AE23="","",Worksheet!AE23)</f>
        <v>https://app.twizzit.com/public/photos/2650780/s/77c3f1ac992ce48307c6c7ab431ab89e2bd37774.png</v>
      </c>
      <c r="N23">
        <f>IF(Worksheet!AG23="","",Worksheet!AG23)</f>
        <v>736579</v>
      </c>
      <c r="O23" t="str">
        <f>IF(Worksheet!AJ23="","",Worksheet!AJ23)</f>
        <v>J16 B Haantjes CERTIFISC Oudenaarde</v>
      </c>
      <c r="P23" t="str">
        <f>IF(Worksheet!AK23="","",Worksheet!AK23)</f>
        <v>Speler</v>
      </c>
    </row>
    <row r="24" spans="1:16" x14ac:dyDescent="0.3">
      <c r="A24" t="str">
        <v>Noa Bauters</v>
      </c>
      <c r="B24" t="str">
        <v>Jurgenbauters@gmail.com</v>
      </c>
      <c r="C24" t="str">
        <v>+32497533520</v>
      </c>
      <c r="D24" t="str">
        <v>https://app.twizzit.com/public/photos/11846410/s/0498863fb0a62c783eced92596a817e3339dca11.jpeg</v>
      </c>
      <c r="E24" s="2" t="str">
        <v/>
      </c>
      <c r="F24" t="str">
        <v>M12 A HAANTJES CERTIFISC OUDENAARDE</v>
      </c>
      <c r="G24" t="str">
        <v>Speler</v>
      </c>
      <c r="J24" t="str">
        <f>Worksheet!C24&amp;" "&amp;Worksheet!B24</f>
        <v>Christopher Balcaen</v>
      </c>
      <c r="K24" t="str">
        <f>Worksheet!AM24</f>
        <v/>
      </c>
      <c r="L24" t="str">
        <f>Worksheet!AN24</f>
        <v>+32474072810</v>
      </c>
      <c r="M24" t="str">
        <f>IF(Worksheet!AE24="","",Worksheet!AE24)</f>
        <v>https://app.twizzit.com/public/photos/6349669/s/f1a8e75d54553d15234adcd3add0a63b193557cd.png</v>
      </c>
      <c r="N24">
        <f>IF(Worksheet!AG24="","",Worksheet!AG24)</f>
        <v>608165</v>
      </c>
      <c r="O24" t="str">
        <f>IF(Worksheet!AJ24="","",Worksheet!AJ24)</f>
        <v/>
      </c>
      <c r="P24" t="str">
        <f>IF(Worksheet!AK24="","",Worksheet!AK24)</f>
        <v/>
      </c>
    </row>
    <row r="25" spans="1:16" x14ac:dyDescent="0.3">
      <c r="A25" t="str">
        <v>Rémi Bauters</v>
      </c>
      <c r="B25" t="str">
        <v/>
      </c>
      <c r="C25" t="str">
        <v>+32497078444</v>
      </c>
      <c r="D25" t="str">
        <v/>
      </c>
      <c r="E25" s="2" t="str">
        <v/>
      </c>
      <c r="F25" t="str">
        <v>J21 A HAANTJES CERTIFISC OUDENAARDE</v>
      </c>
      <c r="G25" t="str">
        <v>Speler</v>
      </c>
      <c r="J25" t="str">
        <f>Worksheet!C25&amp;" "&amp;Worksheet!B25</f>
        <v>Bo Bauters</v>
      </c>
      <c r="K25" t="str">
        <f>Worksheet!AM25</f>
        <v>Jurgenbauters@gmail.com</v>
      </c>
      <c r="L25" t="str">
        <f>Worksheet!AN25</f>
        <v>+32497533520</v>
      </c>
      <c r="M25" t="str">
        <f>IF(Worksheet!AE25="","",Worksheet!AE25)</f>
        <v>https://app.twizzit.com/public/photos/3472864/s/02d5da48533f12868f14fb4b62a0634d769bf8a7.png</v>
      </c>
      <c r="N25" t="str">
        <f>IF(Worksheet!AG25="","",Worksheet!AG25)</f>
        <v/>
      </c>
      <c r="O25" t="str">
        <f>IF(Worksheet!AJ25="","",Worksheet!AJ25)</f>
        <v>M10 HAANTJES CERTIFISC OUDENAARDE</v>
      </c>
      <c r="P25" t="str">
        <f>IF(Worksheet!AK25="","",Worksheet!AK25)</f>
        <v>Speler</v>
      </c>
    </row>
    <row r="26" spans="1:16" x14ac:dyDescent="0.3">
      <c r="A26" t="str">
        <v>Rémi Bauters</v>
      </c>
      <c r="B26" t="str">
        <v/>
      </c>
      <c r="C26" t="str">
        <v>+32497078444</v>
      </c>
      <c r="D26" t="str">
        <v/>
      </c>
      <c r="E26" s="2" t="str">
        <v/>
      </c>
      <c r="F26" t="str">
        <v>HSE B Haantjes Certifisc Oudenaarde</v>
      </c>
      <c r="G26" t="str">
        <v>Speler</v>
      </c>
      <c r="J26" t="str">
        <f>Worksheet!C26&amp;" "&amp;Worksheet!B26</f>
        <v>Janna Bauters</v>
      </c>
      <c r="K26" t="str">
        <f>Worksheet!AM26</f>
        <v/>
      </c>
      <c r="L26" t="str">
        <f>Worksheet!AN26</f>
        <v>+32474344132</v>
      </c>
      <c r="M26" t="str">
        <f>IF(Worksheet!AE26="","",Worksheet!AE26)</f>
        <v>https://app.twizzit.com/public/photos/2182476/s/d120dcfc0ec82f0d803829f917b4287681f3dd01.png</v>
      </c>
      <c r="N26">
        <f>IF(Worksheet!AG26="","",Worksheet!AG26)</f>
        <v>280371</v>
      </c>
      <c r="O26" t="str">
        <f>IF(Worksheet!AJ26="","",Worksheet!AJ26)</f>
        <v>DSE A Haantjes Certifisc Oudenaarde</v>
      </c>
      <c r="P26" t="str">
        <f>IF(Worksheet!AK26="","",Worksheet!AK26)</f>
        <v>Speler</v>
      </c>
    </row>
    <row r="27" spans="1:16" x14ac:dyDescent="0.3">
      <c r="A27" t="str">
        <v>Joppe Beeckman</v>
      </c>
      <c r="B27" t="str">
        <v>ppoitiez@hotmail.com</v>
      </c>
      <c r="C27" t="str">
        <v>+32486440775</v>
      </c>
      <c r="D27" t="str">
        <v>https://app.twizzit.com/public/photos/7329719/s/3900de37cfdf557a3c2ce4dcb1b36ecfefd6df85.png</v>
      </c>
      <c r="E27" s="2" t="str">
        <v/>
      </c>
      <c r="F27" t="str">
        <v>G08 Geel HAANTJES CERTIFISC OUDENAARDE</v>
      </c>
      <c r="G27" t="str">
        <v>Speler</v>
      </c>
      <c r="J27" t="str">
        <f>Worksheet!C27&amp;" "&amp;Worksheet!B27</f>
        <v>Janna Bauters</v>
      </c>
      <c r="K27" t="str">
        <f>Worksheet!AM27</f>
        <v/>
      </c>
      <c r="L27" t="str">
        <f>Worksheet!AN27</f>
        <v>+32474344132</v>
      </c>
      <c r="M27" t="str">
        <f>IF(Worksheet!AE27="","",Worksheet!AE27)</f>
        <v>https://app.twizzit.com/public/photos/2182476/s/d120dcfc0ec82f0d803829f917b4287681f3dd01.png</v>
      </c>
      <c r="N27">
        <f>IF(Worksheet!AG27="","",Worksheet!AG27)</f>
        <v>280371</v>
      </c>
      <c r="O27" t="str">
        <f>IF(Worksheet!AJ27="","",Worksheet!AJ27)</f>
        <v>M14 A Haantjes CERTIFISC  Oudenaarde</v>
      </c>
      <c r="P27" t="str">
        <f>IF(Worksheet!AK27="","",Worksheet!AK27)</f>
        <v>Coach</v>
      </c>
    </row>
    <row r="28" spans="1:16" x14ac:dyDescent="0.3">
      <c r="A28" t="str">
        <v>Torre Beeckman</v>
      </c>
      <c r="B28" t="str">
        <v/>
      </c>
      <c r="C28" t="str">
        <v>+32486440775</v>
      </c>
      <c r="D28" t="str">
        <v>https://app.twizzit.com/public/photos/2182491/s/9cf26edd91096e59f19c665e2f0a4528adc17aa7.png</v>
      </c>
      <c r="E28" s="2">
        <v>720212</v>
      </c>
      <c r="F28" t="str">
        <v>J16 A Haantjes CERTIFISC Oudenaarde</v>
      </c>
      <c r="G28" t="str">
        <v>Speler</v>
      </c>
      <c r="J28" t="str">
        <f>Worksheet!C28&amp;" "&amp;Worksheet!B28</f>
        <v>Noa Bauters</v>
      </c>
      <c r="K28" t="str">
        <f>Worksheet!AM28</f>
        <v>Jurgenbauters@gmail.com</v>
      </c>
      <c r="L28" t="str">
        <f>Worksheet!AN28</f>
        <v>+32497533520</v>
      </c>
      <c r="M28" t="str">
        <f>IF(Worksheet!AE28="","",Worksheet!AE28)</f>
        <v>https://app.twizzit.com/public/photos/11846410/s/0498863fb0a62c783eced92596a817e3339dca11.jpeg</v>
      </c>
      <c r="N28" t="str">
        <f>IF(Worksheet!AG28="","",Worksheet!AG28)</f>
        <v/>
      </c>
      <c r="O28" t="str">
        <f>IF(Worksheet!AJ28="","",Worksheet!AJ28)</f>
        <v>M12 A HAANTJES CERTIFISC OUDENAARDE</v>
      </c>
      <c r="P28" t="str">
        <f>IF(Worksheet!AK28="","",Worksheet!AK28)</f>
        <v>Speler</v>
      </c>
    </row>
    <row r="29" spans="1:16" x14ac:dyDescent="0.3">
      <c r="A29" t="str">
        <v>Vince Beke</v>
      </c>
      <c r="B29" t="str">
        <v>wim.beke@telenet.be</v>
      </c>
      <c r="C29" t="str">
        <v>+32494534565</v>
      </c>
      <c r="D29" t="str">
        <v>https://app.twizzit.com/public/photos/2182501/s/ff9efabb61fd27d35070a050abd98c15c9bfe6c5.png</v>
      </c>
      <c r="E29" s="2">
        <v>715506</v>
      </c>
      <c r="F29" t="str">
        <v>J18 B Haantjes CERTIFISC Oudenaarde</v>
      </c>
      <c r="G29" t="str">
        <v>Speler</v>
      </c>
      <c r="J29" t="str">
        <f>Worksheet!C29&amp;" "&amp;Worksheet!B29</f>
        <v>Rémi Bauters</v>
      </c>
      <c r="K29" t="str">
        <f>Worksheet!AM29</f>
        <v/>
      </c>
      <c r="L29" t="str">
        <f>Worksheet!AN29</f>
        <v>+32497078444</v>
      </c>
      <c r="M29" t="str">
        <f>IF(Worksheet!AE29="","",Worksheet!AE29)</f>
        <v/>
      </c>
      <c r="N29" t="str">
        <f>IF(Worksheet!AG29="","",Worksheet!AG29)</f>
        <v/>
      </c>
      <c r="O29" t="str">
        <f>IF(Worksheet!AJ29="","",Worksheet!AJ29)</f>
        <v>J21 A HAANTJES CERTIFISC OUDENAARDE</v>
      </c>
      <c r="P29" t="str">
        <f>IF(Worksheet!AK29="","",Worksheet!AK29)</f>
        <v>Speler</v>
      </c>
    </row>
    <row r="30" spans="1:16" x14ac:dyDescent="0.3">
      <c r="A30" t="str">
        <v>Vince Beke</v>
      </c>
      <c r="B30" t="str">
        <v>wim.beke@telenet.be</v>
      </c>
      <c r="C30" t="str">
        <v>+32494534565</v>
      </c>
      <c r="D30" t="str">
        <v>https://app.twizzit.com/public/photos/2182501/s/ff9efabb61fd27d35070a050abd98c15c9bfe6c5.png</v>
      </c>
      <c r="E30" s="2">
        <v>715506</v>
      </c>
      <c r="F30" t="str">
        <v>Zomerstage 2026 (Blankenberge)</v>
      </c>
      <c r="G30" t="str">
        <v>Speler</v>
      </c>
      <c r="J30" t="str">
        <f>Worksheet!C30&amp;" "&amp;Worksheet!B30</f>
        <v>Rémi Bauters</v>
      </c>
      <c r="K30" t="str">
        <f>Worksheet!AM30</f>
        <v/>
      </c>
      <c r="L30" t="str">
        <f>Worksheet!AN30</f>
        <v>+32497078444</v>
      </c>
      <c r="M30" t="str">
        <f>IF(Worksheet!AE30="","",Worksheet!AE30)</f>
        <v/>
      </c>
      <c r="N30" t="str">
        <f>IF(Worksheet!AG30="","",Worksheet!AG30)</f>
        <v/>
      </c>
      <c r="O30" t="str">
        <f>IF(Worksheet!AJ30="","",Worksheet!AJ30)</f>
        <v>HSE B Haantjes Certifisc Oudenaarde</v>
      </c>
      <c r="P30" t="str">
        <f>IF(Worksheet!AK30="","",Worksheet!AK30)</f>
        <v>Speler</v>
      </c>
    </row>
    <row r="31" spans="1:16" x14ac:dyDescent="0.3">
      <c r="A31" t="str">
        <v>Quinten Benoot</v>
      </c>
      <c r="B31" t="str">
        <v>Quintenmaetha@gmail.com</v>
      </c>
      <c r="C31" t="str">
        <v>+32485287357</v>
      </c>
      <c r="D31" t="str">
        <v>https://app.twizzit.com/public/photos/4080393/s/fc77b80b0f519cf2bcaae55fec7f11c92e5c4d9f.jpeg</v>
      </c>
      <c r="E31" s="2">
        <v>753437</v>
      </c>
      <c r="F31" t="str">
        <v>J18 B Haantjes CERTIFISC Oudenaarde</v>
      </c>
      <c r="G31" t="str">
        <v>Speler</v>
      </c>
      <c r="J31" t="str">
        <f>Worksheet!C31&amp;" "&amp;Worksheet!B31</f>
        <v>Karine Bauwens</v>
      </c>
      <c r="K31" t="str">
        <f>Worksheet!AM31</f>
        <v/>
      </c>
      <c r="L31" t="str">
        <f>Worksheet!AN31</f>
        <v/>
      </c>
      <c r="M31" t="str">
        <f>IF(Worksheet!AE31="","",Worksheet!AE31)</f>
        <v/>
      </c>
      <c r="N31" t="str">
        <f>IF(Worksheet!AG31="","",Worksheet!AG31)</f>
        <v/>
      </c>
      <c r="O31" t="str">
        <f>IF(Worksheet!AJ31="","",Worksheet!AJ31)</f>
        <v/>
      </c>
      <c r="P31" t="str">
        <f>IF(Worksheet!AK31="","",Worksheet!AK31)</f>
        <v/>
      </c>
    </row>
    <row r="32" spans="1:16" x14ac:dyDescent="0.3">
      <c r="A32" t="str">
        <v>Emile Berkvens</v>
      </c>
      <c r="B32" t="str">
        <v/>
      </c>
      <c r="C32" t="str">
        <v>+32474613344</v>
      </c>
      <c r="D32" t="str">
        <v>https://app.twizzit.com/public/photos/2650778/s/15d2f475817dbbc2474d7d1a8b8b6a06ed3f6c72.png</v>
      </c>
      <c r="E32" s="2">
        <v>739383</v>
      </c>
      <c r="F32" t="str">
        <v>J16 B Haantjes CERTIFISC Oudenaarde</v>
      </c>
      <c r="G32" t="str">
        <v>Speler</v>
      </c>
      <c r="J32" t="str">
        <f>Worksheet!C32&amp;" "&amp;Worksheet!B32</f>
        <v>Joppe Beeckman</v>
      </c>
      <c r="K32" t="str">
        <f>Worksheet!AM32</f>
        <v>ppoitiez@hotmail.com</v>
      </c>
      <c r="L32" t="str">
        <f>Worksheet!AN32</f>
        <v>+32486440775</v>
      </c>
      <c r="M32" t="str">
        <f>IF(Worksheet!AE32="","",Worksheet!AE32)</f>
        <v>https://app.twizzit.com/public/photos/7329719/s/3900de37cfdf557a3c2ce4dcb1b36ecfefd6df85.png</v>
      </c>
      <c r="N32" t="str">
        <f>IF(Worksheet!AG32="","",Worksheet!AG32)</f>
        <v/>
      </c>
      <c r="O32" t="str">
        <f>IF(Worksheet!AJ32="","",Worksheet!AJ32)</f>
        <v>G08 Geel HAANTJES CERTIFISC OUDENAARDE</v>
      </c>
      <c r="P32" t="str">
        <f>IF(Worksheet!AK32="","",Worksheet!AK32)</f>
        <v>Speler</v>
      </c>
    </row>
    <row r="33" spans="1:16" x14ac:dyDescent="0.3">
      <c r="A33" t="str">
        <v>Celeste Blancke</v>
      </c>
      <c r="B33" t="str">
        <v/>
      </c>
      <c r="C33" t="str">
        <v>+32473412540</v>
      </c>
      <c r="D33" t="str">
        <v>https://app.twizzit.com/public/photos/3500953/s/601083ebf506787be01432d1e891039519c5d9b6.jpeg</v>
      </c>
      <c r="E33" s="2">
        <v>749419</v>
      </c>
      <c r="F33" t="str">
        <v>Zomerstage 2026 (Blankenberge)</v>
      </c>
      <c r="G33" t="str">
        <v>Speler</v>
      </c>
      <c r="J33" t="str">
        <f>Worksheet!C33&amp;" "&amp;Worksheet!B33</f>
        <v>Sara Beeckman</v>
      </c>
      <c r="K33" t="str">
        <f>Worksheet!AM33</f>
        <v/>
      </c>
      <c r="L33" t="str">
        <f>Worksheet!AN33</f>
        <v/>
      </c>
      <c r="M33" t="str">
        <f>IF(Worksheet!AE33="","",Worksheet!AE33)</f>
        <v>https://app.twizzit.com/public/photos/2182486/s/756b8f4f4a0d0890e89db01537d432ba96a97666.png</v>
      </c>
      <c r="N33">
        <f>IF(Worksheet!AG33="","",Worksheet!AG33)</f>
        <v>721373</v>
      </c>
      <c r="O33" t="str">
        <f>IF(Worksheet!AJ33="","",Worksheet!AJ33)</f>
        <v/>
      </c>
      <c r="P33" t="str">
        <f>IF(Worksheet!AK33="","",Worksheet!AK33)</f>
        <v/>
      </c>
    </row>
    <row r="34" spans="1:16" x14ac:dyDescent="0.3">
      <c r="A34" t="str">
        <v>Celeste Blancke</v>
      </c>
      <c r="B34" t="str">
        <v/>
      </c>
      <c r="C34" t="str">
        <v>+32473412540</v>
      </c>
      <c r="D34" t="str">
        <v>https://app.twizzit.com/public/photos/3500953/s/601083ebf506787be01432d1e891039519c5d9b6.jpeg</v>
      </c>
      <c r="E34" s="2">
        <v>749419</v>
      </c>
      <c r="F34" t="str">
        <v>M14 A Haantjes CERTIFISC  Oudenaarde</v>
      </c>
      <c r="G34" t="str">
        <v>Speler</v>
      </c>
      <c r="J34" t="str">
        <f>Worksheet!C34&amp;" "&amp;Worksheet!B34</f>
        <v>Torre Beeckman</v>
      </c>
      <c r="K34" t="str">
        <f>Worksheet!AM34</f>
        <v/>
      </c>
      <c r="L34" t="str">
        <f>Worksheet!AN34</f>
        <v>+32486440775</v>
      </c>
      <c r="M34" t="str">
        <f>IF(Worksheet!AE34="","",Worksheet!AE34)</f>
        <v>https://app.twizzit.com/public/photos/2182491/s/9cf26edd91096e59f19c665e2f0a4528adc17aa7.png</v>
      </c>
      <c r="N34">
        <f>IF(Worksheet!AG34="","",Worksheet!AG34)</f>
        <v>720212</v>
      </c>
      <c r="O34" t="str">
        <f>IF(Worksheet!AJ34="","",Worksheet!AJ34)</f>
        <v>J16 A Haantjes CERTIFISC Oudenaarde</v>
      </c>
      <c r="P34" t="str">
        <f>IF(Worksheet!AK34="","",Worksheet!AK34)</f>
        <v>Speler</v>
      </c>
    </row>
    <row r="35" spans="1:16" x14ac:dyDescent="0.3">
      <c r="A35" t="str">
        <v>Merel Blancke</v>
      </c>
      <c r="B35" t="str">
        <v/>
      </c>
      <c r="C35" t="str">
        <v>+32478385011</v>
      </c>
      <c r="D35" t="str">
        <v>https://app.twizzit.com/public/photos/5568565/s/d285ba208d969f77d6c249fb61359c50c614e6ac.png</v>
      </c>
      <c r="E35" s="2" t="str">
        <v/>
      </c>
      <c r="F35" t="str">
        <v>M16 A Haantjes CERTIFISC  Oudenaarde</v>
      </c>
      <c r="G35" t="str">
        <v>Speler</v>
      </c>
      <c r="J35" t="str">
        <f>Worksheet!C35&amp;" "&amp;Worksheet!B35</f>
        <v>Torre Beeckman</v>
      </c>
      <c r="K35" t="str">
        <f>Worksheet!AM35</f>
        <v/>
      </c>
      <c r="L35" t="str">
        <f>Worksheet!AN35</f>
        <v>+32486440775</v>
      </c>
      <c r="M35" t="str">
        <f>IF(Worksheet!AE35="","",Worksheet!AE35)</f>
        <v>https://app.twizzit.com/public/photos/2182491/s/9cf26edd91096e59f19c665e2f0a4528adc17aa7.png</v>
      </c>
      <c r="N35">
        <f>IF(Worksheet!AG35="","",Worksheet!AG35)</f>
        <v>720212</v>
      </c>
      <c r="O35" t="str">
        <f>IF(Worksheet!AJ35="","",Worksheet!AJ35)</f>
        <v/>
      </c>
      <c r="P35" t="str">
        <f>IF(Worksheet!AK35="","",Worksheet!AK35)</f>
        <v/>
      </c>
    </row>
    <row r="36" spans="1:16" x14ac:dyDescent="0.3">
      <c r="A36" t="str">
        <v>Merel Blancke</v>
      </c>
      <c r="B36" t="str">
        <v/>
      </c>
      <c r="C36" t="str">
        <v>+32478385011</v>
      </c>
      <c r="D36" t="str">
        <v>https://app.twizzit.com/public/photos/5568565/s/d285ba208d969f77d6c249fb61359c50c614e6ac.png</v>
      </c>
      <c r="E36" s="2" t="str">
        <v/>
      </c>
      <c r="F36" t="str">
        <v>Zomerstage 2026 (Blankenberge)</v>
      </c>
      <c r="G36" t="str">
        <v>Speler</v>
      </c>
      <c r="J36" t="str">
        <f>Worksheet!C36&amp;" "&amp;Worksheet!B36</f>
        <v>Philippe Beirnaert</v>
      </c>
      <c r="K36" t="str">
        <f>Worksheet!AM36</f>
        <v/>
      </c>
      <c r="L36" t="str">
        <f>Worksheet!AN36</f>
        <v>+32497271228</v>
      </c>
      <c r="M36" t="str">
        <f>IF(Worksheet!AE36="","",Worksheet!AE36)</f>
        <v/>
      </c>
      <c r="N36">
        <f>IF(Worksheet!AG36="","",Worksheet!AG36)</f>
        <v>7328</v>
      </c>
      <c r="O36" t="str">
        <f>IF(Worksheet!AJ36="","",Worksheet!AJ36)</f>
        <v/>
      </c>
      <c r="P36" t="str">
        <f>IF(Worksheet!AK36="","",Worksheet!AK36)</f>
        <v/>
      </c>
    </row>
    <row r="37" spans="1:16" x14ac:dyDescent="0.3">
      <c r="A37" t="str">
        <v>Vic Blommaert</v>
      </c>
      <c r="B37" t="str">
        <v>jeroen.blommaert@gmail.com</v>
      </c>
      <c r="C37" t="str">
        <v>+32470067360</v>
      </c>
      <c r="D37" t="str">
        <v>https://app.twizzit.com/public/photos/7328384/s/880c055e18cd3fa9e57719da7306434e04eaf905.png</v>
      </c>
      <c r="E37" s="2" t="str">
        <v/>
      </c>
      <c r="F37" t="str">
        <v>G10 Geel HAANTJES CERTIFISC OUDENAARDE</v>
      </c>
      <c r="G37" t="str">
        <v>Speler</v>
      </c>
      <c r="J37" t="str">
        <f>Worksheet!C37&amp;" "&amp;Worksheet!B37</f>
        <v>Vince Beke</v>
      </c>
      <c r="K37" t="str">
        <f>Worksheet!AM37</f>
        <v>wim.beke@telenet.be</v>
      </c>
      <c r="L37" t="str">
        <f>Worksheet!AN37</f>
        <v>+32494534565</v>
      </c>
      <c r="M37" t="str">
        <f>IF(Worksheet!AE37="","",Worksheet!AE37)</f>
        <v>https://app.twizzit.com/public/photos/2182501/s/ff9efabb61fd27d35070a050abd98c15c9bfe6c5.png</v>
      </c>
      <c r="N37">
        <f>IF(Worksheet!AG37="","",Worksheet!AG37)</f>
        <v>715506</v>
      </c>
      <c r="O37" t="str">
        <f>IF(Worksheet!AJ37="","",Worksheet!AJ37)</f>
        <v>J18 B Haantjes CERTIFISC Oudenaarde</v>
      </c>
      <c r="P37" t="str">
        <f>IF(Worksheet!AK37="","",Worksheet!AK37)</f>
        <v>Speler</v>
      </c>
    </row>
    <row r="38" spans="1:16" x14ac:dyDescent="0.3">
      <c r="A38" t="str">
        <v>Matti Bogaert</v>
      </c>
      <c r="B38" t="str">
        <v>mboogie800@hotmail.com</v>
      </c>
      <c r="C38" t="str">
        <v>+32465007097</v>
      </c>
      <c r="D38" t="str">
        <v/>
      </c>
      <c r="E38" s="2">
        <v>737616</v>
      </c>
      <c r="F38" t="str">
        <v>J18 A Haantjes CERTIFISC Oudenaarde</v>
      </c>
      <c r="G38" t="str">
        <v>Speler</v>
      </c>
      <c r="J38" t="str">
        <f>Worksheet!C38&amp;" "&amp;Worksheet!B38</f>
        <v>Vince Beke</v>
      </c>
      <c r="K38" t="str">
        <f>Worksheet!AM38</f>
        <v>wim.beke@telenet.be</v>
      </c>
      <c r="L38" t="str">
        <f>Worksheet!AN38</f>
        <v>+32494534565</v>
      </c>
      <c r="M38" t="str">
        <f>IF(Worksheet!AE38="","",Worksheet!AE38)</f>
        <v>https://app.twizzit.com/public/photos/2182501/s/ff9efabb61fd27d35070a050abd98c15c9bfe6c5.png</v>
      </c>
      <c r="N38">
        <f>IF(Worksheet!AG38="","",Worksheet!AG38)</f>
        <v>715506</v>
      </c>
      <c r="O38" t="str">
        <f>IF(Worksheet!AJ38="","",Worksheet!AJ38)</f>
        <v>Zomerstage 2026 (Blankenberge)</v>
      </c>
      <c r="P38" t="str">
        <f>IF(Worksheet!AK38="","",Worksheet!AK38)</f>
        <v>Speler</v>
      </c>
    </row>
    <row r="39" spans="1:16" x14ac:dyDescent="0.3">
      <c r="A39" t="str">
        <v>Matti Bogaert</v>
      </c>
      <c r="B39" t="str">
        <v>mboogie800@hotmail.com</v>
      </c>
      <c r="C39" t="str">
        <v>+32465007097</v>
      </c>
      <c r="D39" t="str">
        <v/>
      </c>
      <c r="E39" s="2">
        <v>737616</v>
      </c>
      <c r="F39" t="str">
        <v>HSE B Haantjes Certifisc Oudenaarde</v>
      </c>
      <c r="G39" t="str">
        <v>Speler</v>
      </c>
      <c r="J39" t="str">
        <f>Worksheet!C39&amp;" "&amp;Worksheet!B39</f>
        <v>Elke Belien</v>
      </c>
      <c r="K39" t="str">
        <f>Worksheet!AM39</f>
        <v>slimmerik.briek@gmail.com</v>
      </c>
      <c r="L39" t="str">
        <f>Worksheet!AN39</f>
        <v>+32497948892</v>
      </c>
      <c r="M39" t="str">
        <f>IF(Worksheet!AE39="","",Worksheet!AE39)</f>
        <v/>
      </c>
      <c r="N39">
        <f>IF(Worksheet!AG39="","",Worksheet!AG39)</f>
        <v>742180</v>
      </c>
      <c r="O39" t="str">
        <f>IF(Worksheet!AJ39="","",Worksheet!AJ39)</f>
        <v/>
      </c>
      <c r="P39" t="str">
        <f>IF(Worksheet!AK39="","",Worksheet!AK39)</f>
        <v/>
      </c>
    </row>
    <row r="40" spans="1:16" x14ac:dyDescent="0.3">
      <c r="A40" t="str">
        <v>Maurice Boonaert</v>
      </c>
      <c r="B40" t="str">
        <v>reggyboonaert@outlook.be</v>
      </c>
      <c r="C40" t="str">
        <v>+32478731137</v>
      </c>
      <c r="D40" t="str">
        <v/>
      </c>
      <c r="E40" s="2" t="str">
        <v/>
      </c>
      <c r="F40" t="str">
        <v>G08 Groen HAANTJES CERTIFISC OUDENAARDE</v>
      </c>
      <c r="G40" t="str">
        <v>Speler</v>
      </c>
      <c r="J40" t="str">
        <f>Worksheet!C40&amp;" "&amp;Worksheet!B40</f>
        <v>Quinten Benoot</v>
      </c>
      <c r="K40" t="str">
        <f>Worksheet!AM40</f>
        <v>Quintenmaetha@gmail.com</v>
      </c>
      <c r="L40" t="str">
        <f>Worksheet!AN40</f>
        <v>+32485287357</v>
      </c>
      <c r="M40" t="str">
        <f>IF(Worksheet!AE40="","",Worksheet!AE40)</f>
        <v>https://app.twizzit.com/public/photos/4080393/s/fc77b80b0f519cf2bcaae55fec7f11c92e5c4d9f.jpeg</v>
      </c>
      <c r="N40">
        <f>IF(Worksheet!AG40="","",Worksheet!AG40)</f>
        <v>753437</v>
      </c>
      <c r="O40" t="str">
        <f>IF(Worksheet!AJ40="","",Worksheet!AJ40)</f>
        <v>J18 B Haantjes CERTIFISC Oudenaarde</v>
      </c>
      <c r="P40" t="str">
        <f>IF(Worksheet!AK40="","",Worksheet!AK40)</f>
        <v>Speler</v>
      </c>
    </row>
    <row r="41" spans="1:16" x14ac:dyDescent="0.3">
      <c r="A41" t="str">
        <v>Maurice Boonaert</v>
      </c>
      <c r="B41" t="str">
        <v>reggyboonaert@outlook.be</v>
      </c>
      <c r="C41" t="str">
        <v>+32478731137</v>
      </c>
      <c r="D41" t="str">
        <v/>
      </c>
      <c r="E41" s="2" t="str">
        <v/>
      </c>
      <c r="F41" t="str">
        <v>Zomerstage 2026 U8 (Oudenaarde)</v>
      </c>
      <c r="G41" t="str">
        <v>Speler</v>
      </c>
      <c r="J41" t="str">
        <f>Worksheet!C41&amp;" "&amp;Worksheet!B41</f>
        <v>Quinten Benoot</v>
      </c>
      <c r="K41" t="str">
        <f>Worksheet!AM41</f>
        <v>Quintenmaetha@gmail.com</v>
      </c>
      <c r="L41" t="str">
        <f>Worksheet!AN41</f>
        <v>+32485287357</v>
      </c>
      <c r="M41" t="str">
        <f>IF(Worksheet!AE41="","",Worksheet!AE41)</f>
        <v>https://app.twizzit.com/public/photos/4080393/s/fc77b80b0f519cf2bcaae55fec7f11c92e5c4d9f.jpeg</v>
      </c>
      <c r="N41">
        <f>IF(Worksheet!AG41="","",Worksheet!AG41)</f>
        <v>753437</v>
      </c>
      <c r="O41" t="str">
        <f>IF(Worksheet!AJ41="","",Worksheet!AJ41)</f>
        <v/>
      </c>
      <c r="P41" t="str">
        <f>IF(Worksheet!AK41="","",Worksheet!AK41)</f>
        <v/>
      </c>
    </row>
    <row r="42" spans="1:16" x14ac:dyDescent="0.3">
      <c r="A42" t="str">
        <v>Leon Boone</v>
      </c>
      <c r="B42" t="str">
        <v>dieter.boone@telenet.be</v>
      </c>
      <c r="C42" t="str">
        <v>+32496024078</v>
      </c>
      <c r="D42" t="str">
        <v/>
      </c>
      <c r="E42" s="2" t="str">
        <v/>
      </c>
      <c r="F42" t="str">
        <v>G08 Geel HAANTJES CERTIFISC OUDENAARDE</v>
      </c>
      <c r="G42" t="str">
        <v>Speler</v>
      </c>
      <c r="J42" t="str">
        <f>Worksheet!C42&amp;" "&amp;Worksheet!B42</f>
        <v>Emile Berkvens</v>
      </c>
      <c r="K42" t="str">
        <f>Worksheet!AM42</f>
        <v/>
      </c>
      <c r="L42" t="str">
        <f>Worksheet!AN42</f>
        <v>+32474613344</v>
      </c>
      <c r="M42" t="str">
        <f>IF(Worksheet!AE42="","",Worksheet!AE42)</f>
        <v>https://app.twizzit.com/public/photos/2650778/s/15d2f475817dbbc2474d7d1a8b8b6a06ed3f6c72.png</v>
      </c>
      <c r="N42">
        <f>IF(Worksheet!AG42="","",Worksheet!AG42)</f>
        <v>739383</v>
      </c>
      <c r="O42" t="str">
        <f>IF(Worksheet!AJ42="","",Worksheet!AJ42)</f>
        <v>J16 B Haantjes CERTIFISC Oudenaarde</v>
      </c>
      <c r="P42" t="str">
        <f>IF(Worksheet!AK42="","",Worksheet!AK42)</f>
        <v>Speler</v>
      </c>
    </row>
    <row r="43" spans="1:16" x14ac:dyDescent="0.3">
      <c r="A43" t="str">
        <v>Luca Boullart</v>
      </c>
      <c r="B43" t="str">
        <v>maggy.hombecq@hotmail.com</v>
      </c>
      <c r="C43" t="str">
        <v>+32475558448</v>
      </c>
      <c r="D43" t="str">
        <v/>
      </c>
      <c r="E43" s="2">
        <v>733968</v>
      </c>
      <c r="F43" t="str">
        <v>M16 A Haantjes CERTIFISC  Oudenaarde</v>
      </c>
      <c r="G43" t="str">
        <v>Speler</v>
      </c>
      <c r="J43" t="str">
        <f>Worksheet!C43&amp;" "&amp;Worksheet!B43</f>
        <v>Kas Bessems</v>
      </c>
      <c r="K43" t="str">
        <f>Worksheet!AM43</f>
        <v>bessemskas@gmail.com</v>
      </c>
      <c r="L43" t="str">
        <f>Worksheet!AN43</f>
        <v>+32470059511</v>
      </c>
      <c r="M43" t="str">
        <f>IF(Worksheet!AE43="","",Worksheet!AE43)</f>
        <v/>
      </c>
      <c r="N43">
        <f>IF(Worksheet!AG43="","",Worksheet!AG43)</f>
        <v>749953</v>
      </c>
      <c r="O43" t="str">
        <f>IF(Worksheet!AJ43="","",Worksheet!AJ43)</f>
        <v/>
      </c>
      <c r="P43" t="str">
        <f>IF(Worksheet!AK43="","",Worksheet!AK43)</f>
        <v/>
      </c>
    </row>
    <row r="44" spans="1:16" x14ac:dyDescent="0.3">
      <c r="A44" t="str">
        <v>Luca Boullart</v>
      </c>
      <c r="B44" t="str">
        <v>maggy.hombecq@hotmail.com</v>
      </c>
      <c r="C44" t="str">
        <v>+32475558448</v>
      </c>
      <c r="D44" t="str">
        <v/>
      </c>
      <c r="E44" s="2">
        <v>733968</v>
      </c>
      <c r="F44" t="str">
        <v>Zomerstage 2026 (Blankenberge)</v>
      </c>
      <c r="G44" t="str">
        <v>Speler</v>
      </c>
      <c r="J44" t="str">
        <f>Worksheet!C44&amp;" "&amp;Worksheet!B44</f>
        <v>Gust Beutels</v>
      </c>
      <c r="K44" t="str">
        <f>Worksheet!AM44</f>
        <v>gbeutels07@gmail.com</v>
      </c>
      <c r="L44" t="str">
        <f>Worksheet!AN44</f>
        <v/>
      </c>
      <c r="M44" t="str">
        <f>IF(Worksheet!AE44="","",Worksheet!AE44)</f>
        <v/>
      </c>
      <c r="N44">
        <f>IF(Worksheet!AG44="","",Worksheet!AG44)</f>
        <v>702949</v>
      </c>
      <c r="O44" t="str">
        <f>IF(Worksheet!AJ44="","",Worksheet!AJ44)</f>
        <v/>
      </c>
      <c r="P44" t="str">
        <f>IF(Worksheet!AK44="","",Worksheet!AK44)</f>
        <v/>
      </c>
    </row>
    <row r="45" spans="1:16" x14ac:dyDescent="0.3">
      <c r="A45" t="str">
        <v>Marie Bourdeaud'hui</v>
      </c>
      <c r="B45" t="str">
        <v/>
      </c>
      <c r="C45" t="str">
        <v>+32572791</v>
      </c>
      <c r="D45" t="str">
        <v>https://app.twizzit.com/public/photos/2182516/s/0d7291570c9e5cf142cd892c8fd7ace8c517270a.png</v>
      </c>
      <c r="E45" s="2">
        <v>714083</v>
      </c>
      <c r="F45" t="str">
        <v>DSE A Haantjes Certifisc Oudenaarde</v>
      </c>
      <c r="G45" t="str">
        <v>Speler</v>
      </c>
      <c r="J45" t="str">
        <f>Worksheet!C45&amp;" "&amp;Worksheet!B45</f>
        <v>Celeste Blancke</v>
      </c>
      <c r="K45" t="str">
        <f>Worksheet!AM45</f>
        <v/>
      </c>
      <c r="L45" t="str">
        <f>Worksheet!AN45</f>
        <v>+32473412540</v>
      </c>
      <c r="M45" t="str">
        <f>IF(Worksheet!AE45="","",Worksheet!AE45)</f>
        <v>https://app.twizzit.com/public/photos/3500953/s/601083ebf506787be01432d1e891039519c5d9b6.jpeg</v>
      </c>
      <c r="N45">
        <f>IF(Worksheet!AG45="","",Worksheet!AG45)</f>
        <v>749419</v>
      </c>
      <c r="O45" t="str">
        <f>IF(Worksheet!AJ45="","",Worksheet!AJ45)</f>
        <v>Zomerstage 2026 (Blankenberge)</v>
      </c>
      <c r="P45" t="str">
        <f>IF(Worksheet!AK45="","",Worksheet!AK45)</f>
        <v>Speler</v>
      </c>
    </row>
    <row r="46" spans="1:16" x14ac:dyDescent="0.3">
      <c r="A46" t="str">
        <v>Marie Bourdeaud'hui</v>
      </c>
      <c r="B46" t="str">
        <v/>
      </c>
      <c r="C46" t="str">
        <v>+32572791</v>
      </c>
      <c r="D46" t="str">
        <v>https://app.twizzit.com/public/photos/2182516/s/0d7291570c9e5cf142cd892c8fd7ace8c517270a.png</v>
      </c>
      <c r="E46" s="2">
        <v>714083</v>
      </c>
      <c r="F46" t="str">
        <v>Zomerstage 2026 (Blankenberge)</v>
      </c>
      <c r="G46" t="str">
        <v>Speler</v>
      </c>
      <c r="J46" t="str">
        <f>Worksheet!C46&amp;" "&amp;Worksheet!B46</f>
        <v>Celeste Blancke</v>
      </c>
      <c r="K46" t="str">
        <f>Worksheet!AM46</f>
        <v/>
      </c>
      <c r="L46" t="str">
        <f>Worksheet!AN46</f>
        <v>+32473412540</v>
      </c>
      <c r="M46" t="str">
        <f>IF(Worksheet!AE46="","",Worksheet!AE46)</f>
        <v>https://app.twizzit.com/public/photos/3500953/s/601083ebf506787be01432d1e891039519c5d9b6.jpeg</v>
      </c>
      <c r="N46">
        <f>IF(Worksheet!AG46="","",Worksheet!AG46)</f>
        <v>749419</v>
      </c>
      <c r="O46" t="str">
        <f>IF(Worksheet!AJ46="","",Worksheet!AJ46)</f>
        <v>M14 A Haantjes CERTIFISC  Oudenaarde</v>
      </c>
      <c r="P46" t="str">
        <f>IF(Worksheet!AK46="","",Worksheet!AK46)</f>
        <v>Speler</v>
      </c>
    </row>
    <row r="47" spans="1:16" x14ac:dyDescent="0.3">
      <c r="A47" t="str">
        <v>Marie Bourdeaud'hui</v>
      </c>
      <c r="B47" t="str">
        <v/>
      </c>
      <c r="C47" t="str">
        <v>+32572791</v>
      </c>
      <c r="D47" t="str">
        <v>https://app.twizzit.com/public/photos/2182516/s/0d7291570c9e5cf142cd892c8fd7ace8c517270a.png</v>
      </c>
      <c r="E47" s="2">
        <v>714083</v>
      </c>
      <c r="F47" t="str">
        <v>M19 A Haantjes CERTIFISC Oudenaarde</v>
      </c>
      <c r="G47" t="str">
        <v>Speler</v>
      </c>
      <c r="J47" t="str">
        <f>Worksheet!C47&amp;" "&amp;Worksheet!B47</f>
        <v>Merel Blancke</v>
      </c>
      <c r="K47" t="str">
        <f>Worksheet!AM47</f>
        <v/>
      </c>
      <c r="L47" t="str">
        <f>Worksheet!AN47</f>
        <v>+32478385011</v>
      </c>
      <c r="M47" t="str">
        <f>IF(Worksheet!AE47="","",Worksheet!AE47)</f>
        <v>https://app.twizzit.com/public/photos/5568565/s/d285ba208d969f77d6c249fb61359c50c614e6ac.png</v>
      </c>
      <c r="N47" t="str">
        <f>IF(Worksheet!AG47="","",Worksheet!AG47)</f>
        <v/>
      </c>
      <c r="O47" t="str">
        <f>IF(Worksheet!AJ47="","",Worksheet!AJ47)</f>
        <v>M16 A Haantjes CERTIFISC  Oudenaarde</v>
      </c>
      <c r="P47" t="str">
        <f>IF(Worksheet!AK47="","",Worksheet!AK47)</f>
        <v>Speler</v>
      </c>
    </row>
    <row r="48" spans="1:16" x14ac:dyDescent="0.3">
      <c r="A48" t="str">
        <v>Liam Bourgeois</v>
      </c>
      <c r="B48" t="str">
        <v/>
      </c>
      <c r="C48" t="str">
        <v>+32471543824</v>
      </c>
      <c r="D48" t="str">
        <v/>
      </c>
      <c r="E48" s="2" t="str">
        <v/>
      </c>
      <c r="F48" t="str">
        <v>J18 B Haantjes CERTIFISC Oudenaarde</v>
      </c>
      <c r="G48" t="str">
        <v>Speler</v>
      </c>
      <c r="J48" t="str">
        <f>Worksheet!C48&amp;" "&amp;Worksheet!B48</f>
        <v>Merel Blancke</v>
      </c>
      <c r="K48" t="str">
        <f>Worksheet!AM48</f>
        <v/>
      </c>
      <c r="L48" t="str">
        <f>Worksheet!AN48</f>
        <v>+32478385011</v>
      </c>
      <c r="M48" t="str">
        <f>IF(Worksheet!AE48="","",Worksheet!AE48)</f>
        <v>https://app.twizzit.com/public/photos/5568565/s/d285ba208d969f77d6c249fb61359c50c614e6ac.png</v>
      </c>
      <c r="N48" t="str">
        <f>IF(Worksheet!AG48="","",Worksheet!AG48)</f>
        <v/>
      </c>
      <c r="O48" t="str">
        <f>IF(Worksheet!AJ48="","",Worksheet!AJ48)</f>
        <v>Zomerstage 2026 (Blankenberge)</v>
      </c>
      <c r="P48" t="str">
        <f>IF(Worksheet!AK48="","",Worksheet!AK48)</f>
        <v>Speler</v>
      </c>
    </row>
    <row r="49" spans="1:16" x14ac:dyDescent="0.3">
      <c r="A49" t="str">
        <v>Kobe Boutmans</v>
      </c>
      <c r="B49" t="str">
        <v/>
      </c>
      <c r="C49" t="str">
        <v>+32479888902</v>
      </c>
      <c r="D49" t="str">
        <v/>
      </c>
      <c r="E49" s="2">
        <v>731700</v>
      </c>
      <c r="F49" t="str">
        <v>J18 B Haantjes CERTIFISC Oudenaarde</v>
      </c>
      <c r="G49" t="str">
        <v>Speler</v>
      </c>
      <c r="J49" t="str">
        <f>Worksheet!C49&amp;" "&amp;Worksheet!B49</f>
        <v>Vic Blommaert</v>
      </c>
      <c r="K49" t="str">
        <f>Worksheet!AM49</f>
        <v>jeroen.blommaert@gmail.com</v>
      </c>
      <c r="L49" t="str">
        <f>Worksheet!AN49</f>
        <v>+32470067360</v>
      </c>
      <c r="M49" t="str">
        <f>IF(Worksheet!AE49="","",Worksheet!AE49)</f>
        <v>https://app.twizzit.com/public/photos/7328384/s/880c055e18cd3fa9e57719da7306434e04eaf905.png</v>
      </c>
      <c r="N49" t="str">
        <f>IF(Worksheet!AG49="","",Worksheet!AG49)</f>
        <v/>
      </c>
      <c r="O49" t="str">
        <f>IF(Worksheet!AJ49="","",Worksheet!AJ49)</f>
        <v>G10 Geel HAANTJES CERTIFISC OUDENAARDE</v>
      </c>
      <c r="P49" t="str">
        <f>IF(Worksheet!AK49="","",Worksheet!AK49)</f>
        <v>Speler</v>
      </c>
    </row>
    <row r="50" spans="1:16" x14ac:dyDescent="0.3">
      <c r="A50" t="str">
        <v>Lise Braem</v>
      </c>
      <c r="B50" t="str">
        <v>Braem.lise@gmail.com</v>
      </c>
      <c r="C50" t="str">
        <v/>
      </c>
      <c r="D50" t="str">
        <v>https://app.twizzit.com/public/photos/2182526/s/a821912bbd87d29337fbfbb0be2e91298bc55869.jpeg</v>
      </c>
      <c r="E50" s="2">
        <v>706640</v>
      </c>
      <c r="F50" t="str">
        <v>Zomerstage 2026 (Blankenberge)</v>
      </c>
      <c r="G50" t="str">
        <v>Speler</v>
      </c>
      <c r="J50" t="str">
        <f>Worksheet!C50&amp;" "&amp;Worksheet!B50</f>
        <v>Bart Blondeel</v>
      </c>
      <c r="K50" t="str">
        <f>Worksheet!AM50</f>
        <v/>
      </c>
      <c r="L50" t="str">
        <f>Worksheet!AN50</f>
        <v>+32473373966</v>
      </c>
      <c r="M50" t="str">
        <f>IF(Worksheet!AE50="","",Worksheet!AE50)</f>
        <v/>
      </c>
      <c r="N50" t="str">
        <f>IF(Worksheet!AG50="","",Worksheet!AG50)</f>
        <v/>
      </c>
      <c r="O50" t="str">
        <f>IF(Worksheet!AJ50="","",Worksheet!AJ50)</f>
        <v/>
      </c>
      <c r="P50" t="str">
        <f>IF(Worksheet!AK50="","",Worksheet!AK50)</f>
        <v/>
      </c>
    </row>
    <row r="51" spans="1:16" x14ac:dyDescent="0.3">
      <c r="A51" t="str">
        <v>Lise Braem</v>
      </c>
      <c r="B51" t="str">
        <v>Braem.lise@gmail.com</v>
      </c>
      <c r="C51" t="str">
        <v/>
      </c>
      <c r="D51" t="str">
        <v>https://app.twizzit.com/public/photos/2182526/s/a821912bbd87d29337fbfbb0be2e91298bc55869.jpeg</v>
      </c>
      <c r="E51" s="2">
        <v>706640</v>
      </c>
      <c r="F51" t="str">
        <v>M19 A Haantjes CERTIFISC Oudenaarde</v>
      </c>
      <c r="G51" t="str">
        <v>Speler</v>
      </c>
      <c r="J51" t="str">
        <f>Worksheet!C51&amp;" "&amp;Worksheet!B51</f>
        <v>Matti Bogaert</v>
      </c>
      <c r="K51" t="str">
        <f>Worksheet!AM51</f>
        <v>mboogie800@hotmail.com</v>
      </c>
      <c r="L51" t="str">
        <f>Worksheet!AN51</f>
        <v>+32465007097</v>
      </c>
      <c r="M51" t="str">
        <f>IF(Worksheet!AE51="","",Worksheet!AE51)</f>
        <v/>
      </c>
      <c r="N51">
        <f>IF(Worksheet!AG51="","",Worksheet!AG51)</f>
        <v>737616</v>
      </c>
      <c r="O51" t="str">
        <f>IF(Worksheet!AJ51="","",Worksheet!AJ51)</f>
        <v>J18 A Haantjes CERTIFISC Oudenaarde</v>
      </c>
      <c r="P51" t="str">
        <f>IF(Worksheet!AK51="","",Worksheet!AK51)</f>
        <v>Speler</v>
      </c>
    </row>
    <row r="52" spans="1:16" x14ac:dyDescent="0.3">
      <c r="A52" t="str">
        <v>Aishatu Lieve Buadee</v>
      </c>
      <c r="B52" t="str">
        <v/>
      </c>
      <c r="C52" t="str">
        <v>+32496745543</v>
      </c>
      <c r="D52" t="str">
        <v/>
      </c>
      <c r="E52" s="2" t="str">
        <v/>
      </c>
      <c r="F52" t="str">
        <v>DSE A Haantjes Certifisc Oudenaarde</v>
      </c>
      <c r="G52" t="str">
        <v>Speler</v>
      </c>
      <c r="J52" t="str">
        <f>Worksheet!C52&amp;" "&amp;Worksheet!B52</f>
        <v>Matti Bogaert</v>
      </c>
      <c r="K52" t="str">
        <f>Worksheet!AM52</f>
        <v>mboogie800@hotmail.com</v>
      </c>
      <c r="L52" t="str">
        <f>Worksheet!AN52</f>
        <v>+32465007097</v>
      </c>
      <c r="M52" t="str">
        <f>IF(Worksheet!AE52="","",Worksheet!AE52)</f>
        <v/>
      </c>
      <c r="N52">
        <f>IF(Worksheet!AG52="","",Worksheet!AG52)</f>
        <v>737616</v>
      </c>
      <c r="O52" t="str">
        <f>IF(Worksheet!AJ52="","",Worksheet!AJ52)</f>
        <v>HSE B Haantjes Certifisc Oudenaarde</v>
      </c>
      <c r="P52" t="str">
        <f>IF(Worksheet!AK52="","",Worksheet!AK52)</f>
        <v>Speler</v>
      </c>
    </row>
    <row r="53" spans="1:16" x14ac:dyDescent="0.3">
      <c r="A53" t="str">
        <v>Matisse Buda Meirlaen</v>
      </c>
      <c r="B53" t="str">
        <v/>
      </c>
      <c r="C53" t="str">
        <v>+32490467800</v>
      </c>
      <c r="D53" t="str">
        <v>https://app.twizzit.com/public/photos/7666112/s/28beee7a2b02560648d49ec2140a1cc079666b2a.png</v>
      </c>
      <c r="E53" s="2" t="str">
        <v/>
      </c>
      <c r="F53" t="str">
        <v>G14 B Haantjes CERTIFISC Oudenaarde</v>
      </c>
      <c r="G53" t="str">
        <v>Speler</v>
      </c>
      <c r="J53" t="str">
        <f>Worksheet!C53&amp;" "&amp;Worksheet!B53</f>
        <v>Maurice Boonaert</v>
      </c>
      <c r="K53" t="str">
        <f>Worksheet!AM53</f>
        <v>reggyboonaert@outlook.be</v>
      </c>
      <c r="L53" t="str">
        <f>Worksheet!AN53</f>
        <v>+32478731137</v>
      </c>
      <c r="M53" t="str">
        <f>IF(Worksheet!AE53="","",Worksheet!AE53)</f>
        <v/>
      </c>
      <c r="N53" t="str">
        <f>IF(Worksheet!AG53="","",Worksheet!AG53)</f>
        <v/>
      </c>
      <c r="O53" t="str">
        <f>IF(Worksheet!AJ53="","",Worksheet!AJ53)</f>
        <v>G08 Groen HAANTJES CERTIFISC OUDENAARDE</v>
      </c>
      <c r="P53" t="str">
        <f>IF(Worksheet!AK53="","",Worksheet!AK53)</f>
        <v>Speler</v>
      </c>
    </row>
    <row r="54" spans="1:16" x14ac:dyDescent="0.3">
      <c r="A54" t="str">
        <v>Dylann Bufkens</v>
      </c>
      <c r="B54" t="str">
        <v/>
      </c>
      <c r="C54" t="str">
        <v>+32493561486</v>
      </c>
      <c r="D54" t="str">
        <v/>
      </c>
      <c r="E54" s="2">
        <v>638804</v>
      </c>
      <c r="F54" t="str">
        <v>J18 B Haantjes CERTIFISC Oudenaarde</v>
      </c>
      <c r="G54" t="str">
        <v>Coach</v>
      </c>
      <c r="J54" t="str">
        <f>Worksheet!C54&amp;" "&amp;Worksheet!B54</f>
        <v>Maurice Boonaert</v>
      </c>
      <c r="K54" t="str">
        <f>Worksheet!AM54</f>
        <v>reggyboonaert@outlook.be</v>
      </c>
      <c r="L54" t="str">
        <f>Worksheet!AN54</f>
        <v>+32478731137</v>
      </c>
      <c r="M54" t="str">
        <f>IF(Worksheet!AE54="","",Worksheet!AE54)</f>
        <v/>
      </c>
      <c r="N54" t="str">
        <f>IF(Worksheet!AG54="","",Worksheet!AG54)</f>
        <v/>
      </c>
      <c r="O54" t="str">
        <f>IF(Worksheet!AJ54="","",Worksheet!AJ54)</f>
        <v>Zomerstage 2026 U8 (Oudenaarde)</v>
      </c>
      <c r="P54" t="str">
        <f>IF(Worksheet!AK54="","",Worksheet!AK54)</f>
        <v>Speler</v>
      </c>
    </row>
    <row r="55" spans="1:16" x14ac:dyDescent="0.3">
      <c r="A55" t="str">
        <v>Dylann Bufkens</v>
      </c>
      <c r="B55" t="str">
        <v/>
      </c>
      <c r="C55" t="str">
        <v>+32493561486</v>
      </c>
      <c r="D55" t="str">
        <v/>
      </c>
      <c r="E55" s="2">
        <v>638804</v>
      </c>
      <c r="F55" t="str">
        <v>HSE B Haantjes Certifisc Oudenaarde</v>
      </c>
      <c r="G55" t="str">
        <v>Speler</v>
      </c>
      <c r="J55" t="str">
        <f>Worksheet!C55&amp;" "&amp;Worksheet!B55</f>
        <v>Leon Boone</v>
      </c>
      <c r="K55" t="str">
        <f>Worksheet!AM55</f>
        <v>dieter.boone@telenet.be</v>
      </c>
      <c r="L55" t="str">
        <f>Worksheet!AN55</f>
        <v>+32496024078</v>
      </c>
      <c r="M55" t="str">
        <f>IF(Worksheet!AE55="","",Worksheet!AE55)</f>
        <v/>
      </c>
      <c r="N55" t="str">
        <f>IF(Worksheet!AG55="","",Worksheet!AG55)</f>
        <v/>
      </c>
      <c r="O55" t="str">
        <f>IF(Worksheet!AJ55="","",Worksheet!AJ55)</f>
        <v>G08 Geel HAANTJES CERTIFISC OUDENAARDE</v>
      </c>
      <c r="P55" t="str">
        <f>IF(Worksheet!AK55="","",Worksheet!AK55)</f>
        <v>Speler</v>
      </c>
    </row>
    <row r="56" spans="1:16" x14ac:dyDescent="0.3">
      <c r="A56" t="str">
        <v>Liam Bufkens</v>
      </c>
      <c r="B56" t="str">
        <v>vanbael_ijlie@hotmail.com</v>
      </c>
      <c r="C56" t="str">
        <v/>
      </c>
      <c r="D56" t="str">
        <v/>
      </c>
      <c r="E56" s="2">
        <v>740183</v>
      </c>
      <c r="F56" t="str">
        <v>J16 A Haantjes CERTIFISC Oudenaarde</v>
      </c>
      <c r="G56" t="str">
        <v>Speler</v>
      </c>
      <c r="J56" t="str">
        <f>Worksheet!C56&amp;" "&amp;Worksheet!B56</f>
        <v>Charles Bothuyne</v>
      </c>
      <c r="K56" t="str">
        <f>Worksheet!AM56</f>
        <v/>
      </c>
      <c r="L56" t="str">
        <f>Worksheet!AN56</f>
        <v>+32474611521</v>
      </c>
      <c r="M56" t="str">
        <f>IF(Worksheet!AE56="","",Worksheet!AE56)</f>
        <v/>
      </c>
      <c r="N56" t="str">
        <f>IF(Worksheet!AG56="","",Worksheet!AG56)</f>
        <v/>
      </c>
      <c r="O56" t="str">
        <f>IF(Worksheet!AJ56="","",Worksheet!AJ56)</f>
        <v/>
      </c>
      <c r="P56" t="str">
        <f>IF(Worksheet!AK56="","",Worksheet!AK56)</f>
        <v/>
      </c>
    </row>
    <row r="57" spans="1:16" x14ac:dyDescent="0.3">
      <c r="A57" t="str">
        <v>Iris Calewaert</v>
      </c>
      <c r="B57" t="str">
        <v/>
      </c>
      <c r="C57" t="str">
        <v>+32479373164</v>
      </c>
      <c r="D57" t="str">
        <v/>
      </c>
      <c r="E57" s="2">
        <v>622248</v>
      </c>
      <c r="F57" t="str">
        <v>DSE A Haantjes Certifisc Oudenaarde</v>
      </c>
      <c r="G57" t="str">
        <v>Speler</v>
      </c>
      <c r="J57" t="str">
        <f>Worksheet!C57&amp;" "&amp;Worksheet!B57</f>
        <v>Mauro Boudringhien</v>
      </c>
      <c r="K57" t="str">
        <f>Worksheet!AM57</f>
        <v/>
      </c>
      <c r="L57" t="str">
        <f>Worksheet!AN57</f>
        <v/>
      </c>
      <c r="M57" t="str">
        <f>IF(Worksheet!AE57="","",Worksheet!AE57)</f>
        <v/>
      </c>
      <c r="N57">
        <f>IF(Worksheet!AG57="","",Worksheet!AG57)</f>
        <v>732761</v>
      </c>
      <c r="O57" t="str">
        <f>IF(Worksheet!AJ57="","",Worksheet!AJ57)</f>
        <v/>
      </c>
      <c r="P57" t="str">
        <f>IF(Worksheet!AK57="","",Worksheet!AK57)</f>
        <v/>
      </c>
    </row>
    <row r="58" spans="1:16" x14ac:dyDescent="0.3">
      <c r="A58" t="str">
        <v>Iris Calewaert</v>
      </c>
      <c r="B58" t="str">
        <v/>
      </c>
      <c r="C58" t="str">
        <v>+32479373164</v>
      </c>
      <c r="D58" t="str">
        <v/>
      </c>
      <c r="E58" s="2">
        <v>622248</v>
      </c>
      <c r="F58" t="str">
        <v>M12 A HAANTJES CERTIFISC OUDENAARDE</v>
      </c>
      <c r="G58" t="str">
        <v>Coach</v>
      </c>
      <c r="J58" t="str">
        <f>Worksheet!C58&amp;" "&amp;Worksheet!B58</f>
        <v>Luca Boullart</v>
      </c>
      <c r="K58" t="str">
        <f>Worksheet!AM58</f>
        <v>maggy.hombecq@hotmail.com</v>
      </c>
      <c r="L58" t="str">
        <f>Worksheet!AN58</f>
        <v>+32475558448</v>
      </c>
      <c r="M58" t="str">
        <f>IF(Worksheet!AE58="","",Worksheet!AE58)</f>
        <v/>
      </c>
      <c r="N58">
        <f>IF(Worksheet!AG58="","",Worksheet!AG58)</f>
        <v>733968</v>
      </c>
      <c r="O58" t="str">
        <f>IF(Worksheet!AJ58="","",Worksheet!AJ58)</f>
        <v>M16 A Haantjes CERTIFISC  Oudenaarde</v>
      </c>
      <c r="P58" t="str">
        <f>IF(Worksheet!AK58="","",Worksheet!AK58)</f>
        <v>Speler</v>
      </c>
    </row>
    <row r="59" spans="1:16" x14ac:dyDescent="0.3">
      <c r="A59" t="str">
        <v>Leon Castelain</v>
      </c>
      <c r="B59" t="str">
        <v/>
      </c>
      <c r="C59" t="str">
        <v>+32495228616</v>
      </c>
      <c r="D59" t="str">
        <v>https://app.twizzit.com/public/photos/3486565/s/dbc5287e080bfa9acd16205b0ef6339800e0ffb6.png</v>
      </c>
      <c r="E59" s="2" t="str">
        <v xml:space="preserve">762623 </v>
      </c>
      <c r="F59" t="str">
        <v>G10 Geel HAANTJES CERTIFISC OUDENAARDE</v>
      </c>
      <c r="G59" t="str">
        <v>Speler</v>
      </c>
      <c r="J59" t="str">
        <f>Worksheet!C59&amp;" "&amp;Worksheet!B59</f>
        <v>Luca Boullart</v>
      </c>
      <c r="K59" t="str">
        <f>Worksheet!AM59</f>
        <v>maggy.hombecq@hotmail.com</v>
      </c>
      <c r="L59" t="str">
        <f>Worksheet!AN59</f>
        <v>+32475558448</v>
      </c>
      <c r="M59" t="str">
        <f>IF(Worksheet!AE59="","",Worksheet!AE59)</f>
        <v/>
      </c>
      <c r="N59">
        <f>IF(Worksheet!AG59="","",Worksheet!AG59)</f>
        <v>733968</v>
      </c>
      <c r="O59" t="str">
        <f>IF(Worksheet!AJ59="","",Worksheet!AJ59)</f>
        <v>Zomerstage 2026 (Blankenberge)</v>
      </c>
      <c r="P59" t="str">
        <f>IF(Worksheet!AK59="","",Worksheet!AK59)</f>
        <v>Speler</v>
      </c>
    </row>
    <row r="60" spans="1:16" x14ac:dyDescent="0.3">
      <c r="A60" t="str">
        <v>Leon Castelain</v>
      </c>
      <c r="B60" t="str">
        <v/>
      </c>
      <c r="C60" t="str">
        <v>+32495228616</v>
      </c>
      <c r="D60" t="str">
        <v>https://app.twizzit.com/public/photos/3486565/s/dbc5287e080bfa9acd16205b0ef6339800e0ffb6.png</v>
      </c>
      <c r="E60" s="2" t="str">
        <v xml:space="preserve">762623 </v>
      </c>
      <c r="F60" t="str">
        <v>Zomerstage 2026 U10 &amp; U12 (Oudenaarde)</v>
      </c>
      <c r="G60" t="str">
        <v>Speler</v>
      </c>
      <c r="J60" t="str">
        <f>Worksheet!C60&amp;" "&amp;Worksheet!B60</f>
        <v>Marie Bourdeaud'hui</v>
      </c>
      <c r="K60" t="str">
        <f>Worksheet!AM60</f>
        <v/>
      </c>
      <c r="L60" t="str">
        <f>Worksheet!AN60</f>
        <v>+32572791</v>
      </c>
      <c r="M60" t="str">
        <f>IF(Worksheet!AE60="","",Worksheet!AE60)</f>
        <v>https://app.twizzit.com/public/photos/2182516/s/0d7291570c9e5cf142cd892c8fd7ace8c517270a.png</v>
      </c>
      <c r="N60">
        <f>IF(Worksheet!AG60="","",Worksheet!AG60)</f>
        <v>714083</v>
      </c>
      <c r="O60" t="str">
        <f>IF(Worksheet!AJ60="","",Worksheet!AJ60)</f>
        <v>DSE A Haantjes Certifisc Oudenaarde</v>
      </c>
      <c r="P60" t="str">
        <f>IF(Worksheet!AK60="","",Worksheet!AK60)</f>
        <v>Speler</v>
      </c>
    </row>
    <row r="61" spans="1:16" x14ac:dyDescent="0.3">
      <c r="A61" t="str">
        <v>Odet Castelain</v>
      </c>
      <c r="B61" t="str">
        <v>evelyn.demesel@hotmail.be</v>
      </c>
      <c r="C61" t="str">
        <v>+32495228616</v>
      </c>
      <c r="D61" t="str">
        <v/>
      </c>
      <c r="E61" s="2" t="str">
        <v/>
      </c>
      <c r="F61" t="str">
        <v>Balschool U6</v>
      </c>
      <c r="G61" t="str">
        <v>Speler</v>
      </c>
      <c r="J61" t="str">
        <f>Worksheet!C61&amp;" "&amp;Worksheet!B61</f>
        <v>Marie Bourdeaud'hui</v>
      </c>
      <c r="K61" t="str">
        <f>Worksheet!AM61</f>
        <v/>
      </c>
      <c r="L61" t="str">
        <f>Worksheet!AN61</f>
        <v>+32572791</v>
      </c>
      <c r="M61" t="str">
        <f>IF(Worksheet!AE61="","",Worksheet!AE61)</f>
        <v>https://app.twizzit.com/public/photos/2182516/s/0d7291570c9e5cf142cd892c8fd7ace8c517270a.png</v>
      </c>
      <c r="N61">
        <f>IF(Worksheet!AG61="","",Worksheet!AG61)</f>
        <v>714083</v>
      </c>
      <c r="O61" t="str">
        <f>IF(Worksheet!AJ61="","",Worksheet!AJ61)</f>
        <v>Zomerstage 2026 (Blankenberge)</v>
      </c>
      <c r="P61" t="str">
        <f>IF(Worksheet!AK61="","",Worksheet!AK61)</f>
        <v>Speler</v>
      </c>
    </row>
    <row r="62" spans="1:16" x14ac:dyDescent="0.3">
      <c r="A62" t="str">
        <v>Bart Cattoir</v>
      </c>
      <c r="B62" t="str">
        <v/>
      </c>
      <c r="C62" t="str">
        <v>+32499214775</v>
      </c>
      <c r="D62" t="str">
        <v/>
      </c>
      <c r="E62" s="2">
        <v>20854</v>
      </c>
      <c r="F62" t="str">
        <v>DSE A Haantjes Certifisc Oudenaarde</v>
      </c>
      <c r="G62" t="str">
        <v>Coach</v>
      </c>
      <c r="J62" t="str">
        <f>Worksheet!C62&amp;" "&amp;Worksheet!B62</f>
        <v>Marie Bourdeaud'hui</v>
      </c>
      <c r="K62" t="str">
        <f>Worksheet!AM62</f>
        <v/>
      </c>
      <c r="L62" t="str">
        <f>Worksheet!AN62</f>
        <v>+32572791</v>
      </c>
      <c r="M62" t="str">
        <f>IF(Worksheet!AE62="","",Worksheet!AE62)</f>
        <v>https://app.twizzit.com/public/photos/2182516/s/0d7291570c9e5cf142cd892c8fd7ace8c517270a.png</v>
      </c>
      <c r="N62">
        <f>IF(Worksheet!AG62="","",Worksheet!AG62)</f>
        <v>714083</v>
      </c>
      <c r="O62" t="str">
        <f>IF(Worksheet!AJ62="","",Worksheet!AJ62)</f>
        <v>M19 A Haantjes CERTIFISC Oudenaarde</v>
      </c>
      <c r="P62" t="str">
        <f>IF(Worksheet!AK62="","",Worksheet!AK62)</f>
        <v>Speler</v>
      </c>
    </row>
    <row r="63" spans="1:16" x14ac:dyDescent="0.3">
      <c r="A63" t="str">
        <v>Jonah Cattoir</v>
      </c>
      <c r="B63" t="str">
        <v/>
      </c>
      <c r="C63" t="str">
        <v/>
      </c>
      <c r="D63" t="str">
        <v/>
      </c>
      <c r="E63" s="2" t="str">
        <v/>
      </c>
      <c r="F63" t="str">
        <v>G08 Geel HAANTJES CERTIFISC OUDENAARDE</v>
      </c>
      <c r="G63" t="str">
        <v>Coach</v>
      </c>
      <c r="J63" t="str">
        <f>Worksheet!C63&amp;" "&amp;Worksheet!B63</f>
        <v>Liam Bourgeois</v>
      </c>
      <c r="K63" t="str">
        <f>Worksheet!AM63</f>
        <v/>
      </c>
      <c r="L63" t="str">
        <f>Worksheet!AN63</f>
        <v>+32471543824</v>
      </c>
      <c r="M63" t="str">
        <f>IF(Worksheet!AE63="","",Worksheet!AE63)</f>
        <v/>
      </c>
      <c r="N63" t="str">
        <f>IF(Worksheet!AG63="","",Worksheet!AG63)</f>
        <v/>
      </c>
      <c r="O63" t="str">
        <f>IF(Worksheet!AJ63="","",Worksheet!AJ63)</f>
        <v>J18 B Haantjes CERTIFISC Oudenaarde</v>
      </c>
      <c r="P63" t="str">
        <f>IF(Worksheet!AK63="","",Worksheet!AK63)</f>
        <v>Speler</v>
      </c>
    </row>
    <row r="64" spans="1:16" x14ac:dyDescent="0.3">
      <c r="A64" t="str">
        <v>Jonah Cattoir</v>
      </c>
      <c r="B64" t="str">
        <v/>
      </c>
      <c r="C64" t="str">
        <v/>
      </c>
      <c r="D64" t="str">
        <v/>
      </c>
      <c r="E64" s="2" t="str">
        <v/>
      </c>
      <c r="F64" t="str">
        <v>J16 A Haantjes CERTIFISC Oudenaarde</v>
      </c>
      <c r="G64" t="str">
        <v>Speler</v>
      </c>
      <c r="J64" t="str">
        <f>Worksheet!C64&amp;" "&amp;Worksheet!B64</f>
        <v>Beauregard Boutmans</v>
      </c>
      <c r="K64" t="str">
        <f>Worksheet!AM64</f>
        <v/>
      </c>
      <c r="L64" t="str">
        <f>Worksheet!AN64</f>
        <v/>
      </c>
      <c r="M64" t="str">
        <f>IF(Worksheet!AE64="","",Worksheet!AE64)</f>
        <v/>
      </c>
      <c r="N64" t="str">
        <f>IF(Worksheet!AG64="","",Worksheet!AG64)</f>
        <v/>
      </c>
      <c r="O64" t="str">
        <f>IF(Worksheet!AJ64="","",Worksheet!AJ64)</f>
        <v/>
      </c>
      <c r="P64" t="str">
        <f>IF(Worksheet!AK64="","",Worksheet!AK64)</f>
        <v/>
      </c>
    </row>
    <row r="65" spans="1:16" x14ac:dyDescent="0.3">
      <c r="A65" t="str">
        <v>Jonah Cattoir</v>
      </c>
      <c r="B65" t="str">
        <v/>
      </c>
      <c r="C65" t="str">
        <v/>
      </c>
      <c r="D65" t="str">
        <v/>
      </c>
      <c r="E65" s="2" t="str">
        <v/>
      </c>
      <c r="F65" t="str">
        <v>Zomerstage 2026 (Blankenberge)</v>
      </c>
      <c r="G65" t="str">
        <v>Speler</v>
      </c>
      <c r="J65" t="str">
        <f>Worksheet!C65&amp;" "&amp;Worksheet!B65</f>
        <v>Kobe Boutmans</v>
      </c>
      <c r="K65" t="str">
        <f>Worksheet!AM65</f>
        <v/>
      </c>
      <c r="L65" t="str">
        <f>Worksheet!AN65</f>
        <v>+32479888902</v>
      </c>
      <c r="M65" t="str">
        <f>IF(Worksheet!AE65="","",Worksheet!AE65)</f>
        <v/>
      </c>
      <c r="N65">
        <f>IF(Worksheet!AG65="","",Worksheet!AG65)</f>
        <v>731700</v>
      </c>
      <c r="O65" t="str">
        <f>IF(Worksheet!AJ65="","",Worksheet!AJ65)</f>
        <v>J18 B Haantjes CERTIFISC Oudenaarde</v>
      </c>
      <c r="P65" t="str">
        <f>IF(Worksheet!AK65="","",Worksheet!AK65)</f>
        <v>Speler</v>
      </c>
    </row>
    <row r="66" spans="1:16" x14ac:dyDescent="0.3">
      <c r="A66" t="str">
        <v>Lasse Cattoir</v>
      </c>
      <c r="B66" t="str">
        <v/>
      </c>
      <c r="C66" t="str">
        <v/>
      </c>
      <c r="D66" t="str">
        <v>https://app.twizzit.com/public/photos/9522553/s/70d508b65eaba88af49f20bd545e119d36420c07.png</v>
      </c>
      <c r="E66" s="2" t="str">
        <v/>
      </c>
      <c r="F66" t="str">
        <v>G08 Geel HAANTJES CERTIFISC OUDENAARDE</v>
      </c>
      <c r="G66" t="str">
        <v>Speler</v>
      </c>
      <c r="J66" t="str">
        <f>Worksheet!C66&amp;" "&amp;Worksheet!B66</f>
        <v>Kaatje Bracke</v>
      </c>
      <c r="K66" t="str">
        <f>Worksheet!AM66</f>
        <v/>
      </c>
      <c r="L66" t="str">
        <f>Worksheet!AN66</f>
        <v/>
      </c>
      <c r="M66" t="str">
        <f>IF(Worksheet!AE66="","",Worksheet!AE66)</f>
        <v/>
      </c>
      <c r="N66">
        <f>IF(Worksheet!AG66="","",Worksheet!AG66)</f>
        <v>236495</v>
      </c>
      <c r="O66" t="str">
        <f>IF(Worksheet!AJ66="","",Worksheet!AJ66)</f>
        <v/>
      </c>
      <c r="P66" t="str">
        <f>IF(Worksheet!AK66="","",Worksheet!AK66)</f>
        <v/>
      </c>
    </row>
    <row r="67" spans="1:16" x14ac:dyDescent="0.3">
      <c r="A67" t="str">
        <v>Lasse Cattoir</v>
      </c>
      <c r="B67" t="str">
        <v/>
      </c>
      <c r="C67" t="str">
        <v/>
      </c>
      <c r="D67" t="str">
        <v>https://app.twizzit.com/public/photos/9522553/s/70d508b65eaba88af49f20bd545e119d36420c07.png</v>
      </c>
      <c r="E67" s="2" t="str">
        <v/>
      </c>
      <c r="F67" t="str">
        <v>Zomerstage 2026 U8 (Oudenaarde)</v>
      </c>
      <c r="G67" t="str">
        <v>Speler</v>
      </c>
      <c r="J67" t="str">
        <f>Worksheet!C67&amp;" "&amp;Worksheet!B67</f>
        <v>Mathieu Bracke</v>
      </c>
      <c r="K67" t="str">
        <f>Worksheet!AM67</f>
        <v/>
      </c>
      <c r="L67" t="str">
        <f>Worksheet!AN67</f>
        <v>+32470203327</v>
      </c>
      <c r="M67" t="str">
        <f>IF(Worksheet!AE67="","",Worksheet!AE67)</f>
        <v/>
      </c>
      <c r="N67">
        <f>IF(Worksheet!AG67="","",Worksheet!AG67)</f>
        <v>606718</v>
      </c>
      <c r="O67" t="str">
        <f>IF(Worksheet!AJ67="","",Worksheet!AJ67)</f>
        <v/>
      </c>
      <c r="P67" t="str">
        <f>IF(Worksheet!AK67="","",Worksheet!AK67)</f>
        <v/>
      </c>
    </row>
    <row r="68" spans="1:16" x14ac:dyDescent="0.3">
      <c r="A68" t="str">
        <v>Alice Cokelaere</v>
      </c>
      <c r="B68" t="str">
        <v>sofie.pattyn@telenet.be</v>
      </c>
      <c r="C68" t="str">
        <v>+32477681738</v>
      </c>
      <c r="D68" t="str">
        <v/>
      </c>
      <c r="E68" s="2">
        <v>669074</v>
      </c>
      <c r="F68" t="str">
        <v>DSE A Haantjes Certifisc Oudenaarde</v>
      </c>
      <c r="G68" t="str">
        <v>Speler</v>
      </c>
      <c r="J68" t="str">
        <f>Worksheet!C68&amp;" "&amp;Worksheet!B68</f>
        <v>Filiep Braem</v>
      </c>
      <c r="K68">
        <f>Worksheet!AM68</f>
        <v>0</v>
      </c>
      <c r="L68" t="str">
        <f>Worksheet!AN68</f>
        <v/>
      </c>
      <c r="M68" t="str">
        <f>IF(Worksheet!AE68="","",Worksheet!AE68)</f>
        <v/>
      </c>
      <c r="N68" t="str">
        <f>IF(Worksheet!AG68="","",Worksheet!AG68)</f>
        <v xml:space="preserve">757056 </v>
      </c>
      <c r="O68" t="str">
        <f>IF(Worksheet!AJ68="","",Worksheet!AJ68)</f>
        <v/>
      </c>
      <c r="P68" t="str">
        <f>IF(Worksheet!AK68="","",Worksheet!AK68)</f>
        <v/>
      </c>
    </row>
    <row r="69" spans="1:16" x14ac:dyDescent="0.3">
      <c r="A69" t="str">
        <v>Alice Cokelaere</v>
      </c>
      <c r="B69" t="str">
        <v>sofie.pattyn@telenet.be</v>
      </c>
      <c r="C69" t="str">
        <v>+32477681738</v>
      </c>
      <c r="D69" t="str">
        <v/>
      </c>
      <c r="E69" s="2">
        <v>669074</v>
      </c>
      <c r="F69" t="str">
        <v>Zomerstage 2026 (Blankenberge)</v>
      </c>
      <c r="G69" t="str">
        <v>Speler</v>
      </c>
      <c r="J69" t="str">
        <f>Worksheet!C69&amp;" "&amp;Worksheet!B69</f>
        <v>Lise Braem</v>
      </c>
      <c r="K69" t="str">
        <f>Worksheet!AM69</f>
        <v>Braem.lise@gmail.com</v>
      </c>
      <c r="L69" t="str">
        <f>Worksheet!AN69</f>
        <v/>
      </c>
      <c r="M69" t="str">
        <f>IF(Worksheet!AE69="","",Worksheet!AE69)</f>
        <v>https://app.twizzit.com/public/photos/2182526/s/a821912bbd87d29337fbfbb0be2e91298bc55869.jpeg</v>
      </c>
      <c r="N69">
        <f>IF(Worksheet!AG69="","",Worksheet!AG69)</f>
        <v>706640</v>
      </c>
      <c r="O69" t="str">
        <f>IF(Worksheet!AJ69="","",Worksheet!AJ69)</f>
        <v>Zomerstage 2026 (Blankenberge)</v>
      </c>
      <c r="P69" t="str">
        <f>IF(Worksheet!AK69="","",Worksheet!AK69)</f>
        <v>Speler</v>
      </c>
    </row>
    <row r="70" spans="1:16" x14ac:dyDescent="0.3">
      <c r="A70" t="str">
        <v>Alice Cokelaere</v>
      </c>
      <c r="B70" t="str">
        <v>sofie.pattyn@telenet.be</v>
      </c>
      <c r="C70" t="str">
        <v>+32477681738</v>
      </c>
      <c r="D70" t="str">
        <v/>
      </c>
      <c r="E70" s="2">
        <v>669074</v>
      </c>
      <c r="F70" t="str">
        <v>M19 A Haantjes CERTIFISC Oudenaarde</v>
      </c>
      <c r="G70" t="str">
        <v>Speler</v>
      </c>
      <c r="J70" t="str">
        <f>Worksheet!C70&amp;" "&amp;Worksheet!B70</f>
        <v>Lise Braem</v>
      </c>
      <c r="K70" t="str">
        <f>Worksheet!AM70</f>
        <v>Braem.lise@gmail.com</v>
      </c>
      <c r="L70" t="str">
        <f>Worksheet!AN70</f>
        <v/>
      </c>
      <c r="M70" t="str">
        <f>IF(Worksheet!AE70="","",Worksheet!AE70)</f>
        <v>https://app.twizzit.com/public/photos/2182526/s/a821912bbd87d29337fbfbb0be2e91298bc55869.jpeg</v>
      </c>
      <c r="N70">
        <f>IF(Worksheet!AG70="","",Worksheet!AG70)</f>
        <v>706640</v>
      </c>
      <c r="O70" t="str">
        <f>IF(Worksheet!AJ70="","",Worksheet!AJ70)</f>
        <v>M19 A Haantjes CERTIFISC Oudenaarde</v>
      </c>
      <c r="P70" t="str">
        <f>IF(Worksheet!AK70="","",Worksheet!AK70)</f>
        <v>Speler</v>
      </c>
    </row>
    <row r="71" spans="1:16" x14ac:dyDescent="0.3">
      <c r="A71" t="str">
        <v>Jules Cokelaere</v>
      </c>
      <c r="B71" t="str">
        <v/>
      </c>
      <c r="C71" t="str">
        <v>+32477681738</v>
      </c>
      <c r="D71" t="str">
        <v/>
      </c>
      <c r="E71" s="2" t="str">
        <v/>
      </c>
      <c r="F71" t="str">
        <v>HSE  C Haantjes Certifisc Oudenaarde</v>
      </c>
      <c r="G71" t="str">
        <v>Speler</v>
      </c>
      <c r="J71" t="str">
        <f>Worksheet!C71&amp;" "&amp;Worksheet!B71</f>
        <v>Florean Bruyland</v>
      </c>
      <c r="K71" t="str">
        <f>Worksheet!AM71</f>
        <v/>
      </c>
      <c r="L71" t="str">
        <f>Worksheet!AN71</f>
        <v>+32476263407</v>
      </c>
      <c r="M71" t="str">
        <f>IF(Worksheet!AE71="","",Worksheet!AE71)</f>
        <v>https://app.twizzit.com/public/photos/2182531/s/a96a35504a45f2aa6d5205a67f03e56978acf0e6.png</v>
      </c>
      <c r="N71">
        <f>IF(Worksheet!AG71="","",Worksheet!AG71)</f>
        <v>733505</v>
      </c>
      <c r="O71" t="str">
        <f>IF(Worksheet!AJ71="","",Worksheet!AJ71)</f>
        <v/>
      </c>
      <c r="P71" t="str">
        <f>IF(Worksheet!AK71="","",Worksheet!AK71)</f>
        <v/>
      </c>
    </row>
    <row r="72" spans="1:16" x14ac:dyDescent="0.3">
      <c r="A72" t="str">
        <v>Nand Colpaert</v>
      </c>
      <c r="B72" t="str">
        <v>stijn.colpaert@telenet.be</v>
      </c>
      <c r="C72" t="str">
        <v>+32497216213</v>
      </c>
      <c r="D72" t="str">
        <v/>
      </c>
      <c r="E72" s="2" t="str">
        <v/>
      </c>
      <c r="F72" t="str">
        <v>G10 Geel HAANTJES CERTIFISC OUDENAARDE</v>
      </c>
      <c r="G72" t="str">
        <v>Speler</v>
      </c>
      <c r="J72" t="str">
        <f>Worksheet!C72&amp;" "&amp;Worksheet!B72</f>
        <v>Kobe Bruyneel</v>
      </c>
      <c r="K72" t="str">
        <f>Worksheet!AM72</f>
        <v>brambruyneel@gmail.com</v>
      </c>
      <c r="L72" t="str">
        <f>Worksheet!AN72</f>
        <v>+32477986896</v>
      </c>
      <c r="M72" t="str">
        <f>IF(Worksheet!AE72="","",Worksheet!AE72)</f>
        <v/>
      </c>
      <c r="N72">
        <f>IF(Worksheet!AG72="","",Worksheet!AG72)</f>
        <v>758520</v>
      </c>
      <c r="O72" t="str">
        <f>IF(Worksheet!AJ72="","",Worksheet!AJ72)</f>
        <v/>
      </c>
      <c r="P72" t="str">
        <f>IF(Worksheet!AK72="","",Worksheet!AK72)</f>
        <v/>
      </c>
    </row>
    <row r="73" spans="1:16" x14ac:dyDescent="0.3">
      <c r="A73" t="str">
        <v>Luka Coryn</v>
      </c>
      <c r="B73" t="str">
        <v>luka.coryn@gmail.com</v>
      </c>
      <c r="C73" t="str">
        <v>+32471737015</v>
      </c>
      <c r="D73" t="str">
        <v/>
      </c>
      <c r="E73" s="2">
        <v>724313</v>
      </c>
      <c r="F73" t="str">
        <v>J21 A HAANTJES CERTIFISC OUDENAARDE</v>
      </c>
      <c r="G73" t="str">
        <v>Speler</v>
      </c>
      <c r="J73" t="str">
        <f>Worksheet!C73&amp;" "&amp;Worksheet!B73</f>
        <v>Aishatu Lieve Buadee</v>
      </c>
      <c r="K73" t="str">
        <f>Worksheet!AM73</f>
        <v/>
      </c>
      <c r="L73" t="str">
        <f>Worksheet!AN73</f>
        <v>+32496745543</v>
      </c>
      <c r="M73" t="str">
        <f>IF(Worksheet!AE73="","",Worksheet!AE73)</f>
        <v/>
      </c>
      <c r="N73" t="str">
        <f>IF(Worksheet!AG73="","",Worksheet!AG73)</f>
        <v/>
      </c>
      <c r="O73" t="str">
        <f>IF(Worksheet!AJ73="","",Worksheet!AJ73)</f>
        <v>DSE A Haantjes Certifisc Oudenaarde</v>
      </c>
      <c r="P73" t="str">
        <f>IF(Worksheet!AK73="","",Worksheet!AK73)</f>
        <v>Speler</v>
      </c>
    </row>
    <row r="74" spans="1:16" x14ac:dyDescent="0.3">
      <c r="A74" t="str">
        <v>Niklas Creteur</v>
      </c>
      <c r="B74" t="str">
        <v/>
      </c>
      <c r="C74" t="str">
        <v>+32496211659</v>
      </c>
      <c r="D74" t="str">
        <v/>
      </c>
      <c r="E74" s="2">
        <v>734418</v>
      </c>
      <c r="F74" t="str">
        <v>G14 B Haantjes CERTIFISC Oudenaarde</v>
      </c>
      <c r="G74" t="str">
        <v>Speler</v>
      </c>
      <c r="J74" t="str">
        <f>Worksheet!C74&amp;" "&amp;Worksheet!B74</f>
        <v>Eva Buckens</v>
      </c>
      <c r="K74" t="str">
        <f>Worksheet!AM74</f>
        <v/>
      </c>
      <c r="L74" t="str">
        <f>Worksheet!AN74</f>
        <v/>
      </c>
      <c r="M74" t="str">
        <f>IF(Worksheet!AE74="","",Worksheet!AE74)</f>
        <v/>
      </c>
      <c r="N74" t="str">
        <f>IF(Worksheet!AG74="","",Worksheet!AG74)</f>
        <v/>
      </c>
      <c r="O74" t="str">
        <f>IF(Worksheet!AJ74="","",Worksheet!AJ74)</f>
        <v/>
      </c>
      <c r="P74" t="str">
        <f>IF(Worksheet!AK74="","",Worksheet!AK74)</f>
        <v/>
      </c>
    </row>
    <row r="75" spans="1:16" x14ac:dyDescent="0.3">
      <c r="A75" t="str">
        <v>Tanguy Creteur</v>
      </c>
      <c r="B75" t="str">
        <v>david@credelec.be</v>
      </c>
      <c r="C75" t="str">
        <v>+32470535338</v>
      </c>
      <c r="D75" t="str">
        <v/>
      </c>
      <c r="E75" s="2">
        <v>737982</v>
      </c>
      <c r="F75" t="str">
        <v>J21 A HAANTJES CERTIFISC OUDENAARDE</v>
      </c>
      <c r="G75" t="str">
        <v>Speler</v>
      </c>
      <c r="J75" t="str">
        <f>Worksheet!C75&amp;" "&amp;Worksheet!B75</f>
        <v>Matisse Buda Meirlaen</v>
      </c>
      <c r="K75" t="str">
        <f>Worksheet!AM75</f>
        <v/>
      </c>
      <c r="L75" t="str">
        <f>Worksheet!AN75</f>
        <v>+32490467800</v>
      </c>
      <c r="M75" t="str">
        <f>IF(Worksheet!AE75="","",Worksheet!AE75)</f>
        <v>https://app.twizzit.com/public/photos/7666112/s/28beee7a2b02560648d49ec2140a1cc079666b2a.png</v>
      </c>
      <c r="N75" t="str">
        <f>IF(Worksheet!AG75="","",Worksheet!AG75)</f>
        <v/>
      </c>
      <c r="O75" t="str">
        <f>IF(Worksheet!AJ75="","",Worksheet!AJ75)</f>
        <v>G14 B Haantjes CERTIFISC Oudenaarde</v>
      </c>
      <c r="P75" t="str">
        <f>IF(Worksheet!AK75="","",Worksheet!AK75)</f>
        <v>Speler</v>
      </c>
    </row>
    <row r="76" spans="1:16" x14ac:dyDescent="0.3">
      <c r="A76" t="str">
        <v>Arthur Crombez</v>
      </c>
      <c r="B76" t="str">
        <v/>
      </c>
      <c r="C76" t="str">
        <v>+32478792675</v>
      </c>
      <c r="D76" t="str">
        <v>https://app.twizzit.com/public/photos/7501921/s/cda3c2c21188914d3908db110c011be3c8f5a13d.png</v>
      </c>
      <c r="E76" s="2" t="str">
        <v/>
      </c>
      <c r="F76" t="str">
        <v>G10 Blauw HAANTJES CERTIFISC OUDENAARDE</v>
      </c>
      <c r="G76" t="str">
        <v>Speler</v>
      </c>
      <c r="J76" t="str">
        <f>Worksheet!C76&amp;" "&amp;Worksheet!B76</f>
        <v>Dylann Bufkens</v>
      </c>
      <c r="K76" t="str">
        <f>Worksheet!AM76</f>
        <v/>
      </c>
      <c r="L76" t="str">
        <f>Worksheet!AN76</f>
        <v>+32493561486</v>
      </c>
      <c r="M76" t="str">
        <f>IF(Worksheet!AE76="","",Worksheet!AE76)</f>
        <v/>
      </c>
      <c r="N76">
        <f>IF(Worksheet!AG76="","",Worksheet!AG76)</f>
        <v>638804</v>
      </c>
      <c r="O76" t="str">
        <f>IF(Worksheet!AJ76="","",Worksheet!AJ76)</f>
        <v>J18 B Haantjes CERTIFISC Oudenaarde</v>
      </c>
      <c r="P76" t="str">
        <f>IF(Worksheet!AK76="","",Worksheet!AK76)</f>
        <v>Coach</v>
      </c>
    </row>
    <row r="77" spans="1:16" x14ac:dyDescent="0.3">
      <c r="A77" t="str">
        <v>Ella-Marie Crombez</v>
      </c>
      <c r="B77" t="str">
        <v>Tom.crombez@gmail.com</v>
      </c>
      <c r="C77" t="str">
        <v>+32474828659</v>
      </c>
      <c r="D77" t="str">
        <v/>
      </c>
      <c r="E77" s="2" t="str">
        <v/>
      </c>
      <c r="F77" t="str">
        <v>M14 A Haantjes CERTIFISC  Oudenaarde</v>
      </c>
      <c r="G77" t="str">
        <v>Speler</v>
      </c>
      <c r="J77" t="str">
        <f>Worksheet!C77&amp;" "&amp;Worksheet!B77</f>
        <v>Dylann Bufkens</v>
      </c>
      <c r="K77" t="str">
        <f>Worksheet!AM77</f>
        <v/>
      </c>
      <c r="L77" t="str">
        <f>Worksheet!AN77</f>
        <v>+32493561486</v>
      </c>
      <c r="M77" t="str">
        <f>IF(Worksheet!AE77="","",Worksheet!AE77)</f>
        <v/>
      </c>
      <c r="N77">
        <f>IF(Worksheet!AG77="","",Worksheet!AG77)</f>
        <v>638804</v>
      </c>
      <c r="O77" t="str">
        <f>IF(Worksheet!AJ77="","",Worksheet!AJ77)</f>
        <v>HSE B Haantjes Certifisc Oudenaarde</v>
      </c>
      <c r="P77" t="str">
        <f>IF(Worksheet!AK77="","",Worksheet!AK77)</f>
        <v>Speler</v>
      </c>
    </row>
    <row r="78" spans="1:16" x14ac:dyDescent="0.3">
      <c r="A78" t="str">
        <v>Mathis Cromheeke</v>
      </c>
      <c r="B78" t="str">
        <v/>
      </c>
      <c r="C78" t="str">
        <v/>
      </c>
      <c r="D78" t="str">
        <v/>
      </c>
      <c r="E78" s="2">
        <v>715872</v>
      </c>
      <c r="F78" t="str">
        <v>J18 B Haantjes CERTIFISC Oudenaarde</v>
      </c>
      <c r="G78" t="str">
        <v>Speler</v>
      </c>
      <c r="J78" t="str">
        <f>Worksheet!C78&amp;" "&amp;Worksheet!B78</f>
        <v>Liam Bufkens</v>
      </c>
      <c r="K78" t="str">
        <f>Worksheet!AM78</f>
        <v>vanbael_ijlie@hotmail.com</v>
      </c>
      <c r="L78" t="str">
        <f>Worksheet!AN78</f>
        <v/>
      </c>
      <c r="M78" t="str">
        <f>IF(Worksheet!AE78="","",Worksheet!AE78)</f>
        <v/>
      </c>
      <c r="N78">
        <f>IF(Worksheet!AG78="","",Worksheet!AG78)</f>
        <v>740183</v>
      </c>
      <c r="O78" t="str">
        <f>IF(Worksheet!AJ78="","",Worksheet!AJ78)</f>
        <v>J16 A Haantjes CERTIFISC Oudenaarde</v>
      </c>
      <c r="P78" t="str">
        <f>IF(Worksheet!AK78="","",Worksheet!AK78)</f>
        <v>Speler</v>
      </c>
    </row>
    <row r="79" spans="1:16" x14ac:dyDescent="0.3">
      <c r="A79" t="str">
        <v>Sofian D'Haenen</v>
      </c>
      <c r="B79" t="str">
        <v/>
      </c>
      <c r="C79" t="str">
        <v/>
      </c>
      <c r="D79" t="str">
        <v/>
      </c>
      <c r="E79" s="2" t="str">
        <v/>
      </c>
      <c r="F79" t="str">
        <v>J18 A Haantjes CERTIFISC Oudenaarde</v>
      </c>
      <c r="G79" t="str">
        <v>Speler</v>
      </c>
      <c r="J79" t="str">
        <f>Worksheet!C79&amp;" "&amp;Worksheet!B79</f>
        <v>Iris Calewaert</v>
      </c>
      <c r="K79" t="str">
        <f>Worksheet!AM79</f>
        <v/>
      </c>
      <c r="L79" t="str">
        <f>Worksheet!AN79</f>
        <v>+32479373164</v>
      </c>
      <c r="M79" t="str">
        <f>IF(Worksheet!AE79="","",Worksheet!AE79)</f>
        <v/>
      </c>
      <c r="N79">
        <f>IF(Worksheet!AG79="","",Worksheet!AG79)</f>
        <v>622248</v>
      </c>
      <c r="O79" t="str">
        <f>IF(Worksheet!AJ79="","",Worksheet!AJ79)</f>
        <v>DSE A Haantjes Certifisc Oudenaarde</v>
      </c>
      <c r="P79" t="str">
        <f>IF(Worksheet!AK79="","",Worksheet!AK79)</f>
        <v>Speler</v>
      </c>
    </row>
    <row r="80" spans="1:16" x14ac:dyDescent="0.3">
      <c r="A80" t="str">
        <v>Sofian D'Haenen</v>
      </c>
      <c r="B80" t="str">
        <v/>
      </c>
      <c r="C80" t="str">
        <v/>
      </c>
      <c r="D80" t="str">
        <v/>
      </c>
      <c r="E80" s="2" t="str">
        <v/>
      </c>
      <c r="F80" t="str">
        <v>Zomerstage 2026 (Blankenberge)</v>
      </c>
      <c r="G80" t="str">
        <v>Speler</v>
      </c>
      <c r="J80" t="str">
        <f>Worksheet!C80&amp;" "&amp;Worksheet!B80</f>
        <v>Iris Calewaert</v>
      </c>
      <c r="K80" t="str">
        <f>Worksheet!AM80</f>
        <v/>
      </c>
      <c r="L80" t="str">
        <f>Worksheet!AN80</f>
        <v>+32479373164</v>
      </c>
      <c r="M80" t="str">
        <f>IF(Worksheet!AE80="","",Worksheet!AE80)</f>
        <v/>
      </c>
      <c r="N80">
        <f>IF(Worksheet!AG80="","",Worksheet!AG80)</f>
        <v>622248</v>
      </c>
      <c r="O80" t="str">
        <f>IF(Worksheet!AJ80="","",Worksheet!AJ80)</f>
        <v>M12 A HAANTJES CERTIFISC OUDENAARDE</v>
      </c>
      <c r="P80" t="str">
        <f>IF(Worksheet!AK80="","",Worksheet!AK80)</f>
        <v>Coach</v>
      </c>
    </row>
    <row r="81" spans="1:16" x14ac:dyDescent="0.3">
      <c r="A81" t="str">
        <v>Sofian D'Haenen</v>
      </c>
      <c r="B81" t="str">
        <v/>
      </c>
      <c r="C81" t="str">
        <v/>
      </c>
      <c r="D81" t="str">
        <v/>
      </c>
      <c r="E81" s="2" t="str">
        <v/>
      </c>
      <c r="F81" t="str">
        <v>HSE B Haantjes Certifisc Oudenaarde</v>
      </c>
      <c r="G81" t="str">
        <v>Speler</v>
      </c>
      <c r="J81" t="str">
        <f>Worksheet!C81&amp;" "&amp;Worksheet!B81</f>
        <v>Louise Callens</v>
      </c>
      <c r="K81" t="str">
        <f>Worksheet!AM81</f>
        <v>koencallens@msn.com</v>
      </c>
      <c r="L81" t="str">
        <f>Worksheet!AN81</f>
        <v>+32478885199</v>
      </c>
      <c r="M81" t="str">
        <f>IF(Worksheet!AE81="","",Worksheet!AE81)</f>
        <v/>
      </c>
      <c r="N81" t="str">
        <f>IF(Worksheet!AG81="","",Worksheet!AG81)</f>
        <v/>
      </c>
      <c r="O81" t="str">
        <f>IF(Worksheet!AJ81="","",Worksheet!AJ81)</f>
        <v/>
      </c>
      <c r="P81" t="str">
        <f>IF(Worksheet!AK81="","",Worksheet!AK81)</f>
        <v/>
      </c>
    </row>
    <row r="82" spans="1:16" x14ac:dyDescent="0.3">
      <c r="A82" t="str">
        <v>Yunus D'Haenen</v>
      </c>
      <c r="B82" t="str">
        <v/>
      </c>
      <c r="C82" t="str">
        <v/>
      </c>
      <c r="D82" t="str">
        <v/>
      </c>
      <c r="E82" s="2" t="str">
        <v/>
      </c>
      <c r="F82" t="str">
        <v>J18 A Haantjes CERTIFISC Oudenaarde</v>
      </c>
      <c r="G82" t="str">
        <v>Speler</v>
      </c>
      <c r="J82" t="str">
        <f>Worksheet!C82&amp;" "&amp;Worksheet!B82</f>
        <v>Gabriël Camua</v>
      </c>
      <c r="K82" t="str">
        <f>Worksheet!AM82</f>
        <v/>
      </c>
      <c r="L82" t="str">
        <f>Worksheet!AN82</f>
        <v>+32475821346</v>
      </c>
      <c r="M82" t="str">
        <f>IF(Worksheet!AE82="","",Worksheet!AE82)</f>
        <v/>
      </c>
      <c r="N82" t="str">
        <f>IF(Worksheet!AG82="","",Worksheet!AG82)</f>
        <v/>
      </c>
      <c r="O82" t="str">
        <f>IF(Worksheet!AJ82="","",Worksheet!AJ82)</f>
        <v/>
      </c>
      <c r="P82" t="str">
        <f>IF(Worksheet!AK82="","",Worksheet!AK82)</f>
        <v/>
      </c>
    </row>
    <row r="83" spans="1:16" x14ac:dyDescent="0.3">
      <c r="A83" t="str">
        <v>Yunus D'Haenen</v>
      </c>
      <c r="B83" t="str">
        <v/>
      </c>
      <c r="C83" t="str">
        <v/>
      </c>
      <c r="D83" t="str">
        <v/>
      </c>
      <c r="E83" s="2" t="str">
        <v/>
      </c>
      <c r="F83" t="str">
        <v>Zomerstage 2026 (Blankenberge)</v>
      </c>
      <c r="G83" t="str">
        <v>Speler</v>
      </c>
      <c r="J83" t="str">
        <f>Worksheet!C83&amp;" "&amp;Worksheet!B83</f>
        <v>Thomas Cardon</v>
      </c>
      <c r="K83" t="str">
        <f>Worksheet!AM83</f>
        <v/>
      </c>
      <c r="L83" t="str">
        <f>Worksheet!AN83</f>
        <v/>
      </c>
      <c r="M83" t="str">
        <f>IF(Worksheet!AE83="","",Worksheet!AE83)</f>
        <v>https://app.twizzit.com/public/photos/2182541/s/ad278a1858d3fc927675b6581e22f467523759f0.png</v>
      </c>
      <c r="N83">
        <f>IF(Worksheet!AG83="","",Worksheet!AG83)</f>
        <v>726667</v>
      </c>
      <c r="O83" t="str">
        <f>IF(Worksheet!AJ83="","",Worksheet!AJ83)</f>
        <v/>
      </c>
      <c r="P83" t="str">
        <f>IF(Worksheet!AK83="","",Worksheet!AK83)</f>
        <v/>
      </c>
    </row>
    <row r="84" spans="1:16" x14ac:dyDescent="0.3">
      <c r="A84" t="str">
        <v>Karen Dans</v>
      </c>
      <c r="B84" t="str">
        <v/>
      </c>
      <c r="C84" t="str">
        <v>+32494698322</v>
      </c>
      <c r="D84" t="str">
        <v>https://app.twizzit.com/public/photos/2182586/s/3c061ecaa7eb60b4e8b27f2490fa3fff24778b0c.png</v>
      </c>
      <c r="E84" s="2">
        <v>220520</v>
      </c>
      <c r="F84" t="str">
        <v>DSE A Haantjes Certifisc Oudenaarde</v>
      </c>
      <c r="G84" t="str">
        <v>Speler</v>
      </c>
      <c r="J84" t="str">
        <f>Worksheet!C84&amp;" "&amp;Worksheet!B84</f>
        <v>Cézan Castelain</v>
      </c>
      <c r="K84" t="str">
        <f>Worksheet!AM84</f>
        <v/>
      </c>
      <c r="L84" t="str">
        <f>Worksheet!AN84</f>
        <v>+32499418414</v>
      </c>
      <c r="M84" t="str">
        <f>IF(Worksheet!AE84="","",Worksheet!AE84)</f>
        <v/>
      </c>
      <c r="N84">
        <f>IF(Worksheet!AG84="","",Worksheet!AG84)</f>
        <v>739375</v>
      </c>
      <c r="O84" t="str">
        <f>IF(Worksheet!AJ84="","",Worksheet!AJ84)</f>
        <v/>
      </c>
      <c r="P84" t="str">
        <f>IF(Worksheet!AK84="","",Worksheet!AK84)</f>
        <v/>
      </c>
    </row>
    <row r="85" spans="1:16" x14ac:dyDescent="0.3">
      <c r="A85" t="str">
        <v>Karen Dans</v>
      </c>
      <c r="B85" t="str">
        <v/>
      </c>
      <c r="C85" t="str">
        <v>+32494698322</v>
      </c>
      <c r="D85" t="str">
        <v>https://app.twizzit.com/public/photos/2182586/s/3c061ecaa7eb60b4e8b27f2490fa3fff24778b0c.png</v>
      </c>
      <c r="E85" s="2">
        <v>220520</v>
      </c>
      <c r="F85" t="str">
        <v>M10 HAANTJES CERTIFISC OUDENAARDE</v>
      </c>
      <c r="G85" t="str">
        <v>Coach</v>
      </c>
      <c r="J85" t="str">
        <f>Worksheet!C85&amp;" "&amp;Worksheet!B85</f>
        <v>Feliz Castelain</v>
      </c>
      <c r="K85" t="str">
        <f>Worksheet!AM85</f>
        <v/>
      </c>
      <c r="L85" t="str">
        <f>Worksheet!AN85</f>
        <v>+32499418414</v>
      </c>
      <c r="M85" t="str">
        <f>IF(Worksheet!AE85="","",Worksheet!AE85)</f>
        <v>https://app.twizzit.com/public/photos/2182546/s/9bde50d70ec897c3545fc312ea9113a20df6bb57.jpeg</v>
      </c>
      <c r="N85">
        <f>IF(Worksheet!AG85="","",Worksheet!AG85)</f>
        <v>730457</v>
      </c>
      <c r="O85" t="str">
        <f>IF(Worksheet!AJ85="","",Worksheet!AJ85)</f>
        <v/>
      </c>
      <c r="P85" t="str">
        <f>IF(Worksheet!AK85="","",Worksheet!AK85)</f>
        <v/>
      </c>
    </row>
    <row r="86" spans="1:16" x14ac:dyDescent="0.3">
      <c r="A86" t="str">
        <v>Mauro Darragas</v>
      </c>
      <c r="B86" t="str">
        <v>Ben_darragas@hotmail.com</v>
      </c>
      <c r="C86" t="str">
        <v>+32473628241</v>
      </c>
      <c r="D86" t="str">
        <v/>
      </c>
      <c r="E86" s="2" t="str">
        <v/>
      </c>
      <c r="F86" t="str">
        <v>G14 B Haantjes CERTIFISC Oudenaarde</v>
      </c>
      <c r="G86" t="str">
        <v>Speler</v>
      </c>
      <c r="J86" t="str">
        <f>Worksheet!C86&amp;" "&amp;Worksheet!B86</f>
        <v>Jonas Castelain</v>
      </c>
      <c r="K86" t="str">
        <f>Worksheet!AM86</f>
        <v/>
      </c>
      <c r="L86" t="str">
        <f>Worksheet!AN86</f>
        <v>+32495228616</v>
      </c>
      <c r="M86" t="str">
        <f>IF(Worksheet!AE86="","",Worksheet!AE86)</f>
        <v>https://app.twizzit.com/public/photos/4076852/s/61b60ceb37e0ad4e63ab95460de787c3e165b233.png</v>
      </c>
      <c r="N86">
        <f>IF(Worksheet!AG86="","",Worksheet!AG86)</f>
        <v>222444</v>
      </c>
      <c r="O86" t="str">
        <f>IF(Worksheet!AJ86="","",Worksheet!AJ86)</f>
        <v/>
      </c>
      <c r="P86" t="str">
        <f>IF(Worksheet!AK86="","",Worksheet!AK86)</f>
        <v/>
      </c>
    </row>
    <row r="87" spans="1:16" x14ac:dyDescent="0.3">
      <c r="A87" t="str">
        <v>Pip Dawyndt</v>
      </c>
      <c r="B87" t="str">
        <v/>
      </c>
      <c r="C87" t="str">
        <v>+32473746819</v>
      </c>
      <c r="D87" t="str">
        <v/>
      </c>
      <c r="E87" s="2">
        <v>745355</v>
      </c>
      <c r="F87" t="str">
        <v>M16 A Haantjes CERTIFISC  Oudenaarde</v>
      </c>
      <c r="G87" t="str">
        <v>Speler</v>
      </c>
      <c r="J87" t="str">
        <f>Worksheet!C87&amp;" "&amp;Worksheet!B87</f>
        <v>Leon Castelain</v>
      </c>
      <c r="K87" t="str">
        <f>Worksheet!AM87</f>
        <v/>
      </c>
      <c r="L87" t="str">
        <f>Worksheet!AN87</f>
        <v>+32495228616</v>
      </c>
      <c r="M87" t="str">
        <f>IF(Worksheet!AE87="","",Worksheet!AE87)</f>
        <v>https://app.twizzit.com/public/photos/3486565/s/dbc5287e080bfa9acd16205b0ef6339800e0ffb6.png</v>
      </c>
      <c r="N87" t="str">
        <f>IF(Worksheet!AG87="","",Worksheet!AG87)</f>
        <v xml:space="preserve">762623 </v>
      </c>
      <c r="O87" t="str">
        <f>IF(Worksheet!AJ87="","",Worksheet!AJ87)</f>
        <v>G10 Geel HAANTJES CERTIFISC OUDENAARDE</v>
      </c>
      <c r="P87" t="str">
        <f>IF(Worksheet!AK87="","",Worksheet!AK87)</f>
        <v>Speler</v>
      </c>
    </row>
    <row r="88" spans="1:16" x14ac:dyDescent="0.3">
      <c r="A88" t="str">
        <v>Pip Dawyndt</v>
      </c>
      <c r="B88" t="str">
        <v/>
      </c>
      <c r="C88" t="str">
        <v>+32473746819</v>
      </c>
      <c r="D88" t="str">
        <v/>
      </c>
      <c r="E88" s="2">
        <v>745355</v>
      </c>
      <c r="F88" t="str">
        <v>Zomerstage 2026 (Blankenberge)</v>
      </c>
      <c r="G88" t="str">
        <v>Speler</v>
      </c>
      <c r="J88" t="str">
        <f>Worksheet!C88&amp;" "&amp;Worksheet!B88</f>
        <v>Leon Castelain</v>
      </c>
      <c r="K88" t="str">
        <f>Worksheet!AM88</f>
        <v/>
      </c>
      <c r="L88" t="str">
        <f>Worksheet!AN88</f>
        <v>+32495228616</v>
      </c>
      <c r="M88" t="str">
        <f>IF(Worksheet!AE88="","",Worksheet!AE88)</f>
        <v>https://app.twizzit.com/public/photos/3486565/s/dbc5287e080bfa9acd16205b0ef6339800e0ffb6.png</v>
      </c>
      <c r="N88" t="str">
        <f>IF(Worksheet!AG88="","",Worksheet!AG88)</f>
        <v xml:space="preserve">762623 </v>
      </c>
      <c r="O88" t="str">
        <f>IF(Worksheet!AJ88="","",Worksheet!AJ88)</f>
        <v>Zomerstage 2026 U10 &amp; U12 (Oudenaarde)</v>
      </c>
      <c r="P88" t="str">
        <f>IF(Worksheet!AK88="","",Worksheet!AK88)</f>
        <v>Speler</v>
      </c>
    </row>
    <row r="89" spans="1:16" x14ac:dyDescent="0.3">
      <c r="A89" t="str">
        <v>Louis De Baere</v>
      </c>
      <c r="B89" t="str">
        <v/>
      </c>
      <c r="C89" t="str">
        <v>+32491029558</v>
      </c>
      <c r="D89" t="str">
        <v/>
      </c>
      <c r="E89" s="2" t="str">
        <v/>
      </c>
      <c r="F89" t="str">
        <v>HSE  C Haantjes Certifisc Oudenaarde</v>
      </c>
      <c r="G89" t="str">
        <v>Speler</v>
      </c>
      <c r="J89" t="str">
        <f>Worksheet!C89&amp;" "&amp;Worksheet!B89</f>
        <v>Odet Castelain</v>
      </c>
      <c r="K89" t="str">
        <f>Worksheet!AM89</f>
        <v>evelyn.demesel@hotmail.be</v>
      </c>
      <c r="L89" t="str">
        <f>Worksheet!AN89</f>
        <v>+32495228616</v>
      </c>
      <c r="M89" t="str">
        <f>IF(Worksheet!AE89="","",Worksheet!AE89)</f>
        <v/>
      </c>
      <c r="N89" t="str">
        <f>IF(Worksheet!AG89="","",Worksheet!AG89)</f>
        <v/>
      </c>
      <c r="O89" t="str">
        <f>IF(Worksheet!AJ89="","",Worksheet!AJ89)</f>
        <v>Balschool U6</v>
      </c>
      <c r="P89" t="str">
        <f>IF(Worksheet!AK89="","",Worksheet!AK89)</f>
        <v>Speler</v>
      </c>
    </row>
    <row r="90" spans="1:16" x14ac:dyDescent="0.3">
      <c r="A90" t="str">
        <v>David De Brabander</v>
      </c>
      <c r="B90" t="str">
        <v/>
      </c>
      <c r="C90" t="str">
        <v>+32478251758</v>
      </c>
      <c r="D90" t="str">
        <v>https://app.twizzit.com/public/photos/4024795/s/7af12ff114d5d53515b4f220ddc6cdb6ff121519.png</v>
      </c>
      <c r="E90" s="2">
        <v>32746</v>
      </c>
      <c r="F90" t="str">
        <v>J21 A HAANTJES CERTIFISC OUDENAARDE</v>
      </c>
      <c r="G90" t="str">
        <v>Coach</v>
      </c>
      <c r="J90" t="str">
        <f>Worksheet!C90&amp;" "&amp;Worksheet!B90</f>
        <v>Simon Castelain</v>
      </c>
      <c r="K90" t="str">
        <f>Worksheet!AM90</f>
        <v/>
      </c>
      <c r="L90" t="str">
        <f>Worksheet!AN90</f>
        <v/>
      </c>
      <c r="M90" t="str">
        <f>IF(Worksheet!AE90="","",Worksheet!AE90)</f>
        <v/>
      </c>
      <c r="N90">
        <f>IF(Worksheet!AG90="","",Worksheet!AG90)</f>
        <v>20587</v>
      </c>
      <c r="O90" t="str">
        <f>IF(Worksheet!AJ90="","",Worksheet!AJ90)</f>
        <v/>
      </c>
      <c r="P90" t="str">
        <f>IF(Worksheet!AK90="","",Worksheet!AK90)</f>
        <v/>
      </c>
    </row>
    <row r="91" spans="1:16" x14ac:dyDescent="0.3">
      <c r="A91" t="str">
        <v>David De Brabander</v>
      </c>
      <c r="B91" t="str">
        <v/>
      </c>
      <c r="C91" t="str">
        <v>+32478251758</v>
      </c>
      <c r="D91" t="str">
        <v>https://app.twizzit.com/public/photos/4024795/s/7af12ff114d5d53515b4f220ddc6cdb6ff121519.png</v>
      </c>
      <c r="E91" s="2">
        <v>32746</v>
      </c>
      <c r="F91" t="str">
        <v>Zomerstage 2026 (Blankenberge)</v>
      </c>
      <c r="G91" t="str">
        <v>Coach</v>
      </c>
      <c r="J91" t="str">
        <f>Worksheet!C91&amp;" "&amp;Worksheet!B91</f>
        <v>Bart Cattoir</v>
      </c>
      <c r="K91" t="str">
        <f>Worksheet!AM91</f>
        <v/>
      </c>
      <c r="L91" t="str">
        <f>Worksheet!AN91</f>
        <v>+32499214775</v>
      </c>
      <c r="M91" t="str">
        <f>IF(Worksheet!AE91="","",Worksheet!AE91)</f>
        <v/>
      </c>
      <c r="N91">
        <f>IF(Worksheet!AG91="","",Worksheet!AG91)</f>
        <v>20854</v>
      </c>
      <c r="O91" t="str">
        <f>IF(Worksheet!AJ91="","",Worksheet!AJ91)</f>
        <v>DSE A Haantjes Certifisc Oudenaarde</v>
      </c>
      <c r="P91" t="str">
        <f>IF(Worksheet!AK91="","",Worksheet!AK91)</f>
        <v>Coach</v>
      </c>
    </row>
    <row r="92" spans="1:16" x14ac:dyDescent="0.3">
      <c r="A92" t="str">
        <v>David De Brabander</v>
      </c>
      <c r="B92" t="str">
        <v/>
      </c>
      <c r="C92" t="str">
        <v>+32478251758</v>
      </c>
      <c r="D92" t="str">
        <v>https://app.twizzit.com/public/photos/4024795/s/7af12ff114d5d53515b4f220ddc6cdb6ff121519.png</v>
      </c>
      <c r="E92" s="2">
        <v>32746</v>
      </c>
      <c r="F92" t="str">
        <v>HSE B Haantjes Certifisc Oudenaarde</v>
      </c>
      <c r="G92" t="str">
        <v>Coach</v>
      </c>
      <c r="J92" t="str">
        <f>Worksheet!C92&amp;" "&amp;Worksheet!B92</f>
        <v>Jonah Cattoir</v>
      </c>
      <c r="K92" t="str">
        <f>Worksheet!AM92</f>
        <v/>
      </c>
      <c r="L92" t="str">
        <f>Worksheet!AN92</f>
        <v/>
      </c>
      <c r="M92" t="str">
        <f>IF(Worksheet!AE92="","",Worksheet!AE92)</f>
        <v/>
      </c>
      <c r="N92" t="str">
        <f>IF(Worksheet!AG92="","",Worksheet!AG92)</f>
        <v/>
      </c>
      <c r="O92" t="str">
        <f>IF(Worksheet!AJ92="","",Worksheet!AJ92)</f>
        <v>G08 Geel HAANTJES CERTIFISC OUDENAARDE</v>
      </c>
      <c r="P92" t="str">
        <f>IF(Worksheet!AK92="","",Worksheet!AK92)</f>
        <v>Coach</v>
      </c>
    </row>
    <row r="93" spans="1:16" x14ac:dyDescent="0.3">
      <c r="A93" t="str">
        <v>David De Brabander</v>
      </c>
      <c r="B93" t="str">
        <v/>
      </c>
      <c r="C93" t="str">
        <v>+32478251758</v>
      </c>
      <c r="D93" t="str">
        <v>https://app.twizzit.com/public/photos/4024795/s/7af12ff114d5d53515b4f220ddc6cdb6ff121519.png</v>
      </c>
      <c r="E93" s="2">
        <v>32746</v>
      </c>
      <c r="F93" t="str">
        <v>J18 A Haantjes CERTIFISC Oudenaarde</v>
      </c>
      <c r="G93" t="str">
        <v>Coach</v>
      </c>
      <c r="J93" t="str">
        <f>Worksheet!C93&amp;" "&amp;Worksheet!B93</f>
        <v>Jonah Cattoir</v>
      </c>
      <c r="K93" t="str">
        <f>Worksheet!AM93</f>
        <v/>
      </c>
      <c r="L93" t="str">
        <f>Worksheet!AN93</f>
        <v/>
      </c>
      <c r="M93" t="str">
        <f>IF(Worksheet!AE93="","",Worksheet!AE93)</f>
        <v/>
      </c>
      <c r="N93" t="str">
        <f>IF(Worksheet!AG93="","",Worksheet!AG93)</f>
        <v/>
      </c>
      <c r="O93" t="str">
        <f>IF(Worksheet!AJ93="","",Worksheet!AJ93)</f>
        <v>J16 A Haantjes CERTIFISC Oudenaarde</v>
      </c>
      <c r="P93" t="str">
        <f>IF(Worksheet!AK93="","",Worksheet!AK93)</f>
        <v>Speler</v>
      </c>
    </row>
    <row r="94" spans="1:16" x14ac:dyDescent="0.3">
      <c r="A94" t="str">
        <v>Milan De Brabander</v>
      </c>
      <c r="B94" t="str">
        <v>de.brabander.david@telenet.be</v>
      </c>
      <c r="C94" t="str">
        <v>+32468348603</v>
      </c>
      <c r="D94" t="str">
        <v>https://app.twizzit.com/public/photos/3519915/s/cb4bbdba90c700302dcd9548901e284ce021df92.jpeg</v>
      </c>
      <c r="E94" s="2">
        <v>748910</v>
      </c>
      <c r="F94" t="str">
        <v>J18 A Haantjes CERTIFISC Oudenaarde</v>
      </c>
      <c r="G94" t="str">
        <v>Speler</v>
      </c>
      <c r="J94" t="str">
        <f>Worksheet!C94&amp;" "&amp;Worksheet!B94</f>
        <v>Jonah Cattoir</v>
      </c>
      <c r="K94" t="str">
        <f>Worksheet!AM94</f>
        <v/>
      </c>
      <c r="L94" t="str">
        <f>Worksheet!AN94</f>
        <v/>
      </c>
      <c r="M94" t="str">
        <f>IF(Worksheet!AE94="","",Worksheet!AE94)</f>
        <v/>
      </c>
      <c r="N94" t="str">
        <f>IF(Worksheet!AG94="","",Worksheet!AG94)</f>
        <v/>
      </c>
      <c r="O94" t="str">
        <f>IF(Worksheet!AJ94="","",Worksheet!AJ94)</f>
        <v>Zomerstage 2026 (Blankenberge)</v>
      </c>
      <c r="P94" t="str">
        <f>IF(Worksheet!AK94="","",Worksheet!AK94)</f>
        <v>Speler</v>
      </c>
    </row>
    <row r="95" spans="1:16" x14ac:dyDescent="0.3">
      <c r="A95" t="str">
        <v>Milan De Brabander</v>
      </c>
      <c r="B95" t="str">
        <v>de.brabander.david@telenet.be</v>
      </c>
      <c r="C95" t="str">
        <v>+32468348603</v>
      </c>
      <c r="D95" t="str">
        <v>https://app.twizzit.com/public/photos/3519915/s/cb4bbdba90c700302dcd9548901e284ce021df92.jpeg</v>
      </c>
      <c r="E95" s="2">
        <v>748910</v>
      </c>
      <c r="F95" t="str">
        <v>HSE B Haantjes Certifisc Oudenaarde</v>
      </c>
      <c r="G95" t="str">
        <v>Speler</v>
      </c>
      <c r="J95" t="str">
        <f>Worksheet!C95&amp;" "&amp;Worksheet!B95</f>
        <v>Lasse Cattoir</v>
      </c>
      <c r="K95" t="str">
        <f>Worksheet!AM95</f>
        <v/>
      </c>
      <c r="L95" t="str">
        <f>Worksheet!AN95</f>
        <v/>
      </c>
      <c r="M95" t="str">
        <f>IF(Worksheet!AE95="","",Worksheet!AE95)</f>
        <v>https://app.twizzit.com/public/photos/9522553/s/70d508b65eaba88af49f20bd545e119d36420c07.png</v>
      </c>
      <c r="N95" t="str">
        <f>IF(Worksheet!AG95="","",Worksheet!AG95)</f>
        <v/>
      </c>
      <c r="O95" t="str">
        <f>IF(Worksheet!AJ95="","",Worksheet!AJ95)</f>
        <v>G08 Geel HAANTJES CERTIFISC OUDENAARDE</v>
      </c>
      <c r="P95" t="str">
        <f>IF(Worksheet!AK95="","",Worksheet!AK95)</f>
        <v>Speler</v>
      </c>
    </row>
    <row r="96" spans="1:16" x14ac:dyDescent="0.3">
      <c r="A96" t="str">
        <v xml:space="preserve">Camiel De Clercq </v>
      </c>
      <c r="B96" t="str">
        <v/>
      </c>
      <c r="C96" t="str">
        <v>+32499129081</v>
      </c>
      <c r="D96" t="str">
        <v/>
      </c>
      <c r="E96" s="2" t="str">
        <v/>
      </c>
      <c r="F96" t="str">
        <v>HSE  C Haantjes Certifisc Oudenaarde</v>
      </c>
      <c r="G96" t="str">
        <v>Speler</v>
      </c>
      <c r="J96" t="str">
        <f>Worksheet!C96&amp;" "&amp;Worksheet!B96</f>
        <v>Lasse Cattoir</v>
      </c>
      <c r="K96" t="str">
        <f>Worksheet!AM96</f>
        <v/>
      </c>
      <c r="L96" t="str">
        <f>Worksheet!AN96</f>
        <v/>
      </c>
      <c r="M96" t="str">
        <f>IF(Worksheet!AE96="","",Worksheet!AE96)</f>
        <v>https://app.twizzit.com/public/photos/9522553/s/70d508b65eaba88af49f20bd545e119d36420c07.png</v>
      </c>
      <c r="N96" t="str">
        <f>IF(Worksheet!AG96="","",Worksheet!AG96)</f>
        <v/>
      </c>
      <c r="O96" t="str">
        <f>IF(Worksheet!AJ96="","",Worksheet!AJ96)</f>
        <v>Zomerstage 2026 U8 (Oudenaarde)</v>
      </c>
      <c r="P96" t="str">
        <f>IF(Worksheet!AK96="","",Worksheet!AK96)</f>
        <v>Speler</v>
      </c>
    </row>
    <row r="97" spans="1:16" x14ac:dyDescent="0.3">
      <c r="A97" t="str">
        <v>Mathieu De Clercq</v>
      </c>
      <c r="B97" t="str">
        <v/>
      </c>
      <c r="C97" t="str">
        <v>+32495786491</v>
      </c>
      <c r="D97" t="str">
        <v/>
      </c>
      <c r="E97" s="2">
        <v>600191</v>
      </c>
      <c r="F97" t="str">
        <v>HSE B Haantjes Certifisc Oudenaarde</v>
      </c>
      <c r="G97" t="str">
        <v>Speler</v>
      </c>
      <c r="J97" t="str">
        <f>Worksheet!C97&amp;" "&amp;Worksheet!B97</f>
        <v>Ahmed Chaouch</v>
      </c>
      <c r="K97" t="str">
        <f>Worksheet!AM97</f>
        <v/>
      </c>
      <c r="L97" t="str">
        <f>Worksheet!AN97</f>
        <v>+32498674854</v>
      </c>
      <c r="M97" t="str">
        <f>IF(Worksheet!AE97="","",Worksheet!AE97)</f>
        <v/>
      </c>
      <c r="N97">
        <f>IF(Worksheet!AG97="","",Worksheet!AG97)</f>
        <v>618749</v>
      </c>
      <c r="O97" t="str">
        <f>IF(Worksheet!AJ97="","",Worksheet!AJ97)</f>
        <v/>
      </c>
      <c r="P97" t="str">
        <f>IF(Worksheet!AK97="","",Worksheet!AK97)</f>
        <v/>
      </c>
    </row>
    <row r="98" spans="1:16" x14ac:dyDescent="0.3">
      <c r="A98" t="str">
        <v>Robbe De Clercq</v>
      </c>
      <c r="B98" t="str">
        <v/>
      </c>
      <c r="C98" t="str">
        <v/>
      </c>
      <c r="D98" t="str">
        <v/>
      </c>
      <c r="E98" s="2">
        <v>631328</v>
      </c>
      <c r="F98" t="str">
        <v>HSE  C Haantjes Certifisc Oudenaarde</v>
      </c>
      <c r="G98" t="str">
        <v>Speler</v>
      </c>
      <c r="J98" t="str">
        <f>Worksheet!C98&amp;" "&amp;Worksheet!B98</f>
        <v>Luca Christiaens</v>
      </c>
      <c r="K98" t="str">
        <f>Worksheet!AM98</f>
        <v>Christiaens.jan@skynet.be</v>
      </c>
      <c r="L98" t="str">
        <f>Worksheet!AN98</f>
        <v>+32475832685</v>
      </c>
      <c r="M98" t="str">
        <f>IF(Worksheet!AE98="","",Worksheet!AE98)</f>
        <v>https://app.twizzit.com/public/photos/6352973/s/e9e52d61f1e32c98f69949c0179e81da5763fe5f.png</v>
      </c>
      <c r="N98">
        <f>IF(Worksheet!AG98="","",Worksheet!AG98)</f>
        <v>736728</v>
      </c>
      <c r="O98" t="str">
        <f>IF(Worksheet!AJ98="","",Worksheet!AJ98)</f>
        <v/>
      </c>
      <c r="P98" t="str">
        <f>IF(Worksheet!AK98="","",Worksheet!AK98)</f>
        <v/>
      </c>
    </row>
    <row r="99" spans="1:16" x14ac:dyDescent="0.3">
      <c r="A99" t="str">
        <v>Tybe De Clercq</v>
      </c>
      <c r="B99" t="str">
        <v>freyadesmet@hotmail.com</v>
      </c>
      <c r="C99" t="str">
        <v>+32476214551</v>
      </c>
      <c r="D99" t="str">
        <v/>
      </c>
      <c r="E99" s="2" t="str">
        <v/>
      </c>
      <c r="F99" t="str">
        <v>G08 Blauw HAANTJES CERTIFISC OUDENAARDE</v>
      </c>
      <c r="G99" t="str">
        <v>Speler</v>
      </c>
      <c r="J99" t="str">
        <f>Worksheet!C99&amp;" "&amp;Worksheet!B99</f>
        <v>Arne Claes</v>
      </c>
      <c r="K99" t="str">
        <f>Worksheet!AM99</f>
        <v/>
      </c>
      <c r="L99" t="str">
        <f>Worksheet!AN99</f>
        <v/>
      </c>
      <c r="M99" t="str">
        <f>IF(Worksheet!AE99="","",Worksheet!AE99)</f>
        <v/>
      </c>
      <c r="N99">
        <f>IF(Worksheet!AG99="","",Worksheet!AG99)</f>
        <v>652122</v>
      </c>
      <c r="O99" t="str">
        <f>IF(Worksheet!AJ99="","",Worksheet!AJ99)</f>
        <v/>
      </c>
      <c r="P99" t="str">
        <f>IF(Worksheet!AK99="","",Worksheet!AK99)</f>
        <v/>
      </c>
    </row>
    <row r="100" spans="1:16" x14ac:dyDescent="0.3">
      <c r="A100" t="str">
        <v>Tybe De Clercq</v>
      </c>
      <c r="B100" t="str">
        <v>freyadesmet@hotmail.com</v>
      </c>
      <c r="C100" t="str">
        <v>+32476214551</v>
      </c>
      <c r="D100" t="str">
        <v/>
      </c>
      <c r="E100" s="2" t="str">
        <v/>
      </c>
      <c r="F100" t="str">
        <v>Zomerstage 2026 U8 (Oudenaarde)</v>
      </c>
      <c r="G100" t="str">
        <v>Speler</v>
      </c>
      <c r="J100" t="str">
        <f>Worksheet!C100&amp;" "&amp;Worksheet!B100</f>
        <v>Alice Cokelaere</v>
      </c>
      <c r="K100" t="str">
        <f>Worksheet!AM100</f>
        <v>sofie.pattyn@telenet.be</v>
      </c>
      <c r="L100" t="str">
        <f>Worksheet!AN100</f>
        <v>+32477681738</v>
      </c>
      <c r="M100" t="str">
        <f>IF(Worksheet!AE100="","",Worksheet!AE100)</f>
        <v/>
      </c>
      <c r="N100">
        <f>IF(Worksheet!AG100="","",Worksheet!AG100)</f>
        <v>669074</v>
      </c>
      <c r="O100" t="str">
        <f>IF(Worksheet!AJ100="","",Worksheet!AJ100)</f>
        <v>DSE A Haantjes Certifisc Oudenaarde</v>
      </c>
      <c r="P100" t="str">
        <f>IF(Worksheet!AK100="","",Worksheet!AK100)</f>
        <v>Speler</v>
      </c>
    </row>
    <row r="101" spans="1:16" x14ac:dyDescent="0.3">
      <c r="A101" t="str">
        <v>Maure De Coen</v>
      </c>
      <c r="B101" t="str">
        <v>Achimdecoen@hotmail.com</v>
      </c>
      <c r="C101" t="str">
        <v>+32479655812</v>
      </c>
      <c r="D101" t="str">
        <v/>
      </c>
      <c r="E101" s="2" t="str">
        <v/>
      </c>
      <c r="F101" t="str">
        <v>M16 A Haantjes CERTIFISC  Oudenaarde</v>
      </c>
      <c r="G101" t="str">
        <v>Speler</v>
      </c>
      <c r="J101" t="str">
        <f>Worksheet!C101&amp;" "&amp;Worksheet!B101</f>
        <v>Alice Cokelaere</v>
      </c>
      <c r="K101" t="str">
        <f>Worksheet!AM101</f>
        <v>sofie.pattyn@telenet.be</v>
      </c>
      <c r="L101" t="str">
        <f>Worksheet!AN101</f>
        <v>+32477681738</v>
      </c>
      <c r="M101" t="str">
        <f>IF(Worksheet!AE101="","",Worksheet!AE101)</f>
        <v/>
      </c>
      <c r="N101">
        <f>IF(Worksheet!AG101="","",Worksheet!AG101)</f>
        <v>669074</v>
      </c>
      <c r="O101" t="str">
        <f>IF(Worksheet!AJ101="","",Worksheet!AJ101)</f>
        <v>Zomerstage 2026 (Blankenberge)</v>
      </c>
      <c r="P101" t="str">
        <f>IF(Worksheet!AK101="","",Worksheet!AK101)</f>
        <v>Speler</v>
      </c>
    </row>
    <row r="102" spans="1:16" x14ac:dyDescent="0.3">
      <c r="A102" t="str">
        <v>Minne De Coninck</v>
      </c>
      <c r="B102" t="str">
        <v>joosdeconinck@hotmail.com</v>
      </c>
      <c r="C102" t="str">
        <v>+32479602944</v>
      </c>
      <c r="D102" t="str">
        <v/>
      </c>
      <c r="E102" s="2">
        <v>762628</v>
      </c>
      <c r="F102" t="str">
        <v>M12 A HAANTJES CERTIFISC OUDENAARDE</v>
      </c>
      <c r="G102" t="str">
        <v>Speler</v>
      </c>
      <c r="J102" t="str">
        <f>Worksheet!C102&amp;" "&amp;Worksheet!B102</f>
        <v>Alice Cokelaere</v>
      </c>
      <c r="K102" t="str">
        <f>Worksheet!AM102</f>
        <v>sofie.pattyn@telenet.be</v>
      </c>
      <c r="L102" t="str">
        <f>Worksheet!AN102</f>
        <v>+32477681738</v>
      </c>
      <c r="M102" t="str">
        <f>IF(Worksheet!AE102="","",Worksheet!AE102)</f>
        <v/>
      </c>
      <c r="N102">
        <f>IF(Worksheet!AG102="","",Worksheet!AG102)</f>
        <v>669074</v>
      </c>
      <c r="O102" t="str">
        <f>IF(Worksheet!AJ102="","",Worksheet!AJ102)</f>
        <v>M19 A Haantjes CERTIFISC Oudenaarde</v>
      </c>
      <c r="P102" t="str">
        <f>IF(Worksheet!AK102="","",Worksheet!AK102)</f>
        <v>Speler</v>
      </c>
    </row>
    <row r="103" spans="1:16" x14ac:dyDescent="0.3">
      <c r="A103" t="str">
        <v>Len De Coussemaker</v>
      </c>
      <c r="B103" t="str">
        <v>kristien.vdv@telenet.be</v>
      </c>
      <c r="C103" t="str">
        <v>+32468280854</v>
      </c>
      <c r="D103" t="str">
        <v>https://app.twizzit.com/public/photos/2182636/s/ac8133dfa6021f95e4cb86240c3d9e68218f8a83.png</v>
      </c>
      <c r="E103" s="2">
        <v>717356</v>
      </c>
      <c r="F103" t="str">
        <v>J16 B Haantjes CERTIFISC Oudenaarde</v>
      </c>
      <c r="G103" t="str">
        <v>Speler</v>
      </c>
      <c r="J103" t="str">
        <f>Worksheet!C103&amp;" "&amp;Worksheet!B103</f>
        <v>Andy Cokelaere</v>
      </c>
      <c r="K103" t="str">
        <f>Worksheet!AM103</f>
        <v/>
      </c>
      <c r="L103" t="str">
        <f>Worksheet!AN103</f>
        <v/>
      </c>
      <c r="M103" t="str">
        <f>IF(Worksheet!AE103="","",Worksheet!AE103)</f>
        <v/>
      </c>
      <c r="N103">
        <f>IF(Worksheet!AG103="","",Worksheet!AG103)</f>
        <v>669072</v>
      </c>
      <c r="O103" t="str">
        <f>IF(Worksheet!AJ103="","",Worksheet!AJ103)</f>
        <v/>
      </c>
      <c r="P103" t="str">
        <f>IF(Worksheet!AK103="","",Worksheet!AK103)</f>
        <v/>
      </c>
    </row>
    <row r="104" spans="1:16" x14ac:dyDescent="0.3">
      <c r="A104" t="str">
        <v>Len De Coussemaker</v>
      </c>
      <c r="B104" t="str">
        <v>kristien.vdv@telenet.be</v>
      </c>
      <c r="C104" t="str">
        <v>+32468280854</v>
      </c>
      <c r="D104" t="str">
        <v>https://app.twizzit.com/public/photos/2182636/s/ac8133dfa6021f95e4cb86240c3d9e68218f8a83.png</v>
      </c>
      <c r="E104" s="2">
        <v>717356</v>
      </c>
      <c r="F104" t="str">
        <v>Zomerstage 2026 (Blankenberge)</v>
      </c>
      <c r="G104" t="str">
        <v>Speler</v>
      </c>
      <c r="J104" t="str">
        <f>Worksheet!C104&amp;" "&amp;Worksheet!B104</f>
        <v>Jules Cokelaere</v>
      </c>
      <c r="K104" t="str">
        <f>Worksheet!AM104</f>
        <v/>
      </c>
      <c r="L104" t="str">
        <f>Worksheet!AN104</f>
        <v>+32477681738</v>
      </c>
      <c r="M104" t="str">
        <f>IF(Worksheet!AE104="","",Worksheet!AE104)</f>
        <v/>
      </c>
      <c r="N104" t="str">
        <f>IF(Worksheet!AG104="","",Worksheet!AG104)</f>
        <v/>
      </c>
      <c r="O104" t="str">
        <f>IF(Worksheet!AJ104="","",Worksheet!AJ104)</f>
        <v>HSE  C Haantjes Certifisc Oudenaarde</v>
      </c>
      <c r="P104" t="str">
        <f>IF(Worksheet!AK104="","",Worksheet!AK104)</f>
        <v>Speler</v>
      </c>
    </row>
    <row r="105" spans="1:16" x14ac:dyDescent="0.3">
      <c r="A105" t="str">
        <v>Niels De Coussemaker</v>
      </c>
      <c r="B105" t="str">
        <v>kristien@coussies.be</v>
      </c>
      <c r="C105" t="str">
        <v>+32490195438</v>
      </c>
      <c r="D105" t="str">
        <v>https://app.twizzit.com/public/photos/2182641/s/bc2ed87ccb6bf61129b3522eabde4c5cff856719.png</v>
      </c>
      <c r="E105" s="2">
        <v>708695</v>
      </c>
      <c r="F105" t="str">
        <v>J18 B Haantjes CERTIFISC Oudenaarde</v>
      </c>
      <c r="G105" t="str">
        <v>Speler</v>
      </c>
      <c r="J105" t="str">
        <f>Worksheet!C105&amp;" "&amp;Worksheet!B105</f>
        <v>Nand Colpaert</v>
      </c>
      <c r="K105" t="str">
        <f>Worksheet!AM105</f>
        <v>stijn.colpaert@telenet.be</v>
      </c>
      <c r="L105" t="str">
        <f>Worksheet!AN105</f>
        <v>+32497216213</v>
      </c>
      <c r="M105" t="str">
        <f>IF(Worksheet!AE105="","",Worksheet!AE105)</f>
        <v/>
      </c>
      <c r="N105" t="str">
        <f>IF(Worksheet!AG105="","",Worksheet!AG105)</f>
        <v/>
      </c>
      <c r="O105" t="str">
        <f>IF(Worksheet!AJ105="","",Worksheet!AJ105)</f>
        <v>G10 Geel HAANTJES CERTIFISC OUDENAARDE</v>
      </c>
      <c r="P105" t="str">
        <f>IF(Worksheet!AK105="","",Worksheet!AK105)</f>
        <v>Speler</v>
      </c>
    </row>
    <row r="106" spans="1:16" x14ac:dyDescent="0.3">
      <c r="A106" t="str">
        <v>Niels De Coussemaker</v>
      </c>
      <c r="B106" t="str">
        <v>kristien@coussies.be</v>
      </c>
      <c r="C106" t="str">
        <v>+32490195438</v>
      </c>
      <c r="D106" t="str">
        <v>https://app.twizzit.com/public/photos/2182641/s/bc2ed87ccb6bf61129b3522eabde4c5cff856719.png</v>
      </c>
      <c r="E106" s="2">
        <v>708695</v>
      </c>
      <c r="F106" t="str">
        <v>Zomerstage 2026 (Blankenberge)</v>
      </c>
      <c r="G106" t="str">
        <v>Speler</v>
      </c>
      <c r="J106" t="str">
        <f>Worksheet!C106&amp;" "&amp;Worksheet!B106</f>
        <v>Veerle Colpaert</v>
      </c>
      <c r="K106" t="str">
        <f>Worksheet!AM106</f>
        <v/>
      </c>
      <c r="L106" t="str">
        <f>Worksheet!AN106</f>
        <v>+32476935877</v>
      </c>
      <c r="M106" t="str">
        <f>IF(Worksheet!AE106="","",Worksheet!AE106)</f>
        <v/>
      </c>
      <c r="N106" t="str">
        <f>IF(Worksheet!AG106="","",Worksheet!AG106)</f>
        <v/>
      </c>
      <c r="O106" t="str">
        <f>IF(Worksheet!AJ106="","",Worksheet!AJ106)</f>
        <v/>
      </c>
      <c r="P106" t="str">
        <f>IF(Worksheet!AK106="","",Worksheet!AK106)</f>
        <v/>
      </c>
    </row>
    <row r="107" spans="1:16" x14ac:dyDescent="0.3">
      <c r="A107" t="str">
        <v>Cécile De Groote Hoebeke</v>
      </c>
      <c r="B107" t="str">
        <v>hoebekehanne@gmail.com</v>
      </c>
      <c r="C107" t="str">
        <v>+32473630733</v>
      </c>
      <c r="D107" t="str">
        <v/>
      </c>
      <c r="E107" s="2" t="str">
        <v/>
      </c>
      <c r="F107" t="str">
        <v>Balschool U6</v>
      </c>
      <c r="G107" t="str">
        <v>Speler</v>
      </c>
      <c r="J107" t="str">
        <f>Worksheet!C107&amp;" "&amp;Worksheet!B107</f>
        <v>Yvora Constant</v>
      </c>
      <c r="K107" t="str">
        <f>Worksheet!AM107</f>
        <v/>
      </c>
      <c r="L107" t="str">
        <f>Worksheet!AN107</f>
        <v>+32477081887</v>
      </c>
      <c r="M107" t="str">
        <f>IF(Worksheet!AE107="","",Worksheet!AE107)</f>
        <v/>
      </c>
      <c r="N107">
        <f>IF(Worksheet!AG107="","",Worksheet!AG107)</f>
        <v>749623</v>
      </c>
      <c r="O107" t="str">
        <f>IF(Worksheet!AJ107="","",Worksheet!AJ107)</f>
        <v/>
      </c>
      <c r="P107" t="str">
        <f>IF(Worksheet!AK107="","",Worksheet!AK107)</f>
        <v/>
      </c>
    </row>
    <row r="108" spans="1:16" x14ac:dyDescent="0.3">
      <c r="A108" t="str">
        <v>Madelein De Groote Hoebeke</v>
      </c>
      <c r="B108" t="str">
        <v>hoebekehanne@gmail.com</v>
      </c>
      <c r="C108" t="str">
        <v>+32473630733</v>
      </c>
      <c r="D108" t="str">
        <v>https://app.twizzit.com/public/photos/7992432/s/9093b3c321ebca1981daea541211e5a7f8dcd3e7.png</v>
      </c>
      <c r="E108" s="2" t="str">
        <v/>
      </c>
      <c r="F108" t="str">
        <v>G08 Geel HAANTJES CERTIFISC OUDENAARDE</v>
      </c>
      <c r="G108" t="str">
        <v>Speler</v>
      </c>
      <c r="J108" t="str">
        <f>Worksheet!C108&amp;" "&amp;Worksheet!B108</f>
        <v>Maarten Coopmans</v>
      </c>
      <c r="K108" t="str">
        <f>Worksheet!AM108</f>
        <v/>
      </c>
      <c r="L108" t="str">
        <f>Worksheet!AN108</f>
        <v/>
      </c>
      <c r="M108" t="str">
        <f>IF(Worksheet!AE108="","",Worksheet!AE108)</f>
        <v/>
      </c>
      <c r="N108" t="str">
        <f>IF(Worksheet!AG108="","",Worksheet!AG108)</f>
        <v/>
      </c>
      <c r="O108" t="str">
        <f>IF(Worksheet!AJ108="","",Worksheet!AJ108)</f>
        <v/>
      </c>
      <c r="P108" t="str">
        <f>IF(Worksheet!AK108="","",Worksheet!AK108)</f>
        <v/>
      </c>
    </row>
    <row r="109" spans="1:16" x14ac:dyDescent="0.3">
      <c r="A109" t="str">
        <v>Mary-Lou De Keukeleire</v>
      </c>
      <c r="B109" t="str">
        <v/>
      </c>
      <c r="C109" t="str">
        <v>+32498363470</v>
      </c>
      <c r="D109" t="str">
        <v>https://app.twizzit.com/public/photos/7663442/s/a1e4c1d99d71fda9ac80bca383a3ddb377005195.png</v>
      </c>
      <c r="E109" s="2">
        <v>766478</v>
      </c>
      <c r="F109" t="str">
        <v>M12 A HAANTJES CERTIFISC OUDENAARDE</v>
      </c>
      <c r="G109" t="str">
        <v>Speler</v>
      </c>
      <c r="J109" t="str">
        <f>Worksheet!C109&amp;" "&amp;Worksheet!B109</f>
        <v>Didier Coppens</v>
      </c>
      <c r="K109" t="str">
        <f>Worksheet!AM109</f>
        <v/>
      </c>
      <c r="L109" t="str">
        <f>Worksheet!AN109</f>
        <v/>
      </c>
      <c r="M109" t="str">
        <f>IF(Worksheet!AE109="","",Worksheet!AE109)</f>
        <v>https://app.twizzit.com/public/photos/2669951/s/778e1130cdfaade86f30dde5646159e9171c6f6b.png</v>
      </c>
      <c r="N109">
        <f>IF(Worksheet!AG109="","",Worksheet!AG109)</f>
        <v>26737</v>
      </c>
      <c r="O109" t="str">
        <f>IF(Worksheet!AJ109="","",Worksheet!AJ109)</f>
        <v/>
      </c>
      <c r="P109" t="str">
        <f>IF(Worksheet!AK109="","",Worksheet!AK109)</f>
        <v/>
      </c>
    </row>
    <row r="110" spans="1:16" x14ac:dyDescent="0.3">
      <c r="A110" t="str">
        <v>Gaëlle de la Rivière</v>
      </c>
      <c r="B110" t="str">
        <v>dlrgeoffrey@gmail.com</v>
      </c>
      <c r="C110" t="str">
        <v>+32494773553</v>
      </c>
      <c r="D110" t="str">
        <v/>
      </c>
      <c r="E110" s="2" t="str">
        <v/>
      </c>
      <c r="F110" t="str">
        <v>M12 A HAANTJES CERTIFISC OUDENAARDE</v>
      </c>
      <c r="G110" t="str">
        <v>Speler</v>
      </c>
      <c r="J110" t="str">
        <f>Worksheet!C110&amp;" "&amp;Worksheet!B110</f>
        <v>Luka Coryn</v>
      </c>
      <c r="K110" t="str">
        <f>Worksheet!AM110</f>
        <v>luka.coryn@gmail.com</v>
      </c>
      <c r="L110" t="str">
        <f>Worksheet!AN110</f>
        <v>+32471737015</v>
      </c>
      <c r="M110" t="str">
        <f>IF(Worksheet!AE110="","",Worksheet!AE110)</f>
        <v/>
      </c>
      <c r="N110">
        <f>IF(Worksheet!AG110="","",Worksheet!AG110)</f>
        <v>724313</v>
      </c>
      <c r="O110" t="str">
        <f>IF(Worksheet!AJ110="","",Worksheet!AJ110)</f>
        <v>J21 A HAANTJES CERTIFISC OUDENAARDE</v>
      </c>
      <c r="P110" t="str">
        <f>IF(Worksheet!AK110="","",Worksheet!AK110)</f>
        <v>Speler</v>
      </c>
    </row>
    <row r="111" spans="1:16" x14ac:dyDescent="0.3">
      <c r="A111" t="str">
        <v>Mauro De Leersnyder</v>
      </c>
      <c r="B111" t="str">
        <v>joke.toye@gmail.com</v>
      </c>
      <c r="C111" t="str">
        <v>+32475403946</v>
      </c>
      <c r="D111" t="str">
        <v/>
      </c>
      <c r="E111" s="2" t="str">
        <v/>
      </c>
      <c r="F111" t="str">
        <v>Balschool U6</v>
      </c>
      <c r="G111" t="str">
        <v>Speler</v>
      </c>
      <c r="J111" t="str">
        <f>Worksheet!C111&amp;" "&amp;Worksheet!B111</f>
        <v>Anna Cousaert</v>
      </c>
      <c r="K111" t="str">
        <f>Worksheet!AM111</f>
        <v/>
      </c>
      <c r="L111" t="str">
        <f>Worksheet!AN111</f>
        <v>+32494445513</v>
      </c>
      <c r="M111" t="str">
        <f>IF(Worksheet!AE111="","",Worksheet!AE111)</f>
        <v/>
      </c>
      <c r="N111" t="str">
        <f>IF(Worksheet!AG111="","",Worksheet!AG111)</f>
        <v/>
      </c>
      <c r="O111" t="str">
        <f>IF(Worksheet!AJ111="","",Worksheet!AJ111)</f>
        <v/>
      </c>
      <c r="P111" t="str">
        <f>IF(Worksheet!AK111="","",Worksheet!AK111)</f>
        <v/>
      </c>
    </row>
    <row r="112" spans="1:16" x14ac:dyDescent="0.3">
      <c r="A112" t="str">
        <v>Niels De Lepeleire</v>
      </c>
      <c r="B112" t="str">
        <v/>
      </c>
      <c r="C112" t="str">
        <v>+32470775058</v>
      </c>
      <c r="D112" t="str">
        <v/>
      </c>
      <c r="E112" s="2">
        <v>213745</v>
      </c>
      <c r="F112" t="str">
        <v>HSE A Haantjes Certifisc Oudenaarde</v>
      </c>
      <c r="G112" t="str">
        <v>Speler</v>
      </c>
      <c r="J112" t="str">
        <f>Worksheet!C112&amp;" "&amp;Worksheet!B112</f>
        <v>Frederik Cousaert</v>
      </c>
      <c r="K112" t="str">
        <f>Worksheet!AM112</f>
        <v/>
      </c>
      <c r="L112" t="str">
        <f>Worksheet!AN112</f>
        <v/>
      </c>
      <c r="M112" t="str">
        <f>IF(Worksheet!AE112="","",Worksheet!AE112)</f>
        <v/>
      </c>
      <c r="N112" t="str">
        <f>IF(Worksheet!AG112="","",Worksheet!AG112)</f>
        <v/>
      </c>
      <c r="O112" t="str">
        <f>IF(Worksheet!AJ112="","",Worksheet!AJ112)</f>
        <v/>
      </c>
      <c r="P112" t="str">
        <f>IF(Worksheet!AK112="","",Worksheet!AK112)</f>
        <v/>
      </c>
    </row>
    <row r="113" spans="1:16" x14ac:dyDescent="0.3">
      <c r="A113" t="str">
        <v>Niels De Lepeleire</v>
      </c>
      <c r="B113" t="str">
        <v/>
      </c>
      <c r="C113" t="str">
        <v>+32470775058</v>
      </c>
      <c r="D113" t="str">
        <v/>
      </c>
      <c r="E113" s="2">
        <v>213745</v>
      </c>
      <c r="F113" t="str">
        <v>J16 B Haantjes CERTIFISC Oudenaarde</v>
      </c>
      <c r="G113" t="str">
        <v>Coach</v>
      </c>
      <c r="J113" t="str">
        <f>Worksheet!C113&amp;" "&amp;Worksheet!B113</f>
        <v>Lieze Cousaert</v>
      </c>
      <c r="K113" t="str">
        <f>Worksheet!AM113</f>
        <v/>
      </c>
      <c r="L113" t="str">
        <f>Worksheet!AN113</f>
        <v>+32494445513</v>
      </c>
      <c r="M113" t="str">
        <f>IF(Worksheet!AE113="","",Worksheet!AE113)</f>
        <v/>
      </c>
      <c r="N113" t="str">
        <f>IF(Worksheet!AG113="","",Worksheet!AG113)</f>
        <v/>
      </c>
      <c r="O113" t="str">
        <f>IF(Worksheet!AJ113="","",Worksheet!AJ113)</f>
        <v/>
      </c>
      <c r="P113" t="str">
        <f>IF(Worksheet!AK113="","",Worksheet!AK113)</f>
        <v/>
      </c>
    </row>
    <row r="114" spans="1:16" x14ac:dyDescent="0.3">
      <c r="A114" t="str">
        <v>Niels De Lepeleire</v>
      </c>
      <c r="B114" t="str">
        <v/>
      </c>
      <c r="C114" t="str">
        <v>+32470775058</v>
      </c>
      <c r="D114" t="str">
        <v/>
      </c>
      <c r="E114" s="2">
        <v>213745</v>
      </c>
      <c r="F114" t="str">
        <v>G12 Geel HAANTJES CERTIFISC OUDENAARDE</v>
      </c>
      <c r="G114" t="str">
        <v>Coach</v>
      </c>
      <c r="J114" t="str">
        <f>Worksheet!C114&amp;" "&amp;Worksheet!B114</f>
        <v>David Creteur</v>
      </c>
      <c r="K114">
        <f>Worksheet!AM114</f>
        <v>0</v>
      </c>
      <c r="L114" t="str">
        <f>Worksheet!AN114</f>
        <v>+32497249349</v>
      </c>
      <c r="M114" t="str">
        <f>IF(Worksheet!AE114="","",Worksheet!AE114)</f>
        <v/>
      </c>
      <c r="N114" t="str">
        <f>IF(Worksheet!AG114="","",Worksheet!AG114)</f>
        <v/>
      </c>
      <c r="O114" t="str">
        <f>IF(Worksheet!AJ114="","",Worksheet!AJ114)</f>
        <v/>
      </c>
      <c r="P114" t="str">
        <f>IF(Worksheet!AK114="","",Worksheet!AK114)</f>
        <v/>
      </c>
    </row>
    <row r="115" spans="1:16" x14ac:dyDescent="0.3">
      <c r="A115" t="str">
        <v>Siebe De Meyer</v>
      </c>
      <c r="B115" t="str">
        <v/>
      </c>
      <c r="C115" t="str">
        <v/>
      </c>
      <c r="D115" t="str">
        <v/>
      </c>
      <c r="E115" s="2">
        <v>655853</v>
      </c>
      <c r="F115" t="str">
        <v>HSE  C Haantjes Certifisc Oudenaarde</v>
      </c>
      <c r="G115" t="str">
        <v>Speler</v>
      </c>
      <c r="J115" t="str">
        <f>Worksheet!C115&amp;" "&amp;Worksheet!B115</f>
        <v>Niklas Creteur</v>
      </c>
      <c r="K115" t="str">
        <f>Worksheet!AM115</f>
        <v/>
      </c>
      <c r="L115" t="str">
        <f>Worksheet!AN115</f>
        <v>+32496211659</v>
      </c>
      <c r="M115" t="str">
        <f>IF(Worksheet!AE115="","",Worksheet!AE115)</f>
        <v/>
      </c>
      <c r="N115">
        <f>IF(Worksheet!AG115="","",Worksheet!AG115)</f>
        <v>734418</v>
      </c>
      <c r="O115" t="str">
        <f>IF(Worksheet!AJ115="","",Worksheet!AJ115)</f>
        <v>G14 B Haantjes CERTIFISC Oudenaarde</v>
      </c>
      <c r="P115" t="str">
        <f>IF(Worksheet!AK115="","",Worksheet!AK115)</f>
        <v>Speler</v>
      </c>
    </row>
    <row r="116" spans="1:16" x14ac:dyDescent="0.3">
      <c r="A116" t="str">
        <v>Kimberley De Smet</v>
      </c>
      <c r="B116" t="str">
        <v/>
      </c>
      <c r="C116" t="str">
        <v/>
      </c>
      <c r="D116" t="str">
        <v>https://app.twizzit.com/public/photos/2182696/s/b3404003062e85e1b45f5fca9b0565fe70029286.png</v>
      </c>
      <c r="E116" s="2">
        <v>266618</v>
      </c>
      <c r="F116" t="str">
        <v>DSE A Haantjes Certifisc Oudenaarde</v>
      </c>
      <c r="G116" t="str">
        <v>Speler</v>
      </c>
      <c r="J116" t="str">
        <f>Worksheet!C116&amp;" "&amp;Worksheet!B116</f>
        <v>Tanguy Creteur</v>
      </c>
      <c r="K116" t="str">
        <f>Worksheet!AM116</f>
        <v>david@credelec.be</v>
      </c>
      <c r="L116" t="str">
        <f>Worksheet!AN116</f>
        <v>+32470535338</v>
      </c>
      <c r="M116" t="str">
        <f>IF(Worksheet!AE116="","",Worksheet!AE116)</f>
        <v/>
      </c>
      <c r="N116">
        <f>IF(Worksheet!AG116="","",Worksheet!AG116)</f>
        <v>737982</v>
      </c>
      <c r="O116" t="str">
        <f>IF(Worksheet!AJ116="","",Worksheet!AJ116)</f>
        <v>J21 A HAANTJES CERTIFISC OUDENAARDE</v>
      </c>
      <c r="P116" t="str">
        <f>IF(Worksheet!AK116="","",Worksheet!AK116)</f>
        <v>Speler</v>
      </c>
    </row>
    <row r="117" spans="1:16" x14ac:dyDescent="0.3">
      <c r="A117" t="str">
        <v>Kimberley De Smet</v>
      </c>
      <c r="B117" t="str">
        <v/>
      </c>
      <c r="C117" t="str">
        <v/>
      </c>
      <c r="D117" t="str">
        <v>https://app.twizzit.com/public/photos/2182696/s/b3404003062e85e1b45f5fca9b0565fe70029286.png</v>
      </c>
      <c r="E117" s="2">
        <v>266618</v>
      </c>
      <c r="F117" t="str">
        <v xml:space="preserve">Trainerspoule </v>
      </c>
      <c r="G117" t="str">
        <v>Coach</v>
      </c>
      <c r="J117" t="str">
        <f>Worksheet!C117&amp;" "&amp;Worksheet!B117</f>
        <v>Arthur Crombez</v>
      </c>
      <c r="K117" t="str">
        <f>Worksheet!AM117</f>
        <v/>
      </c>
      <c r="L117" t="str">
        <f>Worksheet!AN117</f>
        <v>+32478792675</v>
      </c>
      <c r="M117" t="str">
        <f>IF(Worksheet!AE117="","",Worksheet!AE117)</f>
        <v>https://app.twizzit.com/public/photos/7501921/s/cda3c2c21188914d3908db110c011be3c8f5a13d.png</v>
      </c>
      <c r="N117" t="str">
        <f>IF(Worksheet!AG117="","",Worksheet!AG117)</f>
        <v/>
      </c>
      <c r="O117" t="str">
        <f>IF(Worksheet!AJ117="","",Worksheet!AJ117)</f>
        <v>G10 Blauw HAANTJES CERTIFISC OUDENAARDE</v>
      </c>
      <c r="P117" t="str">
        <f>IF(Worksheet!AK117="","",Worksheet!AK117)</f>
        <v>Speler</v>
      </c>
    </row>
    <row r="118" spans="1:16" x14ac:dyDescent="0.3">
      <c r="A118" t="str">
        <v>Camille De vreese</v>
      </c>
      <c r="B118" t="str">
        <v/>
      </c>
      <c r="C118" t="str">
        <v>+32498651266</v>
      </c>
      <c r="D118" t="str">
        <v>https://app.twizzit.com/public/photos/7284534/s/89166ad605bd29d54909fd3e80a34843f88650ec.png</v>
      </c>
      <c r="E118" s="2" t="str">
        <v/>
      </c>
      <c r="F118" t="str">
        <v>M10 HAANTJES CERTIFISC OUDENAARDE</v>
      </c>
      <c r="G118" t="str">
        <v>Speler</v>
      </c>
      <c r="J118" t="str">
        <f>Worksheet!C118&amp;" "&amp;Worksheet!B118</f>
        <v>Ella-Marie Crombez</v>
      </c>
      <c r="K118" t="str">
        <f>Worksheet!AM118</f>
        <v>Tom.crombez@gmail.com</v>
      </c>
      <c r="L118" t="str">
        <f>Worksheet!AN118</f>
        <v>+32474828659</v>
      </c>
      <c r="M118" t="str">
        <f>IF(Worksheet!AE118="","",Worksheet!AE118)</f>
        <v/>
      </c>
      <c r="N118" t="str">
        <f>IF(Worksheet!AG118="","",Worksheet!AG118)</f>
        <v/>
      </c>
      <c r="O118" t="str">
        <f>IF(Worksheet!AJ118="","",Worksheet!AJ118)</f>
        <v>M14 A Haantjes CERTIFISC  Oudenaarde</v>
      </c>
      <c r="P118" t="str">
        <f>IF(Worksheet!AK118="","",Worksheet!AK118)</f>
        <v>Speler</v>
      </c>
    </row>
    <row r="119" spans="1:16" x14ac:dyDescent="0.3">
      <c r="A119" t="str">
        <v>Emile-Louis De Windt</v>
      </c>
      <c r="B119" t="str">
        <v>dwingrey@gmail.com</v>
      </c>
      <c r="C119" t="str">
        <v>+32485843240</v>
      </c>
      <c r="D119" t="str">
        <v>https://app.twizzit.com/public/photos/3463928/s/65ba284a6aa8f67e5b08f396e397206e4afd6e82.png</v>
      </c>
      <c r="E119" s="2">
        <v>747479</v>
      </c>
      <c r="F119" t="str">
        <v>J18 A Haantjes CERTIFISC Oudenaarde</v>
      </c>
      <c r="G119" t="str">
        <v>Speler</v>
      </c>
      <c r="J119" t="str">
        <f>Worksheet!C119&amp;" "&amp;Worksheet!B119</f>
        <v>Tom Crombez</v>
      </c>
      <c r="K119" t="str">
        <f>Worksheet!AM119</f>
        <v/>
      </c>
      <c r="L119" t="str">
        <f>Worksheet!AN119</f>
        <v>+32474828659</v>
      </c>
      <c r="M119" t="str">
        <f>IF(Worksheet!AE119="","",Worksheet!AE119)</f>
        <v/>
      </c>
      <c r="N119" t="str">
        <f>IF(Worksheet!AG119="","",Worksheet!AG119)</f>
        <v/>
      </c>
      <c r="O119" t="str">
        <f>IF(Worksheet!AJ119="","",Worksheet!AJ119)</f>
        <v/>
      </c>
      <c r="P119" t="str">
        <f>IF(Worksheet!AK119="","",Worksheet!AK119)</f>
        <v/>
      </c>
    </row>
    <row r="120" spans="1:16" x14ac:dyDescent="0.3">
      <c r="A120" t="str">
        <v>Elli De Zitter</v>
      </c>
      <c r="B120" t="str">
        <v>de.zitter.steve@gmail.com</v>
      </c>
      <c r="C120" t="str">
        <v>+32473423222</v>
      </c>
      <c r="D120" t="str">
        <v/>
      </c>
      <c r="E120" s="2" t="str">
        <v/>
      </c>
      <c r="F120" t="str">
        <v>G08 Geel HAANTJES CERTIFISC OUDENAARDE</v>
      </c>
      <c r="G120" t="str">
        <v>Speler</v>
      </c>
      <c r="J120" t="str">
        <f>Worksheet!C120&amp;" "&amp;Worksheet!B120</f>
        <v>Mathis Cromheeke</v>
      </c>
      <c r="K120" t="str">
        <f>Worksheet!AM120</f>
        <v/>
      </c>
      <c r="L120" t="str">
        <f>Worksheet!AN120</f>
        <v/>
      </c>
      <c r="M120" t="str">
        <f>IF(Worksheet!AE120="","",Worksheet!AE120)</f>
        <v/>
      </c>
      <c r="N120">
        <f>IF(Worksheet!AG120="","",Worksheet!AG120)</f>
        <v>715872</v>
      </c>
      <c r="O120" t="str">
        <f>IF(Worksheet!AJ120="","",Worksheet!AJ120)</f>
        <v>J18 B Haantjes CERTIFISC Oudenaarde</v>
      </c>
      <c r="P120" t="str">
        <f>IF(Worksheet!AK120="","",Worksheet!AK120)</f>
        <v>Speler</v>
      </c>
    </row>
    <row r="121" spans="1:16" x14ac:dyDescent="0.3">
      <c r="A121" t="str">
        <v>Elli De Zitter</v>
      </c>
      <c r="B121" t="str">
        <v>de.zitter.steve@gmail.com</v>
      </c>
      <c r="C121" t="str">
        <v>+32473423222</v>
      </c>
      <c r="D121" t="str">
        <v/>
      </c>
      <c r="E121" s="2" t="str">
        <v/>
      </c>
      <c r="F121" t="str">
        <v>Zomerstage 2026 U8 (Oudenaarde)</v>
      </c>
      <c r="G121" t="str">
        <v>Speler</v>
      </c>
      <c r="J121" t="str">
        <f>Worksheet!C121&amp;" "&amp;Worksheet!B121</f>
        <v>Lou Cruypeninck</v>
      </c>
      <c r="K121" t="str">
        <f>Worksheet!AM121</f>
        <v>hanne.platteeuw@gmail.com</v>
      </c>
      <c r="L121" t="str">
        <f>Worksheet!AN121</f>
        <v>+32477254581</v>
      </c>
      <c r="M121" t="str">
        <f>IF(Worksheet!AE121="","",Worksheet!AE121)</f>
        <v/>
      </c>
      <c r="N121" t="str">
        <f>IF(Worksheet!AG121="","",Worksheet!AG121)</f>
        <v/>
      </c>
      <c r="O121" t="str">
        <f>IF(Worksheet!AJ121="","",Worksheet!AJ121)</f>
        <v/>
      </c>
      <c r="P121" t="str">
        <f>IF(Worksheet!AK121="","",Worksheet!AK121)</f>
        <v/>
      </c>
    </row>
    <row r="122" spans="1:16" x14ac:dyDescent="0.3">
      <c r="A122" t="str">
        <v>Limme De Zitter</v>
      </c>
      <c r="B122" t="str">
        <v>de.zitter.steve@gmail.com</v>
      </c>
      <c r="C122" t="str">
        <v>+32473423222</v>
      </c>
      <c r="D122" t="str">
        <v/>
      </c>
      <c r="E122" s="2">
        <v>742327</v>
      </c>
      <c r="F122" t="str">
        <v>Zomerstage 2026 (Blankenberge)</v>
      </c>
      <c r="G122" t="str">
        <v>Speler</v>
      </c>
      <c r="J122" t="str">
        <f>Worksheet!C122&amp;" "&amp;Worksheet!B122</f>
        <v>Sofian D'Haenen</v>
      </c>
      <c r="K122" t="str">
        <f>Worksheet!AM122</f>
        <v/>
      </c>
      <c r="L122" t="str">
        <f>Worksheet!AN122</f>
        <v/>
      </c>
      <c r="M122" t="str">
        <f>IF(Worksheet!AE122="","",Worksheet!AE122)</f>
        <v/>
      </c>
      <c r="N122" t="str">
        <f>IF(Worksheet!AG122="","",Worksheet!AG122)</f>
        <v/>
      </c>
      <c r="O122" t="str">
        <f>IF(Worksheet!AJ122="","",Worksheet!AJ122)</f>
        <v>J18 A Haantjes CERTIFISC Oudenaarde</v>
      </c>
      <c r="P122" t="str">
        <f>IF(Worksheet!AK122="","",Worksheet!AK122)</f>
        <v>Speler</v>
      </c>
    </row>
    <row r="123" spans="1:16" x14ac:dyDescent="0.3">
      <c r="A123" t="str">
        <v>Limme De Zitter</v>
      </c>
      <c r="B123" t="str">
        <v>de.zitter.steve@gmail.com</v>
      </c>
      <c r="C123" t="str">
        <v>+32473423222</v>
      </c>
      <c r="D123" t="str">
        <v/>
      </c>
      <c r="E123" s="2">
        <v>742327</v>
      </c>
      <c r="F123" t="str">
        <v>M14 A Haantjes CERTIFISC  Oudenaarde</v>
      </c>
      <c r="G123" t="str">
        <v>Speler</v>
      </c>
      <c r="J123" t="str">
        <f>Worksheet!C123&amp;" "&amp;Worksheet!B123</f>
        <v>Sofian D'Haenen</v>
      </c>
      <c r="K123" t="str">
        <f>Worksheet!AM123</f>
        <v/>
      </c>
      <c r="L123" t="str">
        <f>Worksheet!AN123</f>
        <v/>
      </c>
      <c r="M123" t="str">
        <f>IF(Worksheet!AE123="","",Worksheet!AE123)</f>
        <v/>
      </c>
      <c r="N123" t="str">
        <f>IF(Worksheet!AG123="","",Worksheet!AG123)</f>
        <v/>
      </c>
      <c r="O123" t="str">
        <f>IF(Worksheet!AJ123="","",Worksheet!AJ123)</f>
        <v>Zomerstage 2026 (Blankenberge)</v>
      </c>
      <c r="P123" t="str">
        <f>IF(Worksheet!AK123="","",Worksheet!AK123)</f>
        <v>Speler</v>
      </c>
    </row>
    <row r="124" spans="1:16" x14ac:dyDescent="0.3">
      <c r="A124" t="str">
        <v>Maurice Debels</v>
      </c>
      <c r="B124" t="str">
        <v/>
      </c>
      <c r="C124" t="str">
        <v>+32476521616</v>
      </c>
      <c r="D124" t="str">
        <v>https://app.twizzit.com/public/photos/7307064/s/62a20fb436e1f6920a77ad9e4cd715a7e88bd1d1.png</v>
      </c>
      <c r="E124" s="2" t="str">
        <v/>
      </c>
      <c r="F124" t="str">
        <v>G10 Blauw HAANTJES CERTIFISC OUDENAARDE</v>
      </c>
      <c r="G124" t="str">
        <v>Speler</v>
      </c>
      <c r="J124" t="str">
        <f>Worksheet!C124&amp;" "&amp;Worksheet!B124</f>
        <v>Sofian D'Haenen</v>
      </c>
      <c r="K124" t="str">
        <f>Worksheet!AM124</f>
        <v/>
      </c>
      <c r="L124" t="str">
        <f>Worksheet!AN124</f>
        <v/>
      </c>
      <c r="M124" t="str">
        <f>IF(Worksheet!AE124="","",Worksheet!AE124)</f>
        <v/>
      </c>
      <c r="N124" t="str">
        <f>IF(Worksheet!AG124="","",Worksheet!AG124)</f>
        <v/>
      </c>
      <c r="O124" t="str">
        <f>IF(Worksheet!AJ124="","",Worksheet!AJ124)</f>
        <v>HSE B Haantjes Certifisc Oudenaarde</v>
      </c>
      <c r="P124" t="str">
        <f>IF(Worksheet!AK124="","",Worksheet!AK124)</f>
        <v>Speler</v>
      </c>
    </row>
    <row r="125" spans="1:16" x14ac:dyDescent="0.3">
      <c r="A125" t="str">
        <v>Arthur Debisschop</v>
      </c>
      <c r="B125" t="str">
        <v/>
      </c>
      <c r="C125" t="str">
        <v>+32486445874</v>
      </c>
      <c r="D125" t="str">
        <v/>
      </c>
      <c r="E125" s="2" t="str">
        <v/>
      </c>
      <c r="F125" t="str">
        <v>G14 B Haantjes CERTIFISC Oudenaarde</v>
      </c>
      <c r="G125" t="str">
        <v>Speler</v>
      </c>
      <c r="J125" t="str">
        <f>Worksheet!C125&amp;" "&amp;Worksheet!B125</f>
        <v>Yunus D'Haenen</v>
      </c>
      <c r="K125" t="str">
        <f>Worksheet!AM125</f>
        <v/>
      </c>
      <c r="L125" t="str">
        <f>Worksheet!AN125</f>
        <v/>
      </c>
      <c r="M125" t="str">
        <f>IF(Worksheet!AE125="","",Worksheet!AE125)</f>
        <v/>
      </c>
      <c r="N125" t="str">
        <f>IF(Worksheet!AG125="","",Worksheet!AG125)</f>
        <v/>
      </c>
      <c r="O125" t="str">
        <f>IF(Worksheet!AJ125="","",Worksheet!AJ125)</f>
        <v>J18 A Haantjes CERTIFISC Oudenaarde</v>
      </c>
      <c r="P125" t="str">
        <f>IF(Worksheet!AK125="","",Worksheet!AK125)</f>
        <v>Speler</v>
      </c>
    </row>
    <row r="126" spans="1:16" x14ac:dyDescent="0.3">
      <c r="A126" t="str">
        <v>Ryan Debouverie</v>
      </c>
      <c r="B126" t="str">
        <v/>
      </c>
      <c r="C126" t="str">
        <v>+32496247133</v>
      </c>
      <c r="D126" t="str">
        <v/>
      </c>
      <c r="E126" s="2">
        <v>271615</v>
      </c>
      <c r="F126" t="str">
        <v>G10 Geel HAANTJES CERTIFISC OUDENAARDE</v>
      </c>
      <c r="G126" t="str">
        <v>Coach</v>
      </c>
      <c r="J126" t="str">
        <f>Worksheet!C126&amp;" "&amp;Worksheet!B126</f>
        <v>Yunus D'Haenen</v>
      </c>
      <c r="K126" t="str">
        <f>Worksheet!AM126</f>
        <v/>
      </c>
      <c r="L126" t="str">
        <f>Worksheet!AN126</f>
        <v/>
      </c>
      <c r="M126" t="str">
        <f>IF(Worksheet!AE126="","",Worksheet!AE126)</f>
        <v/>
      </c>
      <c r="N126" t="str">
        <f>IF(Worksheet!AG126="","",Worksheet!AG126)</f>
        <v/>
      </c>
      <c r="O126" t="str">
        <f>IF(Worksheet!AJ126="","",Worksheet!AJ126)</f>
        <v>Zomerstage 2026 (Blankenberge)</v>
      </c>
      <c r="P126" t="str">
        <f>IF(Worksheet!AK126="","",Worksheet!AK126)</f>
        <v>Speler</v>
      </c>
    </row>
    <row r="127" spans="1:16" x14ac:dyDescent="0.3">
      <c r="A127" t="str">
        <v>Ryan Debouverie</v>
      </c>
      <c r="B127" t="str">
        <v/>
      </c>
      <c r="C127" t="str">
        <v>+32496247133</v>
      </c>
      <c r="D127" t="str">
        <v/>
      </c>
      <c r="E127" s="2">
        <v>271615</v>
      </c>
      <c r="F127" t="str">
        <v>HSE  C Haantjes Certifisc Oudenaarde</v>
      </c>
      <c r="G127" t="str">
        <v>Coach</v>
      </c>
      <c r="J127" t="str">
        <f>Worksheet!C127&amp;" "&amp;Worksheet!B127</f>
        <v>Mauro D'Haese</v>
      </c>
      <c r="K127" t="str">
        <f>Worksheet!AM127</f>
        <v/>
      </c>
      <c r="L127" t="str">
        <f>Worksheet!AN127</f>
        <v/>
      </c>
      <c r="M127" t="str">
        <f>IF(Worksheet!AE127="","",Worksheet!AE127)</f>
        <v/>
      </c>
      <c r="N127">
        <f>IF(Worksheet!AG127="","",Worksheet!AG127)</f>
        <v>720215</v>
      </c>
      <c r="O127" t="str">
        <f>IF(Worksheet!AJ127="","",Worksheet!AJ127)</f>
        <v/>
      </c>
      <c r="P127" t="str">
        <f>IF(Worksheet!AK127="","",Worksheet!AK127)</f>
        <v/>
      </c>
    </row>
    <row r="128" spans="1:16" x14ac:dyDescent="0.3">
      <c r="A128" t="str">
        <v>Ryan Debouverie</v>
      </c>
      <c r="B128" t="str">
        <v/>
      </c>
      <c r="C128" t="str">
        <v>+32496247133</v>
      </c>
      <c r="D128" t="str">
        <v/>
      </c>
      <c r="E128" s="2">
        <v>271615</v>
      </c>
      <c r="F128" t="str">
        <v>HSE B Haantjes Certifisc Oudenaarde</v>
      </c>
      <c r="G128" t="str">
        <v>Speler</v>
      </c>
      <c r="J128" t="str">
        <f>Worksheet!C128&amp;" "&amp;Worksheet!B128</f>
        <v>Karen Dans</v>
      </c>
      <c r="K128" t="str">
        <f>Worksheet!AM128</f>
        <v/>
      </c>
      <c r="L128" t="str">
        <f>Worksheet!AN128</f>
        <v>+32494698322</v>
      </c>
      <c r="M128" t="str">
        <f>IF(Worksheet!AE128="","",Worksheet!AE128)</f>
        <v>https://app.twizzit.com/public/photos/2182586/s/3c061ecaa7eb60b4e8b27f2490fa3fff24778b0c.png</v>
      </c>
      <c r="N128">
        <f>IF(Worksheet!AG128="","",Worksheet!AG128)</f>
        <v>220520</v>
      </c>
      <c r="O128" t="str">
        <f>IF(Worksheet!AJ128="","",Worksheet!AJ128)</f>
        <v>DSE A Haantjes Certifisc Oudenaarde</v>
      </c>
      <c r="P128" t="str">
        <f>IF(Worksheet!AK128="","",Worksheet!AK128)</f>
        <v>Speler</v>
      </c>
    </row>
    <row r="129" spans="1:16" x14ac:dyDescent="0.3">
      <c r="A129" t="str">
        <v>Seb Debouverie</v>
      </c>
      <c r="B129" t="str">
        <v/>
      </c>
      <c r="C129" t="str">
        <v>+32474278078</v>
      </c>
      <c r="D129" t="str">
        <v>https://app.twizzit.com/public/photos/3470113/s/d4f4d56826c6eb1d41480a49a2f8240682b337d2.png</v>
      </c>
      <c r="E129" s="2" t="str">
        <v/>
      </c>
      <c r="F129" t="str">
        <v>G10 Geel HAANTJES CERTIFISC OUDENAARDE</v>
      </c>
      <c r="G129" t="str">
        <v>Speler</v>
      </c>
      <c r="J129" t="str">
        <f>Worksheet!C129&amp;" "&amp;Worksheet!B129</f>
        <v>Karen Dans</v>
      </c>
      <c r="K129" t="str">
        <f>Worksheet!AM129</f>
        <v/>
      </c>
      <c r="L129" t="str">
        <f>Worksheet!AN129</f>
        <v>+32494698322</v>
      </c>
      <c r="M129" t="str">
        <f>IF(Worksheet!AE129="","",Worksheet!AE129)</f>
        <v>https://app.twizzit.com/public/photos/2182586/s/3c061ecaa7eb60b4e8b27f2490fa3fff24778b0c.png</v>
      </c>
      <c r="N129">
        <f>IF(Worksheet!AG129="","",Worksheet!AG129)</f>
        <v>220520</v>
      </c>
      <c r="O129" t="str">
        <f>IF(Worksheet!AJ129="","",Worksheet!AJ129)</f>
        <v>M10 HAANTJES CERTIFISC OUDENAARDE</v>
      </c>
      <c r="P129" t="str">
        <f>IF(Worksheet!AK129="","",Worksheet!AK129)</f>
        <v>Coach</v>
      </c>
    </row>
    <row r="130" spans="1:16" x14ac:dyDescent="0.3">
      <c r="A130" t="str">
        <v>Tille Debouverie</v>
      </c>
      <c r="B130" t="str">
        <v>debouverieryan@gmail.com</v>
      </c>
      <c r="C130" t="str">
        <v>+32474278078</v>
      </c>
      <c r="D130" t="str">
        <v>https://app.twizzit.com/public/photos/10452578/s/292aacecec7d92bf38572d240646cc8a5ea5dc01.png</v>
      </c>
      <c r="E130" s="2" t="str">
        <v/>
      </c>
      <c r="F130" t="str">
        <v>G08 Groen HAANTJES CERTIFISC OUDENAARDE</v>
      </c>
      <c r="G130" t="str">
        <v>Speler</v>
      </c>
      <c r="J130" t="str">
        <f>Worksheet!C130&amp;" "&amp;Worksheet!B130</f>
        <v>Mauro Darragas</v>
      </c>
      <c r="K130" t="str">
        <f>Worksheet!AM130</f>
        <v>Ben_darragas@hotmail.com</v>
      </c>
      <c r="L130" t="str">
        <f>Worksheet!AN130</f>
        <v>+32473628241</v>
      </c>
      <c r="M130" t="str">
        <f>IF(Worksheet!AE130="","",Worksheet!AE130)</f>
        <v/>
      </c>
      <c r="N130" t="str">
        <f>IF(Worksheet!AG130="","",Worksheet!AG130)</f>
        <v/>
      </c>
      <c r="O130" t="str">
        <f>IF(Worksheet!AJ130="","",Worksheet!AJ130)</f>
        <v>G14 B Haantjes CERTIFISC Oudenaarde</v>
      </c>
      <c r="P130" t="str">
        <f>IF(Worksheet!AK130="","",Worksheet!AK130)</f>
        <v>Speler</v>
      </c>
    </row>
    <row r="131" spans="1:16" x14ac:dyDescent="0.3">
      <c r="A131" t="str">
        <v>Quentin Debruyne</v>
      </c>
      <c r="B131" t="str">
        <v/>
      </c>
      <c r="C131" t="str">
        <v>+32471753995</v>
      </c>
      <c r="D131" t="str">
        <v/>
      </c>
      <c r="E131" s="2" t="str">
        <v/>
      </c>
      <c r="F131" t="str">
        <v>HSE  C Haantjes Certifisc Oudenaarde</v>
      </c>
      <c r="G131" t="str">
        <v>Speler</v>
      </c>
      <c r="J131" t="str">
        <f>Worksheet!C131&amp;" "&amp;Worksheet!B131</f>
        <v>Pip Dawyndt</v>
      </c>
      <c r="K131" t="str">
        <f>Worksheet!AM131</f>
        <v/>
      </c>
      <c r="L131" t="str">
        <f>Worksheet!AN131</f>
        <v>+32473746819</v>
      </c>
      <c r="M131" t="str">
        <f>IF(Worksheet!AE131="","",Worksheet!AE131)</f>
        <v/>
      </c>
      <c r="N131">
        <f>IF(Worksheet!AG131="","",Worksheet!AG131)</f>
        <v>745355</v>
      </c>
      <c r="O131" t="str">
        <f>IF(Worksheet!AJ131="","",Worksheet!AJ131)</f>
        <v>M16 A Haantjes CERTIFISC  Oudenaarde</v>
      </c>
      <c r="P131" t="str">
        <f>IF(Worksheet!AK131="","",Worksheet!AK131)</f>
        <v>Speler</v>
      </c>
    </row>
    <row r="132" spans="1:16" x14ac:dyDescent="0.3">
      <c r="A132" t="str">
        <v>Rami Decock</v>
      </c>
      <c r="B132" t="str">
        <v>decock.anthony07@gmail.com</v>
      </c>
      <c r="C132" t="str">
        <v>+3249819525</v>
      </c>
      <c r="D132" t="str">
        <v/>
      </c>
      <c r="E132" s="2" t="str">
        <v/>
      </c>
      <c r="F132" t="str">
        <v>Balschool U6</v>
      </c>
      <c r="G132" t="str">
        <v>Speler</v>
      </c>
      <c r="J132" t="str">
        <f>Worksheet!C132&amp;" "&amp;Worksheet!B132</f>
        <v>Pip Dawyndt</v>
      </c>
      <c r="K132" t="str">
        <f>Worksheet!AM132</f>
        <v/>
      </c>
      <c r="L132" t="str">
        <f>Worksheet!AN132</f>
        <v>+32473746819</v>
      </c>
      <c r="M132" t="str">
        <f>IF(Worksheet!AE132="","",Worksheet!AE132)</f>
        <v/>
      </c>
      <c r="N132">
        <f>IF(Worksheet!AG132="","",Worksheet!AG132)</f>
        <v>745355</v>
      </c>
      <c r="O132" t="str">
        <f>IF(Worksheet!AJ132="","",Worksheet!AJ132)</f>
        <v>Zomerstage 2026 (Blankenberge)</v>
      </c>
      <c r="P132" t="str">
        <f>IF(Worksheet!AK132="","",Worksheet!AK132)</f>
        <v>Speler</v>
      </c>
    </row>
    <row r="133" spans="1:16" x14ac:dyDescent="0.3">
      <c r="A133" t="str">
        <v>Dieuwke Decroix</v>
      </c>
      <c r="B133" t="str">
        <v>decroix.willem@gmail.com</v>
      </c>
      <c r="C133" t="str">
        <v>+32483596928</v>
      </c>
      <c r="D133" t="str">
        <v/>
      </c>
      <c r="E133" s="2">
        <v>752195</v>
      </c>
      <c r="F133" t="str">
        <v>M19 A Haantjes CERTIFISC Oudenaarde</v>
      </c>
      <c r="G133" t="str">
        <v>Speler</v>
      </c>
      <c r="J133" t="str">
        <f>Worksheet!C133&amp;" "&amp;Worksheet!B133</f>
        <v>Tom Dawyndt</v>
      </c>
      <c r="K133" t="str">
        <f>Worksheet!AM133</f>
        <v/>
      </c>
      <c r="L133" t="str">
        <f>Worksheet!AN133</f>
        <v>+32496273638</v>
      </c>
      <c r="M133" t="str">
        <f>IF(Worksheet!AE133="","",Worksheet!AE133)</f>
        <v/>
      </c>
      <c r="N133" t="str">
        <f>IF(Worksheet!AG133="","",Worksheet!AG133)</f>
        <v/>
      </c>
      <c r="O133" t="str">
        <f>IF(Worksheet!AJ133="","",Worksheet!AJ133)</f>
        <v/>
      </c>
      <c r="P133" t="str">
        <f>IF(Worksheet!AK133="","",Worksheet!AK133)</f>
        <v/>
      </c>
    </row>
    <row r="134" spans="1:16" x14ac:dyDescent="0.3">
      <c r="A134" t="str">
        <v>Jules Dekkar</v>
      </c>
      <c r="B134" t="str">
        <v>hakim.dekkar@icloud.com</v>
      </c>
      <c r="C134" t="str">
        <v>+32476488212</v>
      </c>
      <c r="D134" t="str">
        <v>https://app.twizzit.com/public/photos/3451601/s/35fd5f537189934e8013cbeb18029ae3e97fcdcc.jpeg</v>
      </c>
      <c r="E134" s="2">
        <v>747253</v>
      </c>
      <c r="F134" t="str">
        <v>G14 A Haantjes CERTIFISC Oudenaarde</v>
      </c>
      <c r="G134" t="str">
        <v>Speler</v>
      </c>
      <c r="J134" t="str">
        <f>Worksheet!C134&amp;" "&amp;Worksheet!B134</f>
        <v>Tom Dawyndt</v>
      </c>
      <c r="K134" t="str">
        <f>Worksheet!AM134</f>
        <v/>
      </c>
      <c r="L134" t="str">
        <f>Worksheet!AN134</f>
        <v>+32496273638</v>
      </c>
      <c r="M134" t="str">
        <f>IF(Worksheet!AE134="","",Worksheet!AE134)</f>
        <v/>
      </c>
      <c r="N134" t="str">
        <f>IF(Worksheet!AG134="","",Worksheet!AG134)</f>
        <v/>
      </c>
      <c r="O134" t="str">
        <f>IF(Worksheet!AJ134="","",Worksheet!AJ134)</f>
        <v/>
      </c>
      <c r="P134" t="str">
        <f>IF(Worksheet!AK134="","",Worksheet!AK134)</f>
        <v/>
      </c>
    </row>
    <row r="135" spans="1:16" x14ac:dyDescent="0.3">
      <c r="A135" t="str">
        <v>Jules Dekkar</v>
      </c>
      <c r="B135" t="str">
        <v>hakim.dekkar@icloud.com</v>
      </c>
      <c r="C135" t="str">
        <v>+32476488212</v>
      </c>
      <c r="D135" t="str">
        <v>https://app.twizzit.com/public/photos/3451601/s/35fd5f537189934e8013cbeb18029ae3e97fcdcc.jpeg</v>
      </c>
      <c r="E135" s="2">
        <v>747253</v>
      </c>
      <c r="F135" t="str">
        <v>Zomerstage 2026 (Blankenberge)</v>
      </c>
      <c r="G135" t="str">
        <v>Speler</v>
      </c>
      <c r="J135" t="str">
        <f>Worksheet!C135&amp;" "&amp;Worksheet!B135</f>
        <v>Louis De Baere</v>
      </c>
      <c r="K135" t="str">
        <f>Worksheet!AM135</f>
        <v/>
      </c>
      <c r="L135" t="str">
        <f>Worksheet!AN135</f>
        <v>+32491029558</v>
      </c>
      <c r="M135" t="str">
        <f>IF(Worksheet!AE135="","",Worksheet!AE135)</f>
        <v/>
      </c>
      <c r="N135" t="str">
        <f>IF(Worksheet!AG135="","",Worksheet!AG135)</f>
        <v/>
      </c>
      <c r="O135" t="str">
        <f>IF(Worksheet!AJ135="","",Worksheet!AJ135)</f>
        <v>HSE  C Haantjes Certifisc Oudenaarde</v>
      </c>
      <c r="P135" t="str">
        <f>IF(Worksheet!AK135="","",Worksheet!AK135)</f>
        <v>Speler</v>
      </c>
    </row>
    <row r="136" spans="1:16" x14ac:dyDescent="0.3">
      <c r="A136" t="str">
        <v>Jakob Delbaere</v>
      </c>
      <c r="B136" t="str">
        <v/>
      </c>
      <c r="C136" t="str">
        <v>+32474233989</v>
      </c>
      <c r="D136" t="str">
        <v/>
      </c>
      <c r="E136" s="2" t="str">
        <v/>
      </c>
      <c r="F136" t="str">
        <v>Balschool U6</v>
      </c>
      <c r="G136" t="str">
        <v>Speler</v>
      </c>
      <c r="J136" t="str">
        <f>Worksheet!C136&amp;" "&amp;Worksheet!B136</f>
        <v>Nadine De Block</v>
      </c>
      <c r="K136" t="str">
        <f>Worksheet!AM136</f>
        <v/>
      </c>
      <c r="L136" t="str">
        <f>Worksheet!AN136</f>
        <v/>
      </c>
      <c r="M136" t="str">
        <f>IF(Worksheet!AE136="","",Worksheet!AE136)</f>
        <v/>
      </c>
      <c r="N136">
        <f>IF(Worksheet!AG136="","",Worksheet!AG136)</f>
        <v>609483</v>
      </c>
      <c r="O136" t="str">
        <f>IF(Worksheet!AJ136="","",Worksheet!AJ136)</f>
        <v/>
      </c>
      <c r="P136" t="str">
        <f>IF(Worksheet!AK136="","",Worksheet!AK136)</f>
        <v/>
      </c>
    </row>
    <row r="137" spans="1:16" x14ac:dyDescent="0.3">
      <c r="A137" t="str">
        <v>Mathias Delcroix</v>
      </c>
      <c r="B137" t="str">
        <v>Delcroix.dieter@hotmail.com</v>
      </c>
      <c r="C137" t="str">
        <v>+32487106040</v>
      </c>
      <c r="D137" t="str">
        <v/>
      </c>
      <c r="E137" s="2" t="str">
        <v/>
      </c>
      <c r="F137" t="str">
        <v>G12 Blauw HAANTJES CERTIFISC OUDENAARDE</v>
      </c>
      <c r="G137" t="str">
        <v>Speler</v>
      </c>
      <c r="J137" t="str">
        <f>Worksheet!C137&amp;" "&amp;Worksheet!B137</f>
        <v>Marieke De Boe</v>
      </c>
      <c r="K137" t="str">
        <f>Worksheet!AM137</f>
        <v/>
      </c>
      <c r="L137" t="str">
        <f>Worksheet!AN137</f>
        <v/>
      </c>
      <c r="M137" t="str">
        <f>IF(Worksheet!AE137="","",Worksheet!AE137)</f>
        <v/>
      </c>
      <c r="N137" t="str">
        <f>IF(Worksheet!AG137="","",Worksheet!AG137)</f>
        <v/>
      </c>
      <c r="O137" t="str">
        <f>IF(Worksheet!AJ137="","",Worksheet!AJ137)</f>
        <v/>
      </c>
      <c r="P137" t="str">
        <f>IF(Worksheet!AK137="","",Worksheet!AK137)</f>
        <v/>
      </c>
    </row>
    <row r="138" spans="1:16" x14ac:dyDescent="0.3">
      <c r="A138" t="str">
        <v>Mathias Delcroix</v>
      </c>
      <c r="B138" t="str">
        <v>Delcroix.dieter@hotmail.com</v>
      </c>
      <c r="C138" t="str">
        <v>+32487106040</v>
      </c>
      <c r="D138" t="str">
        <v/>
      </c>
      <c r="E138" s="2" t="str">
        <v/>
      </c>
      <c r="F138" t="str">
        <v>Zomerstage 2026 (Blankenberge)</v>
      </c>
      <c r="G138" t="str">
        <v>Speler</v>
      </c>
      <c r="J138" t="str">
        <f>Worksheet!C138&amp;" "&amp;Worksheet!B138</f>
        <v>Ria De Bosschere</v>
      </c>
      <c r="K138" t="str">
        <f>Worksheet!AM138</f>
        <v/>
      </c>
      <c r="L138" t="str">
        <f>Worksheet!AN138</f>
        <v>+32496034315</v>
      </c>
      <c r="M138" t="str">
        <f>IF(Worksheet!AE138="","",Worksheet!AE138)</f>
        <v/>
      </c>
      <c r="N138">
        <f>IF(Worksheet!AG138="","",Worksheet!AG138)</f>
        <v>661059</v>
      </c>
      <c r="O138" t="str">
        <f>IF(Worksheet!AJ138="","",Worksheet!AJ138)</f>
        <v/>
      </c>
      <c r="P138" t="str">
        <f>IF(Worksheet!AK138="","",Worksheet!AK138)</f>
        <v/>
      </c>
    </row>
    <row r="139" spans="1:16" x14ac:dyDescent="0.3">
      <c r="A139" t="str">
        <v>Lora Demets</v>
      </c>
      <c r="B139" t="str">
        <v>Lowie.demets@telenet.be</v>
      </c>
      <c r="C139" t="str">
        <v>+32474450168</v>
      </c>
      <c r="D139" t="str">
        <v/>
      </c>
      <c r="E139" s="2">
        <v>741137</v>
      </c>
      <c r="F139" t="str">
        <v>Zomerstage 2026 (Blankenberge)</v>
      </c>
      <c r="G139" t="str">
        <v>Speler</v>
      </c>
      <c r="J139" t="str">
        <f>Worksheet!C139&amp;" "&amp;Worksheet!B139</f>
        <v>David De Brabander</v>
      </c>
      <c r="K139" t="str">
        <f>Worksheet!AM139</f>
        <v/>
      </c>
      <c r="L139" t="str">
        <f>Worksheet!AN139</f>
        <v>+32478251758</v>
      </c>
      <c r="M139" t="str">
        <f>IF(Worksheet!AE139="","",Worksheet!AE139)</f>
        <v>https://app.twizzit.com/public/photos/4024795/s/7af12ff114d5d53515b4f220ddc6cdb6ff121519.png</v>
      </c>
      <c r="N139">
        <f>IF(Worksheet!AG139="","",Worksheet!AG139)</f>
        <v>32746</v>
      </c>
      <c r="O139" t="str">
        <f>IF(Worksheet!AJ139="","",Worksheet!AJ139)</f>
        <v>J21 A HAANTJES CERTIFISC OUDENAARDE</v>
      </c>
      <c r="P139" t="str">
        <f>IF(Worksheet!AK139="","",Worksheet!AK139)</f>
        <v>Coach</v>
      </c>
    </row>
    <row r="140" spans="1:16" x14ac:dyDescent="0.3">
      <c r="A140" t="str">
        <v>Lora Demets</v>
      </c>
      <c r="B140" t="str">
        <v>Lowie.demets@telenet.be</v>
      </c>
      <c r="C140" t="str">
        <v>+32474450168</v>
      </c>
      <c r="D140" t="str">
        <v/>
      </c>
      <c r="E140" s="2">
        <v>741137</v>
      </c>
      <c r="F140" t="str">
        <v>M19 A Haantjes CERTIFISC Oudenaarde</v>
      </c>
      <c r="G140" t="str">
        <v>Speler</v>
      </c>
      <c r="J140" t="str">
        <f>Worksheet!C140&amp;" "&amp;Worksheet!B140</f>
        <v>David De Brabander</v>
      </c>
      <c r="K140" t="str">
        <f>Worksheet!AM140</f>
        <v/>
      </c>
      <c r="L140" t="str">
        <f>Worksheet!AN140</f>
        <v>+32478251758</v>
      </c>
      <c r="M140" t="str">
        <f>IF(Worksheet!AE140="","",Worksheet!AE140)</f>
        <v>https://app.twizzit.com/public/photos/4024795/s/7af12ff114d5d53515b4f220ddc6cdb6ff121519.png</v>
      </c>
      <c r="N140">
        <f>IF(Worksheet!AG140="","",Worksheet!AG140)</f>
        <v>32746</v>
      </c>
      <c r="O140" t="str">
        <f>IF(Worksheet!AJ140="","",Worksheet!AJ140)</f>
        <v>Zomerstage 2026 (Blankenberge)</v>
      </c>
      <c r="P140" t="str">
        <f>IF(Worksheet!AK140="","",Worksheet!AK140)</f>
        <v>Coach</v>
      </c>
    </row>
    <row r="141" spans="1:16" x14ac:dyDescent="0.3">
      <c r="A141" t="str">
        <v>Omer Demets</v>
      </c>
      <c r="B141" t="str">
        <v>Lowie.demets@telenet.be</v>
      </c>
      <c r="C141" t="str">
        <v>+32474450168</v>
      </c>
      <c r="D141" t="str">
        <v/>
      </c>
      <c r="E141" s="2" t="str">
        <v/>
      </c>
      <c r="F141" t="str">
        <v>Zomerstage 2026 (Blankenberge)</v>
      </c>
      <c r="G141" t="str">
        <v>Speler</v>
      </c>
      <c r="J141" t="str">
        <f>Worksheet!C141&amp;" "&amp;Worksheet!B141</f>
        <v>David De Brabander</v>
      </c>
      <c r="K141" t="str">
        <f>Worksheet!AM141</f>
        <v/>
      </c>
      <c r="L141" t="str">
        <f>Worksheet!AN141</f>
        <v>+32478251758</v>
      </c>
      <c r="M141" t="str">
        <f>IF(Worksheet!AE141="","",Worksheet!AE141)</f>
        <v>https://app.twizzit.com/public/photos/4024795/s/7af12ff114d5d53515b4f220ddc6cdb6ff121519.png</v>
      </c>
      <c r="N141">
        <f>IF(Worksheet!AG141="","",Worksheet!AG141)</f>
        <v>32746</v>
      </c>
      <c r="O141" t="str">
        <f>IF(Worksheet!AJ141="","",Worksheet!AJ141)</f>
        <v>HSE B Haantjes Certifisc Oudenaarde</v>
      </c>
      <c r="P141" t="str">
        <f>IF(Worksheet!AK141="","",Worksheet!AK141)</f>
        <v>Coach</v>
      </c>
    </row>
    <row r="142" spans="1:16" x14ac:dyDescent="0.3">
      <c r="A142" t="str">
        <v>Omer Demets</v>
      </c>
      <c r="B142" t="str">
        <v>Lowie.demets@telenet.be</v>
      </c>
      <c r="C142" t="str">
        <v>+32474450168</v>
      </c>
      <c r="D142" t="str">
        <v/>
      </c>
      <c r="E142" s="2" t="str">
        <v/>
      </c>
      <c r="F142" t="str">
        <v>G12 Geel HAANTJES CERTIFISC OUDENAARDE</v>
      </c>
      <c r="G142" t="str">
        <v>Speler</v>
      </c>
      <c r="J142" t="str">
        <f>Worksheet!C142&amp;" "&amp;Worksheet!B142</f>
        <v>David De Brabander</v>
      </c>
      <c r="K142" t="str">
        <f>Worksheet!AM142</f>
        <v/>
      </c>
      <c r="L142" t="str">
        <f>Worksheet!AN142</f>
        <v>+32478251758</v>
      </c>
      <c r="M142" t="str">
        <f>IF(Worksheet!AE142="","",Worksheet!AE142)</f>
        <v>https://app.twizzit.com/public/photos/4024795/s/7af12ff114d5d53515b4f220ddc6cdb6ff121519.png</v>
      </c>
      <c r="N142">
        <f>IF(Worksheet!AG142="","",Worksheet!AG142)</f>
        <v>32746</v>
      </c>
      <c r="O142" t="str">
        <f>IF(Worksheet!AJ142="","",Worksheet!AJ142)</f>
        <v>J18 A Haantjes CERTIFISC Oudenaarde</v>
      </c>
      <c r="P142" t="str">
        <f>IF(Worksheet!AK142="","",Worksheet!AK142)</f>
        <v>Coach</v>
      </c>
    </row>
    <row r="143" spans="1:16" x14ac:dyDescent="0.3">
      <c r="A143" t="str">
        <v>Renée Deraedt</v>
      </c>
      <c r="B143" t="str">
        <v/>
      </c>
      <c r="C143" t="str">
        <v>+32477714035</v>
      </c>
      <c r="D143" t="str">
        <v>https://app.twizzit.com/public/photos/7328300/s/7e2d6dfb7100b0ca8feb8f22a68ce2009271348a.png</v>
      </c>
      <c r="E143" s="2" t="str">
        <v/>
      </c>
      <c r="F143" t="str">
        <v>M10 HAANTJES CERTIFISC OUDENAARDE</v>
      </c>
      <c r="G143" t="str">
        <v>Speler</v>
      </c>
      <c r="J143" t="str">
        <f>Worksheet!C143&amp;" "&amp;Worksheet!B143</f>
        <v>Milan De Brabander</v>
      </c>
      <c r="K143" t="str">
        <f>Worksheet!AM143</f>
        <v>de.brabander.david@telenet.be</v>
      </c>
      <c r="L143" t="str">
        <f>Worksheet!AN143</f>
        <v>+32468348603</v>
      </c>
      <c r="M143" t="str">
        <f>IF(Worksheet!AE143="","",Worksheet!AE143)</f>
        <v>https://app.twizzit.com/public/photos/3519915/s/cb4bbdba90c700302dcd9548901e284ce021df92.jpeg</v>
      </c>
      <c r="N143">
        <f>IF(Worksheet!AG143="","",Worksheet!AG143)</f>
        <v>748910</v>
      </c>
      <c r="O143" t="str">
        <f>IF(Worksheet!AJ143="","",Worksheet!AJ143)</f>
        <v>J18 A Haantjes CERTIFISC Oudenaarde</v>
      </c>
      <c r="P143" t="str">
        <f>IF(Worksheet!AK143="","",Worksheet!AK143)</f>
        <v>Speler</v>
      </c>
    </row>
    <row r="144" spans="1:16" x14ac:dyDescent="0.3">
      <c r="A144" t="str">
        <v>Renée Deraedt</v>
      </c>
      <c r="B144" t="str">
        <v/>
      </c>
      <c r="C144" t="str">
        <v>+32477714035</v>
      </c>
      <c r="D144" t="str">
        <v>https://app.twizzit.com/public/photos/7328300/s/7e2d6dfb7100b0ca8feb8f22a68ce2009271348a.png</v>
      </c>
      <c r="E144" s="2" t="str">
        <v/>
      </c>
      <c r="F144" t="str">
        <v>Zomerstage 2026 U10 &amp; U12 (Oudenaarde)</v>
      </c>
      <c r="G144" t="str">
        <v>Speler</v>
      </c>
      <c r="J144" t="str">
        <f>Worksheet!C144&amp;" "&amp;Worksheet!B144</f>
        <v>Milan De Brabander</v>
      </c>
      <c r="K144" t="str">
        <f>Worksheet!AM144</f>
        <v>de.brabander.david@telenet.be</v>
      </c>
      <c r="L144" t="str">
        <f>Worksheet!AN144</f>
        <v>+32468348603</v>
      </c>
      <c r="M144" t="str">
        <f>IF(Worksheet!AE144="","",Worksheet!AE144)</f>
        <v>https://app.twizzit.com/public/photos/3519915/s/cb4bbdba90c700302dcd9548901e284ce021df92.jpeg</v>
      </c>
      <c r="N144">
        <f>IF(Worksheet!AG144="","",Worksheet!AG144)</f>
        <v>748910</v>
      </c>
      <c r="O144" t="str">
        <f>IF(Worksheet!AJ144="","",Worksheet!AJ144)</f>
        <v>HSE B Haantjes Certifisc Oudenaarde</v>
      </c>
      <c r="P144" t="str">
        <f>IF(Worksheet!AK144="","",Worksheet!AK144)</f>
        <v>Speler</v>
      </c>
    </row>
    <row r="145" spans="1:16" x14ac:dyDescent="0.3">
      <c r="A145" t="str">
        <v>Quinten Derous</v>
      </c>
      <c r="B145" t="str">
        <v/>
      </c>
      <c r="C145" t="str">
        <v>+32468258571</v>
      </c>
      <c r="D145" t="str">
        <v/>
      </c>
      <c r="E145" s="2">
        <v>624753</v>
      </c>
      <c r="F145" t="str">
        <v>HSE A Haantjes Certifisc Oudenaarde</v>
      </c>
      <c r="G145" t="str">
        <v>Speler</v>
      </c>
      <c r="J145" t="str">
        <f>Worksheet!C145&amp;" "&amp;Worksheet!B145</f>
        <v>Norah De Cauwer</v>
      </c>
      <c r="K145" t="str">
        <f>Worksheet!AM145</f>
        <v>thomasdecauwer@msn.com</v>
      </c>
      <c r="L145" t="str">
        <f>Worksheet!AN145</f>
        <v>+32499380833</v>
      </c>
      <c r="M145" t="str">
        <f>IF(Worksheet!AE145="","",Worksheet!AE145)</f>
        <v/>
      </c>
      <c r="N145" t="str">
        <f>IF(Worksheet!AG145="","",Worksheet!AG145)</f>
        <v/>
      </c>
      <c r="O145" t="str">
        <f>IF(Worksheet!AJ145="","",Worksheet!AJ145)</f>
        <v/>
      </c>
      <c r="P145" t="str">
        <f>IF(Worksheet!AK145="","",Worksheet!AK145)</f>
        <v/>
      </c>
    </row>
    <row r="146" spans="1:16" x14ac:dyDescent="0.3">
      <c r="A146" t="str">
        <v>Vinke Derycke</v>
      </c>
      <c r="B146" t="str">
        <v>stevenderycke244@gmail.com</v>
      </c>
      <c r="C146" t="str">
        <v>+32496478968</v>
      </c>
      <c r="D146" t="str">
        <v/>
      </c>
      <c r="E146" s="2" t="str">
        <v/>
      </c>
      <c r="F146" t="str">
        <v>G12 Geel HAANTJES CERTIFISC OUDENAARDE</v>
      </c>
      <c r="G146" t="str">
        <v>Speler</v>
      </c>
      <c r="J146" t="str">
        <f>Worksheet!C146&amp;" "&amp;Worksheet!B146</f>
        <v xml:space="preserve">Camiel De Clercq </v>
      </c>
      <c r="K146" t="str">
        <f>Worksheet!AM146</f>
        <v/>
      </c>
      <c r="L146" t="str">
        <f>Worksheet!AN146</f>
        <v>+32499129081</v>
      </c>
      <c r="M146" t="str">
        <f>IF(Worksheet!AE146="","",Worksheet!AE146)</f>
        <v/>
      </c>
      <c r="N146" t="str">
        <f>IF(Worksheet!AG146="","",Worksheet!AG146)</f>
        <v/>
      </c>
      <c r="O146" t="str">
        <f>IF(Worksheet!AJ146="","",Worksheet!AJ146)</f>
        <v>HSE  C Haantjes Certifisc Oudenaarde</v>
      </c>
      <c r="P146" t="str">
        <f>IF(Worksheet!AK146="","",Worksheet!AK146)</f>
        <v>Speler</v>
      </c>
    </row>
    <row r="147" spans="1:16" x14ac:dyDescent="0.3">
      <c r="A147" t="str">
        <v>Vinke Derycke</v>
      </c>
      <c r="B147" t="str">
        <v>stevenderycke244@gmail.com</v>
      </c>
      <c r="C147" t="str">
        <v>+32496478968</v>
      </c>
      <c r="D147" t="str">
        <v/>
      </c>
      <c r="E147" s="2" t="str">
        <v/>
      </c>
      <c r="F147" t="str">
        <v>Zomerstage 2026 U10 &amp; U12 (Oudenaarde)</v>
      </c>
      <c r="G147" t="str">
        <v>Speler</v>
      </c>
      <c r="J147" t="str">
        <f>Worksheet!C147&amp;" "&amp;Worksheet!B147</f>
        <v>Lieven De Clercq</v>
      </c>
      <c r="K147" t="str">
        <f>Worksheet!AM147</f>
        <v/>
      </c>
      <c r="L147" t="str">
        <f>Worksheet!AN147</f>
        <v/>
      </c>
      <c r="M147" t="str">
        <f>IF(Worksheet!AE147="","",Worksheet!AE147)</f>
        <v/>
      </c>
      <c r="N147" t="str">
        <f>IF(Worksheet!AG147="","",Worksheet!AG147)</f>
        <v/>
      </c>
      <c r="O147" t="str">
        <f>IF(Worksheet!AJ147="","",Worksheet!AJ147)</f>
        <v/>
      </c>
      <c r="P147" t="str">
        <f>IF(Worksheet!AK147="","",Worksheet!AK147)</f>
        <v/>
      </c>
    </row>
    <row r="148" spans="1:16" x14ac:dyDescent="0.3">
      <c r="A148" t="str">
        <v>Ode Desmet</v>
      </c>
      <c r="B148" t="str">
        <v>freyamalfait@icloud.com</v>
      </c>
      <c r="C148" t="str">
        <v>+32472832063</v>
      </c>
      <c r="D148" t="str">
        <v>https://app.twizzit.com/public/photos/2650916/s/be89217f1fc3b11d85c4b13abcca39bae64798e5.png</v>
      </c>
      <c r="E148" s="2">
        <v>742234</v>
      </c>
      <c r="F148" t="str">
        <v>Zomerstage 2026 (Blankenberge)</v>
      </c>
      <c r="G148" t="str">
        <v>Speler</v>
      </c>
      <c r="J148" t="str">
        <f>Worksheet!C148&amp;" "&amp;Worksheet!B148</f>
        <v>Mathieu De Clercq</v>
      </c>
      <c r="K148" t="str">
        <f>Worksheet!AM148</f>
        <v/>
      </c>
      <c r="L148" t="str">
        <f>Worksheet!AN148</f>
        <v>+32495786491</v>
      </c>
      <c r="M148" t="str">
        <f>IF(Worksheet!AE148="","",Worksheet!AE148)</f>
        <v/>
      </c>
      <c r="N148">
        <f>IF(Worksheet!AG148="","",Worksheet!AG148)</f>
        <v>600191</v>
      </c>
      <c r="O148" t="str">
        <f>IF(Worksheet!AJ148="","",Worksheet!AJ148)</f>
        <v>HSE B Haantjes Certifisc Oudenaarde</v>
      </c>
      <c r="P148" t="str">
        <f>IF(Worksheet!AK148="","",Worksheet!AK148)</f>
        <v>Speler</v>
      </c>
    </row>
    <row r="149" spans="1:16" x14ac:dyDescent="0.3">
      <c r="A149" t="str">
        <v>Ode Desmet</v>
      </c>
      <c r="B149" t="str">
        <v>freyamalfait@icloud.com</v>
      </c>
      <c r="C149" t="str">
        <v>+32472832063</v>
      </c>
      <c r="D149" t="str">
        <v>https://app.twizzit.com/public/photos/2650916/s/be89217f1fc3b11d85c4b13abcca39bae64798e5.png</v>
      </c>
      <c r="E149" s="2">
        <v>742234</v>
      </c>
      <c r="F149" t="str">
        <v>M14 A Haantjes CERTIFISC  Oudenaarde</v>
      </c>
      <c r="G149" t="str">
        <v>Speler</v>
      </c>
      <c r="J149" t="str">
        <f>Worksheet!C149&amp;" "&amp;Worksheet!B149</f>
        <v>Robbe De Clercq</v>
      </c>
      <c r="K149" t="str">
        <f>Worksheet!AM149</f>
        <v/>
      </c>
      <c r="L149" t="str">
        <f>Worksheet!AN149</f>
        <v/>
      </c>
      <c r="M149" t="str">
        <f>IF(Worksheet!AE149="","",Worksheet!AE149)</f>
        <v/>
      </c>
      <c r="N149">
        <f>IF(Worksheet!AG149="","",Worksheet!AG149)</f>
        <v>631328</v>
      </c>
      <c r="O149" t="str">
        <f>IF(Worksheet!AJ149="","",Worksheet!AJ149)</f>
        <v>HSE  C Haantjes Certifisc Oudenaarde</v>
      </c>
      <c r="P149" t="str">
        <f>IF(Worksheet!AK149="","",Worksheet!AK149)</f>
        <v>Speler</v>
      </c>
    </row>
    <row r="150" spans="1:16" x14ac:dyDescent="0.3">
      <c r="A150" t="str">
        <v>Tibo Despriet</v>
      </c>
      <c r="B150" t="str">
        <v>Tibo.despriet@gmail.com</v>
      </c>
      <c r="C150" t="str">
        <v/>
      </c>
      <c r="D150" t="str">
        <v>https://app.twizzit.com/public/photos/3884890/s/99828396af5826db82003655528894a4f299045f.jpeg</v>
      </c>
      <c r="E150" s="2" t="str">
        <v/>
      </c>
      <c r="F150" t="str">
        <v>J16 A Haantjes CERTIFISC Oudenaarde</v>
      </c>
      <c r="G150" t="str">
        <v>Speler</v>
      </c>
      <c r="J150" t="str">
        <f>Worksheet!C150&amp;" "&amp;Worksheet!B150</f>
        <v>Tybe De Clercq</v>
      </c>
      <c r="K150" t="str">
        <f>Worksheet!AM150</f>
        <v>freyadesmet@hotmail.com</v>
      </c>
      <c r="L150" t="str">
        <f>Worksheet!AN150</f>
        <v>+32476214551</v>
      </c>
      <c r="M150" t="str">
        <f>IF(Worksheet!AE150="","",Worksheet!AE150)</f>
        <v/>
      </c>
      <c r="N150" t="str">
        <f>IF(Worksheet!AG150="","",Worksheet!AG150)</f>
        <v/>
      </c>
      <c r="O150" t="str">
        <f>IF(Worksheet!AJ150="","",Worksheet!AJ150)</f>
        <v>G08 Blauw HAANTJES CERTIFISC OUDENAARDE</v>
      </c>
      <c r="P150" t="str">
        <f>IF(Worksheet!AK150="","",Worksheet!AK150)</f>
        <v>Speler</v>
      </c>
    </row>
    <row r="151" spans="1:16" x14ac:dyDescent="0.3">
      <c r="A151" t="str">
        <v>Tibo Despriet</v>
      </c>
      <c r="B151" t="str">
        <v>Tibo.despriet@gmail.com</v>
      </c>
      <c r="C151" t="str">
        <v/>
      </c>
      <c r="D151" t="str">
        <v>https://app.twizzit.com/public/photos/3884890/s/99828396af5826db82003655528894a4f299045f.jpeg</v>
      </c>
      <c r="E151" s="2" t="str">
        <v/>
      </c>
      <c r="F151" t="str">
        <v>Zomerstage 2026 (Blankenberge)</v>
      </c>
      <c r="G151" t="str">
        <v>Speler</v>
      </c>
      <c r="J151" t="str">
        <f>Worksheet!C151&amp;" "&amp;Worksheet!B151</f>
        <v>Tybe De Clercq</v>
      </c>
      <c r="K151" t="str">
        <f>Worksheet!AM151</f>
        <v>freyadesmet@hotmail.com</v>
      </c>
      <c r="L151" t="str">
        <f>Worksheet!AN151</f>
        <v>+32476214551</v>
      </c>
      <c r="M151" t="str">
        <f>IF(Worksheet!AE151="","",Worksheet!AE151)</f>
        <v/>
      </c>
      <c r="N151" t="str">
        <f>IF(Worksheet!AG151="","",Worksheet!AG151)</f>
        <v/>
      </c>
      <c r="O151" t="str">
        <f>IF(Worksheet!AJ151="","",Worksheet!AJ151)</f>
        <v>Zomerstage 2026 U8 (Oudenaarde)</v>
      </c>
      <c r="P151" t="str">
        <f>IF(Worksheet!AK151="","",Worksheet!AK151)</f>
        <v>Speler</v>
      </c>
    </row>
    <row r="152" spans="1:16" x14ac:dyDescent="0.3">
      <c r="A152" t="str">
        <v>Alexis Devos</v>
      </c>
      <c r="B152" t="str">
        <v/>
      </c>
      <c r="C152" t="str">
        <v>+32495886987</v>
      </c>
      <c r="D152" t="str">
        <v>https://app.twizzit.com/public/photos/6106676/s/2ae43246aa8142b23f5743a7efbb9e280e512170.png</v>
      </c>
      <c r="E152" s="2">
        <v>763877</v>
      </c>
      <c r="F152" t="str">
        <v>G14 B Haantjes CERTIFISC Oudenaarde</v>
      </c>
      <c r="G152" t="str">
        <v>Speler</v>
      </c>
      <c r="J152" t="str">
        <f>Worksheet!C152&amp;" "&amp;Worksheet!B152</f>
        <v>Wim De Clercq</v>
      </c>
      <c r="K152" t="str">
        <f>Worksheet!AM152</f>
        <v/>
      </c>
      <c r="L152" t="str">
        <f>Worksheet!AN152</f>
        <v>+32475797952</v>
      </c>
      <c r="M152" t="str">
        <f>IF(Worksheet!AE152="","",Worksheet!AE152)</f>
        <v/>
      </c>
      <c r="N152">
        <f>IF(Worksheet!AG152="","",Worksheet!AG152)</f>
        <v>250423</v>
      </c>
      <c r="O152" t="str">
        <f>IF(Worksheet!AJ152="","",Worksheet!AJ152)</f>
        <v/>
      </c>
      <c r="P152" t="str">
        <f>IF(Worksheet!AK152="","",Worksheet!AK152)</f>
        <v/>
      </c>
    </row>
    <row r="153" spans="1:16" x14ac:dyDescent="0.3">
      <c r="A153" t="str">
        <v>Alexis Devos</v>
      </c>
      <c r="B153" t="str">
        <v/>
      </c>
      <c r="C153" t="str">
        <v>+32495886987</v>
      </c>
      <c r="D153" t="str">
        <v>https://app.twizzit.com/public/photos/6106676/s/2ae43246aa8142b23f5743a7efbb9e280e512170.png</v>
      </c>
      <c r="E153" s="2">
        <v>763877</v>
      </c>
      <c r="F153" t="str">
        <v>Zomerstage 2026 (Blankenberge)</v>
      </c>
      <c r="G153" t="str">
        <v>Speler</v>
      </c>
      <c r="J153" t="str">
        <f>Worksheet!C153&amp;" "&amp;Worksheet!B153</f>
        <v>Wim De Clercq</v>
      </c>
      <c r="K153" t="str">
        <f>Worksheet!AM153</f>
        <v/>
      </c>
      <c r="L153" t="str">
        <f>Worksheet!AN153</f>
        <v>+32475797952</v>
      </c>
      <c r="M153" t="str">
        <f>IF(Worksheet!AE153="","",Worksheet!AE153)</f>
        <v/>
      </c>
      <c r="N153">
        <f>IF(Worksheet!AG153="","",Worksheet!AG153)</f>
        <v>250423</v>
      </c>
      <c r="O153" t="str">
        <f>IF(Worksheet!AJ153="","",Worksheet!AJ153)</f>
        <v/>
      </c>
      <c r="P153" t="str">
        <f>IF(Worksheet!AK153="","",Worksheet!AK153)</f>
        <v/>
      </c>
    </row>
    <row r="154" spans="1:16" x14ac:dyDescent="0.3">
      <c r="A154" t="str">
        <v>Emmanuelle Dewaele</v>
      </c>
      <c r="B154" t="str">
        <v/>
      </c>
      <c r="C154" t="str">
        <v>+32498070140</v>
      </c>
      <c r="D154" t="str">
        <v/>
      </c>
      <c r="E154" s="2" t="str">
        <v/>
      </c>
      <c r="F154" t="str">
        <v>M12 A HAANTJES CERTIFISC OUDENAARDE</v>
      </c>
      <c r="G154" t="str">
        <v>Speler</v>
      </c>
      <c r="J154" t="str">
        <f>Worksheet!C154&amp;" "&amp;Worksheet!B154</f>
        <v>Maure De Coen</v>
      </c>
      <c r="K154" t="str">
        <f>Worksheet!AM154</f>
        <v>Achimdecoen@hotmail.com</v>
      </c>
      <c r="L154" t="str">
        <f>Worksheet!AN154</f>
        <v>+32479655812</v>
      </c>
      <c r="M154" t="str">
        <f>IF(Worksheet!AE154="","",Worksheet!AE154)</f>
        <v/>
      </c>
      <c r="N154" t="str">
        <f>IF(Worksheet!AG154="","",Worksheet!AG154)</f>
        <v/>
      </c>
      <c r="O154" t="str">
        <f>IF(Worksheet!AJ154="","",Worksheet!AJ154)</f>
        <v>M16 A Haantjes CERTIFISC  Oudenaarde</v>
      </c>
      <c r="P154" t="str">
        <f>IF(Worksheet!AK154="","",Worksheet!AK154)</f>
        <v>Speler</v>
      </c>
    </row>
    <row r="155" spans="1:16" x14ac:dyDescent="0.3">
      <c r="A155" t="str">
        <v>Nathan Dewaele</v>
      </c>
      <c r="B155" t="str">
        <v>wesleydewaele@yahoo.co.uk</v>
      </c>
      <c r="C155" t="str">
        <v>+32470540240</v>
      </c>
      <c r="D155" t="str">
        <v>https://app.twizzit.com/public/photos/2182816/s/c00a73a61de05b1991d5eac8f8ad498e97a90e40.png</v>
      </c>
      <c r="E155" s="2">
        <v>718781</v>
      </c>
      <c r="F155" t="str">
        <v>J16 A Haantjes CERTIFISC Oudenaarde</v>
      </c>
      <c r="G155" t="str">
        <v>Speler</v>
      </c>
      <c r="J155" t="str">
        <f>Worksheet!C155&amp;" "&amp;Worksheet!B155</f>
        <v>Mike De Coker</v>
      </c>
      <c r="K155" t="str">
        <f>Worksheet!AM155</f>
        <v/>
      </c>
      <c r="L155" t="str">
        <f>Worksheet!AN155</f>
        <v>+32472679659</v>
      </c>
      <c r="M155" t="str">
        <f>IF(Worksheet!AE155="","",Worksheet!AE155)</f>
        <v/>
      </c>
      <c r="N155">
        <f>IF(Worksheet!AG155="","",Worksheet!AG155)</f>
        <v>630887</v>
      </c>
      <c r="O155" t="str">
        <f>IF(Worksheet!AJ155="","",Worksheet!AJ155)</f>
        <v/>
      </c>
      <c r="P155" t="str">
        <f>IF(Worksheet!AK155="","",Worksheet!AK155)</f>
        <v/>
      </c>
    </row>
    <row r="156" spans="1:16" x14ac:dyDescent="0.3">
      <c r="A156" t="str">
        <v>Nathan Dewaele</v>
      </c>
      <c r="B156" t="str">
        <v>wesleydewaele@yahoo.co.uk</v>
      </c>
      <c r="C156" t="str">
        <v>+32470540240</v>
      </c>
      <c r="D156" t="str">
        <v>https://app.twizzit.com/public/photos/2182816/s/c00a73a61de05b1991d5eac8f8ad498e97a90e40.png</v>
      </c>
      <c r="E156" s="2">
        <v>718781</v>
      </c>
      <c r="F156" t="str">
        <v>Zomerstage 2026 (Blankenberge)</v>
      </c>
      <c r="G156" t="str">
        <v>Speler</v>
      </c>
      <c r="J156" t="str">
        <f>Worksheet!C156&amp;" "&amp;Worksheet!B156</f>
        <v>Billie De Coninck</v>
      </c>
      <c r="K156" t="str">
        <f>Worksheet!AM156</f>
        <v>kinoo.astrid@hotmail.com</v>
      </c>
      <c r="L156" t="str">
        <f>Worksheet!AN156</f>
        <v>+32489941519</v>
      </c>
      <c r="M156" t="str">
        <f>IF(Worksheet!AE156="","",Worksheet!AE156)</f>
        <v/>
      </c>
      <c r="N156" t="str">
        <f>IF(Worksheet!AG156="","",Worksheet!AG156)</f>
        <v/>
      </c>
      <c r="O156" t="str">
        <f>IF(Worksheet!AJ156="","",Worksheet!AJ156)</f>
        <v/>
      </c>
      <c r="P156" t="str">
        <f>IF(Worksheet!AK156="","",Worksheet!AK156)</f>
        <v/>
      </c>
    </row>
    <row r="157" spans="1:16" x14ac:dyDescent="0.3">
      <c r="A157" t="str">
        <v>Jules Dewilde</v>
      </c>
      <c r="B157" t="str">
        <v>niekdewilde@hotmail.be</v>
      </c>
      <c r="C157" t="str">
        <v>+32474562569</v>
      </c>
      <c r="D157" t="str">
        <v/>
      </c>
      <c r="E157" s="2" t="str">
        <v/>
      </c>
      <c r="F157" t="str">
        <v>G14 A Haantjes CERTIFISC Oudenaarde</v>
      </c>
      <c r="G157" t="str">
        <v>Speler</v>
      </c>
      <c r="J157" t="str">
        <f>Worksheet!C157&amp;" "&amp;Worksheet!B157</f>
        <v>Minne De Coninck</v>
      </c>
      <c r="K157" t="str">
        <f>Worksheet!AM157</f>
        <v>joosdeconinck@hotmail.com</v>
      </c>
      <c r="L157" t="str">
        <f>Worksheet!AN157</f>
        <v>+32479602944</v>
      </c>
      <c r="M157" t="str">
        <f>IF(Worksheet!AE157="","",Worksheet!AE157)</f>
        <v/>
      </c>
      <c r="N157">
        <f>IF(Worksheet!AG157="","",Worksheet!AG157)</f>
        <v>762628</v>
      </c>
      <c r="O157" t="str">
        <f>IF(Worksheet!AJ157="","",Worksheet!AJ157)</f>
        <v>M12 A HAANTJES CERTIFISC OUDENAARDE</v>
      </c>
      <c r="P157" t="str">
        <f>IF(Worksheet!AK157="","",Worksheet!AK157)</f>
        <v>Speler</v>
      </c>
    </row>
    <row r="158" spans="1:16" x14ac:dyDescent="0.3">
      <c r="A158" t="str">
        <v>Jules Dewilde</v>
      </c>
      <c r="B158" t="str">
        <v>niekdewilde@hotmail.be</v>
      </c>
      <c r="C158" t="str">
        <v>+32474562569</v>
      </c>
      <c r="D158" t="str">
        <v/>
      </c>
      <c r="E158" s="2" t="str">
        <v/>
      </c>
      <c r="F158" t="str">
        <v>Zomerstage 2026 (Blankenberge)</v>
      </c>
      <c r="G158" t="str">
        <v>Speler</v>
      </c>
      <c r="J158" t="str">
        <f>Worksheet!C158&amp;" "&amp;Worksheet!B158</f>
        <v>Len De Coussemaker</v>
      </c>
      <c r="K158" t="str">
        <f>Worksheet!AM158</f>
        <v>kristien.vdv@telenet.be</v>
      </c>
      <c r="L158" t="str">
        <f>Worksheet!AN158</f>
        <v>+32468280854</v>
      </c>
      <c r="M158" t="str">
        <f>IF(Worksheet!AE158="","",Worksheet!AE158)</f>
        <v>https://app.twizzit.com/public/photos/2182636/s/ac8133dfa6021f95e4cb86240c3d9e68218f8a83.png</v>
      </c>
      <c r="N158">
        <f>IF(Worksheet!AG158="","",Worksheet!AG158)</f>
        <v>717356</v>
      </c>
      <c r="O158" t="str">
        <f>IF(Worksheet!AJ158="","",Worksheet!AJ158)</f>
        <v>J16 B Haantjes CERTIFISC Oudenaarde</v>
      </c>
      <c r="P158" t="str">
        <f>IF(Worksheet!AK158="","",Worksheet!AK158)</f>
        <v>Speler</v>
      </c>
    </row>
    <row r="159" spans="1:16" x14ac:dyDescent="0.3">
      <c r="A159" t="str">
        <v>Jarno Dhont</v>
      </c>
      <c r="B159" t="str">
        <v>dhont.lieven1@gmail.com</v>
      </c>
      <c r="C159" t="str">
        <v>+32468292174</v>
      </c>
      <c r="D159" t="str">
        <v/>
      </c>
      <c r="E159" s="2">
        <v>658022</v>
      </c>
      <c r="F159" t="str">
        <v>HSE  C Haantjes Certifisc Oudenaarde</v>
      </c>
      <c r="G159" t="str">
        <v>Speler</v>
      </c>
      <c r="J159" t="str">
        <f>Worksheet!C159&amp;" "&amp;Worksheet!B159</f>
        <v>Len De Coussemaker</v>
      </c>
      <c r="K159" t="str">
        <f>Worksheet!AM159</f>
        <v>kristien.vdv@telenet.be</v>
      </c>
      <c r="L159" t="str">
        <f>Worksheet!AN159</f>
        <v>+32468280854</v>
      </c>
      <c r="M159" t="str">
        <f>IF(Worksheet!AE159="","",Worksheet!AE159)</f>
        <v>https://app.twizzit.com/public/photos/2182636/s/ac8133dfa6021f95e4cb86240c3d9e68218f8a83.png</v>
      </c>
      <c r="N159">
        <f>IF(Worksheet!AG159="","",Worksheet!AG159)</f>
        <v>717356</v>
      </c>
      <c r="O159" t="str">
        <f>IF(Worksheet!AJ159="","",Worksheet!AJ159)</f>
        <v>Zomerstage 2026 (Blankenberge)</v>
      </c>
      <c r="P159" t="str">
        <f>IF(Worksheet!AK159="","",Worksheet!AK159)</f>
        <v>Speler</v>
      </c>
    </row>
    <row r="160" spans="1:16" x14ac:dyDescent="0.3">
      <c r="A160" t="str">
        <v>Kenneth Dhont</v>
      </c>
      <c r="B160" t="str">
        <v/>
      </c>
      <c r="C160" t="str">
        <v>+32477485789</v>
      </c>
      <c r="D160" t="str">
        <v/>
      </c>
      <c r="E160" s="2">
        <v>50455</v>
      </c>
      <c r="F160" t="str">
        <v>Zomerstage 2026 (Blankenberge)</v>
      </c>
      <c r="G160" t="str">
        <v>Coach</v>
      </c>
      <c r="J160" t="str">
        <f>Worksheet!C160&amp;" "&amp;Worksheet!B160</f>
        <v>Niels De Coussemaker</v>
      </c>
      <c r="K160" t="str">
        <f>Worksheet!AM160</f>
        <v>kristien@coussies.be</v>
      </c>
      <c r="L160" t="str">
        <f>Worksheet!AN160</f>
        <v>+32490195438</v>
      </c>
      <c r="M160" t="str">
        <f>IF(Worksheet!AE160="","",Worksheet!AE160)</f>
        <v>https://app.twizzit.com/public/photos/2182641/s/bc2ed87ccb6bf61129b3522eabde4c5cff856719.png</v>
      </c>
      <c r="N160">
        <f>IF(Worksheet!AG160="","",Worksheet!AG160)</f>
        <v>708695</v>
      </c>
      <c r="O160" t="str">
        <f>IF(Worksheet!AJ160="","",Worksheet!AJ160)</f>
        <v>J18 B Haantjes CERTIFISC Oudenaarde</v>
      </c>
      <c r="P160" t="str">
        <f>IF(Worksheet!AK160="","",Worksheet!AK160)</f>
        <v>Speler</v>
      </c>
    </row>
    <row r="161" spans="1:16" x14ac:dyDescent="0.3">
      <c r="A161" t="str">
        <v>Kenneth Dhont</v>
      </c>
      <c r="B161" t="str">
        <v/>
      </c>
      <c r="C161" t="str">
        <v>+32477485789</v>
      </c>
      <c r="D161" t="str">
        <v/>
      </c>
      <c r="E161" s="2">
        <v>50455</v>
      </c>
      <c r="F161" t="str">
        <v>Zomerstage 2026 U8 (Oudenaarde)</v>
      </c>
      <c r="G161" t="str">
        <v>Coach</v>
      </c>
      <c r="J161" t="str">
        <f>Worksheet!C161&amp;" "&amp;Worksheet!B161</f>
        <v>Niels De Coussemaker</v>
      </c>
      <c r="K161" t="str">
        <f>Worksheet!AM161</f>
        <v>kristien@coussies.be</v>
      </c>
      <c r="L161" t="str">
        <f>Worksheet!AN161</f>
        <v>+32490195438</v>
      </c>
      <c r="M161" t="str">
        <f>IF(Worksheet!AE161="","",Worksheet!AE161)</f>
        <v>https://app.twizzit.com/public/photos/2182641/s/bc2ed87ccb6bf61129b3522eabde4c5cff856719.png</v>
      </c>
      <c r="N161">
        <f>IF(Worksheet!AG161="","",Worksheet!AG161)</f>
        <v>708695</v>
      </c>
      <c r="O161" t="str">
        <f>IF(Worksheet!AJ161="","",Worksheet!AJ161)</f>
        <v>Zomerstage 2026 (Blankenberge)</v>
      </c>
      <c r="P161" t="str">
        <f>IF(Worksheet!AK161="","",Worksheet!AK161)</f>
        <v>Speler</v>
      </c>
    </row>
    <row r="162" spans="1:16" x14ac:dyDescent="0.3">
      <c r="A162" t="str">
        <v>Kenneth Dhont</v>
      </c>
      <c r="B162" t="str">
        <v/>
      </c>
      <c r="C162" t="str">
        <v>+32477485789</v>
      </c>
      <c r="D162" t="str">
        <v/>
      </c>
      <c r="E162" s="2">
        <v>50455</v>
      </c>
      <c r="F162" t="str">
        <v>Zomerstage 2026 U10 &amp; U12 (Oudenaarde)</v>
      </c>
      <c r="G162" t="str">
        <v>Coach</v>
      </c>
      <c r="J162" t="str">
        <f>Worksheet!C162&amp;" "&amp;Worksheet!B162</f>
        <v>Cécile De Groote Hoebeke</v>
      </c>
      <c r="K162" t="str">
        <f>Worksheet!AM162</f>
        <v>hoebekehanne@gmail.com</v>
      </c>
      <c r="L162" t="str">
        <f>Worksheet!AN162</f>
        <v>+32473630733</v>
      </c>
      <c r="M162" t="str">
        <f>IF(Worksheet!AE162="","",Worksheet!AE162)</f>
        <v/>
      </c>
      <c r="N162" t="str">
        <f>IF(Worksheet!AG162="","",Worksheet!AG162)</f>
        <v/>
      </c>
      <c r="O162" t="str">
        <f>IF(Worksheet!AJ162="","",Worksheet!AJ162)</f>
        <v>Balschool U6</v>
      </c>
      <c r="P162" t="str">
        <f>IF(Worksheet!AK162="","",Worksheet!AK162)</f>
        <v>Speler</v>
      </c>
    </row>
    <row r="163" spans="1:16" x14ac:dyDescent="0.3">
      <c r="A163" t="str">
        <v>Kenneth Dhont</v>
      </c>
      <c r="B163" t="str">
        <v/>
      </c>
      <c r="C163" t="str">
        <v>+32477485789</v>
      </c>
      <c r="D163" t="str">
        <v/>
      </c>
      <c r="E163" s="2">
        <v>50455</v>
      </c>
      <c r="F163" t="str">
        <v>M19 A Haantjes CERTIFISC Oudenaarde</v>
      </c>
      <c r="G163" t="str">
        <v>Coach</v>
      </c>
      <c r="J163" t="str">
        <f>Worksheet!C163&amp;" "&amp;Worksheet!B163</f>
        <v>Madelein De Groote Hoebeke</v>
      </c>
      <c r="K163" t="str">
        <f>Worksheet!AM163</f>
        <v>hoebekehanne@gmail.com</v>
      </c>
      <c r="L163" t="str">
        <f>Worksheet!AN163</f>
        <v>+32473630733</v>
      </c>
      <c r="M163" t="str">
        <f>IF(Worksheet!AE163="","",Worksheet!AE163)</f>
        <v>https://app.twizzit.com/public/photos/7992432/s/9093b3c321ebca1981daea541211e5a7f8dcd3e7.png</v>
      </c>
      <c r="N163" t="str">
        <f>IF(Worksheet!AG163="","",Worksheet!AG163)</f>
        <v/>
      </c>
      <c r="O163" t="str">
        <f>IF(Worksheet!AJ163="","",Worksheet!AJ163)</f>
        <v>G08 Geel HAANTJES CERTIFISC OUDENAARDE</v>
      </c>
      <c r="P163" t="str">
        <f>IF(Worksheet!AK163="","",Worksheet!AK163)</f>
        <v>Speler</v>
      </c>
    </row>
    <row r="164" spans="1:16" x14ac:dyDescent="0.3">
      <c r="A164" t="str">
        <v>Kenneth Dhont</v>
      </c>
      <c r="B164" t="str">
        <v/>
      </c>
      <c r="C164" t="str">
        <v>+32477485789</v>
      </c>
      <c r="D164" t="str">
        <v/>
      </c>
      <c r="E164" s="2">
        <v>50455</v>
      </c>
      <c r="F164" t="str">
        <v>G12 Blauw HAANTJES CERTIFISC OUDENAARDE</v>
      </c>
      <c r="G164" t="str">
        <v>Coach</v>
      </c>
      <c r="J164" t="str">
        <f>Worksheet!C164&amp;" "&amp;Worksheet!B164</f>
        <v>Mary-Lou De Keukeleire</v>
      </c>
      <c r="K164" t="str">
        <f>Worksheet!AM164</f>
        <v/>
      </c>
      <c r="L164" t="str">
        <f>Worksheet!AN164</f>
        <v>+32498363470</v>
      </c>
      <c r="M164" t="str">
        <f>IF(Worksheet!AE164="","",Worksheet!AE164)</f>
        <v>https://app.twizzit.com/public/photos/7663442/s/a1e4c1d99d71fda9ac80bca383a3ddb377005195.png</v>
      </c>
      <c r="N164">
        <f>IF(Worksheet!AG164="","",Worksheet!AG164)</f>
        <v>766478</v>
      </c>
      <c r="O164" t="str">
        <f>IF(Worksheet!AJ164="","",Worksheet!AJ164)</f>
        <v>M12 A HAANTJES CERTIFISC OUDENAARDE</v>
      </c>
      <c r="P164" t="str">
        <f>IF(Worksheet!AK164="","",Worksheet!AK164)</f>
        <v>Speler</v>
      </c>
    </row>
    <row r="165" spans="1:16" x14ac:dyDescent="0.3">
      <c r="A165" t="str">
        <v>Mathis Dhont</v>
      </c>
      <c r="B165" t="str">
        <v/>
      </c>
      <c r="C165" t="str">
        <v/>
      </c>
      <c r="D165" t="str">
        <v/>
      </c>
      <c r="E165" s="2">
        <v>660481</v>
      </c>
      <c r="F165" t="str">
        <v>HSE  C Haantjes Certifisc Oudenaarde</v>
      </c>
      <c r="G165" t="str">
        <v>Speler</v>
      </c>
      <c r="J165" t="str">
        <f>Worksheet!C165&amp;" "&amp;Worksheet!B165</f>
        <v>Jan De Keyser</v>
      </c>
      <c r="K165" t="str">
        <f>Worksheet!AM165</f>
        <v/>
      </c>
      <c r="L165" t="str">
        <f>Worksheet!AN165</f>
        <v>+32486971134</v>
      </c>
      <c r="M165" t="str">
        <f>IF(Worksheet!AE165="","",Worksheet!AE165)</f>
        <v/>
      </c>
      <c r="N165">
        <f>IF(Worksheet!AG165="","",Worksheet!AG165)</f>
        <v>219616</v>
      </c>
      <c r="O165" t="str">
        <f>IF(Worksheet!AJ165="","",Worksheet!AJ165)</f>
        <v/>
      </c>
      <c r="P165" t="str">
        <f>IF(Worksheet!AK165="","",Worksheet!AK165)</f>
        <v/>
      </c>
    </row>
    <row r="166" spans="1:16" x14ac:dyDescent="0.3">
      <c r="A166" t="str">
        <v>Marco Dick</v>
      </c>
      <c r="B166" t="str">
        <v/>
      </c>
      <c r="C166" t="str">
        <v>+32499754251</v>
      </c>
      <c r="D166" t="str">
        <v/>
      </c>
      <c r="E166" s="2">
        <v>633923</v>
      </c>
      <c r="F166" t="str">
        <v>HSE A Haantjes Certifisc Oudenaarde</v>
      </c>
      <c r="G166" t="str">
        <v>Speler</v>
      </c>
      <c r="J166" t="str">
        <f>Worksheet!C166&amp;" "&amp;Worksheet!B166</f>
        <v>Thomas De Keyzer</v>
      </c>
      <c r="K166" t="str">
        <f>Worksheet!AM166</f>
        <v>maritadeclercq@gmail.com</v>
      </c>
      <c r="L166" t="str">
        <f>Worksheet!AN166</f>
        <v/>
      </c>
      <c r="M166" t="str">
        <f>IF(Worksheet!AE166="","",Worksheet!AE166)</f>
        <v/>
      </c>
      <c r="N166" t="str">
        <f>IF(Worksheet!AG166="","",Worksheet!AG166)</f>
        <v/>
      </c>
      <c r="O166" t="str">
        <f>IF(Worksheet!AJ166="","",Worksheet!AJ166)</f>
        <v/>
      </c>
      <c r="P166" t="str">
        <f>IF(Worksheet!AK166="","",Worksheet!AK166)</f>
        <v/>
      </c>
    </row>
    <row r="167" spans="1:16" x14ac:dyDescent="0.3">
      <c r="A167" t="str">
        <v>Pieter Diependaele</v>
      </c>
      <c r="B167" t="str">
        <v>coachpieter.basket@gmail.com</v>
      </c>
      <c r="C167" t="str">
        <v>+32479044986</v>
      </c>
      <c r="D167" t="str">
        <v>https://app.twizzit.com/public/photos/3239965/s/944ad53074c1441abd98efedc98fef813d2f093f.png</v>
      </c>
      <c r="E167" s="2">
        <v>658023</v>
      </c>
      <c r="F167" t="str">
        <v>J21 A HAANTJES CERTIFISC OUDENAARDE</v>
      </c>
      <c r="G167" t="str">
        <v>Speler</v>
      </c>
      <c r="J167" t="str">
        <f>Worksheet!C167&amp;" "&amp;Worksheet!B167</f>
        <v>Gaëlle de la Rivière</v>
      </c>
      <c r="K167" t="str">
        <f>Worksheet!AM167</f>
        <v>dlrgeoffrey@gmail.com</v>
      </c>
      <c r="L167" t="str">
        <f>Worksheet!AN167</f>
        <v>+32494773553</v>
      </c>
      <c r="M167" t="str">
        <f>IF(Worksheet!AE167="","",Worksheet!AE167)</f>
        <v/>
      </c>
      <c r="N167" t="str">
        <f>IF(Worksheet!AG167="","",Worksheet!AG167)</f>
        <v/>
      </c>
      <c r="O167" t="str">
        <f>IF(Worksheet!AJ167="","",Worksheet!AJ167)</f>
        <v>M12 A HAANTJES CERTIFISC OUDENAARDE</v>
      </c>
      <c r="P167" t="str">
        <f>IF(Worksheet!AK167="","",Worksheet!AK167)</f>
        <v>Speler</v>
      </c>
    </row>
    <row r="168" spans="1:16" x14ac:dyDescent="0.3">
      <c r="A168" t="str">
        <v>Cérile Doublet</v>
      </c>
      <c r="B168" t="str">
        <v>doubletbenoit@msn.com</v>
      </c>
      <c r="C168" t="str">
        <v>+32472578222</v>
      </c>
      <c r="D168" t="str">
        <v/>
      </c>
      <c r="E168" s="2" t="str">
        <v/>
      </c>
      <c r="F168" t="str">
        <v>Balschool U6</v>
      </c>
      <c r="G168" t="str">
        <v>Speler</v>
      </c>
      <c r="J168" t="str">
        <f>Worksheet!C168&amp;" "&amp;Worksheet!B168</f>
        <v>Geoffrey de la Rivière</v>
      </c>
      <c r="K168" t="str">
        <f>Worksheet!AM168</f>
        <v/>
      </c>
      <c r="L168" t="str">
        <f>Worksheet!AN168</f>
        <v>+32494773553</v>
      </c>
      <c r="M168" t="str">
        <f>IF(Worksheet!AE168="","",Worksheet!AE168)</f>
        <v/>
      </c>
      <c r="N168" t="str">
        <f>IF(Worksheet!AG168="","",Worksheet!AG168)</f>
        <v/>
      </c>
      <c r="O168" t="str">
        <f>IF(Worksheet!AJ168="","",Worksheet!AJ168)</f>
        <v/>
      </c>
      <c r="P168" t="str">
        <f>IF(Worksheet!AK168="","",Worksheet!AK168)</f>
        <v/>
      </c>
    </row>
    <row r="169" spans="1:16" x14ac:dyDescent="0.3">
      <c r="A169" t="str">
        <v>Emmanuel Dull</v>
      </c>
      <c r="B169" t="str">
        <v/>
      </c>
      <c r="C169" t="str">
        <v>+32472172783</v>
      </c>
      <c r="D169" t="str">
        <v/>
      </c>
      <c r="E169" s="2" t="str">
        <v/>
      </c>
      <c r="F169" t="str">
        <v>J16 B Haantjes CERTIFISC Oudenaarde</v>
      </c>
      <c r="G169" t="str">
        <v>Speler</v>
      </c>
      <c r="J169" t="str">
        <f>Worksheet!C169&amp;" "&amp;Worksheet!B169</f>
        <v>Mauro De Leersnyder</v>
      </c>
      <c r="K169" t="str">
        <f>Worksheet!AM169</f>
        <v>joke.toye@gmail.com</v>
      </c>
      <c r="L169" t="str">
        <f>Worksheet!AN169</f>
        <v>+32475403946</v>
      </c>
      <c r="M169" t="str">
        <f>IF(Worksheet!AE169="","",Worksheet!AE169)</f>
        <v/>
      </c>
      <c r="N169" t="str">
        <f>IF(Worksheet!AG169="","",Worksheet!AG169)</f>
        <v/>
      </c>
      <c r="O169" t="str">
        <f>IF(Worksheet!AJ169="","",Worksheet!AJ169)</f>
        <v>Balschool U6</v>
      </c>
      <c r="P169" t="str">
        <f>IF(Worksheet!AK169="","",Worksheet!AK169)</f>
        <v>Speler</v>
      </c>
    </row>
    <row r="170" spans="1:16" x14ac:dyDescent="0.3">
      <c r="A170" t="str">
        <v>Gust Dupont</v>
      </c>
      <c r="B170" t="str">
        <v>sarah.verhellen@hotmail.com</v>
      </c>
      <c r="C170" t="str">
        <v>+32470112368</v>
      </c>
      <c r="D170" t="str">
        <v/>
      </c>
      <c r="E170" s="2" t="str">
        <v/>
      </c>
      <c r="F170" t="str">
        <v>G08 Geel HAANTJES CERTIFISC OUDENAARDE</v>
      </c>
      <c r="G170" t="str">
        <v>Speler</v>
      </c>
      <c r="J170" t="str">
        <f>Worksheet!C170&amp;" "&amp;Worksheet!B170</f>
        <v>Niels De Lepeleire</v>
      </c>
      <c r="K170" t="str">
        <f>Worksheet!AM170</f>
        <v/>
      </c>
      <c r="L170" t="str">
        <f>Worksheet!AN170</f>
        <v>+32470775058</v>
      </c>
      <c r="M170" t="str">
        <f>IF(Worksheet!AE170="","",Worksheet!AE170)</f>
        <v/>
      </c>
      <c r="N170">
        <f>IF(Worksheet!AG170="","",Worksheet!AG170)</f>
        <v>213745</v>
      </c>
      <c r="O170" t="str">
        <f>IF(Worksheet!AJ170="","",Worksheet!AJ170)</f>
        <v>HSE A Haantjes Certifisc Oudenaarde</v>
      </c>
      <c r="P170" t="str">
        <f>IF(Worksheet!AK170="","",Worksheet!AK170)</f>
        <v>Speler</v>
      </c>
    </row>
    <row r="171" spans="1:16" x14ac:dyDescent="0.3">
      <c r="A171" t="str">
        <v>Egemen Durhan</v>
      </c>
      <c r="B171" t="str">
        <v>ibosabrie06@gmail.com</v>
      </c>
      <c r="C171" t="str">
        <v>+32491630885</v>
      </c>
      <c r="D171" t="str">
        <v>https://app.twizzit.com/public/photos/5748750/s/6a03612f72e189fb2a542ac535552aede78aad3f.png</v>
      </c>
      <c r="E171" s="2" t="str">
        <v/>
      </c>
      <c r="F171" t="str">
        <v>G10 Blauw HAANTJES CERTIFISC OUDENAARDE</v>
      </c>
      <c r="G171" t="str">
        <v>Speler</v>
      </c>
      <c r="J171" t="str">
        <f>Worksheet!C171&amp;" "&amp;Worksheet!B171</f>
        <v>Niels De Lepeleire</v>
      </c>
      <c r="K171" t="str">
        <f>Worksheet!AM171</f>
        <v/>
      </c>
      <c r="L171" t="str">
        <f>Worksheet!AN171</f>
        <v>+32470775058</v>
      </c>
      <c r="M171" t="str">
        <f>IF(Worksheet!AE171="","",Worksheet!AE171)</f>
        <v/>
      </c>
      <c r="N171">
        <f>IF(Worksheet!AG171="","",Worksheet!AG171)</f>
        <v>213745</v>
      </c>
      <c r="O171" t="str">
        <f>IF(Worksheet!AJ171="","",Worksheet!AJ171)</f>
        <v>J16 B Haantjes CERTIFISC Oudenaarde</v>
      </c>
      <c r="P171" t="str">
        <f>IF(Worksheet!AK171="","",Worksheet!AK171)</f>
        <v>Coach</v>
      </c>
    </row>
    <row r="172" spans="1:16" x14ac:dyDescent="0.3">
      <c r="A172" t="str">
        <v>Cas Elyn</v>
      </c>
      <c r="B172" t="str">
        <v>lievemoyaert@icloud.com</v>
      </c>
      <c r="C172" t="str">
        <v>+32495653737</v>
      </c>
      <c r="D172" t="str">
        <v/>
      </c>
      <c r="E172" s="2" t="str">
        <v/>
      </c>
      <c r="F172" t="str">
        <v>Balschool U6</v>
      </c>
      <c r="G172" t="str">
        <v>Speler</v>
      </c>
      <c r="J172" t="str">
        <f>Worksheet!C172&amp;" "&amp;Worksheet!B172</f>
        <v>Niels De Lepeleire</v>
      </c>
      <c r="K172" t="str">
        <f>Worksheet!AM172</f>
        <v/>
      </c>
      <c r="L172" t="str">
        <f>Worksheet!AN172</f>
        <v>+32470775058</v>
      </c>
      <c r="M172" t="str">
        <f>IF(Worksheet!AE172="","",Worksheet!AE172)</f>
        <v/>
      </c>
      <c r="N172">
        <f>IF(Worksheet!AG172="","",Worksheet!AG172)</f>
        <v>213745</v>
      </c>
      <c r="O172" t="str">
        <f>IF(Worksheet!AJ172="","",Worksheet!AJ172)</f>
        <v>G12 Geel HAANTJES CERTIFISC OUDENAARDE</v>
      </c>
      <c r="P172" t="str">
        <f>IF(Worksheet!AK172="","",Worksheet!AK172)</f>
        <v>Coach</v>
      </c>
    </row>
    <row r="173" spans="1:16" x14ac:dyDescent="0.3">
      <c r="A173" t="str">
        <v>Miel Elyn</v>
      </c>
      <c r="B173" t="str">
        <v>Lievemoyaert@icloud.com</v>
      </c>
      <c r="C173" t="str">
        <v/>
      </c>
      <c r="D173" t="str">
        <v/>
      </c>
      <c r="E173" s="2" t="str">
        <v/>
      </c>
      <c r="F173" t="str">
        <v>G10 Geel HAANTJES CERTIFISC OUDENAARDE</v>
      </c>
      <c r="G173" t="str">
        <v>Speler</v>
      </c>
      <c r="J173" t="str">
        <f>Worksheet!C173&amp;" "&amp;Worksheet!B173</f>
        <v>Leon De Maertelaere</v>
      </c>
      <c r="K173" t="str">
        <f>Worksheet!AM173</f>
        <v>valerie_glorieux@hotmail.com</v>
      </c>
      <c r="L173" t="str">
        <f>Worksheet!AN173</f>
        <v>+324721630933</v>
      </c>
      <c r="M173" t="str">
        <f>IF(Worksheet!AE173="","",Worksheet!AE173)</f>
        <v>https://app.twizzit.com/public/photos/2650646/s/56772b58320eb18076cfee29ed253bb014e8ad21.png</v>
      </c>
      <c r="N173">
        <f>IF(Worksheet!AG173="","",Worksheet!AG173)</f>
        <v>742106</v>
      </c>
      <c r="O173" t="str">
        <f>IF(Worksheet!AJ173="","",Worksheet!AJ173)</f>
        <v/>
      </c>
      <c r="P173" t="str">
        <f>IF(Worksheet!AK173="","",Worksheet!AK173)</f>
        <v/>
      </c>
    </row>
    <row r="174" spans="1:16" x14ac:dyDescent="0.3">
      <c r="A174" t="str">
        <v>Miel Elyn</v>
      </c>
      <c r="B174" t="str">
        <v>Lievemoyaert@icloud.com</v>
      </c>
      <c r="C174" t="str">
        <v/>
      </c>
      <c r="D174" t="str">
        <v/>
      </c>
      <c r="E174" s="2" t="str">
        <v/>
      </c>
      <c r="F174" t="str">
        <v>Zomerstage 2026 U10 &amp; U12 (Oudenaarde)</v>
      </c>
      <c r="G174" t="str">
        <v>Speler</v>
      </c>
      <c r="J174" t="str">
        <f>Worksheet!C174&amp;" "&amp;Worksheet!B174</f>
        <v>Siebe De Meyer</v>
      </c>
      <c r="K174" t="str">
        <f>Worksheet!AM174</f>
        <v/>
      </c>
      <c r="L174" t="str">
        <f>Worksheet!AN174</f>
        <v/>
      </c>
      <c r="M174" t="str">
        <f>IF(Worksheet!AE174="","",Worksheet!AE174)</f>
        <v/>
      </c>
      <c r="N174">
        <f>IF(Worksheet!AG174="","",Worksheet!AG174)</f>
        <v>655853</v>
      </c>
      <c r="O174" t="str">
        <f>IF(Worksheet!AJ174="","",Worksheet!AJ174)</f>
        <v>HSE  C Haantjes Certifisc Oudenaarde</v>
      </c>
      <c r="P174" t="str">
        <f>IF(Worksheet!AK174="","",Worksheet!AK174)</f>
        <v>Speler</v>
      </c>
    </row>
    <row r="175" spans="1:16" x14ac:dyDescent="0.3">
      <c r="A175" t="str">
        <v>Robin Elyn</v>
      </c>
      <c r="B175" t="str">
        <v>lievemoyaert@icloud.com</v>
      </c>
      <c r="C175" t="str">
        <v>+32495653737</v>
      </c>
      <c r="D175" t="str">
        <v/>
      </c>
      <c r="E175" s="2" t="str">
        <v/>
      </c>
      <c r="F175" t="str">
        <v>G08 Geel HAANTJES CERTIFISC OUDENAARDE</v>
      </c>
      <c r="G175" t="str">
        <v>Speler</v>
      </c>
      <c r="J175" t="str">
        <f>Worksheet!C175&amp;" "&amp;Worksheet!B175</f>
        <v>Jacques De Munter</v>
      </c>
      <c r="K175" t="str">
        <f>Worksheet!AM175</f>
        <v/>
      </c>
      <c r="L175" t="str">
        <f>Worksheet!AN175</f>
        <v/>
      </c>
      <c r="M175" t="str">
        <f>IF(Worksheet!AE175="","",Worksheet!AE175)</f>
        <v/>
      </c>
      <c r="N175">
        <f>IF(Worksheet!AG175="","",Worksheet!AG175)</f>
        <v>724983</v>
      </c>
      <c r="O175" t="str">
        <f>IF(Worksheet!AJ175="","",Worksheet!AJ175)</f>
        <v/>
      </c>
      <c r="P175" t="str">
        <f>IF(Worksheet!AK175="","",Worksheet!AK175)</f>
        <v/>
      </c>
    </row>
    <row r="176" spans="1:16" x14ac:dyDescent="0.3">
      <c r="A176" t="str">
        <v>Jasper Espeel</v>
      </c>
      <c r="B176" t="str">
        <v>jasper.espeel@gmail.com</v>
      </c>
      <c r="C176" t="str">
        <v>+32496150874</v>
      </c>
      <c r="D176" t="str">
        <v/>
      </c>
      <c r="E176" s="2">
        <v>749137</v>
      </c>
      <c r="F176" t="str">
        <v>J18 A Haantjes CERTIFISC Oudenaarde</v>
      </c>
      <c r="G176" t="str">
        <v>Speler</v>
      </c>
      <c r="J176" t="str">
        <f>Worksheet!C176&amp;" "&amp;Worksheet!B176</f>
        <v>Noach De Munter</v>
      </c>
      <c r="K176" t="str">
        <f>Worksheet!AM176</f>
        <v/>
      </c>
      <c r="L176" t="str">
        <f>Worksheet!AN176</f>
        <v/>
      </c>
      <c r="M176" t="str">
        <f>IF(Worksheet!AE176="","",Worksheet!AE176)</f>
        <v/>
      </c>
      <c r="N176">
        <f>IF(Worksheet!AG176="","",Worksheet!AG176)</f>
        <v>718057</v>
      </c>
      <c r="O176" t="str">
        <f>IF(Worksheet!AJ176="","",Worksheet!AJ176)</f>
        <v/>
      </c>
      <c r="P176" t="str">
        <f>IF(Worksheet!AK176="","",Worksheet!AK176)</f>
        <v/>
      </c>
    </row>
    <row r="177" spans="1:16" x14ac:dyDescent="0.3">
      <c r="A177" t="str">
        <v>Kobe Espeel</v>
      </c>
      <c r="B177" t="str">
        <v/>
      </c>
      <c r="C177" t="str">
        <v>+32485070328</v>
      </c>
      <c r="D177" t="str">
        <v/>
      </c>
      <c r="E177" s="2" t="str">
        <v/>
      </c>
      <c r="F177" t="str">
        <v>G14 A Haantjes CERTIFISC Oudenaarde</v>
      </c>
      <c r="G177" t="str">
        <v>Speler</v>
      </c>
      <c r="J177" t="str">
        <f>Worksheet!C177&amp;" "&amp;Worksheet!B177</f>
        <v>Chloë De Ruyck</v>
      </c>
      <c r="K177" t="str">
        <f>Worksheet!AM177</f>
        <v/>
      </c>
      <c r="L177" t="str">
        <f>Worksheet!AN177</f>
        <v/>
      </c>
      <c r="M177" t="str">
        <f>IF(Worksheet!AE177="","",Worksheet!AE177)</f>
        <v/>
      </c>
      <c r="N177" t="str">
        <f>IF(Worksheet!AG177="","",Worksheet!AG177)</f>
        <v/>
      </c>
      <c r="O177" t="str">
        <f>IF(Worksheet!AJ177="","",Worksheet!AJ177)</f>
        <v/>
      </c>
      <c r="P177" t="str">
        <f>IF(Worksheet!AK177="","",Worksheet!AK177)</f>
        <v/>
      </c>
    </row>
    <row r="178" spans="1:16" x14ac:dyDescent="0.3">
      <c r="A178" t="str">
        <v>Ukeme Essien</v>
      </c>
      <c r="B178" t="str">
        <v/>
      </c>
      <c r="C178" t="str">
        <v>+32493339044</v>
      </c>
      <c r="D178" t="str">
        <v/>
      </c>
      <c r="E178" s="2">
        <v>648536</v>
      </c>
      <c r="F178" t="str">
        <v>HSE A Haantjes Certifisc Oudenaarde</v>
      </c>
      <c r="G178" t="str">
        <v>Speler</v>
      </c>
      <c r="J178" t="str">
        <f>Worksheet!C178&amp;" "&amp;Worksheet!B178</f>
        <v>Yari De Ruysscher</v>
      </c>
      <c r="K178">
        <f>Worksheet!AM178</f>
        <v>0</v>
      </c>
      <c r="L178" t="str">
        <f>Worksheet!AN178</f>
        <v>+32468109025</v>
      </c>
      <c r="M178" t="str">
        <f>IF(Worksheet!AE178="","",Worksheet!AE178)</f>
        <v/>
      </c>
      <c r="N178" t="str">
        <f>IF(Worksheet!AG178="","",Worksheet!AG178)</f>
        <v/>
      </c>
      <c r="O178" t="str">
        <f>IF(Worksheet!AJ178="","",Worksheet!AJ178)</f>
        <v/>
      </c>
      <c r="P178" t="str">
        <f>IF(Worksheet!AK178="","",Worksheet!AK178)</f>
        <v/>
      </c>
    </row>
    <row r="179" spans="1:16" x14ac:dyDescent="0.3">
      <c r="A179" t="str">
        <v>Fadila Ettijrini</v>
      </c>
      <c r="B179" t="str">
        <v/>
      </c>
      <c r="C179" t="str">
        <v>+32470221432</v>
      </c>
      <c r="D179" t="str">
        <v/>
      </c>
      <c r="E179" s="2" t="str">
        <v/>
      </c>
      <c r="F179" t="str">
        <v>M10 HAANTJES CERTIFISC OUDENAARDE</v>
      </c>
      <c r="G179" t="str">
        <v>Speler</v>
      </c>
      <c r="J179" t="str">
        <f>Worksheet!C179&amp;" "&amp;Worksheet!B179</f>
        <v>Yari De Ruysscher</v>
      </c>
      <c r="K179">
        <f>Worksheet!AM179</f>
        <v>0</v>
      </c>
      <c r="L179" t="str">
        <f>Worksheet!AN179</f>
        <v>+32468109025</v>
      </c>
      <c r="M179" t="str">
        <f>IF(Worksheet!AE179="","",Worksheet!AE179)</f>
        <v/>
      </c>
      <c r="N179" t="str">
        <f>IF(Worksheet!AG179="","",Worksheet!AG179)</f>
        <v/>
      </c>
      <c r="O179" t="str">
        <f>IF(Worksheet!AJ179="","",Worksheet!AJ179)</f>
        <v/>
      </c>
      <c r="P179" t="str">
        <f>IF(Worksheet!AK179="","",Worksheet!AK179)</f>
        <v/>
      </c>
    </row>
    <row r="180" spans="1:16" x14ac:dyDescent="0.3">
      <c r="A180" t="str">
        <v>Jamila Ettijrini</v>
      </c>
      <c r="B180" t="str">
        <v/>
      </c>
      <c r="C180" t="str">
        <v>+32470221432</v>
      </c>
      <c r="D180" t="str">
        <v/>
      </c>
      <c r="E180" s="2" t="str">
        <v/>
      </c>
      <c r="F180" t="str">
        <v>M16 A Haantjes CERTIFISC  Oudenaarde</v>
      </c>
      <c r="G180" t="str">
        <v>Speler</v>
      </c>
      <c r="J180" t="str">
        <f>Worksheet!C180&amp;" "&amp;Worksheet!B180</f>
        <v>Inge De Ruyver</v>
      </c>
      <c r="K180" t="str">
        <f>Worksheet!AM180</f>
        <v/>
      </c>
      <c r="L180" t="str">
        <f>Worksheet!AN180</f>
        <v>+32478347087</v>
      </c>
      <c r="M180" t="str">
        <f>IF(Worksheet!AE180="","",Worksheet!AE180)</f>
        <v>https://app.twizzit.com/public/photos/4358429/s/d79ff54bc507bc51b7a66ca27491ef8c288b7c7d.png</v>
      </c>
      <c r="N180" t="str">
        <f>IF(Worksheet!AG180="","",Worksheet!AG180)</f>
        <v/>
      </c>
      <c r="O180" t="str">
        <f>IF(Worksheet!AJ180="","",Worksheet!AJ180)</f>
        <v/>
      </c>
      <c r="P180" t="str">
        <f>IF(Worksheet!AK180="","",Worksheet!AK180)</f>
        <v/>
      </c>
    </row>
    <row r="181" spans="1:16" x14ac:dyDescent="0.3">
      <c r="A181" t="str">
        <v>Chloé Faelens</v>
      </c>
      <c r="B181" t="str">
        <v/>
      </c>
      <c r="C181" t="str">
        <v>+32472960602</v>
      </c>
      <c r="D181" t="str">
        <v>https://app.twizzit.com/public/photos/4276094/s/88cd5d3554278fc03aae2c2a9989ae19589b1181.png</v>
      </c>
      <c r="E181" s="2" t="str">
        <v/>
      </c>
      <c r="F181" t="str">
        <v>M16 A Haantjes CERTIFISC  Oudenaarde</v>
      </c>
      <c r="G181" t="str">
        <v>Speler</v>
      </c>
      <c r="J181" t="str">
        <f>Worksheet!C181&amp;" "&amp;Worksheet!B181</f>
        <v>Tessa De Ruyver</v>
      </c>
      <c r="K181" t="str">
        <f>Worksheet!AM181</f>
        <v/>
      </c>
      <c r="L181" t="str">
        <f>Worksheet!AN181</f>
        <v>+32478936135</v>
      </c>
      <c r="M181" t="str">
        <f>IF(Worksheet!AE181="","",Worksheet!AE181)</f>
        <v/>
      </c>
      <c r="N181" t="str">
        <f>IF(Worksheet!AG181="","",Worksheet!AG181)</f>
        <v/>
      </c>
      <c r="O181" t="str">
        <f>IF(Worksheet!AJ181="","",Worksheet!AJ181)</f>
        <v/>
      </c>
      <c r="P181" t="str">
        <f>IF(Worksheet!AK181="","",Worksheet!AK181)</f>
        <v/>
      </c>
    </row>
    <row r="182" spans="1:16" x14ac:dyDescent="0.3">
      <c r="A182" t="str">
        <v>Chloé Faelens</v>
      </c>
      <c r="B182" t="str">
        <v/>
      </c>
      <c r="C182" t="str">
        <v>+32472960602</v>
      </c>
      <c r="D182" t="str">
        <v>https://app.twizzit.com/public/photos/4276094/s/88cd5d3554278fc03aae2c2a9989ae19589b1181.png</v>
      </c>
      <c r="E182" s="2" t="str">
        <v/>
      </c>
      <c r="F182" t="str">
        <v>Zomerstage 2026 (Blankenberge)</v>
      </c>
      <c r="G182" t="str">
        <v>Speler</v>
      </c>
      <c r="J182" t="str">
        <f>Worksheet!C182&amp;" "&amp;Worksheet!B182</f>
        <v>Lobke De Rycke</v>
      </c>
      <c r="K182" t="str">
        <f>Worksheet!AM182</f>
        <v>mariekedeboe@gmail.com</v>
      </c>
      <c r="L182" t="str">
        <f>Worksheet!AN182</f>
        <v>+32497511954</v>
      </c>
      <c r="M182" t="str">
        <f>IF(Worksheet!AE182="","",Worksheet!AE182)</f>
        <v>https://app.twizzit.com/public/photos/3361769/s/b867d38024248d08e5578b9874af52a32c38205b.png</v>
      </c>
      <c r="N182">
        <f>IF(Worksheet!AG182="","",Worksheet!AG182)</f>
        <v>744635</v>
      </c>
      <c r="O182" t="str">
        <f>IF(Worksheet!AJ182="","",Worksheet!AJ182)</f>
        <v/>
      </c>
      <c r="P182" t="str">
        <f>IF(Worksheet!AK182="","",Worksheet!AK182)</f>
        <v/>
      </c>
    </row>
    <row r="183" spans="1:16" x14ac:dyDescent="0.3">
      <c r="A183" t="str">
        <v>Alixe Geenens</v>
      </c>
      <c r="B183" t="str">
        <v>stephengeenens@gmail.com</v>
      </c>
      <c r="C183" t="str">
        <v>+32494195355</v>
      </c>
      <c r="D183" t="str">
        <v/>
      </c>
      <c r="E183" s="2" t="str">
        <v/>
      </c>
      <c r="F183" t="str">
        <v>M10 HAANTJES CERTIFISC OUDENAARDE</v>
      </c>
      <c r="G183" t="str">
        <v>Speler</v>
      </c>
      <c r="J183" t="str">
        <f>Worksheet!C183&amp;" "&amp;Worksheet!B183</f>
        <v>Cléo De Saedeleer</v>
      </c>
      <c r="K183" t="str">
        <f>Worksheet!AM183</f>
        <v/>
      </c>
      <c r="L183" t="str">
        <f>Worksheet!AN183</f>
        <v/>
      </c>
      <c r="M183" t="str">
        <f>IF(Worksheet!AE183="","",Worksheet!AE183)</f>
        <v/>
      </c>
      <c r="N183">
        <f>IF(Worksheet!AG183="","",Worksheet!AG183)</f>
        <v>763285</v>
      </c>
      <c r="O183" t="str">
        <f>IF(Worksheet!AJ183="","",Worksheet!AJ183)</f>
        <v/>
      </c>
      <c r="P183" t="str">
        <f>IF(Worksheet!AK183="","",Worksheet!AK183)</f>
        <v/>
      </c>
    </row>
    <row r="184" spans="1:16" x14ac:dyDescent="0.3">
      <c r="A184" t="str">
        <v>Alixe Geenens</v>
      </c>
      <c r="B184" t="str">
        <v>stephengeenens@gmail.com</v>
      </c>
      <c r="C184" t="str">
        <v>+32494195355</v>
      </c>
      <c r="D184" t="str">
        <v/>
      </c>
      <c r="E184" s="2" t="str">
        <v/>
      </c>
      <c r="F184" t="str">
        <v>Zomerstage 2026 U10 &amp; U12 (Oudenaarde)</v>
      </c>
      <c r="G184" t="str">
        <v>Speler</v>
      </c>
      <c r="J184" t="str">
        <f>Worksheet!C184&amp;" "&amp;Worksheet!B184</f>
        <v>Naomi De Scheerder</v>
      </c>
      <c r="K184" t="str">
        <f>Worksheet!AM184</f>
        <v/>
      </c>
      <c r="L184" t="str">
        <f>Worksheet!AN184</f>
        <v>+32497389636</v>
      </c>
      <c r="M184" t="str">
        <f>IF(Worksheet!AE184="","",Worksheet!AE184)</f>
        <v>https://app.twizzit.com/public/photos/3434759/s/64625cb4a4a90ed188ec4a77f3e5a2582b82f71f.png</v>
      </c>
      <c r="N184" t="str">
        <f>IF(Worksheet!AG184="","",Worksheet!AG184)</f>
        <v/>
      </c>
      <c r="O184" t="str">
        <f>IF(Worksheet!AJ184="","",Worksheet!AJ184)</f>
        <v/>
      </c>
      <c r="P184" t="str">
        <f>IF(Worksheet!AK184="","",Worksheet!AK184)</f>
        <v/>
      </c>
    </row>
    <row r="185" spans="1:16" x14ac:dyDescent="0.3">
      <c r="A185" t="str">
        <v>Celeste Geenens</v>
      </c>
      <c r="B185" t="str">
        <v>stephengeenens@gmail.com</v>
      </c>
      <c r="C185" t="str">
        <v>+32494195355</v>
      </c>
      <c r="D185" t="str">
        <v/>
      </c>
      <c r="E185" s="2" t="str">
        <v/>
      </c>
      <c r="F185" t="str">
        <v>Zomerstage 2026 (Blankenberge)</v>
      </c>
      <c r="G185" t="str">
        <v>Speler</v>
      </c>
      <c r="J185" t="str">
        <f>Worksheet!C185&amp;" "&amp;Worksheet!B185</f>
        <v>Anneleen De Smet</v>
      </c>
      <c r="K185" t="str">
        <f>Worksheet!AM185</f>
        <v/>
      </c>
      <c r="L185" t="str">
        <f>Worksheet!AN185</f>
        <v/>
      </c>
      <c r="M185" t="str">
        <f>IF(Worksheet!AE185="","",Worksheet!AE185)</f>
        <v/>
      </c>
      <c r="N185" t="str">
        <f>IF(Worksheet!AG185="","",Worksheet!AG185)</f>
        <v/>
      </c>
      <c r="O185" t="str">
        <f>IF(Worksheet!AJ185="","",Worksheet!AJ185)</f>
        <v/>
      </c>
      <c r="P185" t="str">
        <f>IF(Worksheet!AK185="","",Worksheet!AK185)</f>
        <v/>
      </c>
    </row>
    <row r="186" spans="1:16" x14ac:dyDescent="0.3">
      <c r="A186" t="str">
        <v>Celeste Geenens</v>
      </c>
      <c r="B186" t="str">
        <v>stephengeenens@gmail.com</v>
      </c>
      <c r="C186" t="str">
        <v>+32494195355</v>
      </c>
      <c r="D186" t="str">
        <v/>
      </c>
      <c r="E186" s="2" t="str">
        <v/>
      </c>
      <c r="F186" t="str">
        <v>M14 A Haantjes CERTIFISC  Oudenaarde</v>
      </c>
      <c r="G186" t="str">
        <v>Speler</v>
      </c>
      <c r="J186" t="str">
        <f>Worksheet!C186&amp;" "&amp;Worksheet!B186</f>
        <v>Kimberley De Smet</v>
      </c>
      <c r="K186" t="str">
        <f>Worksheet!AM186</f>
        <v/>
      </c>
      <c r="L186" t="str">
        <f>Worksheet!AN186</f>
        <v/>
      </c>
      <c r="M186" t="str">
        <f>IF(Worksheet!AE186="","",Worksheet!AE186)</f>
        <v>https://app.twizzit.com/public/photos/2182696/s/b3404003062e85e1b45f5fca9b0565fe70029286.png</v>
      </c>
      <c r="N186">
        <f>IF(Worksheet!AG186="","",Worksheet!AG186)</f>
        <v>266618</v>
      </c>
      <c r="O186" t="str">
        <f>IF(Worksheet!AJ186="","",Worksheet!AJ186)</f>
        <v>DSE A Haantjes Certifisc Oudenaarde</v>
      </c>
      <c r="P186" t="str">
        <f>IF(Worksheet!AK186="","",Worksheet!AK186)</f>
        <v>Speler</v>
      </c>
    </row>
    <row r="187" spans="1:16" x14ac:dyDescent="0.3">
      <c r="A187" t="str">
        <v>Lou Geenens</v>
      </c>
      <c r="B187" t="str">
        <v/>
      </c>
      <c r="C187" t="str">
        <v>+32479858482</v>
      </c>
      <c r="D187" t="str">
        <v>https://app.twizzit.com/public/photos/10377574/s/62e9c970b54f4ce753f6fe1b02a81459ce0f4576.png</v>
      </c>
      <c r="E187" s="2" t="str">
        <v/>
      </c>
      <c r="F187" t="str">
        <v>G12 Blauw HAANTJES CERTIFISC OUDENAARDE</v>
      </c>
      <c r="G187" t="str">
        <v>Speler</v>
      </c>
      <c r="J187" t="str">
        <f>Worksheet!C187&amp;" "&amp;Worksheet!B187</f>
        <v>Kimberley De Smet</v>
      </c>
      <c r="K187" t="str">
        <f>Worksheet!AM187</f>
        <v/>
      </c>
      <c r="L187" t="str">
        <f>Worksheet!AN187</f>
        <v/>
      </c>
      <c r="M187" t="str">
        <f>IF(Worksheet!AE187="","",Worksheet!AE187)</f>
        <v>https://app.twizzit.com/public/photos/2182696/s/b3404003062e85e1b45f5fca9b0565fe70029286.png</v>
      </c>
      <c r="N187">
        <f>IF(Worksheet!AG187="","",Worksheet!AG187)</f>
        <v>266618</v>
      </c>
      <c r="O187" t="str">
        <f>IF(Worksheet!AJ187="","",Worksheet!AJ187)</f>
        <v xml:space="preserve">Trainerspoule </v>
      </c>
      <c r="P187" t="str">
        <f>IF(Worksheet!AK187="","",Worksheet!AK187)</f>
        <v>Coach</v>
      </c>
    </row>
    <row r="188" spans="1:16" x14ac:dyDescent="0.3">
      <c r="A188" t="str">
        <v>Victor Geiregat</v>
      </c>
      <c r="B188" t="str">
        <v>victorgeiregat@gmail.com</v>
      </c>
      <c r="C188" t="str">
        <v>+32467007382</v>
      </c>
      <c r="D188" t="str">
        <v/>
      </c>
      <c r="E188" s="2" t="str">
        <v/>
      </c>
      <c r="F188" t="str">
        <v>J16 B Haantjes CERTIFISC Oudenaarde</v>
      </c>
      <c r="G188" t="str">
        <v>Speler</v>
      </c>
      <c r="J188" t="str">
        <f>Worksheet!C188&amp;" "&amp;Worksheet!B188</f>
        <v>Quint De Smet</v>
      </c>
      <c r="K188" t="str">
        <f>Worksheet!AM188</f>
        <v/>
      </c>
      <c r="L188" t="str">
        <f>Worksheet!AN188</f>
        <v>+32491647774</v>
      </c>
      <c r="M188" t="str">
        <f>IF(Worksheet!AE188="","",Worksheet!AE188)</f>
        <v/>
      </c>
      <c r="N188">
        <f>IF(Worksheet!AG188="","",Worksheet!AG188)</f>
        <v>639029</v>
      </c>
      <c r="O188" t="str">
        <f>IF(Worksheet!AJ188="","",Worksheet!AJ188)</f>
        <v/>
      </c>
      <c r="P188" t="str">
        <f>IF(Worksheet!AK188="","",Worksheet!AK188)</f>
        <v/>
      </c>
    </row>
    <row r="189" spans="1:16" x14ac:dyDescent="0.3">
      <c r="A189" t="str">
        <v>Victor Geiregat</v>
      </c>
      <c r="B189" t="str">
        <v>victorgeiregat@gmail.com</v>
      </c>
      <c r="C189" t="str">
        <v>+32467007382</v>
      </c>
      <c r="D189" t="str">
        <v/>
      </c>
      <c r="E189" s="2" t="str">
        <v/>
      </c>
      <c r="F189" t="str">
        <v>Zomerstage 2026 (Blankenberge)</v>
      </c>
      <c r="G189" t="str">
        <v>Speler</v>
      </c>
      <c r="J189" t="str">
        <f>Worksheet!C189&amp;" "&amp;Worksheet!B189</f>
        <v>Vikter-Troy De Smet</v>
      </c>
      <c r="K189" t="str">
        <f>Worksheet!AM189</f>
        <v/>
      </c>
      <c r="L189" t="str">
        <f>Worksheet!AN189</f>
        <v>+32491520844</v>
      </c>
      <c r="M189" t="str">
        <f>IF(Worksheet!AE189="","",Worksheet!AE189)</f>
        <v/>
      </c>
      <c r="N189">
        <f>IF(Worksheet!AG189="","",Worksheet!AG189)</f>
        <v>637076</v>
      </c>
      <c r="O189" t="str">
        <f>IF(Worksheet!AJ189="","",Worksheet!AJ189)</f>
        <v/>
      </c>
      <c r="P189" t="str">
        <f>IF(Worksheet!AK189="","",Worksheet!AK189)</f>
        <v/>
      </c>
    </row>
    <row r="190" spans="1:16" x14ac:dyDescent="0.3">
      <c r="A190" t="str">
        <v>Basiel Genbrugge</v>
      </c>
      <c r="B190" t="str">
        <v>basiel.genbrugge@gmail.com</v>
      </c>
      <c r="C190" t="str">
        <v>+32486314030</v>
      </c>
      <c r="D190" t="str">
        <v>https://app.twizzit.com/public/photos/8579142/s/db8d4000b96831e0c69a1f9ee9bb0955ce673dba.png</v>
      </c>
      <c r="E190" s="2" t="str">
        <v/>
      </c>
      <c r="F190" t="str">
        <v>J16 A Haantjes CERTIFISC Oudenaarde</v>
      </c>
      <c r="G190" t="str">
        <v>Speler</v>
      </c>
      <c r="J190" t="str">
        <f>Worksheet!C190&amp;" "&amp;Worksheet!B190</f>
        <v>Felix De Sutter</v>
      </c>
      <c r="K190" t="str">
        <f>Worksheet!AM190</f>
        <v>Buckensmarie1@gmail.com</v>
      </c>
      <c r="L190" t="str">
        <f>Worksheet!AN190</f>
        <v>+32478287091</v>
      </c>
      <c r="M190" t="str">
        <f>IF(Worksheet!AE190="","",Worksheet!AE190)</f>
        <v>https://app.twizzit.com/public/photos/3440013/s/d39cee25f3de0f58fe5c6da0a709df7576ef784e.png</v>
      </c>
      <c r="N190" t="str">
        <f>IF(Worksheet!AG190="","",Worksheet!AG190)</f>
        <v/>
      </c>
      <c r="O190" t="str">
        <f>IF(Worksheet!AJ190="","",Worksheet!AJ190)</f>
        <v/>
      </c>
      <c r="P190" t="str">
        <f>IF(Worksheet!AK190="","",Worksheet!AK190)</f>
        <v/>
      </c>
    </row>
    <row r="191" spans="1:16" x14ac:dyDescent="0.3">
      <c r="A191" t="str">
        <v>Basiel Genbrugge</v>
      </c>
      <c r="B191" t="str">
        <v>basiel.genbrugge@gmail.com</v>
      </c>
      <c r="C191" t="str">
        <v>+32486314030</v>
      </c>
      <c r="D191" t="str">
        <v>https://app.twizzit.com/public/photos/8579142/s/db8d4000b96831e0c69a1f9ee9bb0955ce673dba.png</v>
      </c>
      <c r="E191" s="2" t="str">
        <v/>
      </c>
      <c r="F191" t="str">
        <v>Zomerstage 2026 (Blankenberge)</v>
      </c>
      <c r="G191" t="str">
        <v>Speler</v>
      </c>
      <c r="J191" t="str">
        <f>Worksheet!C191&amp;" "&amp;Worksheet!B191</f>
        <v>Leander De Sutter</v>
      </c>
      <c r="K191" t="str">
        <f>Worksheet!AM191</f>
        <v/>
      </c>
      <c r="L191" t="str">
        <f>Worksheet!AN191</f>
        <v/>
      </c>
      <c r="M191" t="str">
        <f>IF(Worksheet!AE191="","",Worksheet!AE191)</f>
        <v/>
      </c>
      <c r="N191" t="str">
        <f>IF(Worksheet!AG191="","",Worksheet!AG191)</f>
        <v/>
      </c>
      <c r="O191" t="str">
        <f>IF(Worksheet!AJ191="","",Worksheet!AJ191)</f>
        <v/>
      </c>
      <c r="P191" t="str">
        <f>IF(Worksheet!AK191="","",Worksheet!AK191)</f>
        <v/>
      </c>
    </row>
    <row r="192" spans="1:16" x14ac:dyDescent="0.3">
      <c r="A192" t="str">
        <v>Tuur Genbrugge</v>
      </c>
      <c r="B192" t="str">
        <v/>
      </c>
      <c r="C192" t="str">
        <v>+32486314030</v>
      </c>
      <c r="D192" t="str">
        <v/>
      </c>
      <c r="E192" s="2" t="str">
        <v/>
      </c>
      <c r="F192" t="str">
        <v xml:space="preserve">Trainerspoule </v>
      </c>
      <c r="G192" t="str">
        <v>Coach</v>
      </c>
      <c r="J192" t="str">
        <f>Worksheet!C192&amp;" "&amp;Worksheet!B192</f>
        <v>Matthias De Sutter</v>
      </c>
      <c r="K192" t="str">
        <f>Worksheet!AM192</f>
        <v/>
      </c>
      <c r="L192" t="str">
        <f>Worksheet!AN192</f>
        <v>+32478936135</v>
      </c>
      <c r="M192" t="str">
        <f>IF(Worksheet!AE192="","",Worksheet!AE192)</f>
        <v/>
      </c>
      <c r="N192">
        <f>IF(Worksheet!AG192="","",Worksheet!AG192)</f>
        <v>732757</v>
      </c>
      <c r="O192" t="str">
        <f>IF(Worksheet!AJ192="","",Worksheet!AJ192)</f>
        <v/>
      </c>
      <c r="P192" t="str">
        <f>IF(Worksheet!AK192="","",Worksheet!AK192)</f>
        <v/>
      </c>
    </row>
    <row r="193" spans="1:16" x14ac:dyDescent="0.3">
      <c r="A193" t="str">
        <v>Yves Bellard Giriteka</v>
      </c>
      <c r="B193" t="str">
        <v/>
      </c>
      <c r="C193" t="str">
        <v>+32466419783</v>
      </c>
      <c r="D193" t="str">
        <v/>
      </c>
      <c r="E193" s="2" t="str">
        <v/>
      </c>
      <c r="F193" t="str">
        <v>HSE B Haantjes Certifisc Oudenaarde</v>
      </c>
      <c r="G193" t="str">
        <v>Speler</v>
      </c>
      <c r="J193" t="str">
        <f>Worksheet!C193&amp;" "&amp;Worksheet!B193</f>
        <v>Ulrike De Taeye</v>
      </c>
      <c r="K193" t="str">
        <f>Worksheet!AM193</f>
        <v/>
      </c>
      <c r="L193" t="str">
        <f>Worksheet!AN193</f>
        <v/>
      </c>
      <c r="M193" t="str">
        <f>IF(Worksheet!AE193="","",Worksheet!AE193)</f>
        <v>https://app.twizzit.com/public/photos/2182711/s/d2f671923bea94e6b46b55b94ee26f4649bac088.png</v>
      </c>
      <c r="N193">
        <f>IF(Worksheet!AG193="","",Worksheet!AG193)</f>
        <v>725134</v>
      </c>
      <c r="O193" t="str">
        <f>IF(Worksheet!AJ193="","",Worksheet!AJ193)</f>
        <v/>
      </c>
      <c r="P193" t="str">
        <f>IF(Worksheet!AK193="","",Worksheet!AK193)</f>
        <v/>
      </c>
    </row>
    <row r="194" spans="1:16" x14ac:dyDescent="0.3">
      <c r="A194" t="str">
        <v>Dea Gocaj</v>
      </c>
      <c r="B194" t="str">
        <v/>
      </c>
      <c r="C194" t="str">
        <v>+32465136417</v>
      </c>
      <c r="D194" t="str">
        <v/>
      </c>
      <c r="E194" s="2" t="str">
        <v/>
      </c>
      <c r="F194" t="str">
        <v>M10 HAANTJES CERTIFISC OUDENAARDE</v>
      </c>
      <c r="G194" t="str">
        <v>Speler</v>
      </c>
      <c r="J194" t="str">
        <f>Worksheet!C194&amp;" "&amp;Worksheet!B194</f>
        <v>Ulrike De Taeye</v>
      </c>
      <c r="K194" t="str">
        <f>Worksheet!AM194</f>
        <v/>
      </c>
      <c r="L194" t="str">
        <f>Worksheet!AN194</f>
        <v/>
      </c>
      <c r="M194" t="str">
        <f>IF(Worksheet!AE194="","",Worksheet!AE194)</f>
        <v>https://app.twizzit.com/public/photos/2182711/s/d2f671923bea94e6b46b55b94ee26f4649bac088.png</v>
      </c>
      <c r="N194">
        <f>IF(Worksheet!AG194="","",Worksheet!AG194)</f>
        <v>725134</v>
      </c>
      <c r="O194" t="str">
        <f>IF(Worksheet!AJ194="","",Worksheet!AJ194)</f>
        <v/>
      </c>
      <c r="P194" t="str">
        <f>IF(Worksheet!AK194="","",Worksheet!AK194)</f>
        <v/>
      </c>
    </row>
    <row r="195" spans="1:16" x14ac:dyDescent="0.3">
      <c r="A195" t="str">
        <v>Oben Godpower</v>
      </c>
      <c r="B195" t="str">
        <v/>
      </c>
      <c r="C195" t="str">
        <v>+32497885450</v>
      </c>
      <c r="D195" t="str">
        <v/>
      </c>
      <c r="E195" s="2" t="str">
        <v/>
      </c>
      <c r="F195" t="str">
        <v>G14 B Haantjes CERTIFISC Oudenaarde</v>
      </c>
      <c r="G195" t="str">
        <v>Speler</v>
      </c>
      <c r="J195" t="str">
        <f>Worksheet!C195&amp;" "&amp;Worksheet!B195</f>
        <v>Tibo De Vleeschauwer</v>
      </c>
      <c r="K195" t="str">
        <f>Worksheet!AM195</f>
        <v/>
      </c>
      <c r="L195" t="str">
        <f>Worksheet!AN195</f>
        <v>+32473544353</v>
      </c>
      <c r="M195" t="str">
        <f>IF(Worksheet!AE195="","",Worksheet!AE195)</f>
        <v/>
      </c>
      <c r="N195" t="str">
        <f>IF(Worksheet!AG195="","",Worksheet!AG195)</f>
        <v/>
      </c>
      <c r="O195" t="str">
        <f>IF(Worksheet!AJ195="","",Worksheet!AJ195)</f>
        <v/>
      </c>
      <c r="P195" t="str">
        <f>IF(Worksheet!AK195="","",Worksheet!AK195)</f>
        <v/>
      </c>
    </row>
    <row r="196" spans="1:16" x14ac:dyDescent="0.3">
      <c r="A196" t="str">
        <v>Briek Goossens</v>
      </c>
      <c r="B196" t="str">
        <v>slimmerik.briek@gmail.com</v>
      </c>
      <c r="C196" t="str">
        <v>+32495362023</v>
      </c>
      <c r="D196" t="str">
        <v/>
      </c>
      <c r="E196" s="2">
        <v>735147</v>
      </c>
      <c r="F196" t="str">
        <v>J16 A Haantjes CERTIFISC Oudenaarde</v>
      </c>
      <c r="G196" t="str">
        <v>Speler</v>
      </c>
      <c r="J196" t="str">
        <f>Worksheet!C196&amp;" "&amp;Worksheet!B196</f>
        <v>Camille De vreese</v>
      </c>
      <c r="K196" t="str">
        <f>Worksheet!AM196</f>
        <v/>
      </c>
      <c r="L196" t="str">
        <f>Worksheet!AN196</f>
        <v>+32498651266</v>
      </c>
      <c r="M196" t="str">
        <f>IF(Worksheet!AE196="","",Worksheet!AE196)</f>
        <v>https://app.twizzit.com/public/photos/7284534/s/89166ad605bd29d54909fd3e80a34843f88650ec.png</v>
      </c>
      <c r="N196" t="str">
        <f>IF(Worksheet!AG196="","",Worksheet!AG196)</f>
        <v/>
      </c>
      <c r="O196" t="str">
        <f>IF(Worksheet!AJ196="","",Worksheet!AJ196)</f>
        <v>M10 HAANTJES CERTIFISC OUDENAARDE</v>
      </c>
      <c r="P196" t="str">
        <f>IF(Worksheet!AK196="","",Worksheet!AK196)</f>
        <v>Speler</v>
      </c>
    </row>
    <row r="197" spans="1:16" x14ac:dyDescent="0.3">
      <c r="A197" t="str">
        <v>Briek Goossens</v>
      </c>
      <c r="B197" t="str">
        <v>slimmerik.briek@gmail.com</v>
      </c>
      <c r="C197" t="str">
        <v>+32495362023</v>
      </c>
      <c r="D197" t="str">
        <v/>
      </c>
      <c r="E197" s="2">
        <v>735147</v>
      </c>
      <c r="F197" t="str">
        <v>Zomerstage 2026 (Blankenberge)</v>
      </c>
      <c r="G197" t="str">
        <v>Speler</v>
      </c>
      <c r="J197" t="str">
        <f>Worksheet!C197&amp;" "&amp;Worksheet!B197</f>
        <v>Oliver De Vreese</v>
      </c>
      <c r="K197" t="str">
        <f>Worksheet!AM197</f>
        <v/>
      </c>
      <c r="L197" t="str">
        <f>Worksheet!AN197</f>
        <v>+32473582756</v>
      </c>
      <c r="M197" t="str">
        <f>IF(Worksheet!AE197="","",Worksheet!AE197)</f>
        <v/>
      </c>
      <c r="N197" t="str">
        <f>IF(Worksheet!AG197="","",Worksheet!AG197)</f>
        <v/>
      </c>
      <c r="O197" t="str">
        <f>IF(Worksheet!AJ197="","",Worksheet!AJ197)</f>
        <v/>
      </c>
      <c r="P197" t="str">
        <f>IF(Worksheet!AK197="","",Worksheet!AK197)</f>
        <v/>
      </c>
    </row>
    <row r="198" spans="1:16" x14ac:dyDescent="0.3">
      <c r="A198" t="str">
        <v>Thomas Goossens</v>
      </c>
      <c r="B198" t="str">
        <v/>
      </c>
      <c r="C198" t="str">
        <v>+32477281468</v>
      </c>
      <c r="D198" t="str">
        <v>https://app.twizzit.com/public/photos/2182921/s/d5ec4bbccbaf575bfa3a597df60827a1e6809d4b.png</v>
      </c>
      <c r="E198" s="2">
        <v>708299</v>
      </c>
      <c r="F198" t="str">
        <v>J21 A HAANTJES CERTIFISC OUDENAARDE</v>
      </c>
      <c r="G198" t="str">
        <v>Speler</v>
      </c>
      <c r="J198" t="str">
        <f>Worksheet!C198&amp;" "&amp;Worksheet!B198</f>
        <v>Mats De Vriese</v>
      </c>
      <c r="K198" t="str">
        <f>Worksheet!AM198</f>
        <v/>
      </c>
      <c r="L198" t="str">
        <f>Worksheet!AN198</f>
        <v>+32478239304</v>
      </c>
      <c r="M198" t="str">
        <f>IF(Worksheet!AE198="","",Worksheet!AE198)</f>
        <v/>
      </c>
      <c r="N198">
        <f>IF(Worksheet!AG198="","",Worksheet!AG198)</f>
        <v>733207</v>
      </c>
      <c r="O198" t="str">
        <f>IF(Worksheet!AJ198="","",Worksheet!AJ198)</f>
        <v/>
      </c>
      <c r="P198" t="str">
        <f>IF(Worksheet!AK198="","",Worksheet!AK198)</f>
        <v/>
      </c>
    </row>
    <row r="199" spans="1:16" x14ac:dyDescent="0.3">
      <c r="A199" t="str">
        <v>Thomas Goossens</v>
      </c>
      <c r="B199" t="str">
        <v/>
      </c>
      <c r="C199" t="str">
        <v>+32477281468</v>
      </c>
      <c r="D199" t="str">
        <v>https://app.twizzit.com/public/photos/2182921/s/d5ec4bbccbaf575bfa3a597df60827a1e6809d4b.png</v>
      </c>
      <c r="E199" s="2">
        <v>708299</v>
      </c>
      <c r="F199" t="str">
        <v>HSE B Haantjes Certifisc Oudenaarde</v>
      </c>
      <c r="G199" t="str">
        <v>Speler</v>
      </c>
      <c r="J199" t="str">
        <f>Worksheet!C199&amp;" "&amp;Worksheet!B199</f>
        <v>Vital De Waele</v>
      </c>
      <c r="K199" t="str">
        <f>Worksheet!AM199</f>
        <v>eddy.de_waele@unilin.com</v>
      </c>
      <c r="L199" t="str">
        <f>Worksheet!AN199</f>
        <v>+32499789499</v>
      </c>
      <c r="M199" t="str">
        <f>IF(Worksheet!AE199="","",Worksheet!AE199)</f>
        <v/>
      </c>
      <c r="N199" t="str">
        <f>IF(Worksheet!AG199="","",Worksheet!AG199)</f>
        <v/>
      </c>
      <c r="O199" t="str">
        <f>IF(Worksheet!AJ199="","",Worksheet!AJ199)</f>
        <v/>
      </c>
      <c r="P199" t="str">
        <f>IF(Worksheet!AK199="","",Worksheet!AK199)</f>
        <v/>
      </c>
    </row>
    <row r="200" spans="1:16" x14ac:dyDescent="0.3">
      <c r="A200" t="str">
        <v>Tuur Goossens</v>
      </c>
      <c r="B200" t="str">
        <v>vrolijke.tuur@gmail.com</v>
      </c>
      <c r="C200" t="str">
        <v>+32478766076</v>
      </c>
      <c r="D200" t="str">
        <v/>
      </c>
      <c r="E200" s="2">
        <v>735148</v>
      </c>
      <c r="F200" t="str">
        <v>G14 B Haantjes CERTIFISC Oudenaarde</v>
      </c>
      <c r="G200" t="str">
        <v>Speler</v>
      </c>
      <c r="J200" t="str">
        <f>Worksheet!C200&amp;" "&amp;Worksheet!B200</f>
        <v>Cedric De Weirt</v>
      </c>
      <c r="K200" t="str">
        <f>Worksheet!AM200</f>
        <v/>
      </c>
      <c r="L200" t="str">
        <f>Worksheet!AN200</f>
        <v>+32472263674</v>
      </c>
      <c r="M200" t="str">
        <f>IF(Worksheet!AE200="","",Worksheet!AE200)</f>
        <v>https://app.twizzit.com/public/photos/4024808/s/36237781b3b5fa7c3ba1974edd454e9639c65aac.png</v>
      </c>
      <c r="N200">
        <f>IF(Worksheet!AG200="","",Worksheet!AG200)</f>
        <v>252069</v>
      </c>
      <c r="O200" t="str">
        <f>IF(Worksheet!AJ200="","",Worksheet!AJ200)</f>
        <v/>
      </c>
      <c r="P200" t="str">
        <f>IF(Worksheet!AK200="","",Worksheet!AK200)</f>
        <v/>
      </c>
    </row>
    <row r="201" spans="1:16" x14ac:dyDescent="0.3">
      <c r="A201" t="str">
        <v>Heike Guenter</v>
      </c>
      <c r="B201" t="str">
        <v>Heike.guenter@telenet.be</v>
      </c>
      <c r="C201" t="str">
        <v>+32456085054</v>
      </c>
      <c r="D201" t="str">
        <v/>
      </c>
      <c r="E201" s="2">
        <v>727038</v>
      </c>
      <c r="F201" t="str">
        <v>DSE A Haantjes Certifisc Oudenaarde</v>
      </c>
      <c r="G201" t="str">
        <v>Speler</v>
      </c>
      <c r="J201" t="str">
        <f>Worksheet!C201&amp;" "&amp;Worksheet!B201</f>
        <v>Emile-Louis De Windt</v>
      </c>
      <c r="K201" t="str">
        <f>Worksheet!AM201</f>
        <v>dwingrey@gmail.com</v>
      </c>
      <c r="L201" t="str">
        <f>Worksheet!AN201</f>
        <v>+32485843240</v>
      </c>
      <c r="M201" t="str">
        <f>IF(Worksheet!AE201="","",Worksheet!AE201)</f>
        <v>https://app.twizzit.com/public/photos/3463928/s/65ba284a6aa8f67e5b08f396e397206e4afd6e82.png</v>
      </c>
      <c r="N201">
        <f>IF(Worksheet!AG201="","",Worksheet!AG201)</f>
        <v>747479</v>
      </c>
      <c r="O201" t="str">
        <f>IF(Worksheet!AJ201="","",Worksheet!AJ201)</f>
        <v>J18 A Haantjes CERTIFISC Oudenaarde</v>
      </c>
      <c r="P201" t="str">
        <f>IF(Worksheet!AK201="","",Worksheet!AK201)</f>
        <v>Speler</v>
      </c>
    </row>
    <row r="202" spans="1:16" x14ac:dyDescent="0.3">
      <c r="A202" t="str">
        <v>Heike Guenter</v>
      </c>
      <c r="B202" t="str">
        <v>Heike.guenter@telenet.be</v>
      </c>
      <c r="C202" t="str">
        <v>+32456085054</v>
      </c>
      <c r="D202" t="str">
        <v/>
      </c>
      <c r="E202" s="2">
        <v>727038</v>
      </c>
      <c r="F202" t="str">
        <v>Zomerstage 2026 (Blankenberge)</v>
      </c>
      <c r="G202" t="str">
        <v>Speler</v>
      </c>
      <c r="J202" t="str">
        <f>Worksheet!C202&amp;" "&amp;Worksheet!B202</f>
        <v>Elli De Zitter</v>
      </c>
      <c r="K202" t="str">
        <f>Worksheet!AM202</f>
        <v>de.zitter.steve@gmail.com</v>
      </c>
      <c r="L202" t="str">
        <f>Worksheet!AN202</f>
        <v>+32473423222</v>
      </c>
      <c r="M202" t="str">
        <f>IF(Worksheet!AE202="","",Worksheet!AE202)</f>
        <v/>
      </c>
      <c r="N202" t="str">
        <f>IF(Worksheet!AG202="","",Worksheet!AG202)</f>
        <v/>
      </c>
      <c r="O202" t="str">
        <f>IF(Worksheet!AJ202="","",Worksheet!AJ202)</f>
        <v>G08 Geel HAANTJES CERTIFISC OUDENAARDE</v>
      </c>
      <c r="P202" t="str">
        <f>IF(Worksheet!AK202="","",Worksheet!AK202)</f>
        <v>Speler</v>
      </c>
    </row>
    <row r="203" spans="1:16" x14ac:dyDescent="0.3">
      <c r="A203" t="str">
        <v>Heike Guenter</v>
      </c>
      <c r="B203" t="str">
        <v>Heike.guenter@telenet.be</v>
      </c>
      <c r="C203" t="str">
        <v>+32456085054</v>
      </c>
      <c r="D203" t="str">
        <v/>
      </c>
      <c r="E203" s="2">
        <v>727038</v>
      </c>
      <c r="F203" t="str">
        <v>M19 A Haantjes CERTIFISC Oudenaarde</v>
      </c>
      <c r="G203" t="str">
        <v>Speler</v>
      </c>
      <c r="J203" t="str">
        <f>Worksheet!C203&amp;" "&amp;Worksheet!B203</f>
        <v>Elli De Zitter</v>
      </c>
      <c r="K203" t="str">
        <f>Worksheet!AM203</f>
        <v>de.zitter.steve@gmail.com</v>
      </c>
      <c r="L203" t="str">
        <f>Worksheet!AN203</f>
        <v>+32473423222</v>
      </c>
      <c r="M203" t="str">
        <f>IF(Worksheet!AE203="","",Worksheet!AE203)</f>
        <v/>
      </c>
      <c r="N203" t="str">
        <f>IF(Worksheet!AG203="","",Worksheet!AG203)</f>
        <v/>
      </c>
      <c r="O203" t="str">
        <f>IF(Worksheet!AJ203="","",Worksheet!AJ203)</f>
        <v>Zomerstage 2026 U8 (Oudenaarde)</v>
      </c>
      <c r="P203" t="str">
        <f>IF(Worksheet!AK203="","",Worksheet!AK203)</f>
        <v>Speler</v>
      </c>
    </row>
    <row r="204" spans="1:16" x14ac:dyDescent="0.3">
      <c r="A204" t="str">
        <v>Viktor Guillaume</v>
      </c>
      <c r="B204" t="str">
        <v>Dieter.Guillaume@gmail.com</v>
      </c>
      <c r="C204" t="str">
        <v>+32486392021</v>
      </c>
      <c r="D204" t="str">
        <v/>
      </c>
      <c r="E204" s="2" t="str">
        <v/>
      </c>
      <c r="F204" t="str">
        <v>G10 Blauw HAANTJES CERTIFISC OUDENAARDE</v>
      </c>
      <c r="G204" t="str">
        <v>Speler</v>
      </c>
      <c r="J204" t="str">
        <f>Worksheet!C204&amp;" "&amp;Worksheet!B204</f>
        <v>Limme De Zitter</v>
      </c>
      <c r="K204" t="str">
        <f>Worksheet!AM204</f>
        <v>de.zitter.steve@gmail.com</v>
      </c>
      <c r="L204" t="str">
        <f>Worksheet!AN204</f>
        <v>+32473423222</v>
      </c>
      <c r="M204" t="str">
        <f>IF(Worksheet!AE204="","",Worksheet!AE204)</f>
        <v/>
      </c>
      <c r="N204">
        <f>IF(Worksheet!AG204="","",Worksheet!AG204)</f>
        <v>742327</v>
      </c>
      <c r="O204" t="str">
        <f>IF(Worksheet!AJ204="","",Worksheet!AJ204)</f>
        <v>Zomerstage 2026 (Blankenberge)</v>
      </c>
      <c r="P204" t="str">
        <f>IF(Worksheet!AK204="","",Worksheet!AK204)</f>
        <v>Speler</v>
      </c>
    </row>
    <row r="205" spans="1:16" x14ac:dyDescent="0.3">
      <c r="A205" t="str">
        <v>Laura Hakuzimana</v>
      </c>
      <c r="B205" t="str">
        <v/>
      </c>
      <c r="C205" t="str">
        <v>+32496950967</v>
      </c>
      <c r="D205" t="str">
        <v/>
      </c>
      <c r="E205" s="2">
        <v>721092</v>
      </c>
      <c r="F205" t="str">
        <v>M16 A Haantjes CERTIFISC  Oudenaarde</v>
      </c>
      <c r="G205" t="str">
        <v>Speler</v>
      </c>
      <c r="J205" t="str">
        <f>Worksheet!C205&amp;" "&amp;Worksheet!B205</f>
        <v>Limme De Zitter</v>
      </c>
      <c r="K205" t="str">
        <f>Worksheet!AM205</f>
        <v>de.zitter.steve@gmail.com</v>
      </c>
      <c r="L205" t="str">
        <f>Worksheet!AN205</f>
        <v>+32473423222</v>
      </c>
      <c r="M205" t="str">
        <f>IF(Worksheet!AE205="","",Worksheet!AE205)</f>
        <v/>
      </c>
      <c r="N205">
        <f>IF(Worksheet!AG205="","",Worksheet!AG205)</f>
        <v>742327</v>
      </c>
      <c r="O205" t="str">
        <f>IF(Worksheet!AJ205="","",Worksheet!AJ205)</f>
        <v>M14 A Haantjes CERTIFISC  Oudenaarde</v>
      </c>
      <c r="P205" t="str">
        <f>IF(Worksheet!AK205="","",Worksheet!AK205)</f>
        <v>Speler</v>
      </c>
    </row>
    <row r="206" spans="1:16" x14ac:dyDescent="0.3">
      <c r="A206" t="str">
        <v>Laura Hakuzimana</v>
      </c>
      <c r="B206" t="str">
        <v/>
      </c>
      <c r="C206" t="str">
        <v>+32496950967</v>
      </c>
      <c r="D206" t="str">
        <v/>
      </c>
      <c r="E206" s="2">
        <v>721092</v>
      </c>
      <c r="F206" t="str">
        <v>Zomerstage 2026 (Blankenberge)</v>
      </c>
      <c r="G206" t="str">
        <v>Speler</v>
      </c>
      <c r="J206" t="str">
        <f>Worksheet!C206&amp;" "&amp;Worksheet!B206</f>
        <v>Davie Debels</v>
      </c>
      <c r="K206" t="str">
        <f>Worksheet!AM206</f>
        <v/>
      </c>
      <c r="L206" t="str">
        <f>Worksheet!AN206</f>
        <v>+32495279874</v>
      </c>
      <c r="M206" t="str">
        <f>IF(Worksheet!AE206="","",Worksheet!AE206)</f>
        <v/>
      </c>
      <c r="N206" t="str">
        <f>IF(Worksheet!AG206="","",Worksheet!AG206)</f>
        <v/>
      </c>
      <c r="O206" t="str">
        <f>IF(Worksheet!AJ206="","",Worksheet!AJ206)</f>
        <v/>
      </c>
      <c r="P206" t="str">
        <f>IF(Worksheet!AK206="","",Worksheet!AK206)</f>
        <v/>
      </c>
    </row>
    <row r="207" spans="1:16" x14ac:dyDescent="0.3">
      <c r="A207" t="str">
        <v>Sander Hakuzimana</v>
      </c>
      <c r="B207" t="str">
        <v/>
      </c>
      <c r="C207" t="str">
        <v>+32467059655</v>
      </c>
      <c r="D207" t="str">
        <v/>
      </c>
      <c r="E207" s="2" t="str">
        <v/>
      </c>
      <c r="F207" t="str">
        <v>J21 A HAANTJES CERTIFISC OUDENAARDE</v>
      </c>
      <c r="G207" t="str">
        <v>Speler</v>
      </c>
      <c r="J207" t="str">
        <f>Worksheet!C207&amp;" "&amp;Worksheet!B207</f>
        <v>Maurice Debels</v>
      </c>
      <c r="K207" t="str">
        <f>Worksheet!AM207</f>
        <v/>
      </c>
      <c r="L207" t="str">
        <f>Worksheet!AN207</f>
        <v>+32476521616</v>
      </c>
      <c r="M207" t="str">
        <f>IF(Worksheet!AE207="","",Worksheet!AE207)</f>
        <v>https://app.twizzit.com/public/photos/7307064/s/62a20fb436e1f6920a77ad9e4cd715a7e88bd1d1.png</v>
      </c>
      <c r="N207" t="str">
        <f>IF(Worksheet!AG207="","",Worksheet!AG207)</f>
        <v/>
      </c>
      <c r="O207" t="str">
        <f>IF(Worksheet!AJ207="","",Worksheet!AJ207)</f>
        <v>G10 Blauw HAANTJES CERTIFISC OUDENAARDE</v>
      </c>
      <c r="P207" t="str">
        <f>IF(Worksheet!AK207="","",Worksheet!AK207)</f>
        <v>Speler</v>
      </c>
    </row>
    <row r="208" spans="1:16" x14ac:dyDescent="0.3">
      <c r="A208" t="str">
        <v>Sander Hakuzimana</v>
      </c>
      <c r="B208" t="str">
        <v/>
      </c>
      <c r="C208" t="str">
        <v>+32467059655</v>
      </c>
      <c r="D208" t="str">
        <v/>
      </c>
      <c r="E208" s="2" t="str">
        <v/>
      </c>
      <c r="F208" t="str">
        <v>HSE B Haantjes Certifisc Oudenaarde</v>
      </c>
      <c r="G208" t="str">
        <v>Speler</v>
      </c>
      <c r="J208" t="str">
        <f>Worksheet!C208&amp;" "&amp;Worksheet!B208</f>
        <v>Arthur Debisschop</v>
      </c>
      <c r="K208" t="str">
        <f>Worksheet!AM208</f>
        <v/>
      </c>
      <c r="L208" t="str">
        <f>Worksheet!AN208</f>
        <v>+32486445874</v>
      </c>
      <c r="M208" t="str">
        <f>IF(Worksheet!AE208="","",Worksheet!AE208)</f>
        <v/>
      </c>
      <c r="N208" t="str">
        <f>IF(Worksheet!AG208="","",Worksheet!AG208)</f>
        <v/>
      </c>
      <c r="O208" t="str">
        <f>IF(Worksheet!AJ208="","",Worksheet!AJ208)</f>
        <v>G14 B Haantjes CERTIFISC Oudenaarde</v>
      </c>
      <c r="P208" t="str">
        <f>IF(Worksheet!AK208="","",Worksheet!AK208)</f>
        <v>Speler</v>
      </c>
    </row>
    <row r="209" spans="1:16" x14ac:dyDescent="0.3">
      <c r="A209" t="str">
        <v>Ron Heestermans</v>
      </c>
      <c r="B209" t="str">
        <v/>
      </c>
      <c r="C209" t="str">
        <v>+32468152536</v>
      </c>
      <c r="D209" t="str">
        <v/>
      </c>
      <c r="E209" s="2" t="str">
        <v/>
      </c>
      <c r="F209" t="str">
        <v>M16 A Haantjes CERTIFISC  Oudenaarde</v>
      </c>
      <c r="G209" t="str">
        <v>Coach</v>
      </c>
      <c r="J209" t="str">
        <f>Worksheet!C209&amp;" "&amp;Worksheet!B209</f>
        <v>Ryan Debouverie</v>
      </c>
      <c r="K209" t="str">
        <f>Worksheet!AM209</f>
        <v/>
      </c>
      <c r="L209" t="str">
        <f>Worksheet!AN209</f>
        <v>+32496247133</v>
      </c>
      <c r="M209" t="str">
        <f>IF(Worksheet!AE209="","",Worksheet!AE209)</f>
        <v/>
      </c>
      <c r="N209">
        <f>IF(Worksheet!AG209="","",Worksheet!AG209)</f>
        <v>271615</v>
      </c>
      <c r="O209" t="str">
        <f>IF(Worksheet!AJ209="","",Worksheet!AJ209)</f>
        <v>G10 Geel HAANTJES CERTIFISC OUDENAARDE</v>
      </c>
      <c r="P209" t="str">
        <f>IF(Worksheet!AK209="","",Worksheet!AK209)</f>
        <v>Coach</v>
      </c>
    </row>
    <row r="210" spans="1:16" x14ac:dyDescent="0.3">
      <c r="A210" t="str">
        <v>Arno Heyerick</v>
      </c>
      <c r="B210" t="str">
        <v/>
      </c>
      <c r="C210" t="str">
        <v>+32479480500</v>
      </c>
      <c r="D210" t="str">
        <v/>
      </c>
      <c r="E210" s="2">
        <v>665927</v>
      </c>
      <c r="F210" t="str">
        <v>J21 A HAANTJES CERTIFISC OUDENAARDE</v>
      </c>
      <c r="G210" t="str">
        <v>Speler</v>
      </c>
      <c r="J210" t="str">
        <f>Worksheet!C210&amp;" "&amp;Worksheet!B210</f>
        <v>Ryan Debouverie</v>
      </c>
      <c r="K210" t="str">
        <f>Worksheet!AM210</f>
        <v/>
      </c>
      <c r="L210" t="str">
        <f>Worksheet!AN210</f>
        <v>+32496247133</v>
      </c>
      <c r="M210" t="str">
        <f>IF(Worksheet!AE210="","",Worksheet!AE210)</f>
        <v/>
      </c>
      <c r="N210">
        <f>IF(Worksheet!AG210="","",Worksheet!AG210)</f>
        <v>271615</v>
      </c>
      <c r="O210" t="str">
        <f>IF(Worksheet!AJ210="","",Worksheet!AJ210)</f>
        <v>HSE  C Haantjes Certifisc Oudenaarde</v>
      </c>
      <c r="P210" t="str">
        <f>IF(Worksheet!AK210="","",Worksheet!AK210)</f>
        <v>Coach</v>
      </c>
    </row>
    <row r="211" spans="1:16" x14ac:dyDescent="0.3">
      <c r="A211" t="str">
        <v>Arno Heyerick</v>
      </c>
      <c r="B211" t="str">
        <v/>
      </c>
      <c r="C211" t="str">
        <v>+32479480500</v>
      </c>
      <c r="D211" t="str">
        <v/>
      </c>
      <c r="E211" s="2">
        <v>665927</v>
      </c>
      <c r="F211" t="str">
        <v>HSE B Haantjes Certifisc Oudenaarde</v>
      </c>
      <c r="G211" t="str">
        <v>Speler</v>
      </c>
      <c r="J211" t="str">
        <f>Worksheet!C211&amp;" "&amp;Worksheet!B211</f>
        <v>Ryan Debouverie</v>
      </c>
      <c r="K211" t="str">
        <f>Worksheet!AM211</f>
        <v/>
      </c>
      <c r="L211" t="str">
        <f>Worksheet!AN211</f>
        <v>+32496247133</v>
      </c>
      <c r="M211" t="str">
        <f>IF(Worksheet!AE211="","",Worksheet!AE211)</f>
        <v/>
      </c>
      <c r="N211">
        <f>IF(Worksheet!AG211="","",Worksheet!AG211)</f>
        <v>271615</v>
      </c>
      <c r="O211" t="str">
        <f>IF(Worksheet!AJ211="","",Worksheet!AJ211)</f>
        <v>HSE B Haantjes Certifisc Oudenaarde</v>
      </c>
      <c r="P211" t="str">
        <f>IF(Worksheet!AK211="","",Worksheet!AK211)</f>
        <v>Speler</v>
      </c>
    </row>
    <row r="212" spans="1:16" x14ac:dyDescent="0.3">
      <c r="A212" t="str">
        <v>Lennert Huys</v>
      </c>
      <c r="B212" t="str">
        <v/>
      </c>
      <c r="C212" t="str">
        <v>+32498103578</v>
      </c>
      <c r="D212" t="str">
        <v/>
      </c>
      <c r="E212" s="2">
        <v>735041</v>
      </c>
      <c r="F212" t="str">
        <v>G14 A Haantjes CERTIFISC Oudenaarde</v>
      </c>
      <c r="G212" t="str">
        <v>Speler</v>
      </c>
      <c r="J212" t="str">
        <f>Worksheet!C212&amp;" "&amp;Worksheet!B212</f>
        <v>Seb Debouverie</v>
      </c>
      <c r="K212" t="str">
        <f>Worksheet!AM212</f>
        <v/>
      </c>
      <c r="L212" t="str">
        <f>Worksheet!AN212</f>
        <v>+32474278078</v>
      </c>
      <c r="M212" t="str">
        <f>IF(Worksheet!AE212="","",Worksheet!AE212)</f>
        <v>https://app.twizzit.com/public/photos/3470113/s/d4f4d56826c6eb1d41480a49a2f8240682b337d2.png</v>
      </c>
      <c r="N212" t="str">
        <f>IF(Worksheet!AG212="","",Worksheet!AG212)</f>
        <v/>
      </c>
      <c r="O212" t="str">
        <f>IF(Worksheet!AJ212="","",Worksheet!AJ212)</f>
        <v>G10 Geel HAANTJES CERTIFISC OUDENAARDE</v>
      </c>
      <c r="P212" t="str">
        <f>IF(Worksheet!AK212="","",Worksheet!AK212)</f>
        <v>Speler</v>
      </c>
    </row>
    <row r="213" spans="1:16" x14ac:dyDescent="0.3">
      <c r="A213" t="str">
        <v>Lennert Huys</v>
      </c>
      <c r="B213" t="str">
        <v/>
      </c>
      <c r="C213" t="str">
        <v>+32498103578</v>
      </c>
      <c r="D213" t="str">
        <v/>
      </c>
      <c r="E213" s="2">
        <v>735041</v>
      </c>
      <c r="F213" t="str">
        <v>Zomerstage 2026 (Blankenberge)</v>
      </c>
      <c r="G213" t="str">
        <v>Speler</v>
      </c>
      <c r="J213" t="str">
        <f>Worksheet!C213&amp;" "&amp;Worksheet!B213</f>
        <v>Tille Debouverie</v>
      </c>
      <c r="K213" t="str">
        <f>Worksheet!AM213</f>
        <v>debouverieryan@gmail.com</v>
      </c>
      <c r="L213" t="str">
        <f>Worksheet!AN213</f>
        <v>+32474278078</v>
      </c>
      <c r="M213" t="str">
        <f>IF(Worksheet!AE213="","",Worksheet!AE213)</f>
        <v>https://app.twizzit.com/public/photos/10452578/s/292aacecec7d92bf38572d240646cc8a5ea5dc01.png</v>
      </c>
      <c r="N213" t="str">
        <f>IF(Worksheet!AG213="","",Worksheet!AG213)</f>
        <v/>
      </c>
      <c r="O213" t="str">
        <f>IF(Worksheet!AJ213="","",Worksheet!AJ213)</f>
        <v>G08 Groen HAANTJES CERTIFISC OUDENAARDE</v>
      </c>
      <c r="P213" t="str">
        <f>IF(Worksheet!AK213="","",Worksheet!AK213)</f>
        <v>Speler</v>
      </c>
    </row>
    <row r="214" spans="1:16" x14ac:dyDescent="0.3">
      <c r="A214" t="str">
        <v>Vic Huysman</v>
      </c>
      <c r="B214" t="str">
        <v/>
      </c>
      <c r="C214" t="str">
        <v>+32474884540</v>
      </c>
      <c r="D214" t="str">
        <v>https://app.twizzit.com/public/photos/2936186/s/c4015a6cfb380c1e7090d66488ca6326fa9caa7a.png</v>
      </c>
      <c r="E214" s="2">
        <v>744354</v>
      </c>
      <c r="F214" t="str">
        <v>J18 A Haantjes CERTIFISC Oudenaarde</v>
      </c>
      <c r="G214" t="str">
        <v>Speler</v>
      </c>
      <c r="J214" t="str">
        <f>Worksheet!C214&amp;" "&amp;Worksheet!B214</f>
        <v>Alexander Debrabandere</v>
      </c>
      <c r="K214" t="str">
        <f>Worksheet!AM214</f>
        <v>wouterdebrabandere@hotmail.com</v>
      </c>
      <c r="L214" t="str">
        <f>Worksheet!AN214</f>
        <v>+32479632757</v>
      </c>
      <c r="M214" t="str">
        <f>IF(Worksheet!AE214="","",Worksheet!AE214)</f>
        <v>https://app.twizzit.com/public/photos/9358687/s/39dec95c934b8449accefe9b14858af58d6c820f.png</v>
      </c>
      <c r="N214" t="str">
        <f>IF(Worksheet!AG214="","",Worksheet!AG214)</f>
        <v/>
      </c>
      <c r="O214" t="str">
        <f>IF(Worksheet!AJ214="","",Worksheet!AJ214)</f>
        <v/>
      </c>
      <c r="P214" t="str">
        <f>IF(Worksheet!AK214="","",Worksheet!AK214)</f>
        <v/>
      </c>
    </row>
    <row r="215" spans="1:16" x14ac:dyDescent="0.3">
      <c r="A215" t="str">
        <v>Vic Huysman</v>
      </c>
      <c r="B215" t="str">
        <v/>
      </c>
      <c r="C215" t="str">
        <v>+32474884540</v>
      </c>
      <c r="D215" t="str">
        <v>https://app.twizzit.com/public/photos/2936186/s/c4015a6cfb380c1e7090d66488ca6326fa9caa7a.png</v>
      </c>
      <c r="E215" s="2">
        <v>744354</v>
      </c>
      <c r="F215" t="str">
        <v>Zomerstage 2026 (Blankenberge)</v>
      </c>
      <c r="G215" t="str">
        <v>Speler</v>
      </c>
      <c r="J215" t="str">
        <f>Worksheet!C215&amp;" "&amp;Worksheet!B215</f>
        <v>Quentin Debruyne</v>
      </c>
      <c r="K215" t="str">
        <f>Worksheet!AM215</f>
        <v/>
      </c>
      <c r="L215" t="str">
        <f>Worksheet!AN215</f>
        <v>+32471753995</v>
      </c>
      <c r="M215" t="str">
        <f>IF(Worksheet!AE215="","",Worksheet!AE215)</f>
        <v/>
      </c>
      <c r="N215" t="str">
        <f>IF(Worksheet!AG215="","",Worksheet!AG215)</f>
        <v/>
      </c>
      <c r="O215" t="str">
        <f>IF(Worksheet!AJ215="","",Worksheet!AJ215)</f>
        <v>HSE  C Haantjes Certifisc Oudenaarde</v>
      </c>
      <c r="P215" t="str">
        <f>IF(Worksheet!AK215="","",Worksheet!AK215)</f>
        <v>Speler</v>
      </c>
    </row>
    <row r="216" spans="1:16" x14ac:dyDescent="0.3">
      <c r="A216" t="str">
        <v>Vic Huysman</v>
      </c>
      <c r="B216" t="str">
        <v/>
      </c>
      <c r="C216" t="str">
        <v>+32474884540</v>
      </c>
      <c r="D216" t="str">
        <v>https://app.twizzit.com/public/photos/2936186/s/c4015a6cfb380c1e7090d66488ca6326fa9caa7a.png</v>
      </c>
      <c r="E216" s="2">
        <v>744354</v>
      </c>
      <c r="F216" t="str">
        <v>HSE B Haantjes Certifisc Oudenaarde</v>
      </c>
      <c r="G216" t="str">
        <v>Speler</v>
      </c>
      <c r="J216" t="str">
        <f>Worksheet!C216&amp;" "&amp;Worksheet!B216</f>
        <v>Henri Declercq</v>
      </c>
      <c r="K216" t="str">
        <f>Worksheet!AM216</f>
        <v/>
      </c>
      <c r="L216" t="str">
        <f>Worksheet!AN216</f>
        <v>+32490413065</v>
      </c>
      <c r="M216" t="str">
        <f>IF(Worksheet!AE216="","",Worksheet!AE216)</f>
        <v/>
      </c>
      <c r="N216">
        <f>IF(Worksheet!AG216="","",Worksheet!AG216)</f>
        <v>284348</v>
      </c>
      <c r="O216" t="str">
        <f>IF(Worksheet!AJ216="","",Worksheet!AJ216)</f>
        <v/>
      </c>
      <c r="P216" t="str">
        <f>IF(Worksheet!AK216="","",Worksheet!AK216)</f>
        <v/>
      </c>
    </row>
    <row r="217" spans="1:16" x14ac:dyDescent="0.3">
      <c r="A217" t="str">
        <v>Aleksandr Kazmenko</v>
      </c>
      <c r="B217" t="str">
        <v>alex@inolel.com</v>
      </c>
      <c r="C217" t="str">
        <v/>
      </c>
      <c r="D217" t="str">
        <v/>
      </c>
      <c r="E217" s="2">
        <v>280658</v>
      </c>
      <c r="F217" t="str">
        <v>HSE B Haantjes Certifisc Oudenaarde</v>
      </c>
      <c r="G217" t="str">
        <v>Speler</v>
      </c>
      <c r="J217" t="str">
        <f>Worksheet!C217&amp;" "&amp;Worksheet!B217</f>
        <v>Rami Decock</v>
      </c>
      <c r="K217" t="str">
        <f>Worksheet!AM217</f>
        <v>decock.anthony07@gmail.com</v>
      </c>
      <c r="L217" t="str">
        <f>Worksheet!AN217</f>
        <v>+3249819525</v>
      </c>
      <c r="M217" t="str">
        <f>IF(Worksheet!AE217="","",Worksheet!AE217)</f>
        <v/>
      </c>
      <c r="N217" t="str">
        <f>IF(Worksheet!AG217="","",Worksheet!AG217)</f>
        <v/>
      </c>
      <c r="O217" t="str">
        <f>IF(Worksheet!AJ217="","",Worksheet!AJ217)</f>
        <v>Balschool U6</v>
      </c>
      <c r="P217" t="str">
        <f>IF(Worksheet!AK217="","",Worksheet!AK217)</f>
        <v>Speler</v>
      </c>
    </row>
    <row r="218" spans="1:16" x14ac:dyDescent="0.3">
      <c r="A218" t="str">
        <v>Filip L'Hommelet</v>
      </c>
      <c r="B218" t="str">
        <v>filip.lhommelet@myweb4u.be</v>
      </c>
      <c r="C218" t="str">
        <v>+32479376759</v>
      </c>
      <c r="D218" t="str">
        <v/>
      </c>
      <c r="E218" s="2">
        <v>92637</v>
      </c>
      <c r="F218" t="str">
        <v>G14 A Haantjes CERTIFISC Oudenaarde</v>
      </c>
      <c r="G218" t="str">
        <v>Coach</v>
      </c>
      <c r="J218" t="str">
        <f>Worksheet!C218&amp;" "&amp;Worksheet!B218</f>
        <v>Suze Decock</v>
      </c>
      <c r="K218" t="str">
        <f>Worksheet!AM218</f>
        <v>andries.decock@gmail.com</v>
      </c>
      <c r="L218" t="str">
        <f>Worksheet!AN218</f>
        <v>+32491551932</v>
      </c>
      <c r="M218" t="str">
        <f>IF(Worksheet!AE218="","",Worksheet!AE218)</f>
        <v/>
      </c>
      <c r="N218" t="str">
        <f>IF(Worksheet!AG218="","",Worksheet!AG218)</f>
        <v/>
      </c>
      <c r="O218" t="str">
        <f>IF(Worksheet!AJ218="","",Worksheet!AJ218)</f>
        <v/>
      </c>
      <c r="P218" t="str">
        <f>IF(Worksheet!AK218="","",Worksheet!AK218)</f>
        <v/>
      </c>
    </row>
    <row r="219" spans="1:16" x14ac:dyDescent="0.3">
      <c r="A219" t="str">
        <v>Leon L'Hommelet</v>
      </c>
      <c r="B219" t="str">
        <v>els.bourgois@gmail.com</v>
      </c>
      <c r="C219" t="str">
        <v>+32479376759</v>
      </c>
      <c r="D219" t="str">
        <v/>
      </c>
      <c r="E219" s="2">
        <v>733228</v>
      </c>
      <c r="F219" t="str">
        <v>G14 A Haantjes CERTIFISC Oudenaarde</v>
      </c>
      <c r="G219" t="str">
        <v>Speler</v>
      </c>
      <c r="J219" t="str">
        <f>Worksheet!C219&amp;" "&amp;Worksheet!B219</f>
        <v>Dieuwke Decroix</v>
      </c>
      <c r="K219" t="str">
        <f>Worksheet!AM219</f>
        <v>decroix.willem@gmail.com</v>
      </c>
      <c r="L219" t="str">
        <f>Worksheet!AN219</f>
        <v>+32483596928</v>
      </c>
      <c r="M219" t="str">
        <f>IF(Worksheet!AE219="","",Worksheet!AE219)</f>
        <v/>
      </c>
      <c r="N219">
        <f>IF(Worksheet!AG219="","",Worksheet!AG219)</f>
        <v>752195</v>
      </c>
      <c r="O219" t="str">
        <f>IF(Worksheet!AJ219="","",Worksheet!AJ219)</f>
        <v>M19 A Haantjes CERTIFISC Oudenaarde</v>
      </c>
      <c r="P219" t="str">
        <f>IF(Worksheet!AK219="","",Worksheet!AK219)</f>
        <v>Speler</v>
      </c>
    </row>
    <row r="220" spans="1:16" x14ac:dyDescent="0.3">
      <c r="A220" t="str">
        <v>Leon L'Hommelet</v>
      </c>
      <c r="B220" t="str">
        <v>els.bourgois@gmail.com</v>
      </c>
      <c r="C220" t="str">
        <v>+32479376759</v>
      </c>
      <c r="D220" t="str">
        <v/>
      </c>
      <c r="E220" s="2">
        <v>733228</v>
      </c>
      <c r="F220" t="str">
        <v>Zomerstage 2026 (Blankenberge)</v>
      </c>
      <c r="G220" t="str">
        <v>Speler</v>
      </c>
      <c r="J220" t="str">
        <f>Worksheet!C220&amp;" "&amp;Worksheet!B220</f>
        <v>Wouter Defever</v>
      </c>
      <c r="K220" t="str">
        <f>Worksheet!AM220</f>
        <v/>
      </c>
      <c r="L220" t="str">
        <f>Worksheet!AN220</f>
        <v>+32470102338</v>
      </c>
      <c r="M220" t="str">
        <f>IF(Worksheet!AE220="","",Worksheet!AE220)</f>
        <v/>
      </c>
      <c r="N220" t="str">
        <f>IF(Worksheet!AG220="","",Worksheet!AG220)</f>
        <v/>
      </c>
      <c r="O220" t="str">
        <f>IF(Worksheet!AJ220="","",Worksheet!AJ220)</f>
        <v/>
      </c>
      <c r="P220" t="str">
        <f>IF(Worksheet!AK220="","",Worksheet!AK220)</f>
        <v/>
      </c>
    </row>
    <row r="221" spans="1:16" x14ac:dyDescent="0.3">
      <c r="A221" t="str">
        <v>Maud Lacres</v>
      </c>
      <c r="B221" t="str">
        <v>taelman.elke@gmail.com</v>
      </c>
      <c r="C221" t="str">
        <v>+32486264195</v>
      </c>
      <c r="D221" t="str">
        <v>https://app.twizzit.com/public/photos/7284400/s/788dc5308deee743b8d2d9764e0824010b7633fe.png</v>
      </c>
      <c r="E221" s="2">
        <v>764842</v>
      </c>
      <c r="F221" t="str">
        <v>M12 A HAANTJES CERTIFISC OUDENAARDE</v>
      </c>
      <c r="G221" t="str">
        <v>Speler</v>
      </c>
      <c r="J221" t="str">
        <f>Worksheet!C221&amp;" "&amp;Worksheet!B221</f>
        <v>Maxime Defraigne</v>
      </c>
      <c r="K221" t="str">
        <f>Worksheet!AM221</f>
        <v/>
      </c>
      <c r="L221" t="str">
        <f>Worksheet!AN221</f>
        <v/>
      </c>
      <c r="M221" t="str">
        <f>IF(Worksheet!AE221="","",Worksheet!AE221)</f>
        <v/>
      </c>
      <c r="N221" t="str">
        <f>IF(Worksheet!AG221="","",Worksheet!AG221)</f>
        <v/>
      </c>
      <c r="O221" t="str">
        <f>IF(Worksheet!AJ221="","",Worksheet!AJ221)</f>
        <v/>
      </c>
      <c r="P221" t="str">
        <f>IF(Worksheet!AK221="","",Worksheet!AK221)</f>
        <v/>
      </c>
    </row>
    <row r="222" spans="1:16" x14ac:dyDescent="0.3">
      <c r="A222" t="str">
        <v>Ruube Lagae</v>
      </c>
      <c r="B222" t="str">
        <v>Ruubelagae@gmail.com</v>
      </c>
      <c r="C222" t="str">
        <v>+32471247514</v>
      </c>
      <c r="D222" t="str">
        <v/>
      </c>
      <c r="E222" s="2" t="str">
        <v/>
      </c>
      <c r="F222" t="str">
        <v>G14 A Haantjes CERTIFISC Oudenaarde</v>
      </c>
      <c r="G222" t="str">
        <v>Speler</v>
      </c>
      <c r="J222" t="str">
        <f>Worksheet!C222&amp;" "&amp;Worksheet!B222</f>
        <v>Jente Degroote</v>
      </c>
      <c r="K222" t="str">
        <f>Worksheet!AM222</f>
        <v/>
      </c>
      <c r="L222" t="str">
        <f>Worksheet!AN222</f>
        <v>+32479645729</v>
      </c>
      <c r="M222" t="str">
        <f>IF(Worksheet!AE222="","",Worksheet!AE222)</f>
        <v/>
      </c>
      <c r="N222">
        <f>IF(Worksheet!AG222="","",Worksheet!AG222)</f>
        <v>714081</v>
      </c>
      <c r="O222" t="str">
        <f>IF(Worksheet!AJ222="","",Worksheet!AJ222)</f>
        <v/>
      </c>
      <c r="P222" t="str">
        <f>IF(Worksheet!AK222="","",Worksheet!AK222)</f>
        <v/>
      </c>
    </row>
    <row r="223" spans="1:16" x14ac:dyDescent="0.3">
      <c r="A223" t="str">
        <v>Ruube Lagae</v>
      </c>
      <c r="B223" t="str">
        <v>Ruubelagae@gmail.com</v>
      </c>
      <c r="C223" t="str">
        <v>+32471247514</v>
      </c>
      <c r="D223" t="str">
        <v/>
      </c>
      <c r="E223" s="2" t="str">
        <v/>
      </c>
      <c r="F223" t="str">
        <v>Zomerstage 2026 (Blankenberge)</v>
      </c>
      <c r="G223" t="str">
        <v>Speler</v>
      </c>
      <c r="J223" t="str">
        <f>Worksheet!C223&amp;" "&amp;Worksheet!B223</f>
        <v>Jilke Degroote</v>
      </c>
      <c r="K223" t="str">
        <f>Worksheet!AM223</f>
        <v/>
      </c>
      <c r="L223" t="str">
        <f>Worksheet!AN223</f>
        <v>+32479645729</v>
      </c>
      <c r="M223" t="str">
        <f>IF(Worksheet!AE223="","",Worksheet!AE223)</f>
        <v/>
      </c>
      <c r="N223" t="str">
        <f>IF(Worksheet!AG223="","",Worksheet!AG223)</f>
        <v/>
      </c>
      <c r="O223" t="str">
        <f>IF(Worksheet!AJ223="","",Worksheet!AJ223)</f>
        <v/>
      </c>
      <c r="P223" t="str">
        <f>IF(Worksheet!AK223="","",Worksheet!AK223)</f>
        <v/>
      </c>
    </row>
    <row r="224" spans="1:16" x14ac:dyDescent="0.3">
      <c r="A224" t="str">
        <v>Babet Laurez</v>
      </c>
      <c r="B224" t="str">
        <v/>
      </c>
      <c r="C224" t="str">
        <v>+32477501978</v>
      </c>
      <c r="D224" t="str">
        <v/>
      </c>
      <c r="E224" s="2" t="str">
        <v/>
      </c>
      <c r="F224" t="str">
        <v>M12 A HAANTJES CERTIFISC OUDENAARDE</v>
      </c>
      <c r="G224" t="str">
        <v>Speler</v>
      </c>
      <c r="J224" t="str">
        <f>Worksheet!C224&amp;" "&amp;Worksheet!B224</f>
        <v>Maxime Degroote</v>
      </c>
      <c r="K224" t="str">
        <f>Worksheet!AM224</f>
        <v>lien_baert@hotmail.be</v>
      </c>
      <c r="L224" t="str">
        <f>Worksheet!AN224</f>
        <v>+32494275249</v>
      </c>
      <c r="M224" t="str">
        <f>IF(Worksheet!AE224="","",Worksheet!AE224)</f>
        <v/>
      </c>
      <c r="N224" t="str">
        <f>IF(Worksheet!AG224="","",Worksheet!AG224)</f>
        <v/>
      </c>
      <c r="O224" t="str">
        <f>IF(Worksheet!AJ224="","",Worksheet!AJ224)</f>
        <v/>
      </c>
      <c r="P224" t="str">
        <f>IF(Worksheet!AK224="","",Worksheet!AK224)</f>
        <v/>
      </c>
    </row>
    <row r="225" spans="1:16" x14ac:dyDescent="0.3">
      <c r="A225" t="str">
        <v>Jef Lauwereins</v>
      </c>
      <c r="B225" t="str">
        <v>lauwereins.steven@gmail.com</v>
      </c>
      <c r="C225" t="str">
        <v>+32474317844</v>
      </c>
      <c r="D225" t="str">
        <v/>
      </c>
      <c r="E225" s="2" t="str">
        <v/>
      </c>
      <c r="F225" t="str">
        <v>G08 Blauw HAANTJES CERTIFISC OUDENAARDE</v>
      </c>
      <c r="G225" t="str">
        <v>Speler</v>
      </c>
      <c r="J225" t="str">
        <f>Worksheet!C225&amp;" "&amp;Worksheet!B225</f>
        <v>Wouter Degroote</v>
      </c>
      <c r="K225" t="str">
        <f>Worksheet!AM225</f>
        <v/>
      </c>
      <c r="L225" t="str">
        <f>Worksheet!AN225</f>
        <v/>
      </c>
      <c r="M225" t="str">
        <f>IF(Worksheet!AE225="","",Worksheet!AE225)</f>
        <v/>
      </c>
      <c r="N225">
        <f>IF(Worksheet!AG225="","",Worksheet!AG225)</f>
        <v>719164</v>
      </c>
      <c r="O225" t="str">
        <f>IF(Worksheet!AJ225="","",Worksheet!AJ225)</f>
        <v/>
      </c>
      <c r="P225" t="str">
        <f>IF(Worksheet!AK225="","",Worksheet!AK225)</f>
        <v/>
      </c>
    </row>
    <row r="226" spans="1:16" x14ac:dyDescent="0.3">
      <c r="A226" t="str">
        <v>Jef Lauwereins</v>
      </c>
      <c r="B226" t="str">
        <v>lauwereins.steven@gmail.com</v>
      </c>
      <c r="C226" t="str">
        <v>+32474317844</v>
      </c>
      <c r="D226" t="str">
        <v/>
      </c>
      <c r="E226" s="2" t="str">
        <v/>
      </c>
      <c r="F226" t="str">
        <v>Zomerstage 2026 U8 (Oudenaarde)</v>
      </c>
      <c r="G226" t="str">
        <v>Speler</v>
      </c>
      <c r="J226" t="str">
        <f>Worksheet!C226&amp;" "&amp;Worksheet!B226</f>
        <v>Jules Dekkar</v>
      </c>
      <c r="K226" t="str">
        <f>Worksheet!AM226</f>
        <v>hakim.dekkar@icloud.com</v>
      </c>
      <c r="L226" t="str">
        <f>Worksheet!AN226</f>
        <v>+32476488212</v>
      </c>
      <c r="M226" t="str">
        <f>IF(Worksheet!AE226="","",Worksheet!AE226)</f>
        <v>https://app.twizzit.com/public/photos/3451601/s/35fd5f537189934e8013cbeb18029ae3e97fcdcc.jpeg</v>
      </c>
      <c r="N226">
        <f>IF(Worksheet!AG226="","",Worksheet!AG226)</f>
        <v>747253</v>
      </c>
      <c r="O226" t="str">
        <f>IF(Worksheet!AJ226="","",Worksheet!AJ226)</f>
        <v>G14 A Haantjes CERTIFISC Oudenaarde</v>
      </c>
      <c r="P226" t="str">
        <f>IF(Worksheet!AK226="","",Worksheet!AK226)</f>
        <v>Speler</v>
      </c>
    </row>
    <row r="227" spans="1:16" x14ac:dyDescent="0.3">
      <c r="A227" t="str">
        <v>Rayan Lebrouchi Poddubnaya</v>
      </c>
      <c r="B227" t="str">
        <v>marina.pd34@gmail</v>
      </c>
      <c r="C227" t="str">
        <v>+32492948427</v>
      </c>
      <c r="D227" t="str">
        <v/>
      </c>
      <c r="E227" s="2" t="str">
        <v/>
      </c>
      <c r="F227" t="str">
        <v>J21 A HAANTJES CERTIFISC OUDENAARDE</v>
      </c>
      <c r="G227" t="str">
        <v>Speler</v>
      </c>
      <c r="J227" t="str">
        <f>Worksheet!C227&amp;" "&amp;Worksheet!B227</f>
        <v>Jules Dekkar</v>
      </c>
      <c r="K227" t="str">
        <f>Worksheet!AM227</f>
        <v>hakim.dekkar@icloud.com</v>
      </c>
      <c r="L227" t="str">
        <f>Worksheet!AN227</f>
        <v>+32476488212</v>
      </c>
      <c r="M227" t="str">
        <f>IF(Worksheet!AE227="","",Worksheet!AE227)</f>
        <v>https://app.twizzit.com/public/photos/3451601/s/35fd5f537189934e8013cbeb18029ae3e97fcdcc.jpeg</v>
      </c>
      <c r="N227">
        <f>IF(Worksheet!AG227="","",Worksheet!AG227)</f>
        <v>747253</v>
      </c>
      <c r="O227" t="str">
        <f>IF(Worksheet!AJ227="","",Worksheet!AJ227)</f>
        <v>Zomerstage 2026 (Blankenberge)</v>
      </c>
      <c r="P227" t="str">
        <f>IF(Worksheet!AK227="","",Worksheet!AK227)</f>
        <v>Speler</v>
      </c>
    </row>
    <row r="228" spans="1:16" x14ac:dyDescent="0.3">
      <c r="A228" t="str">
        <v>Rayan Lebrouchi Poddubnaya</v>
      </c>
      <c r="B228" t="str">
        <v>marina.pd34@gmail</v>
      </c>
      <c r="C228" t="str">
        <v>+32492948427</v>
      </c>
      <c r="D228" t="str">
        <v/>
      </c>
      <c r="E228" s="2" t="str">
        <v/>
      </c>
      <c r="F228" t="str">
        <v>J18 A Haantjes CERTIFISC Oudenaarde</v>
      </c>
      <c r="G228" t="str">
        <v>Speler</v>
      </c>
      <c r="J228" t="str">
        <f>Worksheet!C228&amp;" "&amp;Worksheet!B228</f>
        <v>Ann Dekorte</v>
      </c>
      <c r="K228" t="str">
        <f>Worksheet!AM228</f>
        <v/>
      </c>
      <c r="L228" t="str">
        <f>Worksheet!AN228</f>
        <v/>
      </c>
      <c r="M228" t="str">
        <f>IF(Worksheet!AE228="","",Worksheet!AE228)</f>
        <v/>
      </c>
      <c r="N228">
        <f>IF(Worksheet!AG228="","",Worksheet!AG228)</f>
        <v>37999</v>
      </c>
      <c r="O228" t="str">
        <f>IF(Worksheet!AJ228="","",Worksheet!AJ228)</f>
        <v/>
      </c>
      <c r="P228" t="str">
        <f>IF(Worksheet!AK228="","",Worksheet!AK228)</f>
        <v/>
      </c>
    </row>
    <row r="229" spans="1:16" x14ac:dyDescent="0.3">
      <c r="A229" t="str">
        <v>Lothar Lemaire</v>
      </c>
      <c r="B229" t="str">
        <v>huglemaire@hotmail.com</v>
      </c>
      <c r="C229" t="str">
        <v>+32485677282</v>
      </c>
      <c r="D229" t="str">
        <v>https://app.twizzit.com/public/photos/9680220/s/630006e9802fd7af81a6784302b397c8d31a519e.jpeg</v>
      </c>
      <c r="E229" s="2" t="str">
        <v/>
      </c>
      <c r="F229" t="str">
        <v>G10 Blauw HAANTJES CERTIFISC OUDENAARDE</v>
      </c>
      <c r="G229" t="str">
        <v>Speler</v>
      </c>
      <c r="J229" t="str">
        <f>Worksheet!C229&amp;" "&amp;Worksheet!B229</f>
        <v>Jakob Delbaere</v>
      </c>
      <c r="K229" t="str">
        <f>Worksheet!AM229</f>
        <v/>
      </c>
      <c r="L229" t="str">
        <f>Worksheet!AN229</f>
        <v>+32474233989</v>
      </c>
      <c r="M229" t="str">
        <f>IF(Worksheet!AE229="","",Worksheet!AE229)</f>
        <v/>
      </c>
      <c r="N229" t="str">
        <f>IF(Worksheet!AG229="","",Worksheet!AG229)</f>
        <v/>
      </c>
      <c r="O229" t="str">
        <f>IF(Worksheet!AJ229="","",Worksheet!AJ229)</f>
        <v>Balschool U6</v>
      </c>
      <c r="P229" t="str">
        <f>IF(Worksheet!AK229="","",Worksheet!AK229)</f>
        <v>Speler</v>
      </c>
    </row>
    <row r="230" spans="1:16" x14ac:dyDescent="0.3">
      <c r="A230" t="str">
        <v>Thor Lessenne</v>
      </c>
      <c r="B230" t="str">
        <v>lessenne_frederic@yahoo.com</v>
      </c>
      <c r="C230" t="str">
        <v>+32477650341</v>
      </c>
      <c r="D230" t="str">
        <v>https://app.twizzit.com/public/photos/4393791/s/f227f8ddb169feb6dded4f508fa8f0a8d6bc3bc4.jpeg</v>
      </c>
      <c r="E230" s="2">
        <v>758517</v>
      </c>
      <c r="F230" t="str">
        <v>Zomerstage 2026 (Blankenberge)</v>
      </c>
      <c r="G230" t="str">
        <v>Speler</v>
      </c>
      <c r="J230" t="str">
        <f>Worksheet!C230&amp;" "&amp;Worksheet!B230</f>
        <v>Elias Delcoigne</v>
      </c>
      <c r="K230" t="str">
        <f>Worksheet!AM230</f>
        <v>Michael.delcoigne@bernardusscholen.be</v>
      </c>
      <c r="L230" t="str">
        <f>Worksheet!AN230</f>
        <v>+32472527437</v>
      </c>
      <c r="M230" t="str">
        <f>IF(Worksheet!AE230="","",Worksheet!AE230)</f>
        <v>https://app.twizzit.com/public/photos/2650658/s/473b38a30fa520bc6241ccd50a4cd1d0948d70a8.png</v>
      </c>
      <c r="N230">
        <f>IF(Worksheet!AG230="","",Worksheet!AG230)</f>
        <v>742174</v>
      </c>
      <c r="O230" t="str">
        <f>IF(Worksheet!AJ230="","",Worksheet!AJ230)</f>
        <v/>
      </c>
      <c r="P230" t="str">
        <f>IF(Worksheet!AK230="","",Worksheet!AK230)</f>
        <v/>
      </c>
    </row>
    <row r="231" spans="1:16" x14ac:dyDescent="0.3">
      <c r="A231" t="str">
        <v>Thor Lessenne</v>
      </c>
      <c r="B231" t="str">
        <v>lessenne_frederic@yahoo.com</v>
      </c>
      <c r="C231" t="str">
        <v>+32477650341</v>
      </c>
      <c r="D231" t="str">
        <v>https://app.twizzit.com/public/photos/4393791/s/f227f8ddb169feb6dded4f508fa8f0a8d6bc3bc4.jpeg</v>
      </c>
      <c r="E231" s="2">
        <v>758517</v>
      </c>
      <c r="F231" t="str">
        <v>G12 Geel HAANTJES CERTIFISC OUDENAARDE</v>
      </c>
      <c r="G231" t="str">
        <v>Speler</v>
      </c>
      <c r="J231" t="str">
        <f>Worksheet!C231&amp;" "&amp;Worksheet!B231</f>
        <v>Elias Delcoigne</v>
      </c>
      <c r="K231" t="str">
        <f>Worksheet!AM231</f>
        <v>Michael.delcoigne@bernardusscholen.be</v>
      </c>
      <c r="L231" t="str">
        <f>Worksheet!AN231</f>
        <v>+32472527437</v>
      </c>
      <c r="M231" t="str">
        <f>IF(Worksheet!AE231="","",Worksheet!AE231)</f>
        <v>https://app.twizzit.com/public/photos/2650658/s/473b38a30fa520bc6241ccd50a4cd1d0948d70a8.png</v>
      </c>
      <c r="N231">
        <f>IF(Worksheet!AG231="","",Worksheet!AG231)</f>
        <v>742174</v>
      </c>
      <c r="O231" t="str">
        <f>IF(Worksheet!AJ231="","",Worksheet!AJ231)</f>
        <v/>
      </c>
      <c r="P231" t="str">
        <f>IF(Worksheet!AK231="","",Worksheet!AK231)</f>
        <v/>
      </c>
    </row>
    <row r="232" spans="1:16" x14ac:dyDescent="0.3">
      <c r="A232" t="str">
        <v>Wolf Lessenne</v>
      </c>
      <c r="B232" t="str">
        <v/>
      </c>
      <c r="C232" t="str">
        <v>+32494240195</v>
      </c>
      <c r="D232" t="str">
        <v>https://app.twizzit.com/public/photos/3580747/s/157853967ede68629434e8db7d36b6d860f7ea97.jpeg</v>
      </c>
      <c r="E232" s="2" t="str">
        <v/>
      </c>
      <c r="F232" t="str">
        <v>G10 Geel HAANTJES CERTIFISC OUDENAARDE</v>
      </c>
      <c r="G232" t="str">
        <v>Speler</v>
      </c>
      <c r="J232" t="str">
        <f>Worksheet!C232&amp;" "&amp;Worksheet!B232</f>
        <v>Michaël Delcoigne</v>
      </c>
      <c r="K232" t="str">
        <f>Worksheet!AM232</f>
        <v/>
      </c>
      <c r="L232" t="str">
        <f>Worksheet!AN232</f>
        <v/>
      </c>
      <c r="M232" t="str">
        <f>IF(Worksheet!AE232="","",Worksheet!AE232)</f>
        <v/>
      </c>
      <c r="N232" t="str">
        <f>IF(Worksheet!AG232="","",Worksheet!AG232)</f>
        <v/>
      </c>
      <c r="O232" t="str">
        <f>IF(Worksheet!AJ232="","",Worksheet!AJ232)</f>
        <v/>
      </c>
      <c r="P232" t="str">
        <f>IF(Worksheet!AK232="","",Worksheet!AK232)</f>
        <v/>
      </c>
    </row>
    <row r="233" spans="1:16" x14ac:dyDescent="0.3">
      <c r="A233" t="str">
        <v>Alexander Libert</v>
      </c>
      <c r="B233" t="str">
        <v>s_ardenois@hotmail.com</v>
      </c>
      <c r="C233" t="str">
        <v>+32471396733</v>
      </c>
      <c r="D233" t="str">
        <v/>
      </c>
      <c r="E233" s="2">
        <v>723668</v>
      </c>
      <c r="F233" t="str">
        <v>J16 B Haantjes CERTIFISC Oudenaarde</v>
      </c>
      <c r="G233" t="str">
        <v>Speler</v>
      </c>
      <c r="J233" t="str">
        <f>Worksheet!C233&amp;" "&amp;Worksheet!B233</f>
        <v>Mathias Delcroix</v>
      </c>
      <c r="K233" t="str">
        <f>Worksheet!AM233</f>
        <v>Delcroix.dieter@hotmail.com</v>
      </c>
      <c r="L233" t="str">
        <f>Worksheet!AN233</f>
        <v>+32487106040</v>
      </c>
      <c r="M233" t="str">
        <f>IF(Worksheet!AE233="","",Worksheet!AE233)</f>
        <v/>
      </c>
      <c r="N233" t="str">
        <f>IF(Worksheet!AG233="","",Worksheet!AG233)</f>
        <v/>
      </c>
      <c r="O233" t="str">
        <f>IF(Worksheet!AJ233="","",Worksheet!AJ233)</f>
        <v>G12 Blauw HAANTJES CERTIFISC OUDENAARDE</v>
      </c>
      <c r="P233" t="str">
        <f>IF(Worksheet!AK233="","",Worksheet!AK233)</f>
        <v>Speler</v>
      </c>
    </row>
    <row r="234" spans="1:16" x14ac:dyDescent="0.3">
      <c r="A234" t="str">
        <v>Alexander Libert</v>
      </c>
      <c r="B234" t="str">
        <v>s_ardenois@hotmail.com</v>
      </c>
      <c r="C234" t="str">
        <v>+32471396733</v>
      </c>
      <c r="D234" t="str">
        <v/>
      </c>
      <c r="E234" s="2">
        <v>723668</v>
      </c>
      <c r="F234" t="str">
        <v>Zomerstage 2026 (Blankenberge)</v>
      </c>
      <c r="G234" t="str">
        <v>Speler</v>
      </c>
      <c r="J234" t="str">
        <f>Worksheet!C234&amp;" "&amp;Worksheet!B234</f>
        <v>Mathias Delcroix</v>
      </c>
      <c r="K234" t="str">
        <f>Worksheet!AM234</f>
        <v>Delcroix.dieter@hotmail.com</v>
      </c>
      <c r="L234" t="str">
        <f>Worksheet!AN234</f>
        <v>+32487106040</v>
      </c>
      <c r="M234" t="str">
        <f>IF(Worksheet!AE234="","",Worksheet!AE234)</f>
        <v/>
      </c>
      <c r="N234" t="str">
        <f>IF(Worksheet!AG234="","",Worksheet!AG234)</f>
        <v/>
      </c>
      <c r="O234" t="str">
        <f>IF(Worksheet!AJ234="","",Worksheet!AJ234)</f>
        <v>Zomerstage 2026 (Blankenberge)</v>
      </c>
      <c r="P234" t="str">
        <f>IF(Worksheet!AK234="","",Worksheet!AK234)</f>
        <v>Speler</v>
      </c>
    </row>
    <row r="235" spans="1:16" x14ac:dyDescent="0.3">
      <c r="A235" t="str">
        <v>Felice Libert</v>
      </c>
      <c r="B235" t="str">
        <v/>
      </c>
      <c r="C235" t="str">
        <v>+32473780275</v>
      </c>
      <c r="D235" t="str">
        <v>https://app.twizzit.com/public/photos/7279180/s/1c5d9fda02031baa486ebec940b4c251ec4b6762.png</v>
      </c>
      <c r="E235" s="2">
        <v>762633</v>
      </c>
      <c r="F235" t="str">
        <v>M12 A HAANTJES CERTIFISC OUDENAARDE</v>
      </c>
      <c r="G235" t="str">
        <v>Speler</v>
      </c>
      <c r="J235" t="str">
        <f>Worksheet!C235&amp;" "&amp;Worksheet!B235</f>
        <v>Mathis Delmote</v>
      </c>
      <c r="K235" t="str">
        <f>Worksheet!AM235</f>
        <v/>
      </c>
      <c r="L235" t="str">
        <f>Worksheet!AN235</f>
        <v>+32478547008</v>
      </c>
      <c r="M235" t="str">
        <f>IF(Worksheet!AE235="","",Worksheet!AE235)</f>
        <v/>
      </c>
      <c r="N235" t="str">
        <f>IF(Worksheet!AG235="","",Worksheet!AG235)</f>
        <v/>
      </c>
      <c r="O235" t="str">
        <f>IF(Worksheet!AJ235="","",Worksheet!AJ235)</f>
        <v/>
      </c>
      <c r="P235" t="str">
        <f>IF(Worksheet!AK235="","",Worksheet!AK235)</f>
        <v/>
      </c>
    </row>
    <row r="236" spans="1:16" x14ac:dyDescent="0.3">
      <c r="A236" t="str">
        <v>Mathieu Libert</v>
      </c>
      <c r="B236" t="str">
        <v>s_ardenois@hotmail.com</v>
      </c>
      <c r="C236" t="str">
        <v>+32479788543</v>
      </c>
      <c r="D236" t="str">
        <v/>
      </c>
      <c r="E236" s="2" t="str">
        <v/>
      </c>
      <c r="F236" t="str">
        <v>Zomerstage 2026 (Blankenberge)</v>
      </c>
      <c r="G236" t="str">
        <v>Speler</v>
      </c>
      <c r="J236" t="str">
        <f>Worksheet!C236&amp;" "&amp;Worksheet!B236</f>
        <v>Frederic Delouvroy</v>
      </c>
      <c r="K236" t="str">
        <f>Worksheet!AM236</f>
        <v/>
      </c>
      <c r="L236" t="str">
        <f>Worksheet!AN236</f>
        <v/>
      </c>
      <c r="M236" t="str">
        <f>IF(Worksheet!AE236="","",Worksheet!AE236)</f>
        <v/>
      </c>
      <c r="N236" t="str">
        <f>IF(Worksheet!AG236="","",Worksheet!AG236)</f>
        <v/>
      </c>
      <c r="O236" t="str">
        <f>IF(Worksheet!AJ236="","",Worksheet!AJ236)</f>
        <v/>
      </c>
      <c r="P236" t="str">
        <f>IF(Worksheet!AK236="","",Worksheet!AK236)</f>
        <v/>
      </c>
    </row>
    <row r="237" spans="1:16" x14ac:dyDescent="0.3">
      <c r="A237" t="str">
        <v>Mathieu Libert</v>
      </c>
      <c r="B237" t="str">
        <v>s_ardenois@hotmail.com</v>
      </c>
      <c r="C237" t="str">
        <v>+32479788543</v>
      </c>
      <c r="D237" t="str">
        <v/>
      </c>
      <c r="E237" s="2" t="str">
        <v/>
      </c>
      <c r="F237" t="str">
        <v>G12 Geel HAANTJES CERTIFISC OUDENAARDE</v>
      </c>
      <c r="G237" t="str">
        <v>Speler</v>
      </c>
      <c r="J237" t="str">
        <f>Worksheet!C237&amp;" "&amp;Worksheet!B237</f>
        <v>Ibe Demesure</v>
      </c>
      <c r="K237" t="str">
        <f>Worksheet!AM237</f>
        <v/>
      </c>
      <c r="L237" t="str">
        <f>Worksheet!AN237</f>
        <v/>
      </c>
      <c r="M237" t="str">
        <f>IF(Worksheet!AE237="","",Worksheet!AE237)</f>
        <v>https://app.twizzit.com/public/photos/2670015/s/f1e98f51378ab75737aecc5cbf700ec759f2fc89.png</v>
      </c>
      <c r="N237">
        <f>IF(Worksheet!AG237="","",Worksheet!AG237)</f>
        <v>671179</v>
      </c>
      <c r="O237" t="str">
        <f>IF(Worksheet!AJ237="","",Worksheet!AJ237)</f>
        <v/>
      </c>
      <c r="P237" t="str">
        <f>IF(Worksheet!AK237="","",Worksheet!AK237)</f>
        <v/>
      </c>
    </row>
    <row r="238" spans="1:16" x14ac:dyDescent="0.3">
      <c r="A238" t="str">
        <v>Victor Libert</v>
      </c>
      <c r="B238" t="str">
        <v/>
      </c>
      <c r="C238" t="str">
        <v>+32473780275</v>
      </c>
      <c r="D238" t="str">
        <v>https://app.twizzit.com/public/photos/7493172/s/6235261693b78c2a6b1d4ecbb92a61770437eca9.jpeg</v>
      </c>
      <c r="E238" s="2" t="str">
        <v/>
      </c>
      <c r="F238" t="str">
        <v>G10 Blauw HAANTJES CERTIFISC OUDENAARDE</v>
      </c>
      <c r="G238" t="str">
        <v>Speler</v>
      </c>
      <c r="J238" t="str">
        <f>Worksheet!C238&amp;" "&amp;Worksheet!B238</f>
        <v>Lora Demets</v>
      </c>
      <c r="K238" t="str">
        <f>Worksheet!AM238</f>
        <v>Lowie.demets@telenet.be</v>
      </c>
      <c r="L238" t="str">
        <f>Worksheet!AN238</f>
        <v>+32474450168</v>
      </c>
      <c r="M238" t="str">
        <f>IF(Worksheet!AE238="","",Worksheet!AE238)</f>
        <v/>
      </c>
      <c r="N238">
        <f>IF(Worksheet!AG238="","",Worksheet!AG238)</f>
        <v>741137</v>
      </c>
      <c r="O238" t="str">
        <f>IF(Worksheet!AJ238="","",Worksheet!AJ238)</f>
        <v>Zomerstage 2026 (Blankenberge)</v>
      </c>
      <c r="P238" t="str">
        <f>IF(Worksheet!AK238="","",Worksheet!AK238)</f>
        <v>Speler</v>
      </c>
    </row>
    <row r="239" spans="1:16" x14ac:dyDescent="0.3">
      <c r="A239" t="str">
        <v>Sam Liekens</v>
      </c>
      <c r="B239" t="str">
        <v/>
      </c>
      <c r="C239" t="str">
        <v>+32478888243</v>
      </c>
      <c r="D239" t="str">
        <v>https://app.twizzit.com/public/photos/3475283/s/e532263ea43cddb59650656f3777387ca04d2de4.jpeg</v>
      </c>
      <c r="E239" s="2">
        <v>749236</v>
      </c>
      <c r="F239" t="str">
        <v>J18 B Haantjes CERTIFISC Oudenaarde</v>
      </c>
      <c r="G239" t="str">
        <v>Speler</v>
      </c>
      <c r="J239" t="str">
        <f>Worksheet!C239&amp;" "&amp;Worksheet!B239</f>
        <v>Lora Demets</v>
      </c>
      <c r="K239" t="str">
        <f>Worksheet!AM239</f>
        <v>Lowie.demets@telenet.be</v>
      </c>
      <c r="L239" t="str">
        <f>Worksheet!AN239</f>
        <v>+32474450168</v>
      </c>
      <c r="M239" t="str">
        <f>IF(Worksheet!AE239="","",Worksheet!AE239)</f>
        <v/>
      </c>
      <c r="N239">
        <f>IF(Worksheet!AG239="","",Worksheet!AG239)</f>
        <v>741137</v>
      </c>
      <c r="O239" t="str">
        <f>IF(Worksheet!AJ239="","",Worksheet!AJ239)</f>
        <v>M19 A Haantjes CERTIFISC Oudenaarde</v>
      </c>
      <c r="P239" t="str">
        <f>IF(Worksheet!AK239="","",Worksheet!AK239)</f>
        <v>Speler</v>
      </c>
    </row>
    <row r="240" spans="1:16" x14ac:dyDescent="0.3">
      <c r="A240" t="str">
        <v>Sam Liekens</v>
      </c>
      <c r="B240" t="str">
        <v/>
      </c>
      <c r="C240" t="str">
        <v>+32478888243</v>
      </c>
      <c r="D240" t="str">
        <v>https://app.twizzit.com/public/photos/3475283/s/e532263ea43cddb59650656f3777387ca04d2de4.jpeg</v>
      </c>
      <c r="E240" s="2">
        <v>749236</v>
      </c>
      <c r="F240" t="str">
        <v>Zomerstage 2026 (Blankenberge)</v>
      </c>
      <c r="G240" t="str">
        <v>Speler</v>
      </c>
      <c r="J240" t="str">
        <f>Worksheet!C240&amp;" "&amp;Worksheet!B240</f>
        <v>Lore Demets</v>
      </c>
      <c r="K240" t="str">
        <f>Worksheet!AM240</f>
        <v/>
      </c>
      <c r="L240" t="str">
        <f>Worksheet!AN240</f>
        <v>+32497388351</v>
      </c>
      <c r="M240" t="str">
        <f>IF(Worksheet!AE240="","",Worksheet!AE240)</f>
        <v/>
      </c>
      <c r="N240">
        <f>IF(Worksheet!AG240="","",Worksheet!AG240)</f>
        <v>668841</v>
      </c>
      <c r="O240" t="str">
        <f>IF(Worksheet!AJ240="","",Worksheet!AJ240)</f>
        <v/>
      </c>
      <c r="P240" t="str">
        <f>IF(Worksheet!AK240="","",Worksheet!AK240)</f>
        <v/>
      </c>
    </row>
    <row r="241" spans="1:16" x14ac:dyDescent="0.3">
      <c r="A241" t="str">
        <v>Andreas Lippens</v>
      </c>
      <c r="B241" t="str">
        <v/>
      </c>
      <c r="C241" t="str">
        <v>+32492223206</v>
      </c>
      <c r="D241" t="str">
        <v/>
      </c>
      <c r="E241" s="2">
        <v>287179</v>
      </c>
      <c r="F241" t="str">
        <v>HSE A Haantjes Certifisc Oudenaarde</v>
      </c>
      <c r="G241" t="str">
        <v>Speler</v>
      </c>
      <c r="J241" t="str">
        <f>Worksheet!C241&amp;" "&amp;Worksheet!B241</f>
        <v>Lotte Demets</v>
      </c>
      <c r="K241" t="str">
        <f>Worksheet!AM241</f>
        <v/>
      </c>
      <c r="L241" t="str">
        <f>Worksheet!AN241</f>
        <v>+32497388351</v>
      </c>
      <c r="M241" t="str">
        <f>IF(Worksheet!AE241="","",Worksheet!AE241)</f>
        <v/>
      </c>
      <c r="N241">
        <f>IF(Worksheet!AG241="","",Worksheet!AG241)</f>
        <v>668842</v>
      </c>
      <c r="O241" t="str">
        <f>IF(Worksheet!AJ241="","",Worksheet!AJ241)</f>
        <v/>
      </c>
      <c r="P241" t="str">
        <f>IF(Worksheet!AK241="","",Worksheet!AK241)</f>
        <v/>
      </c>
    </row>
    <row r="242" spans="1:16" x14ac:dyDescent="0.3">
      <c r="A242" t="str">
        <v>Boris Luyten</v>
      </c>
      <c r="B242" t="str">
        <v>liesbeth_boudrez@hotmail.be</v>
      </c>
      <c r="C242" t="str">
        <v>+32499650150</v>
      </c>
      <c r="D242" t="str">
        <v>https://app.twizzit.com/public/photos/3437308/s/ee02af9294d7823dae37d6eb7126b435ef764909.png</v>
      </c>
      <c r="E242" s="2" t="str">
        <v/>
      </c>
      <c r="F242" t="str">
        <v>G10 Geel HAANTJES CERTIFISC OUDENAARDE</v>
      </c>
      <c r="G242" t="str">
        <v>Speler</v>
      </c>
      <c r="J242" t="str">
        <f>Worksheet!C242&amp;" "&amp;Worksheet!B242</f>
        <v>Omer Demets</v>
      </c>
      <c r="K242" t="str">
        <f>Worksheet!AM242</f>
        <v>Lowie.demets@telenet.be</v>
      </c>
      <c r="L242" t="str">
        <f>Worksheet!AN242</f>
        <v>+32474450168</v>
      </c>
      <c r="M242" t="str">
        <f>IF(Worksheet!AE242="","",Worksheet!AE242)</f>
        <v/>
      </c>
      <c r="N242" t="str">
        <f>IF(Worksheet!AG242="","",Worksheet!AG242)</f>
        <v/>
      </c>
      <c r="O242" t="str">
        <f>IF(Worksheet!AJ242="","",Worksheet!AJ242)</f>
        <v>Zomerstage 2026 (Blankenberge)</v>
      </c>
      <c r="P242" t="str">
        <f>IF(Worksheet!AK242="","",Worksheet!AK242)</f>
        <v>Speler</v>
      </c>
    </row>
    <row r="243" spans="1:16" x14ac:dyDescent="0.3">
      <c r="A243" t="str">
        <v>Oskar Luyten</v>
      </c>
      <c r="B243" t="str">
        <v>liesbeth_boudrez@hotmail.be</v>
      </c>
      <c r="C243" t="str">
        <v>+32499650150</v>
      </c>
      <c r="D243" t="str">
        <v>https://app.twizzit.com/public/photos/6067218/s/05d3b6d34153ded2c11249ae66f232311ce5df9d.jpeg</v>
      </c>
      <c r="E243" s="2" t="str">
        <v/>
      </c>
      <c r="F243" t="str">
        <v>G08 Geel HAANTJES CERTIFISC OUDENAARDE</v>
      </c>
      <c r="G243" t="str">
        <v>Speler</v>
      </c>
      <c r="J243" t="str">
        <f>Worksheet!C243&amp;" "&amp;Worksheet!B243</f>
        <v>Omer Demets</v>
      </c>
      <c r="K243" t="str">
        <f>Worksheet!AM243</f>
        <v>Lowie.demets@telenet.be</v>
      </c>
      <c r="L243" t="str">
        <f>Worksheet!AN243</f>
        <v>+32474450168</v>
      </c>
      <c r="M243" t="str">
        <f>IF(Worksheet!AE243="","",Worksheet!AE243)</f>
        <v/>
      </c>
      <c r="N243" t="str">
        <f>IF(Worksheet!AG243="","",Worksheet!AG243)</f>
        <v/>
      </c>
      <c r="O243" t="str">
        <f>IF(Worksheet!AJ243="","",Worksheet!AJ243)</f>
        <v>G12 Geel HAANTJES CERTIFISC OUDENAARDE</v>
      </c>
      <c r="P243" t="str">
        <f>IF(Worksheet!AK243="","",Worksheet!AK243)</f>
        <v>Speler</v>
      </c>
    </row>
    <row r="244" spans="1:16" x14ac:dyDescent="0.3">
      <c r="A244" t="str">
        <v>Viktor L’Hommelet</v>
      </c>
      <c r="B244" t="str">
        <v>els.bourgois@gmail.com</v>
      </c>
      <c r="C244" t="str">
        <v>+32479376759</v>
      </c>
      <c r="D244" t="str">
        <v/>
      </c>
      <c r="E244" s="2">
        <v>714059</v>
      </c>
      <c r="F244" t="str">
        <v>J16 A Haantjes CERTIFISC Oudenaarde</v>
      </c>
      <c r="G244" t="str">
        <v>Speler</v>
      </c>
      <c r="J244" t="str">
        <f>Worksheet!C244&amp;" "&amp;Worksheet!B244</f>
        <v>Sabine Demeulemeester</v>
      </c>
      <c r="K244" t="str">
        <f>Worksheet!AM244</f>
        <v/>
      </c>
      <c r="L244" t="str">
        <f>Worksheet!AN244</f>
        <v>+32486584984</v>
      </c>
      <c r="M244" t="str">
        <f>IF(Worksheet!AE244="","",Worksheet!AE244)</f>
        <v/>
      </c>
      <c r="N244">
        <f>IF(Worksheet!AG244="","",Worksheet!AG244)</f>
        <v>737364</v>
      </c>
      <c r="O244" t="str">
        <f>IF(Worksheet!AJ244="","",Worksheet!AJ244)</f>
        <v/>
      </c>
      <c r="P244" t="str">
        <f>IF(Worksheet!AK244="","",Worksheet!AK244)</f>
        <v/>
      </c>
    </row>
    <row r="245" spans="1:16" x14ac:dyDescent="0.3">
      <c r="A245" t="str">
        <v>Viktor L’Hommelet</v>
      </c>
      <c r="B245" t="str">
        <v>els.bourgois@gmail.com</v>
      </c>
      <c r="C245" t="str">
        <v>+32479376759</v>
      </c>
      <c r="D245" t="str">
        <v/>
      </c>
      <c r="E245" s="2">
        <v>714059</v>
      </c>
      <c r="F245" t="str">
        <v>Zomerstage 2026 (Blankenberge)</v>
      </c>
      <c r="G245" t="str">
        <v>Speler</v>
      </c>
      <c r="J245" t="str">
        <f>Worksheet!C245&amp;" "&amp;Worksheet!B245</f>
        <v>Ian Demuynck</v>
      </c>
      <c r="K245" t="str">
        <f>Worksheet!AM245</f>
        <v/>
      </c>
      <c r="L245" t="str">
        <f>Worksheet!AN245</f>
        <v>+32499758598</v>
      </c>
      <c r="M245" t="str">
        <f>IF(Worksheet!AE245="","",Worksheet!AE245)</f>
        <v/>
      </c>
      <c r="N245">
        <f>IF(Worksheet!AG245="","",Worksheet!AG245)</f>
        <v>752310</v>
      </c>
      <c r="O245" t="str">
        <f>IF(Worksheet!AJ245="","",Worksheet!AJ245)</f>
        <v/>
      </c>
      <c r="P245" t="str">
        <f>IF(Worksheet!AK245="","",Worksheet!AK245)</f>
        <v/>
      </c>
    </row>
    <row r="246" spans="1:16" x14ac:dyDescent="0.3">
      <c r="A246" t="str">
        <v>Nathan Maenhout</v>
      </c>
      <c r="B246" t="str">
        <v>jokespies@hotmail.com</v>
      </c>
      <c r="C246" t="str">
        <v>+32489178706</v>
      </c>
      <c r="D246" t="str">
        <v>https://app.twizzit.com/public/photos/9359547/s/0986374ba59a462685344af411da25079641e82d.jpeg</v>
      </c>
      <c r="E246" s="2" t="str">
        <v/>
      </c>
      <c r="F246" t="str">
        <v>G14 A Haantjes CERTIFISC Oudenaarde</v>
      </c>
      <c r="G246" t="str">
        <v>Speler</v>
      </c>
      <c r="J246" t="str">
        <f>Worksheet!C246&amp;" "&amp;Worksheet!B246</f>
        <v>Guus Dequeecker</v>
      </c>
      <c r="K246" t="str">
        <f>Worksheet!AM246</f>
        <v>sven.dequeecker@scarlet.be</v>
      </c>
      <c r="L246" t="str">
        <f>Worksheet!AN246</f>
        <v/>
      </c>
      <c r="M246" t="str">
        <f>IF(Worksheet!AE246="","",Worksheet!AE246)</f>
        <v/>
      </c>
      <c r="N246">
        <f>IF(Worksheet!AG246="","",Worksheet!AG246)</f>
        <v>711210</v>
      </c>
      <c r="O246" t="str">
        <f>IF(Worksheet!AJ246="","",Worksheet!AJ246)</f>
        <v/>
      </c>
      <c r="P246" t="str">
        <f>IF(Worksheet!AK246="","",Worksheet!AK246)</f>
        <v/>
      </c>
    </row>
    <row r="247" spans="1:16" x14ac:dyDescent="0.3">
      <c r="A247" t="str">
        <v>Nathan Maenhout</v>
      </c>
      <c r="B247" t="str">
        <v>jokespies@hotmail.com</v>
      </c>
      <c r="C247" t="str">
        <v>+32489178706</v>
      </c>
      <c r="D247" t="str">
        <v>https://app.twizzit.com/public/photos/9359547/s/0986374ba59a462685344af411da25079641e82d.jpeg</v>
      </c>
      <c r="E247" s="2" t="str">
        <v/>
      </c>
      <c r="F247" t="str">
        <v>Zomerstage 2026 (Blankenberge)</v>
      </c>
      <c r="G247" t="str">
        <v>Speler</v>
      </c>
      <c r="J247" t="str">
        <f>Worksheet!C247&amp;" "&amp;Worksheet!B247</f>
        <v>Sven Dequeecker</v>
      </c>
      <c r="K247" t="str">
        <f>Worksheet!AM247</f>
        <v/>
      </c>
      <c r="L247" t="str">
        <f>Worksheet!AN247</f>
        <v/>
      </c>
      <c r="M247" t="str">
        <f>IF(Worksheet!AE247="","",Worksheet!AE247)</f>
        <v/>
      </c>
      <c r="N247">
        <f>IF(Worksheet!AG247="","",Worksheet!AG247)</f>
        <v>716405</v>
      </c>
      <c r="O247" t="str">
        <f>IF(Worksheet!AJ247="","",Worksheet!AJ247)</f>
        <v/>
      </c>
      <c r="P247" t="str">
        <f>IF(Worksheet!AK247="","",Worksheet!AK247)</f>
        <v/>
      </c>
    </row>
    <row r="248" spans="1:16" x14ac:dyDescent="0.3">
      <c r="A248" t="str">
        <v>Dréa Maes</v>
      </c>
      <c r="B248" t="str">
        <v>Joke.merlaen@gmail.com</v>
      </c>
      <c r="C248" t="str">
        <v/>
      </c>
      <c r="D248" t="str">
        <v>https://app.twizzit.com/public/photos/3412861/s/5d2322ba0de7264fd5ba0170cc29e82844de05d5.png</v>
      </c>
      <c r="E248" s="2" t="str">
        <v/>
      </c>
      <c r="F248" t="str">
        <v>M16 A Haantjes CERTIFISC  Oudenaarde</v>
      </c>
      <c r="G248" t="str">
        <v>Speler</v>
      </c>
      <c r="J248" t="str">
        <f>Worksheet!C248&amp;" "&amp;Worksheet!B248</f>
        <v>Renée Deraedt</v>
      </c>
      <c r="K248" t="str">
        <f>Worksheet!AM248</f>
        <v/>
      </c>
      <c r="L248" t="str">
        <f>Worksheet!AN248</f>
        <v>+32477714035</v>
      </c>
      <c r="M248" t="str">
        <f>IF(Worksheet!AE248="","",Worksheet!AE248)</f>
        <v>https://app.twizzit.com/public/photos/7328300/s/7e2d6dfb7100b0ca8feb8f22a68ce2009271348a.png</v>
      </c>
      <c r="N248" t="str">
        <f>IF(Worksheet!AG248="","",Worksheet!AG248)</f>
        <v/>
      </c>
      <c r="O248" t="str">
        <f>IF(Worksheet!AJ248="","",Worksheet!AJ248)</f>
        <v>M10 HAANTJES CERTIFISC OUDENAARDE</v>
      </c>
      <c r="P248" t="str">
        <f>IF(Worksheet!AK248="","",Worksheet!AK248)</f>
        <v>Speler</v>
      </c>
    </row>
    <row r="249" spans="1:16" x14ac:dyDescent="0.3">
      <c r="A249" t="str">
        <v>Dréa Maes</v>
      </c>
      <c r="B249" t="str">
        <v>Joke.merlaen@gmail.com</v>
      </c>
      <c r="C249" t="str">
        <v/>
      </c>
      <c r="D249" t="str">
        <v>https://app.twizzit.com/public/photos/3412861/s/5d2322ba0de7264fd5ba0170cc29e82844de05d5.png</v>
      </c>
      <c r="E249" s="2" t="str">
        <v/>
      </c>
      <c r="F249" t="str">
        <v>Zomerstage 2026 (Blankenberge)</v>
      </c>
      <c r="G249" t="str">
        <v>Speler</v>
      </c>
      <c r="J249" t="str">
        <f>Worksheet!C249&amp;" "&amp;Worksheet!B249</f>
        <v>Renée Deraedt</v>
      </c>
      <c r="K249" t="str">
        <f>Worksheet!AM249</f>
        <v/>
      </c>
      <c r="L249" t="str">
        <f>Worksheet!AN249</f>
        <v>+32477714035</v>
      </c>
      <c r="M249" t="str">
        <f>IF(Worksheet!AE249="","",Worksheet!AE249)</f>
        <v>https://app.twizzit.com/public/photos/7328300/s/7e2d6dfb7100b0ca8feb8f22a68ce2009271348a.png</v>
      </c>
      <c r="N249" t="str">
        <f>IF(Worksheet!AG249="","",Worksheet!AG249)</f>
        <v/>
      </c>
      <c r="O249" t="str">
        <f>IF(Worksheet!AJ249="","",Worksheet!AJ249)</f>
        <v>Zomerstage 2026 U10 &amp; U12 (Oudenaarde)</v>
      </c>
      <c r="P249" t="str">
        <f>IF(Worksheet!AK249="","",Worksheet!AK249)</f>
        <v>Speler</v>
      </c>
    </row>
    <row r="250" spans="1:16" x14ac:dyDescent="0.3">
      <c r="A250" t="str">
        <v>Kamiel Mahieu</v>
      </c>
      <c r="B250" t="str">
        <v/>
      </c>
      <c r="C250" t="str">
        <v>+32473745981</v>
      </c>
      <c r="D250" t="str">
        <v/>
      </c>
      <c r="E250" s="2" t="str">
        <v/>
      </c>
      <c r="F250" t="str">
        <v>J18 B Haantjes CERTIFISC Oudenaarde</v>
      </c>
      <c r="G250" t="str">
        <v>Speler</v>
      </c>
      <c r="J250" t="str">
        <f>Worksheet!C250&amp;" "&amp;Worksheet!B250</f>
        <v>Quinten Derous</v>
      </c>
      <c r="K250" t="str">
        <f>Worksheet!AM250</f>
        <v/>
      </c>
      <c r="L250" t="str">
        <f>Worksheet!AN250</f>
        <v>+32468258571</v>
      </c>
      <c r="M250" t="str">
        <f>IF(Worksheet!AE250="","",Worksheet!AE250)</f>
        <v/>
      </c>
      <c r="N250">
        <f>IF(Worksheet!AG250="","",Worksheet!AG250)</f>
        <v>624753</v>
      </c>
      <c r="O250" t="str">
        <f>IF(Worksheet!AJ250="","",Worksheet!AJ250)</f>
        <v>HSE A Haantjes Certifisc Oudenaarde</v>
      </c>
      <c r="P250" t="str">
        <f>IF(Worksheet!AK250="","",Worksheet!AK250)</f>
        <v>Speler</v>
      </c>
    </row>
    <row r="251" spans="1:16" x14ac:dyDescent="0.3">
      <c r="A251" t="str">
        <v>Lowie Malfait</v>
      </c>
      <c r="B251" t="str">
        <v>Hoekman.annelies1@gmail.com</v>
      </c>
      <c r="C251" t="str">
        <v>+32478836273</v>
      </c>
      <c r="D251" t="str">
        <v/>
      </c>
      <c r="E251" s="2" t="str">
        <v/>
      </c>
      <c r="F251" t="str">
        <v>G12 Blauw HAANTJES CERTIFISC OUDENAARDE</v>
      </c>
      <c r="G251" t="str">
        <v>Speler</v>
      </c>
      <c r="J251" t="str">
        <f>Worksheet!C251&amp;" "&amp;Worksheet!B251</f>
        <v>Vinke Derycke</v>
      </c>
      <c r="K251" t="str">
        <f>Worksheet!AM251</f>
        <v>stevenderycke244@gmail.com</v>
      </c>
      <c r="L251" t="str">
        <f>Worksheet!AN251</f>
        <v>+32496478968</v>
      </c>
      <c r="M251" t="str">
        <f>IF(Worksheet!AE251="","",Worksheet!AE251)</f>
        <v/>
      </c>
      <c r="N251" t="str">
        <f>IF(Worksheet!AG251="","",Worksheet!AG251)</f>
        <v/>
      </c>
      <c r="O251" t="str">
        <f>IF(Worksheet!AJ251="","",Worksheet!AJ251)</f>
        <v>G12 Geel HAANTJES CERTIFISC OUDENAARDE</v>
      </c>
      <c r="P251" t="str">
        <f>IF(Worksheet!AK251="","",Worksheet!AK251)</f>
        <v>Speler</v>
      </c>
    </row>
    <row r="252" spans="1:16" x14ac:dyDescent="0.3">
      <c r="A252" t="str">
        <v>Jakob Marcou</v>
      </c>
      <c r="B252" t="str">
        <v/>
      </c>
      <c r="C252" t="str">
        <v>+32474234134</v>
      </c>
      <c r="D252" t="str">
        <v/>
      </c>
      <c r="E252" s="2">
        <v>608268</v>
      </c>
      <c r="F252" t="str">
        <v>HSE A Haantjes Certifisc Oudenaarde</v>
      </c>
      <c r="G252" t="str">
        <v>Speler</v>
      </c>
      <c r="J252" t="str">
        <f>Worksheet!C252&amp;" "&amp;Worksheet!B252</f>
        <v>Vinke Derycke</v>
      </c>
      <c r="K252" t="str">
        <f>Worksheet!AM252</f>
        <v>stevenderycke244@gmail.com</v>
      </c>
      <c r="L252" t="str">
        <f>Worksheet!AN252</f>
        <v>+32496478968</v>
      </c>
      <c r="M252" t="str">
        <f>IF(Worksheet!AE252="","",Worksheet!AE252)</f>
        <v/>
      </c>
      <c r="N252" t="str">
        <f>IF(Worksheet!AG252="","",Worksheet!AG252)</f>
        <v/>
      </c>
      <c r="O252" t="str">
        <f>IF(Worksheet!AJ252="","",Worksheet!AJ252)</f>
        <v>Zomerstage 2026 U10 &amp; U12 (Oudenaarde)</v>
      </c>
      <c r="P252" t="str">
        <f>IF(Worksheet!AK252="","",Worksheet!AK252)</f>
        <v>Speler</v>
      </c>
    </row>
    <row r="253" spans="1:16" x14ac:dyDescent="0.3">
      <c r="A253" t="str">
        <v>Steppe Matthys</v>
      </c>
      <c r="B253" t="str">
        <v/>
      </c>
      <c r="C253" t="str">
        <v>+32468429871</v>
      </c>
      <c r="D253" t="str">
        <v>https://app.twizzit.com/public/photos/10488364/s/177c95b9932dcdda23e09eda7b0298c34ca94551.jpeg</v>
      </c>
      <c r="E253" s="2" t="str">
        <v/>
      </c>
      <c r="F253" t="str">
        <v>G14 B Haantjes CERTIFISC Oudenaarde</v>
      </c>
      <c r="G253" t="str">
        <v>Speler</v>
      </c>
      <c r="J253" t="str">
        <f>Worksheet!C253&amp;" "&amp;Worksheet!B253</f>
        <v>Matthias Desmet</v>
      </c>
      <c r="K253" t="str">
        <f>Worksheet!AM253</f>
        <v/>
      </c>
      <c r="L253" t="str">
        <f>Worksheet!AN253</f>
        <v/>
      </c>
      <c r="M253" t="str">
        <f>IF(Worksheet!AE253="","",Worksheet!AE253)</f>
        <v/>
      </c>
      <c r="N253">
        <f>IF(Worksheet!AG253="","",Worksheet!AG253)</f>
        <v>604348</v>
      </c>
      <c r="O253" t="str">
        <f>IF(Worksheet!AJ253="","",Worksheet!AJ253)</f>
        <v/>
      </c>
      <c r="P253" t="str">
        <f>IF(Worksheet!AK253="","",Worksheet!AK253)</f>
        <v/>
      </c>
    </row>
    <row r="254" spans="1:16" x14ac:dyDescent="0.3">
      <c r="A254" t="str">
        <v>Steppe Matthys</v>
      </c>
      <c r="B254" t="str">
        <v/>
      </c>
      <c r="C254" t="str">
        <v>+32468429871</v>
      </c>
      <c r="D254" t="str">
        <v>https://app.twizzit.com/public/photos/10488364/s/177c95b9932dcdda23e09eda7b0298c34ca94551.jpeg</v>
      </c>
      <c r="E254" s="2" t="str">
        <v/>
      </c>
      <c r="F254" t="str">
        <v>Zomerstage 2026 (Blankenberge)</v>
      </c>
      <c r="G254" t="str">
        <v>Speler</v>
      </c>
      <c r="J254" t="str">
        <f>Worksheet!C254&amp;" "&amp;Worksheet!B254</f>
        <v>Ode Desmet</v>
      </c>
      <c r="K254" t="str">
        <f>Worksheet!AM254</f>
        <v>freyamalfait@icloud.com</v>
      </c>
      <c r="L254" t="str">
        <f>Worksheet!AN254</f>
        <v>+32472832063</v>
      </c>
      <c r="M254" t="str">
        <f>IF(Worksheet!AE254="","",Worksheet!AE254)</f>
        <v>https://app.twizzit.com/public/photos/2650916/s/be89217f1fc3b11d85c4b13abcca39bae64798e5.png</v>
      </c>
      <c r="N254">
        <f>IF(Worksheet!AG254="","",Worksheet!AG254)</f>
        <v>742234</v>
      </c>
      <c r="O254" t="str">
        <f>IF(Worksheet!AJ254="","",Worksheet!AJ254)</f>
        <v>Zomerstage 2026 (Blankenberge)</v>
      </c>
      <c r="P254" t="str">
        <f>IF(Worksheet!AK254="","",Worksheet!AK254)</f>
        <v>Speler</v>
      </c>
    </row>
    <row r="255" spans="1:16" x14ac:dyDescent="0.3">
      <c r="A255" t="str">
        <v>Bleys Maxime</v>
      </c>
      <c r="B255" t="str">
        <v/>
      </c>
      <c r="C255" t="str">
        <v>+32495940240</v>
      </c>
      <c r="D255" t="str">
        <v/>
      </c>
      <c r="E255" s="2">
        <v>661314</v>
      </c>
      <c r="F255" t="str">
        <v>HSE A Haantjes Certifisc Oudenaarde</v>
      </c>
      <c r="G255" t="str">
        <v>Speler</v>
      </c>
      <c r="J255" t="str">
        <f>Worksheet!C255&amp;" "&amp;Worksheet!B255</f>
        <v>Ode Desmet</v>
      </c>
      <c r="K255" t="str">
        <f>Worksheet!AM255</f>
        <v>freyamalfait@icloud.com</v>
      </c>
      <c r="L255" t="str">
        <f>Worksheet!AN255</f>
        <v>+32472832063</v>
      </c>
      <c r="M255" t="str">
        <f>IF(Worksheet!AE255="","",Worksheet!AE255)</f>
        <v>https://app.twizzit.com/public/photos/2650916/s/be89217f1fc3b11d85c4b13abcca39bae64798e5.png</v>
      </c>
      <c r="N255">
        <f>IF(Worksheet!AG255="","",Worksheet!AG255)</f>
        <v>742234</v>
      </c>
      <c r="O255" t="str">
        <f>IF(Worksheet!AJ255="","",Worksheet!AJ255)</f>
        <v>M14 A Haantjes CERTIFISC  Oudenaarde</v>
      </c>
      <c r="P255" t="str">
        <f>IF(Worksheet!AK255="","",Worksheet!AK255)</f>
        <v>Speler</v>
      </c>
    </row>
    <row r="256" spans="1:16" x14ac:dyDescent="0.3">
      <c r="A256" t="str">
        <v>Marte Mechant</v>
      </c>
      <c r="B256" t="str">
        <v>jme.basket@telenet.be</v>
      </c>
      <c r="C256" t="str">
        <v>+32470449365</v>
      </c>
      <c r="D256" t="str">
        <v/>
      </c>
      <c r="E256" s="2">
        <v>665060</v>
      </c>
      <c r="F256" t="str">
        <v>G10 Blauw HAANTJES CERTIFISC OUDENAARDE</v>
      </c>
      <c r="G256" t="str">
        <v>Coach</v>
      </c>
      <c r="J256" t="str">
        <f>Worksheet!C256&amp;" "&amp;Worksheet!B256</f>
        <v>Matheo Despriet</v>
      </c>
      <c r="K256" t="str">
        <f>Worksheet!AM256</f>
        <v>Matheo.despriet@gmail.com</v>
      </c>
      <c r="L256" t="str">
        <f>Worksheet!AN256</f>
        <v/>
      </c>
      <c r="M256" t="str">
        <f>IF(Worksheet!AE256="","",Worksheet!AE256)</f>
        <v/>
      </c>
      <c r="N256" t="str">
        <f>IF(Worksheet!AG256="","",Worksheet!AG256)</f>
        <v/>
      </c>
      <c r="O256" t="str">
        <f>IF(Worksheet!AJ256="","",Worksheet!AJ256)</f>
        <v/>
      </c>
      <c r="P256" t="str">
        <f>IF(Worksheet!AK256="","",Worksheet!AK256)</f>
        <v/>
      </c>
    </row>
    <row r="257" spans="1:16" x14ac:dyDescent="0.3">
      <c r="A257" t="str">
        <v>Kasper Mees</v>
      </c>
      <c r="B257" t="str">
        <v/>
      </c>
      <c r="C257" t="str">
        <v>+32474721420</v>
      </c>
      <c r="D257" t="str">
        <v>https://app.twizzit.com/public/photos/2183112/s/07942e4161d7a20864d1fbcf54b9a6dda331637e.png</v>
      </c>
      <c r="E257" s="2">
        <v>732219</v>
      </c>
      <c r="F257" t="str">
        <v>J16 A Haantjes CERTIFISC Oudenaarde</v>
      </c>
      <c r="G257" t="str">
        <v>Speler</v>
      </c>
      <c r="J257" t="str">
        <f>Worksheet!C257&amp;" "&amp;Worksheet!B257</f>
        <v>Tibo Despriet</v>
      </c>
      <c r="K257" t="str">
        <f>Worksheet!AM257</f>
        <v>Tibo.despriet@gmail.com</v>
      </c>
      <c r="L257" t="str">
        <f>Worksheet!AN257</f>
        <v/>
      </c>
      <c r="M257" t="str">
        <f>IF(Worksheet!AE257="","",Worksheet!AE257)</f>
        <v>https://app.twizzit.com/public/photos/3884890/s/99828396af5826db82003655528894a4f299045f.jpeg</v>
      </c>
      <c r="N257" t="str">
        <f>IF(Worksheet!AG257="","",Worksheet!AG257)</f>
        <v/>
      </c>
      <c r="O257" t="str">
        <f>IF(Worksheet!AJ257="","",Worksheet!AJ257)</f>
        <v>J16 A Haantjes CERTIFISC Oudenaarde</v>
      </c>
      <c r="P257" t="str">
        <f>IF(Worksheet!AK257="","",Worksheet!AK257)</f>
        <v>Speler</v>
      </c>
    </row>
    <row r="258" spans="1:16" x14ac:dyDescent="0.3">
      <c r="A258" t="str">
        <v>Kasper Mees</v>
      </c>
      <c r="B258" t="str">
        <v/>
      </c>
      <c r="C258" t="str">
        <v>+32474721420</v>
      </c>
      <c r="D258" t="str">
        <v>https://app.twizzit.com/public/photos/2183112/s/07942e4161d7a20864d1fbcf54b9a6dda331637e.png</v>
      </c>
      <c r="E258" s="2">
        <v>732219</v>
      </c>
      <c r="F258" t="str">
        <v>Zomerstage 2026 (Blankenberge)</v>
      </c>
      <c r="G258" t="str">
        <v>Speler</v>
      </c>
      <c r="J258" t="str">
        <f>Worksheet!C258&amp;" "&amp;Worksheet!B258</f>
        <v>Tibo Despriet</v>
      </c>
      <c r="K258" t="str">
        <f>Worksheet!AM258</f>
        <v>Tibo.despriet@gmail.com</v>
      </c>
      <c r="L258" t="str">
        <f>Worksheet!AN258</f>
        <v/>
      </c>
      <c r="M258" t="str">
        <f>IF(Worksheet!AE258="","",Worksheet!AE258)</f>
        <v>https://app.twizzit.com/public/photos/3884890/s/99828396af5826db82003655528894a4f299045f.jpeg</v>
      </c>
      <c r="N258" t="str">
        <f>IF(Worksheet!AG258="","",Worksheet!AG258)</f>
        <v/>
      </c>
      <c r="O258" t="str">
        <f>IF(Worksheet!AJ258="","",Worksheet!AJ258)</f>
        <v>Zomerstage 2026 (Blankenberge)</v>
      </c>
      <c r="P258" t="str">
        <f>IF(Worksheet!AK258="","",Worksheet!AK258)</f>
        <v>Speler</v>
      </c>
    </row>
    <row r="259" spans="1:16" x14ac:dyDescent="0.3">
      <c r="A259" t="str">
        <v>Juul Messeeuw</v>
      </c>
      <c r="B259" t="str">
        <v>lynnvdwiele@hotmail.com</v>
      </c>
      <c r="C259" t="str">
        <v>+32486610793</v>
      </c>
      <c r="D259" t="str">
        <v/>
      </c>
      <c r="E259" s="2" t="str">
        <v/>
      </c>
      <c r="F259" t="str">
        <v>G08 Blauw HAANTJES CERTIFISC OUDENAARDE</v>
      </c>
      <c r="G259" t="str">
        <v>Speler</v>
      </c>
      <c r="J259" t="str">
        <f>Worksheet!C259&amp;" "&amp;Worksheet!B259</f>
        <v>Julie Destickere</v>
      </c>
      <c r="K259" t="str">
        <f>Worksheet!AM259</f>
        <v>stefaan@immoboss.be</v>
      </c>
      <c r="L259" t="str">
        <f>Worksheet!AN259</f>
        <v/>
      </c>
      <c r="M259" t="str">
        <f>IF(Worksheet!AE259="","",Worksheet!AE259)</f>
        <v/>
      </c>
      <c r="N259">
        <f>IF(Worksheet!AG259="","",Worksheet!AG259)</f>
        <v>728182</v>
      </c>
      <c r="O259" t="str">
        <f>IF(Worksheet!AJ259="","",Worksheet!AJ259)</f>
        <v/>
      </c>
      <c r="P259" t="str">
        <f>IF(Worksheet!AK259="","",Worksheet!AK259)</f>
        <v/>
      </c>
    </row>
    <row r="260" spans="1:16" x14ac:dyDescent="0.3">
      <c r="A260" t="str">
        <v>Julian Moerman</v>
      </c>
      <c r="B260" t="str">
        <v>mirkomoerman@hotmail.com</v>
      </c>
      <c r="C260" t="str">
        <v>+32495423490</v>
      </c>
      <c r="D260" t="str">
        <v/>
      </c>
      <c r="E260" s="2" t="str">
        <v/>
      </c>
      <c r="F260" t="str">
        <v>G08 Groen HAANTJES CERTIFISC OUDENAARDE</v>
      </c>
      <c r="G260" t="str">
        <v>Speler</v>
      </c>
      <c r="J260" t="str">
        <f>Worksheet!C260&amp;" "&amp;Worksheet!B260</f>
        <v>Luca Detavernier</v>
      </c>
      <c r="K260" t="str">
        <f>Worksheet!AM260</f>
        <v>Kareldetavernier@hotmail.com</v>
      </c>
      <c r="L260" t="str">
        <f>Worksheet!AN260</f>
        <v>+32498633133</v>
      </c>
      <c r="M260" t="str">
        <f>IF(Worksheet!AE260="","",Worksheet!AE260)</f>
        <v>https://app.twizzit.com/public/photos/7212696/s/e7c3461b90a1ac60a7f21e048de55152ece732aa.png</v>
      </c>
      <c r="N260" t="str">
        <f>IF(Worksheet!AG260="","",Worksheet!AG260)</f>
        <v/>
      </c>
      <c r="O260" t="str">
        <f>IF(Worksheet!AJ260="","",Worksheet!AJ260)</f>
        <v/>
      </c>
      <c r="P260" t="str">
        <f>IF(Worksheet!AK260="","",Worksheet!AK260)</f>
        <v/>
      </c>
    </row>
    <row r="261" spans="1:16" x14ac:dyDescent="0.3">
      <c r="A261" t="str">
        <v>Lucas Molly</v>
      </c>
      <c r="B261" t="str">
        <v>Molly.diederick@gmail.com</v>
      </c>
      <c r="C261" t="str">
        <v>+32478510919</v>
      </c>
      <c r="D261" t="str">
        <v>https://app.twizzit.com/public/photos/3485821/s/5f632eac97edae595ea1c86f4260b88c5b95d8cd.jpeg</v>
      </c>
      <c r="E261" s="2" t="str">
        <v/>
      </c>
      <c r="F261" t="str">
        <v>G10 Blauw HAANTJES CERTIFISC OUDENAARDE</v>
      </c>
      <c r="G261" t="str">
        <v>Speler</v>
      </c>
      <c r="J261" t="str">
        <f>Worksheet!C261&amp;" "&amp;Worksheet!B261</f>
        <v>Alexis Devos</v>
      </c>
      <c r="K261" t="str">
        <f>Worksheet!AM261</f>
        <v/>
      </c>
      <c r="L261" t="str">
        <f>Worksheet!AN261</f>
        <v>+32495886987</v>
      </c>
      <c r="M261" t="str">
        <f>IF(Worksheet!AE261="","",Worksheet!AE261)</f>
        <v>https://app.twizzit.com/public/photos/6106676/s/2ae43246aa8142b23f5743a7efbb9e280e512170.png</v>
      </c>
      <c r="N261">
        <f>IF(Worksheet!AG261="","",Worksheet!AG261)</f>
        <v>763877</v>
      </c>
      <c r="O261" t="str">
        <f>IF(Worksheet!AJ261="","",Worksheet!AJ261)</f>
        <v>G14 B Haantjes CERTIFISC Oudenaarde</v>
      </c>
      <c r="P261" t="str">
        <f>IF(Worksheet!AK261="","",Worksheet!AK261)</f>
        <v>Speler</v>
      </c>
    </row>
    <row r="262" spans="1:16" x14ac:dyDescent="0.3">
      <c r="A262" t="str">
        <v>Tiaz Molly</v>
      </c>
      <c r="B262" t="str">
        <v>Molly.diederick@gmail.com</v>
      </c>
      <c r="C262" t="str">
        <v>+32494605068</v>
      </c>
      <c r="D262" t="str">
        <v/>
      </c>
      <c r="E262" s="2" t="str">
        <v/>
      </c>
      <c r="F262" t="str">
        <v>Balschool U6</v>
      </c>
      <c r="G262" t="str">
        <v>Speler</v>
      </c>
      <c r="J262" t="str">
        <f>Worksheet!C262&amp;" "&amp;Worksheet!B262</f>
        <v>Alexis Devos</v>
      </c>
      <c r="K262" t="str">
        <f>Worksheet!AM262</f>
        <v/>
      </c>
      <c r="L262" t="str">
        <f>Worksheet!AN262</f>
        <v>+32495886987</v>
      </c>
      <c r="M262" t="str">
        <f>IF(Worksheet!AE262="","",Worksheet!AE262)</f>
        <v>https://app.twizzit.com/public/photos/6106676/s/2ae43246aa8142b23f5743a7efbb9e280e512170.png</v>
      </c>
      <c r="N262">
        <f>IF(Worksheet!AG262="","",Worksheet!AG262)</f>
        <v>763877</v>
      </c>
      <c r="O262" t="str">
        <f>IF(Worksheet!AJ262="","",Worksheet!AJ262)</f>
        <v>Zomerstage 2026 (Blankenberge)</v>
      </c>
      <c r="P262" t="str">
        <f>IF(Worksheet!AK262="","",Worksheet!AK262)</f>
        <v>Speler</v>
      </c>
    </row>
    <row r="263" spans="1:16" x14ac:dyDescent="0.3">
      <c r="A263" t="str">
        <v>Omer Nachtergaele</v>
      </c>
      <c r="B263" t="str">
        <v/>
      </c>
      <c r="C263" t="str">
        <v>+32486032155</v>
      </c>
      <c r="D263" t="str">
        <v>https://app.twizzit.com/public/photos/3526587/s/d9cd2de281e5d48997de87a634d3e25b996ae478.png</v>
      </c>
      <c r="E263" s="2" t="str">
        <v/>
      </c>
      <c r="F263" t="str">
        <v>G12 Blauw HAANTJES CERTIFISC OUDENAARDE</v>
      </c>
      <c r="G263" t="str">
        <v>Speler</v>
      </c>
      <c r="J263" t="str">
        <f>Worksheet!C263&amp;" "&amp;Worksheet!B263</f>
        <v>Emmanuelle Dewaele</v>
      </c>
      <c r="K263" t="str">
        <f>Worksheet!AM263</f>
        <v/>
      </c>
      <c r="L263" t="str">
        <f>Worksheet!AN263</f>
        <v>+32498070140</v>
      </c>
      <c r="M263" t="str">
        <f>IF(Worksheet!AE263="","",Worksheet!AE263)</f>
        <v/>
      </c>
      <c r="N263" t="str">
        <f>IF(Worksheet!AG263="","",Worksheet!AG263)</f>
        <v/>
      </c>
      <c r="O263" t="str">
        <f>IF(Worksheet!AJ263="","",Worksheet!AJ263)</f>
        <v>M12 A HAANTJES CERTIFISC OUDENAARDE</v>
      </c>
      <c r="P263" t="str">
        <f>IF(Worksheet!AK263="","",Worksheet!AK263)</f>
        <v>Speler</v>
      </c>
    </row>
    <row r="264" spans="1:16" x14ac:dyDescent="0.3">
      <c r="A264" t="str">
        <v>Rover Naessens</v>
      </c>
      <c r="B264" t="str">
        <v>deesnaessens@hotmail.com</v>
      </c>
      <c r="C264" t="str">
        <v>+32495844733</v>
      </c>
      <c r="D264" t="str">
        <v>https://app.twizzit.com/public/photos/7328405/s/a238a3bac0fa83cb173f769b5ce64dd7bdebab6d.jpeg</v>
      </c>
      <c r="E264" s="2" t="str">
        <v/>
      </c>
      <c r="F264" t="str">
        <v>G08 Blauw HAANTJES CERTIFISC OUDENAARDE</v>
      </c>
      <c r="G264" t="str">
        <v>Speler</v>
      </c>
      <c r="J264" t="str">
        <f>Worksheet!C264&amp;" "&amp;Worksheet!B264</f>
        <v>Mathis Dewaele</v>
      </c>
      <c r="K264" t="str">
        <f>Worksheet!AM264</f>
        <v/>
      </c>
      <c r="L264" t="str">
        <f>Worksheet!AN264</f>
        <v>+324731881534</v>
      </c>
      <c r="M264" t="str">
        <f>IF(Worksheet!AE264="","",Worksheet!AE264)</f>
        <v/>
      </c>
      <c r="N264">
        <f>IF(Worksheet!AG264="","",Worksheet!AG264)</f>
        <v>740066</v>
      </c>
      <c r="O264" t="str">
        <f>IF(Worksheet!AJ264="","",Worksheet!AJ264)</f>
        <v/>
      </c>
      <c r="P264" t="str">
        <f>IF(Worksheet!AK264="","",Worksheet!AK264)</f>
        <v/>
      </c>
    </row>
    <row r="265" spans="1:16" x14ac:dyDescent="0.3">
      <c r="A265" t="str">
        <v>Rover Naessens</v>
      </c>
      <c r="B265" t="str">
        <v>deesnaessens@hotmail.com</v>
      </c>
      <c r="C265" t="str">
        <v>+32495844733</v>
      </c>
      <c r="D265" t="str">
        <v>https://app.twizzit.com/public/photos/7328405/s/a238a3bac0fa83cb173f769b5ce64dd7bdebab6d.jpeg</v>
      </c>
      <c r="E265" s="2" t="str">
        <v/>
      </c>
      <c r="F265" t="str">
        <v>Zomerstage 2026 U8 (Oudenaarde)</v>
      </c>
      <c r="G265" t="str">
        <v>Speler</v>
      </c>
      <c r="J265" t="str">
        <f>Worksheet!C265&amp;" "&amp;Worksheet!B265</f>
        <v>Milan Dewaele</v>
      </c>
      <c r="K265" t="str">
        <f>Worksheet!AM265</f>
        <v/>
      </c>
      <c r="L265" t="str">
        <f>Worksheet!AN265</f>
        <v>+32472984375</v>
      </c>
      <c r="M265" t="str">
        <f>IF(Worksheet!AE265="","",Worksheet!AE265)</f>
        <v/>
      </c>
      <c r="N265" t="str">
        <f>IF(Worksheet!AG265="","",Worksheet!AG265)</f>
        <v/>
      </c>
      <c r="O265" t="str">
        <f>IF(Worksheet!AJ265="","",Worksheet!AJ265)</f>
        <v/>
      </c>
      <c r="P265" t="str">
        <f>IF(Worksheet!AK265="","",Worksheet!AK265)</f>
        <v/>
      </c>
    </row>
    <row r="266" spans="1:16" x14ac:dyDescent="0.3">
      <c r="A266" t="str">
        <v>Jean-Reno Neyrinck</v>
      </c>
      <c r="B266" t="str">
        <v/>
      </c>
      <c r="C266" t="str">
        <v>+32474078109</v>
      </c>
      <c r="D266" t="str">
        <v>https://app.twizzit.com/public/photos/3543437/s/4b4d34aba7c38171a5f39885d89d2a702bb4c5c8.jpeg</v>
      </c>
      <c r="E266" s="2" t="str">
        <v/>
      </c>
      <c r="F266" t="str">
        <v>J16 B Haantjes CERTIFISC Oudenaarde</v>
      </c>
      <c r="G266" t="str">
        <v>Speler</v>
      </c>
      <c r="J266" t="str">
        <f>Worksheet!C266&amp;" "&amp;Worksheet!B266</f>
        <v>Nathan Dewaele</v>
      </c>
      <c r="K266" t="str">
        <f>Worksheet!AM266</f>
        <v>wesleydewaele@yahoo.co.uk</v>
      </c>
      <c r="L266" t="str">
        <f>Worksheet!AN266</f>
        <v>+32470540240</v>
      </c>
      <c r="M266" t="str">
        <f>IF(Worksheet!AE266="","",Worksheet!AE266)</f>
        <v>https://app.twizzit.com/public/photos/2182816/s/c00a73a61de05b1991d5eac8f8ad498e97a90e40.png</v>
      </c>
      <c r="N266">
        <f>IF(Worksheet!AG266="","",Worksheet!AG266)</f>
        <v>718781</v>
      </c>
      <c r="O266" t="str">
        <f>IF(Worksheet!AJ266="","",Worksheet!AJ266)</f>
        <v>J16 A Haantjes CERTIFISC Oudenaarde</v>
      </c>
      <c r="P266" t="str">
        <f>IF(Worksheet!AK266="","",Worksheet!AK266)</f>
        <v>Speler</v>
      </c>
    </row>
    <row r="267" spans="1:16" x14ac:dyDescent="0.3">
      <c r="A267" t="str">
        <v>George O'Reilly</v>
      </c>
      <c r="B267" t="str">
        <v>danieloreilly22@yahoo.ie</v>
      </c>
      <c r="C267" t="str">
        <v>+32494886713</v>
      </c>
      <c r="D267" t="str">
        <v/>
      </c>
      <c r="E267" s="2" t="str">
        <v/>
      </c>
      <c r="F267" t="str">
        <v>G08 Groen HAANTJES CERTIFISC OUDENAARDE</v>
      </c>
      <c r="G267" t="str">
        <v>Speler</v>
      </c>
      <c r="J267" t="str">
        <f>Worksheet!C267&amp;" "&amp;Worksheet!B267</f>
        <v>Nathan Dewaele</v>
      </c>
      <c r="K267" t="str">
        <f>Worksheet!AM267</f>
        <v>wesleydewaele@yahoo.co.uk</v>
      </c>
      <c r="L267" t="str">
        <f>Worksheet!AN267</f>
        <v>+32470540240</v>
      </c>
      <c r="M267" t="str">
        <f>IF(Worksheet!AE267="","",Worksheet!AE267)</f>
        <v>https://app.twizzit.com/public/photos/2182816/s/c00a73a61de05b1991d5eac8f8ad498e97a90e40.png</v>
      </c>
      <c r="N267">
        <f>IF(Worksheet!AG267="","",Worksheet!AG267)</f>
        <v>718781</v>
      </c>
      <c r="O267" t="str">
        <f>IF(Worksheet!AJ267="","",Worksheet!AJ267)</f>
        <v>Zomerstage 2026 (Blankenberge)</v>
      </c>
      <c r="P267" t="str">
        <f>IF(Worksheet!AK267="","",Worksheet!AK267)</f>
        <v>Speler</v>
      </c>
    </row>
    <row r="268" spans="1:16" x14ac:dyDescent="0.3">
      <c r="A268" t="str">
        <v>Emiel Opsomer</v>
      </c>
      <c r="B268" t="str">
        <v>meirlaen.evelien@gmail.com</v>
      </c>
      <c r="C268" t="str">
        <v>+32478767261</v>
      </c>
      <c r="D268" t="str">
        <v/>
      </c>
      <c r="E268" s="2">
        <v>757869</v>
      </c>
      <c r="F268" t="str">
        <v>G12 Geel HAANTJES CERTIFISC OUDENAARDE</v>
      </c>
      <c r="G268" t="str">
        <v>Speler</v>
      </c>
      <c r="J268" t="str">
        <f>Worksheet!C268&amp;" "&amp;Worksheet!B268</f>
        <v>Wesley Dewaele</v>
      </c>
      <c r="K268" t="str">
        <f>Worksheet!AM268</f>
        <v/>
      </c>
      <c r="L268" t="str">
        <f>Worksheet!AN268</f>
        <v>+32470540240</v>
      </c>
      <c r="M268" t="str">
        <f>IF(Worksheet!AE268="","",Worksheet!AE268)</f>
        <v/>
      </c>
      <c r="N268">
        <f>IF(Worksheet!AG268="","",Worksheet!AG268)</f>
        <v>758055</v>
      </c>
      <c r="O268" t="str">
        <f>IF(Worksheet!AJ268="","",Worksheet!AJ268)</f>
        <v/>
      </c>
      <c r="P268" t="str">
        <f>IF(Worksheet!AK268="","",Worksheet!AK268)</f>
        <v/>
      </c>
    </row>
    <row r="269" spans="1:16" x14ac:dyDescent="0.3">
      <c r="A269" t="str">
        <v>Emiel Opsomer</v>
      </c>
      <c r="B269" t="str">
        <v>meirlaen.evelien@gmail.com</v>
      </c>
      <c r="C269" t="str">
        <v>+32478767261</v>
      </c>
      <c r="D269" t="str">
        <v/>
      </c>
      <c r="E269" s="2">
        <v>757869</v>
      </c>
      <c r="F269" t="str">
        <v>Zomerstage 2026 U10 &amp; U12 (Oudenaarde)</v>
      </c>
      <c r="G269" t="str">
        <v>Speler</v>
      </c>
      <c r="J269" t="str">
        <f>Worksheet!C269&amp;" "&amp;Worksheet!B269</f>
        <v>Dora Deweerdt</v>
      </c>
      <c r="K269" t="str">
        <f>Worksheet!AM269</f>
        <v/>
      </c>
      <c r="L269" t="str">
        <f>Worksheet!AN269</f>
        <v/>
      </c>
      <c r="M269" t="str">
        <f>IF(Worksheet!AE269="","",Worksheet!AE269)</f>
        <v/>
      </c>
      <c r="N269" t="str">
        <f>IF(Worksheet!AG269="","",Worksheet!AG269)</f>
        <v/>
      </c>
      <c r="O269" t="str">
        <f>IF(Worksheet!AJ269="","",Worksheet!AJ269)</f>
        <v/>
      </c>
      <c r="P269" t="str">
        <f>IF(Worksheet!AK269="","",Worksheet!AK269)</f>
        <v/>
      </c>
    </row>
    <row r="270" spans="1:16" x14ac:dyDescent="0.3">
      <c r="A270" t="str">
        <v>Julie Orbie</v>
      </c>
      <c r="B270" t="str">
        <v/>
      </c>
      <c r="C270" t="str">
        <v>+32472656820</v>
      </c>
      <c r="D270" t="str">
        <v/>
      </c>
      <c r="E270" s="2">
        <v>746004</v>
      </c>
      <c r="F270" t="str">
        <v>Zomerstage 2026 (Blankenberge)</v>
      </c>
      <c r="G270" t="str">
        <v>Speler</v>
      </c>
      <c r="J270" t="str">
        <f>Worksheet!C270&amp;" "&amp;Worksheet!B270</f>
        <v>Jules Dewilde</v>
      </c>
      <c r="K270" t="str">
        <f>Worksheet!AM270</f>
        <v>niekdewilde@hotmail.be</v>
      </c>
      <c r="L270" t="str">
        <f>Worksheet!AN270</f>
        <v>+32474562569</v>
      </c>
      <c r="M270" t="str">
        <f>IF(Worksheet!AE270="","",Worksheet!AE270)</f>
        <v/>
      </c>
      <c r="N270" t="str">
        <f>IF(Worksheet!AG270="","",Worksheet!AG270)</f>
        <v/>
      </c>
      <c r="O270" t="str">
        <f>IF(Worksheet!AJ270="","",Worksheet!AJ270)</f>
        <v>G14 A Haantjes CERTIFISC Oudenaarde</v>
      </c>
      <c r="P270" t="str">
        <f>IF(Worksheet!AK270="","",Worksheet!AK270)</f>
        <v>Speler</v>
      </c>
    </row>
    <row r="271" spans="1:16" x14ac:dyDescent="0.3">
      <c r="A271" t="str">
        <v>Julie Orbie</v>
      </c>
      <c r="B271" t="str">
        <v/>
      </c>
      <c r="C271" t="str">
        <v>+32472656820</v>
      </c>
      <c r="D271" t="str">
        <v/>
      </c>
      <c r="E271" s="2">
        <v>746004</v>
      </c>
      <c r="F271" t="str">
        <v>M14 A Haantjes CERTIFISC  Oudenaarde</v>
      </c>
      <c r="G271" t="str">
        <v>Speler</v>
      </c>
      <c r="J271" t="str">
        <f>Worksheet!C271&amp;" "&amp;Worksheet!B271</f>
        <v>Jules Dewilde</v>
      </c>
      <c r="K271" t="str">
        <f>Worksheet!AM271</f>
        <v>niekdewilde@hotmail.be</v>
      </c>
      <c r="L271" t="str">
        <f>Worksheet!AN271</f>
        <v>+32474562569</v>
      </c>
      <c r="M271" t="str">
        <f>IF(Worksheet!AE271="","",Worksheet!AE271)</f>
        <v/>
      </c>
      <c r="N271" t="str">
        <f>IF(Worksheet!AG271="","",Worksheet!AG271)</f>
        <v/>
      </c>
      <c r="O271" t="str">
        <f>IF(Worksheet!AJ271="","",Worksheet!AJ271)</f>
        <v>Zomerstage 2026 (Blankenberge)</v>
      </c>
      <c r="P271" t="str">
        <f>IF(Worksheet!AK271="","",Worksheet!AK271)</f>
        <v>Speler</v>
      </c>
    </row>
    <row r="272" spans="1:16" x14ac:dyDescent="0.3">
      <c r="A272" t="str">
        <v>Gust Ottevaere</v>
      </c>
      <c r="B272" t="str">
        <v>gust.ottevaere@telenet.be</v>
      </c>
      <c r="C272" t="str">
        <v>+32467011927</v>
      </c>
      <c r="D272" t="str">
        <v/>
      </c>
      <c r="E272" s="2" t="str">
        <v/>
      </c>
      <c r="F272" t="str">
        <v>J16 A Haantjes CERTIFISC Oudenaarde</v>
      </c>
      <c r="G272" t="str">
        <v>Speler</v>
      </c>
      <c r="J272" t="str">
        <f>Worksheet!C272&amp;" "&amp;Worksheet!B272</f>
        <v>Paula Dewolf</v>
      </c>
      <c r="K272" t="str">
        <f>Worksheet!AM272</f>
        <v>kelly.wood@hotmail.be</v>
      </c>
      <c r="L272" t="str">
        <f>Worksheet!AN272</f>
        <v>+32478720771</v>
      </c>
      <c r="M272" t="str">
        <f>IF(Worksheet!AE272="","",Worksheet!AE272)</f>
        <v/>
      </c>
      <c r="N272" t="str">
        <f>IF(Worksheet!AG272="","",Worksheet!AG272)</f>
        <v/>
      </c>
      <c r="O272" t="str">
        <f>IF(Worksheet!AJ272="","",Worksheet!AJ272)</f>
        <v/>
      </c>
      <c r="P272" t="str">
        <f>IF(Worksheet!AK272="","",Worksheet!AK272)</f>
        <v/>
      </c>
    </row>
    <row r="273" spans="1:16" x14ac:dyDescent="0.3">
      <c r="A273" t="str">
        <v>Gust Ottevaere</v>
      </c>
      <c r="B273" t="str">
        <v>gust.ottevaere@telenet.be</v>
      </c>
      <c r="C273" t="str">
        <v>+32467011927</v>
      </c>
      <c r="D273" t="str">
        <v/>
      </c>
      <c r="E273" s="2" t="str">
        <v/>
      </c>
      <c r="F273" t="str">
        <v>Zomerstage 2026 (Blankenberge)</v>
      </c>
      <c r="G273" t="str">
        <v>Speler</v>
      </c>
      <c r="J273" t="str">
        <f>Worksheet!C273&amp;" "&amp;Worksheet!B273</f>
        <v>Lowie Dewulf</v>
      </c>
      <c r="K273" t="str">
        <f>Worksheet!AM273</f>
        <v/>
      </c>
      <c r="L273" t="str">
        <f>Worksheet!AN273</f>
        <v>+32474743487</v>
      </c>
      <c r="M273" t="str">
        <f>IF(Worksheet!AE273="","",Worksheet!AE273)</f>
        <v/>
      </c>
      <c r="N273" t="str">
        <f>IF(Worksheet!AG273="","",Worksheet!AG273)</f>
        <v/>
      </c>
      <c r="O273" t="str">
        <f>IF(Worksheet!AJ273="","",Worksheet!AJ273)</f>
        <v/>
      </c>
      <c r="P273" t="str">
        <f>IF(Worksheet!AK273="","",Worksheet!AK273)</f>
        <v/>
      </c>
    </row>
    <row r="274" spans="1:16" x14ac:dyDescent="0.3">
      <c r="A274" t="str">
        <v>Théo Parmentier</v>
      </c>
      <c r="B274" t="str">
        <v>jensparmentier@gmail.com</v>
      </c>
      <c r="C274" t="str">
        <v>+32498076133</v>
      </c>
      <c r="D274" t="str">
        <v/>
      </c>
      <c r="E274" s="2" t="str">
        <v/>
      </c>
      <c r="F274" t="str">
        <v>G08 Blauw HAANTJES CERTIFISC OUDENAARDE</v>
      </c>
      <c r="G274" t="str">
        <v>Speler</v>
      </c>
      <c r="J274" t="str">
        <f>Worksheet!C274&amp;" "&amp;Worksheet!B274</f>
        <v>Alies Dhaenens</v>
      </c>
      <c r="K274" t="str">
        <f>Worksheet!AM274</f>
        <v>eline.huysman@gmail.com</v>
      </c>
      <c r="L274" t="str">
        <f>Worksheet!AN274</f>
        <v>+32474684572</v>
      </c>
      <c r="M274" t="str">
        <f>IF(Worksheet!AE274="","",Worksheet!AE274)</f>
        <v/>
      </c>
      <c r="N274" t="str">
        <f>IF(Worksheet!AG274="","",Worksheet!AG274)</f>
        <v/>
      </c>
      <c r="O274" t="str">
        <f>IF(Worksheet!AJ274="","",Worksheet!AJ274)</f>
        <v/>
      </c>
      <c r="P274" t="str">
        <f>IF(Worksheet!AK274="","",Worksheet!AK274)</f>
        <v/>
      </c>
    </row>
    <row r="275" spans="1:16" x14ac:dyDescent="0.3">
      <c r="A275" t="str">
        <v>Théo Parmentier</v>
      </c>
      <c r="B275" t="str">
        <v>jensparmentier@gmail.com</v>
      </c>
      <c r="C275" t="str">
        <v>+32498076133</v>
      </c>
      <c r="D275" t="str">
        <v/>
      </c>
      <c r="E275" s="2" t="str">
        <v/>
      </c>
      <c r="F275" t="str">
        <v>Zomerstage 2026 U8 (Oudenaarde)</v>
      </c>
      <c r="G275" t="str">
        <v>Speler</v>
      </c>
      <c r="J275" t="str">
        <f>Worksheet!C275&amp;" "&amp;Worksheet!B275</f>
        <v>Jarno Dhont</v>
      </c>
      <c r="K275" t="str">
        <f>Worksheet!AM275</f>
        <v>dhont.lieven1@gmail.com</v>
      </c>
      <c r="L275" t="str">
        <f>Worksheet!AN275</f>
        <v>+32468292174</v>
      </c>
      <c r="M275" t="str">
        <f>IF(Worksheet!AE275="","",Worksheet!AE275)</f>
        <v/>
      </c>
      <c r="N275">
        <f>IF(Worksheet!AG275="","",Worksheet!AG275)</f>
        <v>658022</v>
      </c>
      <c r="O275" t="str">
        <f>IF(Worksheet!AJ275="","",Worksheet!AJ275)</f>
        <v>HSE  C Haantjes Certifisc Oudenaarde</v>
      </c>
      <c r="P275" t="str">
        <f>IF(Worksheet!AK275="","",Worksheet!AK275)</f>
        <v>Speler</v>
      </c>
    </row>
    <row r="276" spans="1:16" x14ac:dyDescent="0.3">
      <c r="A276" t="str">
        <v>Joël Peeters</v>
      </c>
      <c r="B276" t="str">
        <v/>
      </c>
      <c r="C276" t="str">
        <v/>
      </c>
      <c r="D276" t="str">
        <v/>
      </c>
      <c r="E276" s="2" t="str">
        <v/>
      </c>
      <c r="F276" t="str">
        <v>HSE  C Haantjes Certifisc Oudenaarde</v>
      </c>
      <c r="G276" t="str">
        <v>Speler</v>
      </c>
      <c r="J276" t="str">
        <f>Worksheet!C276&amp;" "&amp;Worksheet!B276</f>
        <v>Kenneth Dhont</v>
      </c>
      <c r="K276" t="str">
        <f>Worksheet!AM276</f>
        <v/>
      </c>
      <c r="L276" t="str">
        <f>Worksheet!AN276</f>
        <v>+32477485789</v>
      </c>
      <c r="M276" t="str">
        <f>IF(Worksheet!AE276="","",Worksheet!AE276)</f>
        <v/>
      </c>
      <c r="N276">
        <f>IF(Worksheet!AG276="","",Worksheet!AG276)</f>
        <v>50455</v>
      </c>
      <c r="O276" t="str">
        <f>IF(Worksheet!AJ276="","",Worksheet!AJ276)</f>
        <v>Zomerstage 2026 (Blankenberge)</v>
      </c>
      <c r="P276" t="str">
        <f>IF(Worksheet!AK276="","",Worksheet!AK276)</f>
        <v>Coach</v>
      </c>
    </row>
    <row r="277" spans="1:16" x14ac:dyDescent="0.3">
      <c r="A277" t="str">
        <v>Brent Pollet</v>
      </c>
      <c r="B277" t="str">
        <v>pollet.jelle@gmail.com</v>
      </c>
      <c r="C277" t="str">
        <v>+32474223155</v>
      </c>
      <c r="D277" t="str">
        <v>https://app.twizzit.com/public/photos/3454870/s/e7fdcf5140d5e910d15662f873e9aafb78eb7d4f.jpeg</v>
      </c>
      <c r="E277" s="2">
        <v>756320</v>
      </c>
      <c r="F277" t="str">
        <v>Zomerstage 2026 (Blankenberge)</v>
      </c>
      <c r="G277" t="str">
        <v>Speler</v>
      </c>
      <c r="J277" t="str">
        <f>Worksheet!C277&amp;" "&amp;Worksheet!B277</f>
        <v>Kenneth Dhont</v>
      </c>
      <c r="K277" t="str">
        <f>Worksheet!AM277</f>
        <v/>
      </c>
      <c r="L277" t="str">
        <f>Worksheet!AN277</f>
        <v>+32477485789</v>
      </c>
      <c r="M277" t="str">
        <f>IF(Worksheet!AE277="","",Worksheet!AE277)</f>
        <v/>
      </c>
      <c r="N277">
        <f>IF(Worksheet!AG277="","",Worksheet!AG277)</f>
        <v>50455</v>
      </c>
      <c r="O277" t="str">
        <f>IF(Worksheet!AJ277="","",Worksheet!AJ277)</f>
        <v>Zomerstage 2026 U8 (Oudenaarde)</v>
      </c>
      <c r="P277" t="str">
        <f>IF(Worksheet!AK277="","",Worksheet!AK277)</f>
        <v>Coach</v>
      </c>
    </row>
    <row r="278" spans="1:16" x14ac:dyDescent="0.3">
      <c r="A278" t="str">
        <v>Brent Pollet</v>
      </c>
      <c r="B278" t="str">
        <v>pollet.jelle@gmail.com</v>
      </c>
      <c r="C278" t="str">
        <v>+32474223155</v>
      </c>
      <c r="D278" t="str">
        <v>https://app.twizzit.com/public/photos/3454870/s/e7fdcf5140d5e910d15662f873e9aafb78eb7d4f.jpeg</v>
      </c>
      <c r="E278" s="2">
        <v>756320</v>
      </c>
      <c r="F278" t="str">
        <v>Zomerstage 2026 U10 &amp; U12 (Oudenaarde)</v>
      </c>
      <c r="G278" t="str">
        <v>Speler</v>
      </c>
      <c r="J278" t="str">
        <f>Worksheet!C278&amp;" "&amp;Worksheet!B278</f>
        <v>Kenneth Dhont</v>
      </c>
      <c r="K278" t="str">
        <f>Worksheet!AM278</f>
        <v/>
      </c>
      <c r="L278" t="str">
        <f>Worksheet!AN278</f>
        <v>+32477485789</v>
      </c>
      <c r="M278" t="str">
        <f>IF(Worksheet!AE278="","",Worksheet!AE278)</f>
        <v/>
      </c>
      <c r="N278">
        <f>IF(Worksheet!AG278="","",Worksheet!AG278)</f>
        <v>50455</v>
      </c>
      <c r="O278" t="str">
        <f>IF(Worksheet!AJ278="","",Worksheet!AJ278)</f>
        <v>Zomerstage 2026 U10 &amp; U12 (Oudenaarde)</v>
      </c>
      <c r="P278" t="str">
        <f>IF(Worksheet!AK278="","",Worksheet!AK278)</f>
        <v>Coach</v>
      </c>
    </row>
    <row r="279" spans="1:16" x14ac:dyDescent="0.3">
      <c r="A279" t="str">
        <v>Brent Pollet</v>
      </c>
      <c r="B279" t="str">
        <v>pollet.jelle@gmail.com</v>
      </c>
      <c r="C279" t="str">
        <v>+32474223155</v>
      </c>
      <c r="D279" t="str">
        <v>https://app.twizzit.com/public/photos/3454870/s/e7fdcf5140d5e910d15662f873e9aafb78eb7d4f.jpeg</v>
      </c>
      <c r="E279" s="2">
        <v>756320</v>
      </c>
      <c r="F279" t="str">
        <v>G12 Geel HAANTJES CERTIFISC OUDENAARDE</v>
      </c>
      <c r="G279" t="str">
        <v>Speler</v>
      </c>
      <c r="J279" t="str">
        <f>Worksheet!C279&amp;" "&amp;Worksheet!B279</f>
        <v>Kenneth Dhont</v>
      </c>
      <c r="K279" t="str">
        <f>Worksheet!AM279</f>
        <v/>
      </c>
      <c r="L279" t="str">
        <f>Worksheet!AN279</f>
        <v>+32477485789</v>
      </c>
      <c r="M279" t="str">
        <f>IF(Worksheet!AE279="","",Worksheet!AE279)</f>
        <v/>
      </c>
      <c r="N279">
        <f>IF(Worksheet!AG279="","",Worksheet!AG279)</f>
        <v>50455</v>
      </c>
      <c r="O279" t="str">
        <f>IF(Worksheet!AJ279="","",Worksheet!AJ279)</f>
        <v>M19 A Haantjes CERTIFISC Oudenaarde</v>
      </c>
      <c r="P279" t="str">
        <f>IF(Worksheet!AK279="","",Worksheet!AK279)</f>
        <v>Coach</v>
      </c>
    </row>
    <row r="280" spans="1:16" x14ac:dyDescent="0.3">
      <c r="A280" t="str">
        <v>Mats Renard</v>
      </c>
      <c r="B280" t="str">
        <v/>
      </c>
      <c r="C280" t="str">
        <v>+32476752923</v>
      </c>
      <c r="D280" t="str">
        <v>https://app.twizzit.com/public/photos/2183172/s/365feecf0a3ae5a9392582a322a55ff1fee56899.png</v>
      </c>
      <c r="E280" s="2">
        <v>714465</v>
      </c>
      <c r="F280" t="str">
        <v>Zomerstage 2026 (Blankenberge)</v>
      </c>
      <c r="G280" t="str">
        <v>Speler</v>
      </c>
      <c r="J280" t="str">
        <f>Worksheet!C280&amp;" "&amp;Worksheet!B280</f>
        <v>Kenneth Dhont</v>
      </c>
      <c r="K280" t="str">
        <f>Worksheet!AM280</f>
        <v/>
      </c>
      <c r="L280" t="str">
        <f>Worksheet!AN280</f>
        <v>+32477485789</v>
      </c>
      <c r="M280" t="str">
        <f>IF(Worksheet!AE280="","",Worksheet!AE280)</f>
        <v/>
      </c>
      <c r="N280">
        <f>IF(Worksheet!AG280="","",Worksheet!AG280)</f>
        <v>50455</v>
      </c>
      <c r="O280" t="str">
        <f>IF(Worksheet!AJ280="","",Worksheet!AJ280)</f>
        <v>G12 Blauw HAANTJES CERTIFISC OUDENAARDE</v>
      </c>
      <c r="P280" t="str">
        <f>IF(Worksheet!AK280="","",Worksheet!AK280)</f>
        <v>Coach</v>
      </c>
    </row>
    <row r="281" spans="1:16" x14ac:dyDescent="0.3">
      <c r="A281" t="str">
        <v>Emlin Rommens</v>
      </c>
      <c r="B281" t="str">
        <v>pieterrommens@hotmail.be</v>
      </c>
      <c r="C281" t="str">
        <v>+32470513652</v>
      </c>
      <c r="D281" t="str">
        <v>https://app.twizzit.com/public/photos/2650641/s/248b205ecc69fd455c13ac7cc9deb76d11e361a0.png</v>
      </c>
      <c r="E281" s="2">
        <v>742358</v>
      </c>
      <c r="F281" t="str">
        <v>Zomerstage 2026 (Blankenberge)</v>
      </c>
      <c r="G281" t="str">
        <v>Speler</v>
      </c>
      <c r="J281" t="str">
        <f>Worksheet!C281&amp;" "&amp;Worksheet!B281</f>
        <v>Lieven Dhont</v>
      </c>
      <c r="K281" t="str">
        <f>Worksheet!AM281</f>
        <v/>
      </c>
      <c r="L281" t="str">
        <f>Worksheet!AN281</f>
        <v/>
      </c>
      <c r="M281" t="str">
        <f>IF(Worksheet!AE281="","",Worksheet!AE281)</f>
        <v/>
      </c>
      <c r="N281">
        <f>IF(Worksheet!AG281="","",Worksheet!AG281)</f>
        <v>702229</v>
      </c>
      <c r="O281" t="str">
        <f>IF(Worksheet!AJ281="","",Worksheet!AJ281)</f>
        <v/>
      </c>
      <c r="P281" t="str">
        <f>IF(Worksheet!AK281="","",Worksheet!AK281)</f>
        <v/>
      </c>
    </row>
    <row r="282" spans="1:16" x14ac:dyDescent="0.3">
      <c r="A282" t="str">
        <v>Emlin Rommens</v>
      </c>
      <c r="B282" t="str">
        <v>pieterrommens@hotmail.be</v>
      </c>
      <c r="C282" t="str">
        <v>+32470513652</v>
      </c>
      <c r="D282" t="str">
        <v>https://app.twizzit.com/public/photos/2650641/s/248b205ecc69fd455c13ac7cc9deb76d11e361a0.png</v>
      </c>
      <c r="E282" s="2">
        <v>742358</v>
      </c>
      <c r="F282" t="str">
        <v>M14 A Haantjes CERTIFISC  Oudenaarde</v>
      </c>
      <c r="G282" t="str">
        <v>Speler</v>
      </c>
      <c r="J282" t="str">
        <f>Worksheet!C282&amp;" "&amp;Worksheet!B282</f>
        <v>Mathis Dhont</v>
      </c>
      <c r="K282" t="str">
        <f>Worksheet!AM282</f>
        <v/>
      </c>
      <c r="L282" t="str">
        <f>Worksheet!AN282</f>
        <v/>
      </c>
      <c r="M282" t="str">
        <f>IF(Worksheet!AE282="","",Worksheet!AE282)</f>
        <v/>
      </c>
      <c r="N282">
        <f>IF(Worksheet!AG282="","",Worksheet!AG282)</f>
        <v>660481</v>
      </c>
      <c r="O282" t="str">
        <f>IF(Worksheet!AJ282="","",Worksheet!AJ282)</f>
        <v>HSE  C Haantjes Certifisc Oudenaarde</v>
      </c>
      <c r="P282" t="str">
        <f>IF(Worksheet!AK282="","",Worksheet!AK282)</f>
        <v>Speler</v>
      </c>
    </row>
    <row r="283" spans="1:16" x14ac:dyDescent="0.3">
      <c r="A283" t="str">
        <v>Thibaut Sadaune</v>
      </c>
      <c r="B283" t="str">
        <v>bartsadaune@hotmail.com</v>
      </c>
      <c r="C283" t="str">
        <v>+32485494075</v>
      </c>
      <c r="D283" t="str">
        <v>https://app.twizzit.com/public/photos/8418475/s/c44854e7fe4ecdd14617bb0fe2e99a30f0cedc15.jpeg</v>
      </c>
      <c r="E283" s="2" t="str">
        <v/>
      </c>
      <c r="F283" t="str">
        <v>G08 Blauw HAANTJES CERTIFISC OUDENAARDE</v>
      </c>
      <c r="G283" t="str">
        <v>Speler</v>
      </c>
      <c r="J283" t="str">
        <f>Worksheet!C283&amp;" "&amp;Worksheet!B283</f>
        <v>Guillaume Dhont Gallant</v>
      </c>
      <c r="K283" t="str">
        <f>Worksheet!AM283</f>
        <v/>
      </c>
      <c r="L283" t="str">
        <f>Worksheet!AN283</f>
        <v>+32477485 789</v>
      </c>
      <c r="M283" t="str">
        <f>IF(Worksheet!AE283="","",Worksheet!AE283)</f>
        <v/>
      </c>
      <c r="N283">
        <f>IF(Worksheet!AG283="","",Worksheet!AG283)</f>
        <v>742181</v>
      </c>
      <c r="O283" t="str">
        <f>IF(Worksheet!AJ283="","",Worksheet!AJ283)</f>
        <v/>
      </c>
      <c r="P283" t="str">
        <f>IF(Worksheet!AK283="","",Worksheet!AK283)</f>
        <v/>
      </c>
    </row>
    <row r="284" spans="1:16" x14ac:dyDescent="0.3">
      <c r="A284" t="str">
        <v>Jack Saerens</v>
      </c>
      <c r="B284" t="str">
        <v/>
      </c>
      <c r="C284" t="str">
        <v>+32498690042</v>
      </c>
      <c r="D284" t="str">
        <v>https://app.twizzit.com/public/photos/3475134/s/78bd944a9e8b36fe65d592312d1522f18bbf3e32.png</v>
      </c>
      <c r="E284" s="2" t="str">
        <v/>
      </c>
      <c r="F284" t="str">
        <v>G10 Geel HAANTJES CERTIFISC OUDENAARDE</v>
      </c>
      <c r="G284" t="str">
        <v>Speler</v>
      </c>
      <c r="J284" t="str">
        <f>Worksheet!C284&amp;" "&amp;Worksheet!B284</f>
        <v>Stefan Diciu</v>
      </c>
      <c r="K284" t="str">
        <f>Worksheet!AM284</f>
        <v/>
      </c>
      <c r="L284" t="str">
        <f>Worksheet!AN284</f>
        <v/>
      </c>
      <c r="M284" t="str">
        <f>IF(Worksheet!AE284="","",Worksheet!AE284)</f>
        <v>https://app.twizzit.com/public/photos/2650816/s/599e8735dd592b996d4eda81212c870f2e83f50b.png</v>
      </c>
      <c r="N284">
        <f>IF(Worksheet!AG284="","",Worksheet!AG284)</f>
        <v>739985</v>
      </c>
      <c r="O284" t="str">
        <f>IF(Worksheet!AJ284="","",Worksheet!AJ284)</f>
        <v/>
      </c>
      <c r="P284" t="str">
        <f>IF(Worksheet!AK284="","",Worksheet!AK284)</f>
        <v/>
      </c>
    </row>
    <row r="285" spans="1:16" x14ac:dyDescent="0.3">
      <c r="A285" t="str">
        <v>Elisabeth Saveyn</v>
      </c>
      <c r="B285" t="str">
        <v>moonvanneste@hotmail.com</v>
      </c>
      <c r="C285" t="str">
        <v>+32496392369</v>
      </c>
      <c r="D285" t="str">
        <v/>
      </c>
      <c r="E285" s="2" t="str">
        <v/>
      </c>
      <c r="F285" t="str">
        <v>M16 A Haantjes CERTIFISC  Oudenaarde</v>
      </c>
      <c r="G285" t="str">
        <v>Speler</v>
      </c>
      <c r="J285" t="str">
        <f>Worksheet!C285&amp;" "&amp;Worksheet!B285</f>
        <v>Marco Dick</v>
      </c>
      <c r="K285" t="str">
        <f>Worksheet!AM285</f>
        <v/>
      </c>
      <c r="L285" t="str">
        <f>Worksheet!AN285</f>
        <v>+32499754251</v>
      </c>
      <c r="M285" t="str">
        <f>IF(Worksheet!AE285="","",Worksheet!AE285)</f>
        <v/>
      </c>
      <c r="N285">
        <f>IF(Worksheet!AG285="","",Worksheet!AG285)</f>
        <v>633923</v>
      </c>
      <c r="O285" t="str">
        <f>IF(Worksheet!AJ285="","",Worksheet!AJ285)</f>
        <v>HSE A Haantjes Certifisc Oudenaarde</v>
      </c>
      <c r="P285" t="str">
        <f>IF(Worksheet!AK285="","",Worksheet!AK285)</f>
        <v>Speler</v>
      </c>
    </row>
    <row r="286" spans="1:16" x14ac:dyDescent="0.3">
      <c r="A286" t="str">
        <v>Elisabeth Saveyn</v>
      </c>
      <c r="B286" t="str">
        <v>moonvanneste@hotmail.com</v>
      </c>
      <c r="C286" t="str">
        <v>+32496392369</v>
      </c>
      <c r="D286" t="str">
        <v/>
      </c>
      <c r="E286" s="2" t="str">
        <v/>
      </c>
      <c r="F286" t="str">
        <v>Zomerstage 2026 (Blankenberge)</v>
      </c>
      <c r="G286" t="str">
        <v>Speler</v>
      </c>
      <c r="J286" t="str">
        <f>Worksheet!C286&amp;" "&amp;Worksheet!B286</f>
        <v>Molly Diederick</v>
      </c>
      <c r="K286" t="str">
        <f>Worksheet!AM286</f>
        <v/>
      </c>
      <c r="L286" t="str">
        <f>Worksheet!AN286</f>
        <v>+32478510919</v>
      </c>
      <c r="M286" t="str">
        <f>IF(Worksheet!AE286="","",Worksheet!AE286)</f>
        <v/>
      </c>
      <c r="N286" t="str">
        <f>IF(Worksheet!AG286="","",Worksheet!AG286)</f>
        <v/>
      </c>
      <c r="O286" t="str">
        <f>IF(Worksheet!AJ286="","",Worksheet!AJ286)</f>
        <v/>
      </c>
      <c r="P286" t="str">
        <f>IF(Worksheet!AK286="","",Worksheet!AK286)</f>
        <v/>
      </c>
    </row>
    <row r="287" spans="1:16" x14ac:dyDescent="0.3">
      <c r="A287" t="str">
        <v>Nona Schmitt</v>
      </c>
      <c r="B287" t="str">
        <v>alexander.schmitt@authority.biz</v>
      </c>
      <c r="C287" t="str">
        <v>+32473761554</v>
      </c>
      <c r="D287" t="str">
        <v/>
      </c>
      <c r="E287" s="2" t="str">
        <v/>
      </c>
      <c r="F287" t="str">
        <v>M16 A Haantjes CERTIFISC  Oudenaarde</v>
      </c>
      <c r="G287" t="str">
        <v>Speler</v>
      </c>
      <c r="J287" t="str">
        <f>Worksheet!C287&amp;" "&amp;Worksheet!B287</f>
        <v>Pieter Diependaele</v>
      </c>
      <c r="K287" t="str">
        <f>Worksheet!AM287</f>
        <v>coachpieter.basket@gmail.com</v>
      </c>
      <c r="L287" t="str">
        <f>Worksheet!AN287</f>
        <v>+32479044986</v>
      </c>
      <c r="M287" t="str">
        <f>IF(Worksheet!AE287="","",Worksheet!AE287)</f>
        <v>https://app.twizzit.com/public/photos/3239965/s/944ad53074c1441abd98efedc98fef813d2f093f.png</v>
      </c>
      <c r="N287">
        <f>IF(Worksheet!AG287="","",Worksheet!AG287)</f>
        <v>658023</v>
      </c>
      <c r="O287" t="str">
        <f>IF(Worksheet!AJ287="","",Worksheet!AJ287)</f>
        <v>J21 A HAANTJES CERTIFISC OUDENAARDE</v>
      </c>
      <c r="P287" t="str">
        <f>IF(Worksheet!AK287="","",Worksheet!AK287)</f>
        <v>Speler</v>
      </c>
    </row>
    <row r="288" spans="1:16" x14ac:dyDescent="0.3">
      <c r="A288" t="str">
        <v>Nona Schmitt</v>
      </c>
      <c r="B288" t="str">
        <v>alexander.schmitt@authority.biz</v>
      </c>
      <c r="C288" t="str">
        <v>+32473761554</v>
      </c>
      <c r="D288" t="str">
        <v/>
      </c>
      <c r="E288" s="2" t="str">
        <v/>
      </c>
      <c r="F288" t="str">
        <v>Zomerstage 2026 (Blankenberge)</v>
      </c>
      <c r="G288" t="str">
        <v>Speler</v>
      </c>
      <c r="J288" t="str">
        <f>Worksheet!C288&amp;" "&amp;Worksheet!B288</f>
        <v>Kessy Dione</v>
      </c>
      <c r="K288" t="str">
        <f>Worksheet!AM288</f>
        <v/>
      </c>
      <c r="L288" t="str">
        <f>Worksheet!AN288</f>
        <v>+32491630065</v>
      </c>
      <c r="M288" t="str">
        <f>IF(Worksheet!AE288="","",Worksheet!AE288)</f>
        <v/>
      </c>
      <c r="N288" t="str">
        <f>IF(Worksheet!AG288="","",Worksheet!AG288)</f>
        <v/>
      </c>
      <c r="O288" t="str">
        <f>IF(Worksheet!AJ288="","",Worksheet!AJ288)</f>
        <v/>
      </c>
      <c r="P288" t="str">
        <f>IF(Worksheet!AK288="","",Worksheet!AK288)</f>
        <v/>
      </c>
    </row>
    <row r="289" spans="1:16" x14ac:dyDescent="0.3">
      <c r="A289" t="str">
        <v>Ziano Schoenmaekers</v>
      </c>
      <c r="B289" t="str">
        <v>pedro.schoenmaekers@hotmail.com</v>
      </c>
      <c r="C289" t="str">
        <v>+32476935877</v>
      </c>
      <c r="D289" t="str">
        <v>https://app.twizzit.com/public/photos/2650796/s/806ce17769fd3d29fc435d865a5b302b6c25c6ca.png</v>
      </c>
      <c r="E289" s="2">
        <v>743241</v>
      </c>
      <c r="F289" t="str">
        <v>J18 B Haantjes CERTIFISC Oudenaarde</v>
      </c>
      <c r="G289" t="str">
        <v>Speler</v>
      </c>
      <c r="J289" t="str">
        <f>Worksheet!C289&amp;" "&amp;Worksheet!B289</f>
        <v>Laurens Donev</v>
      </c>
      <c r="K289" t="str">
        <f>Worksheet!AM289</f>
        <v/>
      </c>
      <c r="L289" t="str">
        <f>Worksheet!AN289</f>
        <v>+32497937319</v>
      </c>
      <c r="M289" t="str">
        <f>IF(Worksheet!AE289="","",Worksheet!AE289)</f>
        <v/>
      </c>
      <c r="N289">
        <f>IF(Worksheet!AG289="","",Worksheet!AG289)</f>
        <v>660243</v>
      </c>
      <c r="O289" t="str">
        <f>IF(Worksheet!AJ289="","",Worksheet!AJ289)</f>
        <v/>
      </c>
      <c r="P289" t="str">
        <f>IF(Worksheet!AK289="","",Worksheet!AK289)</f>
        <v/>
      </c>
    </row>
    <row r="290" spans="1:16" x14ac:dyDescent="0.3">
      <c r="A290" t="str">
        <v>Ziano Schoenmaekers</v>
      </c>
      <c r="B290" t="str">
        <v>pedro.schoenmaekers@hotmail.com</v>
      </c>
      <c r="C290" t="str">
        <v>+32476935877</v>
      </c>
      <c r="D290" t="str">
        <v>https://app.twizzit.com/public/photos/2650796/s/806ce17769fd3d29fc435d865a5b302b6c25c6ca.png</v>
      </c>
      <c r="E290" s="2">
        <v>743241</v>
      </c>
      <c r="F290" t="str">
        <v>Zomerstage 2026 (Blankenberge)</v>
      </c>
      <c r="G290" t="str">
        <v>Speler</v>
      </c>
      <c r="J290" t="str">
        <f>Worksheet!C290&amp;" "&amp;Worksheet!B290</f>
        <v>Stella Doom</v>
      </c>
      <c r="K290" t="str">
        <f>Worksheet!AM290</f>
        <v/>
      </c>
      <c r="L290" t="str">
        <f>Worksheet!AN290</f>
        <v>+32474339019</v>
      </c>
      <c r="M290" t="str">
        <f>IF(Worksheet!AE290="","",Worksheet!AE290)</f>
        <v>https://app.twizzit.com/public/photos/2934216/s/45c04c91f177e5e2573823a0565e40b71992ab87.png</v>
      </c>
      <c r="N290">
        <f>IF(Worksheet!AG290="","",Worksheet!AG290)</f>
        <v>732388</v>
      </c>
      <c r="O290" t="str">
        <f>IF(Worksheet!AJ290="","",Worksheet!AJ290)</f>
        <v/>
      </c>
      <c r="P290" t="str">
        <f>IF(Worksheet!AK290="","",Worksheet!AK290)</f>
        <v/>
      </c>
    </row>
    <row r="291" spans="1:16" x14ac:dyDescent="0.3">
      <c r="A291" t="str">
        <v>Alba Slembrouck</v>
      </c>
      <c r="B291" t="str">
        <v>alexandra-kemp@hotmail.com</v>
      </c>
      <c r="C291" t="str">
        <v>+32472902002</v>
      </c>
      <c r="D291" t="str">
        <v/>
      </c>
      <c r="E291" s="2" t="str">
        <v/>
      </c>
      <c r="F291" t="str">
        <v>Balschool U6</v>
      </c>
      <c r="G291" t="str">
        <v>Speler</v>
      </c>
      <c r="J291" t="str">
        <f>Worksheet!C291&amp;" "&amp;Worksheet!B291</f>
        <v>Cérile Doublet</v>
      </c>
      <c r="K291" t="str">
        <f>Worksheet!AM291</f>
        <v>doubletbenoit@msn.com</v>
      </c>
      <c r="L291" t="str">
        <f>Worksheet!AN291</f>
        <v>+32472578222</v>
      </c>
      <c r="M291" t="str">
        <f>IF(Worksheet!AE291="","",Worksheet!AE291)</f>
        <v/>
      </c>
      <c r="N291" t="str">
        <f>IF(Worksheet!AG291="","",Worksheet!AG291)</f>
        <v/>
      </c>
      <c r="O291" t="str">
        <f>IF(Worksheet!AJ291="","",Worksheet!AJ291)</f>
        <v>Balschool U6</v>
      </c>
      <c r="P291" t="str">
        <f>IF(Worksheet!AK291="","",Worksheet!AK291)</f>
        <v>Speler</v>
      </c>
    </row>
    <row r="292" spans="1:16" x14ac:dyDescent="0.3">
      <c r="A292" t="str">
        <v>Romée Slembrouck</v>
      </c>
      <c r="B292" t="str">
        <v>alexandra-kemp@hotmail.com</v>
      </c>
      <c r="C292" t="str">
        <v>+32472902002</v>
      </c>
      <c r="D292" t="str">
        <v>https://app.twizzit.com/public/photos/7328316/s/d832d97a4d222f65f11eb5051494f0f7bb0f899d.png</v>
      </c>
      <c r="E292" s="2" t="str">
        <v/>
      </c>
      <c r="F292" t="str">
        <v>G08 Groen HAANTJES CERTIFISC OUDENAARDE</v>
      </c>
      <c r="G292" t="str">
        <v>Speler</v>
      </c>
      <c r="J292" t="str">
        <f>Worksheet!C292&amp;" "&amp;Worksheet!B292</f>
        <v>Romain Doublet</v>
      </c>
      <c r="K292" t="str">
        <f>Worksheet!AM292</f>
        <v>doubletbenoit@msn.com</v>
      </c>
      <c r="L292" t="str">
        <f>Worksheet!AN292</f>
        <v>+32472578222</v>
      </c>
      <c r="M292" t="str">
        <f>IF(Worksheet!AE292="","",Worksheet!AE292)</f>
        <v>https://app.twizzit.com/public/photos/7664262/s/02fc4b8f066baecdefdf5af95e2fcf6d6b1f0215.jpeg</v>
      </c>
      <c r="N292" t="str">
        <f>IF(Worksheet!AG292="","",Worksheet!AG292)</f>
        <v/>
      </c>
      <c r="O292" t="str">
        <f>IF(Worksheet!AJ292="","",Worksheet!AJ292)</f>
        <v/>
      </c>
      <c r="P292" t="str">
        <f>IF(Worksheet!AK292="","",Worksheet!AK292)</f>
        <v/>
      </c>
    </row>
    <row r="293" spans="1:16" x14ac:dyDescent="0.3">
      <c r="A293" t="str">
        <v>Robin Spaens</v>
      </c>
      <c r="B293" t="str">
        <v/>
      </c>
      <c r="C293" t="str">
        <v>+32476359988</v>
      </c>
      <c r="D293" t="str">
        <v/>
      </c>
      <c r="E293" s="2">
        <v>234515</v>
      </c>
      <c r="F293" t="str">
        <v>HSE A Haantjes Certifisc Oudenaarde</v>
      </c>
      <c r="G293" t="str">
        <v>Speler</v>
      </c>
      <c r="J293" t="str">
        <f>Worksheet!C293&amp;" "&amp;Worksheet!B293</f>
        <v>Dieter Dujardin</v>
      </c>
      <c r="K293" t="str">
        <f>Worksheet!AM293</f>
        <v/>
      </c>
      <c r="L293" t="str">
        <f>Worksheet!AN293</f>
        <v/>
      </c>
      <c r="M293" t="str">
        <f>IF(Worksheet!AE293="","",Worksheet!AE293)</f>
        <v/>
      </c>
      <c r="N293" t="str">
        <f>IF(Worksheet!AG293="","",Worksheet!AG293)</f>
        <v/>
      </c>
      <c r="O293" t="str">
        <f>IF(Worksheet!AJ293="","",Worksheet!AJ293)</f>
        <v/>
      </c>
      <c r="P293" t="str">
        <f>IF(Worksheet!AK293="","",Worksheet!AK293)</f>
        <v/>
      </c>
    </row>
    <row r="294" spans="1:16" x14ac:dyDescent="0.3">
      <c r="A294" t="str">
        <v>Merel Spiessens</v>
      </c>
      <c r="B294" t="str">
        <v>Me@opcd.net</v>
      </c>
      <c r="C294" t="str">
        <v>+32474655154</v>
      </c>
      <c r="D294" t="str">
        <v>https://app.twizzit.com/public/photos/2183207/s/cd9fd40cf38cd1eb62df0198f102c2154c08c604.jpeg</v>
      </c>
      <c r="E294" s="2">
        <v>721093</v>
      </c>
      <c r="F294" t="str">
        <v>Zomerstage 2026 (Blankenberge)</v>
      </c>
      <c r="G294" t="str">
        <v>Speler</v>
      </c>
      <c r="J294" t="str">
        <f>Worksheet!C294&amp;" "&amp;Worksheet!B294</f>
        <v>Emmanuel Dull</v>
      </c>
      <c r="K294" t="str">
        <f>Worksheet!AM294</f>
        <v/>
      </c>
      <c r="L294" t="str">
        <f>Worksheet!AN294</f>
        <v>+32472172783</v>
      </c>
      <c r="M294" t="str">
        <f>IF(Worksheet!AE294="","",Worksheet!AE294)</f>
        <v/>
      </c>
      <c r="N294" t="str">
        <f>IF(Worksheet!AG294="","",Worksheet!AG294)</f>
        <v/>
      </c>
      <c r="O294" t="str">
        <f>IF(Worksheet!AJ294="","",Worksheet!AJ294)</f>
        <v>J16 B Haantjes CERTIFISC Oudenaarde</v>
      </c>
      <c r="P294" t="str">
        <f>IF(Worksheet!AK294="","",Worksheet!AK294)</f>
        <v>Speler</v>
      </c>
    </row>
    <row r="295" spans="1:16" x14ac:dyDescent="0.3">
      <c r="A295" t="str">
        <v>Merel Spiessens</v>
      </c>
      <c r="B295" t="str">
        <v>Me@opcd.net</v>
      </c>
      <c r="C295" t="str">
        <v>+32474655154</v>
      </c>
      <c r="D295" t="str">
        <v>https://app.twizzit.com/public/photos/2183207/s/cd9fd40cf38cd1eb62df0198f102c2154c08c604.jpeg</v>
      </c>
      <c r="E295" s="2">
        <v>721093</v>
      </c>
      <c r="F295" t="str">
        <v>M14 A Haantjes CERTIFISC  Oudenaarde</v>
      </c>
      <c r="G295" t="str">
        <v>Speler</v>
      </c>
      <c r="J295" t="str">
        <f>Worksheet!C295&amp;" "&amp;Worksheet!B295</f>
        <v>Craig Dupont</v>
      </c>
      <c r="K295" t="str">
        <f>Worksheet!AM295</f>
        <v/>
      </c>
      <c r="L295" t="str">
        <f>Worksheet!AN295</f>
        <v/>
      </c>
      <c r="M295" t="str">
        <f>IF(Worksheet!AE295="","",Worksheet!AE295)</f>
        <v/>
      </c>
      <c r="N295">
        <f>IF(Worksheet!AG295="","",Worksheet!AG295)</f>
        <v>644666</v>
      </c>
      <c r="O295" t="str">
        <f>IF(Worksheet!AJ295="","",Worksheet!AJ295)</f>
        <v/>
      </c>
      <c r="P295" t="str">
        <f>IF(Worksheet!AK295="","",Worksheet!AK295)</f>
        <v/>
      </c>
    </row>
    <row r="296" spans="1:16" x14ac:dyDescent="0.3">
      <c r="A296" t="str">
        <v>Magalie Stevens</v>
      </c>
      <c r="B296" t="str">
        <v>safadorote3@gmail.com</v>
      </c>
      <c r="C296" t="str">
        <v>+32477968913</v>
      </c>
      <c r="D296" t="str">
        <v/>
      </c>
      <c r="E296" s="2" t="str">
        <v/>
      </c>
      <c r="F296" t="str">
        <v>M10 HAANTJES CERTIFISC OUDENAARDE</v>
      </c>
      <c r="G296" t="str">
        <v>Speler</v>
      </c>
      <c r="J296" t="str">
        <f>Worksheet!C296&amp;" "&amp;Worksheet!B296</f>
        <v>Gust Dupont</v>
      </c>
      <c r="K296" t="str">
        <f>Worksheet!AM296</f>
        <v>sarah.verhellen@hotmail.com</v>
      </c>
      <c r="L296" t="str">
        <f>Worksheet!AN296</f>
        <v>+32470112368</v>
      </c>
      <c r="M296" t="str">
        <f>IF(Worksheet!AE296="","",Worksheet!AE296)</f>
        <v/>
      </c>
      <c r="N296" t="str">
        <f>IF(Worksheet!AG296="","",Worksheet!AG296)</f>
        <v/>
      </c>
      <c r="O296" t="str">
        <f>IF(Worksheet!AJ296="","",Worksheet!AJ296)</f>
        <v>G08 Geel HAANTJES CERTIFISC OUDENAARDE</v>
      </c>
      <c r="P296" t="str">
        <f>IF(Worksheet!AK296="","",Worksheet!AK296)</f>
        <v>Speler</v>
      </c>
    </row>
    <row r="297" spans="1:16" x14ac:dyDescent="0.3">
      <c r="A297" t="str">
        <v>Magalie Stevens</v>
      </c>
      <c r="B297" t="str">
        <v>safadorote3@gmail.com</v>
      </c>
      <c r="C297" t="str">
        <v>+32477968913</v>
      </c>
      <c r="D297" t="str">
        <v/>
      </c>
      <c r="E297" s="2" t="str">
        <v/>
      </c>
      <c r="F297" t="str">
        <v>Zomerstage 2026 U10 &amp; U12 (Oudenaarde)</v>
      </c>
      <c r="G297" t="str">
        <v>Speler</v>
      </c>
      <c r="J297" t="str">
        <f>Worksheet!C297&amp;" "&amp;Worksheet!B297</f>
        <v>Tanguy Duran</v>
      </c>
      <c r="K297" t="str">
        <f>Worksheet!AM297</f>
        <v/>
      </c>
      <c r="L297" t="str">
        <f>Worksheet!AN297</f>
        <v>+32477784746</v>
      </c>
      <c r="M297" t="str">
        <f>IF(Worksheet!AE297="","",Worksheet!AE297)</f>
        <v/>
      </c>
      <c r="N297">
        <f>IF(Worksheet!AG297="","",Worksheet!AG297)</f>
        <v>708296</v>
      </c>
      <c r="O297" t="str">
        <f>IF(Worksheet!AJ297="","",Worksheet!AJ297)</f>
        <v/>
      </c>
      <c r="P297" t="str">
        <f>IF(Worksheet!AK297="","",Worksheet!AK297)</f>
        <v/>
      </c>
    </row>
    <row r="298" spans="1:16" x14ac:dyDescent="0.3">
      <c r="A298" t="str">
        <v>Maiga Stevens</v>
      </c>
      <c r="B298" t="str">
        <v>safadorote3@gmail.com</v>
      </c>
      <c r="C298" t="str">
        <v>+32477968913</v>
      </c>
      <c r="D298" t="str">
        <v/>
      </c>
      <c r="E298" s="2" t="str">
        <v/>
      </c>
      <c r="F298" t="str">
        <v>M10 HAANTJES CERTIFISC OUDENAARDE</v>
      </c>
      <c r="G298" t="str">
        <v>Speler</v>
      </c>
      <c r="J298" t="str">
        <f>Worksheet!C298&amp;" "&amp;Worksheet!B298</f>
        <v>Egemen Durhan</v>
      </c>
      <c r="K298" t="str">
        <f>Worksheet!AM298</f>
        <v>ibosabrie06@gmail.com</v>
      </c>
      <c r="L298" t="str">
        <f>Worksheet!AN298</f>
        <v>+32491630885</v>
      </c>
      <c r="M298" t="str">
        <f>IF(Worksheet!AE298="","",Worksheet!AE298)</f>
        <v>https://app.twizzit.com/public/photos/5748750/s/6a03612f72e189fb2a542ac535552aede78aad3f.png</v>
      </c>
      <c r="N298" t="str">
        <f>IF(Worksheet!AG298="","",Worksheet!AG298)</f>
        <v/>
      </c>
      <c r="O298" t="str">
        <f>IF(Worksheet!AJ298="","",Worksheet!AJ298)</f>
        <v>G10 Blauw HAANTJES CERTIFISC OUDENAARDE</v>
      </c>
      <c r="P298" t="str">
        <f>IF(Worksheet!AK298="","",Worksheet!AK298)</f>
        <v>Speler</v>
      </c>
    </row>
    <row r="299" spans="1:16" x14ac:dyDescent="0.3">
      <c r="A299" t="str">
        <v>Maiga Stevens</v>
      </c>
      <c r="B299" t="str">
        <v>safadorote3@gmail.com</v>
      </c>
      <c r="C299" t="str">
        <v>+32477968913</v>
      </c>
      <c r="D299" t="str">
        <v/>
      </c>
      <c r="E299" s="2" t="str">
        <v/>
      </c>
      <c r="F299" t="str">
        <v>Zomerstage 2026 U10 &amp; U12 (Oudenaarde)</v>
      </c>
      <c r="G299" t="str">
        <v>Speler</v>
      </c>
      <c r="J299" t="str">
        <f>Worksheet!C299&amp;" "&amp;Worksheet!B299</f>
        <v>Stijn Duyck</v>
      </c>
      <c r="K299" t="str">
        <f>Worksheet!AM299</f>
        <v/>
      </c>
      <c r="L299" t="str">
        <f>Worksheet!AN299</f>
        <v>+32479762435</v>
      </c>
      <c r="M299" t="str">
        <f>IF(Worksheet!AE299="","",Worksheet!AE299)</f>
        <v/>
      </c>
      <c r="N299" t="str">
        <f>IF(Worksheet!AG299="","",Worksheet!AG299)</f>
        <v/>
      </c>
      <c r="O299" t="str">
        <f>IF(Worksheet!AJ299="","",Worksheet!AJ299)</f>
        <v/>
      </c>
      <c r="P299" t="str">
        <f>IF(Worksheet!AK299="","",Worksheet!AK299)</f>
        <v/>
      </c>
    </row>
    <row r="300" spans="1:16" x14ac:dyDescent="0.3">
      <c r="A300" t="str">
        <v>Jules Ternoot</v>
      </c>
      <c r="B300" t="str">
        <v/>
      </c>
      <c r="C300" t="str">
        <v>+32468539021</v>
      </c>
      <c r="D300" t="str">
        <v>https://app.twizzit.com/public/photos/9499964/s/ff5f984b647838e4bd7563b356e5c206230b1763.jpeg</v>
      </c>
      <c r="E300" s="2">
        <v>743553</v>
      </c>
      <c r="F300" t="str">
        <v>G14 A Haantjes CERTIFISC Oudenaarde</v>
      </c>
      <c r="G300" t="str">
        <v>Speler</v>
      </c>
      <c r="J300" t="str">
        <f>Worksheet!C300&amp;" "&amp;Worksheet!B300</f>
        <v>Rayan El Hajli</v>
      </c>
      <c r="K300" t="str">
        <f>Worksheet!AM300</f>
        <v/>
      </c>
      <c r="L300" t="str">
        <f>Worksheet!AN300</f>
        <v/>
      </c>
      <c r="M300" t="str">
        <f>IF(Worksheet!AE300="","",Worksheet!AE300)</f>
        <v/>
      </c>
      <c r="N300" t="str">
        <f>IF(Worksheet!AG300="","",Worksheet!AG300)</f>
        <v/>
      </c>
      <c r="O300" t="str">
        <f>IF(Worksheet!AJ300="","",Worksheet!AJ300)</f>
        <v/>
      </c>
      <c r="P300" t="str">
        <f>IF(Worksheet!AK300="","",Worksheet!AK300)</f>
        <v/>
      </c>
    </row>
    <row r="301" spans="1:16" x14ac:dyDescent="0.3">
      <c r="A301" t="str">
        <v>Jules Ternoot</v>
      </c>
      <c r="B301" t="str">
        <v/>
      </c>
      <c r="C301" t="str">
        <v>+32468539021</v>
      </c>
      <c r="D301" t="str">
        <v>https://app.twizzit.com/public/photos/9499964/s/ff5f984b647838e4bd7563b356e5c206230b1763.jpeg</v>
      </c>
      <c r="E301" s="2">
        <v>743553</v>
      </c>
      <c r="F301" t="str">
        <v>Zomerstage 2026 (Blankenberge)</v>
      </c>
      <c r="G301" t="str">
        <v>Speler</v>
      </c>
      <c r="J301" t="str">
        <f>Worksheet!C301&amp;" "&amp;Worksheet!B301</f>
        <v>Yassin El Malt</v>
      </c>
      <c r="K301" t="str">
        <f>Worksheet!AM301</f>
        <v>elmaltyassin@gmail.com</v>
      </c>
      <c r="L301" t="str">
        <f>Worksheet!AN301</f>
        <v>+32477256935</v>
      </c>
      <c r="M301" t="str">
        <f>IF(Worksheet!AE301="","",Worksheet!AE301)</f>
        <v/>
      </c>
      <c r="N301">
        <f>IF(Worksheet!AG301="","",Worksheet!AG301)</f>
        <v>752538</v>
      </c>
      <c r="O301" t="str">
        <f>IF(Worksheet!AJ301="","",Worksheet!AJ301)</f>
        <v/>
      </c>
      <c r="P301" t="str">
        <f>IF(Worksheet!AK301="","",Worksheet!AK301)</f>
        <v/>
      </c>
    </row>
    <row r="302" spans="1:16" x14ac:dyDescent="0.3">
      <c r="A302" t="str">
        <v>Maro Thas</v>
      </c>
      <c r="B302" t="str">
        <v/>
      </c>
      <c r="C302" t="str">
        <v>+32472433051</v>
      </c>
      <c r="D302" t="str">
        <v>https://app.twizzit.com/public/photos/3451572/s/f7bd7e0dc5dd014e64108bf9fe43059bbb6a9a41.png</v>
      </c>
      <c r="E302" s="2" t="str">
        <v/>
      </c>
      <c r="F302" t="str">
        <v>J16 B Haantjes CERTIFISC Oudenaarde</v>
      </c>
      <c r="G302" t="str">
        <v>Speler</v>
      </c>
      <c r="J302" t="str">
        <f>Worksheet!C302&amp;" "&amp;Worksheet!B302</f>
        <v>Rawi El-Batouli</v>
      </c>
      <c r="K302" t="str">
        <f>Worksheet!AM302</f>
        <v/>
      </c>
      <c r="L302" t="str">
        <f>Worksheet!AN302</f>
        <v>+32472041772</v>
      </c>
      <c r="M302" t="str">
        <f>IF(Worksheet!AE302="","",Worksheet!AE302)</f>
        <v/>
      </c>
      <c r="N302">
        <f>IF(Worksheet!AG302="","",Worksheet!AG302)</f>
        <v>725719</v>
      </c>
      <c r="O302" t="str">
        <f>IF(Worksheet!AJ302="","",Worksheet!AJ302)</f>
        <v/>
      </c>
      <c r="P302" t="str">
        <f>IF(Worksheet!AK302="","",Worksheet!AK302)</f>
        <v/>
      </c>
    </row>
    <row r="303" spans="1:16" x14ac:dyDescent="0.3">
      <c r="A303" t="str">
        <v>Juul Torrekens</v>
      </c>
      <c r="B303" t="str">
        <v/>
      </c>
      <c r="C303" t="str">
        <v>+32491736700</v>
      </c>
      <c r="D303" t="str">
        <v>https://app.twizzit.com/public/photos/10452742/s/6c5cf54cdc2121df9ea81aa430b2b5f8abe2c81a.jpeg</v>
      </c>
      <c r="E303" s="2" t="str">
        <v/>
      </c>
      <c r="F303" t="str">
        <v>G08 Groen HAANTJES CERTIFISC OUDENAARDE</v>
      </c>
      <c r="G303" t="str">
        <v>Speler</v>
      </c>
      <c r="J303" t="str">
        <f>Worksheet!C303&amp;" "&amp;Worksheet!B303</f>
        <v>Cas Elyn</v>
      </c>
      <c r="K303" t="str">
        <f>Worksheet!AM303</f>
        <v>lievemoyaert@icloud.com</v>
      </c>
      <c r="L303" t="str">
        <f>Worksheet!AN303</f>
        <v>+32495653737</v>
      </c>
      <c r="M303" t="str">
        <f>IF(Worksheet!AE303="","",Worksheet!AE303)</f>
        <v/>
      </c>
      <c r="N303" t="str">
        <f>IF(Worksheet!AG303="","",Worksheet!AG303)</f>
        <v/>
      </c>
      <c r="O303" t="str">
        <f>IF(Worksheet!AJ303="","",Worksheet!AJ303)</f>
        <v>Balschool U6</v>
      </c>
      <c r="P303" t="str">
        <f>IF(Worksheet!AK303="","",Worksheet!AK303)</f>
        <v>Speler</v>
      </c>
    </row>
    <row r="304" spans="1:16" x14ac:dyDescent="0.3">
      <c r="A304" t="str">
        <v>Mattis Van Assche</v>
      </c>
      <c r="B304" t="str">
        <v/>
      </c>
      <c r="C304" t="str">
        <v>+32451022949</v>
      </c>
      <c r="D304" t="str">
        <v>https://app.twizzit.com/public/photos/2183242/s/024b94ee0589d7797c4da7bd2e98266bcdb2677a.png</v>
      </c>
      <c r="E304" s="2">
        <v>729846</v>
      </c>
      <c r="F304" t="str">
        <v>G14 A Haantjes CERTIFISC Oudenaarde</v>
      </c>
      <c r="G304" t="str">
        <v>Speler</v>
      </c>
      <c r="J304" t="str">
        <f>Worksheet!C304&amp;" "&amp;Worksheet!B304</f>
        <v>Charlotte Elyn</v>
      </c>
      <c r="K304" t="str">
        <f>Worksheet!AM304</f>
        <v/>
      </c>
      <c r="L304" t="str">
        <f>Worksheet!AN304</f>
        <v>+32495653737</v>
      </c>
      <c r="M304" t="str">
        <f>IF(Worksheet!AE304="","",Worksheet!AE304)</f>
        <v/>
      </c>
      <c r="N304">
        <f>IF(Worksheet!AG304="","",Worksheet!AG304)</f>
        <v>267006</v>
      </c>
      <c r="O304" t="str">
        <f>IF(Worksheet!AJ304="","",Worksheet!AJ304)</f>
        <v/>
      </c>
      <c r="P304" t="str">
        <f>IF(Worksheet!AK304="","",Worksheet!AK304)</f>
        <v/>
      </c>
    </row>
    <row r="305" spans="1:16" x14ac:dyDescent="0.3">
      <c r="A305" t="str">
        <v>Mattis Van Assche</v>
      </c>
      <c r="B305" t="str">
        <v/>
      </c>
      <c r="C305" t="str">
        <v>+32451022949</v>
      </c>
      <c r="D305" t="str">
        <v>https://app.twizzit.com/public/photos/2183242/s/024b94ee0589d7797c4da7bd2e98266bcdb2677a.png</v>
      </c>
      <c r="E305" s="2">
        <v>729846</v>
      </c>
      <c r="F305" t="str">
        <v>Zomerstage 2026 (Blankenberge)</v>
      </c>
      <c r="G305" t="str">
        <v>Speler</v>
      </c>
      <c r="J305" t="str">
        <f>Worksheet!C305&amp;" "&amp;Worksheet!B305</f>
        <v>Jorunn Elyn</v>
      </c>
      <c r="K305" t="str">
        <f>Worksheet!AM305</f>
        <v/>
      </c>
      <c r="L305" t="str">
        <f>Worksheet!AN305</f>
        <v/>
      </c>
      <c r="M305" t="str">
        <f>IF(Worksheet!AE305="","",Worksheet!AE305)</f>
        <v/>
      </c>
      <c r="N305">
        <f>IF(Worksheet!AG305="","",Worksheet!AG305)</f>
        <v>742390</v>
      </c>
      <c r="O305" t="str">
        <f>IF(Worksheet!AJ305="","",Worksheet!AJ305)</f>
        <v/>
      </c>
      <c r="P305" t="str">
        <f>IF(Worksheet!AK305="","",Worksheet!AK305)</f>
        <v/>
      </c>
    </row>
    <row r="306" spans="1:16" x14ac:dyDescent="0.3">
      <c r="A306" t="str">
        <v>Anoek Van Caeneghem</v>
      </c>
      <c r="B306" t="str">
        <v/>
      </c>
      <c r="C306" t="str">
        <v>+32498086024</v>
      </c>
      <c r="D306" t="str">
        <v>https://app.twizzit.com/public/photos/11917018/s/e098521fbafba2a80a9ddb8d7c06f83cdbae52a9.png</v>
      </c>
      <c r="E306" s="2" t="str">
        <v/>
      </c>
      <c r="F306" t="str">
        <v>J16 A Haantjes CERTIFISC Oudenaarde</v>
      </c>
      <c r="G306" t="str">
        <v>Coach</v>
      </c>
      <c r="J306" t="str">
        <f>Worksheet!C306&amp;" "&amp;Worksheet!B306</f>
        <v>Laurence Elyn</v>
      </c>
      <c r="K306" t="str">
        <f>Worksheet!AM306</f>
        <v/>
      </c>
      <c r="L306" t="str">
        <f>Worksheet!AN306</f>
        <v>+32472595888</v>
      </c>
      <c r="M306" t="str">
        <f>IF(Worksheet!AE306="","",Worksheet!AE306)</f>
        <v/>
      </c>
      <c r="N306">
        <f>IF(Worksheet!AG306="","",Worksheet!AG306)</f>
        <v>258653</v>
      </c>
      <c r="O306" t="str">
        <f>IF(Worksheet!AJ306="","",Worksheet!AJ306)</f>
        <v/>
      </c>
      <c r="P306" t="str">
        <f>IF(Worksheet!AK306="","",Worksheet!AK306)</f>
        <v/>
      </c>
    </row>
    <row r="307" spans="1:16" x14ac:dyDescent="0.3">
      <c r="A307" t="str">
        <v>Aster Van Cauwenberghe</v>
      </c>
      <c r="B307" t="str">
        <v/>
      </c>
      <c r="C307" t="str">
        <v>+32476529185</v>
      </c>
      <c r="D307" t="str">
        <v>https://app.twizzit.com/public/photos/6080950/s/e37d4499e2422d263ca72ca5adc1adb614aa1f40.jpeg</v>
      </c>
      <c r="E307" s="2">
        <v>768928</v>
      </c>
      <c r="F307" t="str">
        <v>G08 Blauw HAANTJES CERTIFISC OUDENAARDE</v>
      </c>
      <c r="G307" t="str">
        <v>Speler</v>
      </c>
      <c r="J307" t="str">
        <f>Worksheet!C307&amp;" "&amp;Worksheet!B307</f>
        <v>Manou Elyn</v>
      </c>
      <c r="K307" t="str">
        <f>Worksheet!AM307</f>
        <v/>
      </c>
      <c r="L307" t="str">
        <f>Worksheet!AN307</f>
        <v/>
      </c>
      <c r="M307" t="str">
        <f>IF(Worksheet!AE307="","",Worksheet!AE307)</f>
        <v/>
      </c>
      <c r="N307">
        <f>IF(Worksheet!AG307="","",Worksheet!AG307)</f>
        <v>742391</v>
      </c>
      <c r="O307" t="str">
        <f>IF(Worksheet!AJ307="","",Worksheet!AJ307)</f>
        <v/>
      </c>
      <c r="P307" t="str">
        <f>IF(Worksheet!AK307="","",Worksheet!AK307)</f>
        <v/>
      </c>
    </row>
    <row r="308" spans="1:16" x14ac:dyDescent="0.3">
      <c r="A308" t="str">
        <v>Manu Van de Casteele</v>
      </c>
      <c r="B308" t="str">
        <v>pietervdc@gmail.com</v>
      </c>
      <c r="C308" t="str">
        <v>+32472846382</v>
      </c>
      <c r="D308" t="str">
        <v/>
      </c>
      <c r="E308" s="2" t="str">
        <v/>
      </c>
      <c r="F308" t="str">
        <v>G10 Blauw HAANTJES CERTIFISC OUDENAARDE</v>
      </c>
      <c r="G308" t="str">
        <v>Speler</v>
      </c>
      <c r="J308" t="str">
        <f>Worksheet!C308&amp;" "&amp;Worksheet!B308</f>
        <v>Miel Elyn</v>
      </c>
      <c r="K308" t="str">
        <f>Worksheet!AM308</f>
        <v>Lievemoyaert@icloud.com</v>
      </c>
      <c r="L308" t="str">
        <f>Worksheet!AN308</f>
        <v/>
      </c>
      <c r="M308" t="str">
        <f>IF(Worksheet!AE308="","",Worksheet!AE308)</f>
        <v/>
      </c>
      <c r="N308" t="str">
        <f>IF(Worksheet!AG308="","",Worksheet!AG308)</f>
        <v/>
      </c>
      <c r="O308" t="str">
        <f>IF(Worksheet!AJ308="","",Worksheet!AJ308)</f>
        <v>G10 Geel HAANTJES CERTIFISC OUDENAARDE</v>
      </c>
      <c r="P308" t="str">
        <f>IF(Worksheet!AK308="","",Worksheet!AK308)</f>
        <v>Speler</v>
      </c>
    </row>
    <row r="309" spans="1:16" x14ac:dyDescent="0.3">
      <c r="A309" t="str">
        <v>Lander Van De Maele</v>
      </c>
      <c r="B309" t="str">
        <v>jensvdmaele@gmail.com</v>
      </c>
      <c r="C309" t="str">
        <v>+32479246218</v>
      </c>
      <c r="D309" t="str">
        <v>https://app.twizzit.com/public/photos/10715682/s/9ac40a7d3bcb76b36d9290dcb9c3bcdc167e2add.jpeg</v>
      </c>
      <c r="E309" s="2" t="str">
        <v/>
      </c>
      <c r="F309" t="str">
        <v>G08 Blauw HAANTJES CERTIFISC OUDENAARDE</v>
      </c>
      <c r="G309" t="str">
        <v>Speler</v>
      </c>
      <c r="J309" t="str">
        <f>Worksheet!C309&amp;" "&amp;Worksheet!B309</f>
        <v>Miel Elyn</v>
      </c>
      <c r="K309" t="str">
        <f>Worksheet!AM309</f>
        <v>Lievemoyaert@icloud.com</v>
      </c>
      <c r="L309" t="str">
        <f>Worksheet!AN309</f>
        <v/>
      </c>
      <c r="M309" t="str">
        <f>IF(Worksheet!AE309="","",Worksheet!AE309)</f>
        <v/>
      </c>
      <c r="N309" t="str">
        <f>IF(Worksheet!AG309="","",Worksheet!AG309)</f>
        <v/>
      </c>
      <c r="O309" t="str">
        <f>IF(Worksheet!AJ309="","",Worksheet!AJ309)</f>
        <v>Zomerstage 2026 U10 &amp; U12 (Oudenaarde)</v>
      </c>
      <c r="P309" t="str">
        <f>IF(Worksheet!AK309="","",Worksheet!AK309)</f>
        <v>Speler</v>
      </c>
    </row>
    <row r="310" spans="1:16" x14ac:dyDescent="0.3">
      <c r="A310" t="str">
        <v>Lander Van De Maele</v>
      </c>
      <c r="B310" t="str">
        <v>jensvdmaele@gmail.com</v>
      </c>
      <c r="C310" t="str">
        <v>+32479246218</v>
      </c>
      <c r="D310" t="str">
        <v>https://app.twizzit.com/public/photos/10715682/s/9ac40a7d3bcb76b36d9290dcb9c3bcdc167e2add.jpeg</v>
      </c>
      <c r="E310" s="2" t="str">
        <v/>
      </c>
      <c r="F310" t="str">
        <v>Zomerstage 2026 U8 (Oudenaarde)</v>
      </c>
      <c r="G310" t="str">
        <v>Speler</v>
      </c>
      <c r="J310" t="str">
        <f>Worksheet!C310&amp;" "&amp;Worksheet!B310</f>
        <v>Robin Elyn</v>
      </c>
      <c r="K310" t="str">
        <f>Worksheet!AM310</f>
        <v>lievemoyaert@icloud.com</v>
      </c>
      <c r="L310" t="str">
        <f>Worksheet!AN310</f>
        <v>+32495653737</v>
      </c>
      <c r="M310" t="str">
        <f>IF(Worksheet!AE310="","",Worksheet!AE310)</f>
        <v/>
      </c>
      <c r="N310" t="str">
        <f>IF(Worksheet!AG310="","",Worksheet!AG310)</f>
        <v/>
      </c>
      <c r="O310" t="str">
        <f>IF(Worksheet!AJ310="","",Worksheet!AJ310)</f>
        <v>G08 Geel HAANTJES CERTIFISC OUDENAARDE</v>
      </c>
      <c r="P310" t="str">
        <f>IF(Worksheet!AK310="","",Worksheet!AK310)</f>
        <v>Speler</v>
      </c>
    </row>
    <row r="311" spans="1:16" x14ac:dyDescent="0.3">
      <c r="A311" t="str">
        <v>Loes Van de Populiere</v>
      </c>
      <c r="B311" t="str">
        <v>biekemoone@hotmail.com</v>
      </c>
      <c r="C311" t="str">
        <v>+32477353878</v>
      </c>
      <c r="D311" t="str">
        <v/>
      </c>
      <c r="E311" s="2" t="str">
        <v/>
      </c>
      <c r="F311" t="str">
        <v>M12 A HAANTJES CERTIFISC OUDENAARDE</v>
      </c>
      <c r="G311" t="str">
        <v>Speler</v>
      </c>
      <c r="J311" t="str">
        <f>Worksheet!C311&amp;" "&amp;Worksheet!B311</f>
        <v>Evi Engels</v>
      </c>
      <c r="K311" t="str">
        <f>Worksheet!AM311</f>
        <v/>
      </c>
      <c r="L311" t="str">
        <f>Worksheet!AN311</f>
        <v/>
      </c>
      <c r="M311" t="str">
        <f>IF(Worksheet!AE311="","",Worksheet!AE311)</f>
        <v/>
      </c>
      <c r="N311" t="str">
        <f>IF(Worksheet!AG311="","",Worksheet!AG311)</f>
        <v/>
      </c>
      <c r="O311" t="str">
        <f>IF(Worksheet!AJ311="","",Worksheet!AJ311)</f>
        <v/>
      </c>
      <c r="P311" t="str">
        <f>IF(Worksheet!AK311="","",Worksheet!AK311)</f>
        <v/>
      </c>
    </row>
    <row r="312" spans="1:16" x14ac:dyDescent="0.3">
      <c r="A312" t="str">
        <v>Loes Van de Populiere</v>
      </c>
      <c r="B312" t="str">
        <v>biekemoone@hotmail.com</v>
      </c>
      <c r="C312" t="str">
        <v>+32477353878</v>
      </c>
      <c r="D312" t="str">
        <v/>
      </c>
      <c r="E312" s="2" t="str">
        <v/>
      </c>
      <c r="F312" t="str">
        <v>Zomerstage 2026 (Blankenberge)</v>
      </c>
      <c r="G312" t="str">
        <v>Speler</v>
      </c>
      <c r="J312" t="str">
        <f>Worksheet!C312&amp;" "&amp;Worksheet!B312</f>
        <v>Jasper Espeel</v>
      </c>
      <c r="K312" t="str">
        <f>Worksheet!AM312</f>
        <v>jasper.espeel@gmail.com</v>
      </c>
      <c r="L312" t="str">
        <f>Worksheet!AN312</f>
        <v>+32496150874</v>
      </c>
      <c r="M312" t="str">
        <f>IF(Worksheet!AE312="","",Worksheet!AE312)</f>
        <v/>
      </c>
      <c r="N312">
        <f>IF(Worksheet!AG312="","",Worksheet!AG312)</f>
        <v>749137</v>
      </c>
      <c r="O312" t="str">
        <f>IF(Worksheet!AJ312="","",Worksheet!AJ312)</f>
        <v>J18 A Haantjes CERTIFISC Oudenaarde</v>
      </c>
      <c r="P312" t="str">
        <f>IF(Worksheet!AK312="","",Worksheet!AK312)</f>
        <v>Speler</v>
      </c>
    </row>
    <row r="313" spans="1:16" x14ac:dyDescent="0.3">
      <c r="A313" t="str">
        <v>Ilaï Van De Walle</v>
      </c>
      <c r="B313" t="str">
        <v/>
      </c>
      <c r="C313" t="str">
        <v>+32474818195</v>
      </c>
      <c r="D313" t="str">
        <v/>
      </c>
      <c r="E313" s="2" t="str">
        <v/>
      </c>
      <c r="F313" t="str">
        <v>G08 Geel HAANTJES CERTIFISC OUDENAARDE</v>
      </c>
      <c r="G313" t="str">
        <v>Speler</v>
      </c>
      <c r="J313" t="str">
        <f>Worksheet!C313&amp;" "&amp;Worksheet!B313</f>
        <v>Jasper Espeel</v>
      </c>
      <c r="K313" t="str">
        <f>Worksheet!AM313</f>
        <v>jasper.espeel@gmail.com</v>
      </c>
      <c r="L313" t="str">
        <f>Worksheet!AN313</f>
        <v>+32496150874</v>
      </c>
      <c r="M313" t="str">
        <f>IF(Worksheet!AE313="","",Worksheet!AE313)</f>
        <v/>
      </c>
      <c r="N313">
        <f>IF(Worksheet!AG313="","",Worksheet!AG313)</f>
        <v>749137</v>
      </c>
      <c r="O313" t="str">
        <f>IF(Worksheet!AJ313="","",Worksheet!AJ313)</f>
        <v/>
      </c>
      <c r="P313" t="str">
        <f>IF(Worksheet!AK313="","",Worksheet!AK313)</f>
        <v/>
      </c>
    </row>
    <row r="314" spans="1:16" x14ac:dyDescent="0.3">
      <c r="A314" t="str">
        <v>Edouard Van de Weghe</v>
      </c>
      <c r="B314" t="str">
        <v/>
      </c>
      <c r="C314" t="str">
        <v>+32479793011</v>
      </c>
      <c r="D314" t="str">
        <v/>
      </c>
      <c r="E314" s="2">
        <v>735070</v>
      </c>
      <c r="F314" t="str">
        <v>G14 A Haantjes CERTIFISC Oudenaarde</v>
      </c>
      <c r="G314" t="str">
        <v>Speler</v>
      </c>
      <c r="J314" t="str">
        <f>Worksheet!C314&amp;" "&amp;Worksheet!B314</f>
        <v>Kobe Espeel</v>
      </c>
      <c r="K314" t="str">
        <f>Worksheet!AM314</f>
        <v/>
      </c>
      <c r="L314" t="str">
        <f>Worksheet!AN314</f>
        <v>+32485070328</v>
      </c>
      <c r="M314" t="str">
        <f>IF(Worksheet!AE314="","",Worksheet!AE314)</f>
        <v/>
      </c>
      <c r="N314" t="str">
        <f>IF(Worksheet!AG314="","",Worksheet!AG314)</f>
        <v/>
      </c>
      <c r="O314" t="str">
        <f>IF(Worksheet!AJ314="","",Worksheet!AJ314)</f>
        <v>G14 A Haantjes CERTIFISC Oudenaarde</v>
      </c>
      <c r="P314" t="str">
        <f>IF(Worksheet!AK314="","",Worksheet!AK314)</f>
        <v>Speler</v>
      </c>
    </row>
    <row r="315" spans="1:16" x14ac:dyDescent="0.3">
      <c r="A315" t="str">
        <v>Edouard Van de Weghe</v>
      </c>
      <c r="B315" t="str">
        <v/>
      </c>
      <c r="C315" t="str">
        <v>+32479793011</v>
      </c>
      <c r="D315" t="str">
        <v/>
      </c>
      <c r="E315" s="2">
        <v>735070</v>
      </c>
      <c r="F315" t="str">
        <v>Zomerstage 2026 (Blankenberge)</v>
      </c>
      <c r="G315" t="str">
        <v>Speler</v>
      </c>
      <c r="J315" t="str">
        <f>Worksheet!C315&amp;" "&amp;Worksheet!B315</f>
        <v>Ukeme Essien</v>
      </c>
      <c r="K315" t="str">
        <f>Worksheet!AM315</f>
        <v/>
      </c>
      <c r="L315" t="str">
        <f>Worksheet!AN315</f>
        <v>+32493339044</v>
      </c>
      <c r="M315" t="str">
        <f>IF(Worksheet!AE315="","",Worksheet!AE315)</f>
        <v/>
      </c>
      <c r="N315">
        <f>IF(Worksheet!AG315="","",Worksheet!AG315)</f>
        <v>648536</v>
      </c>
      <c r="O315" t="str">
        <f>IF(Worksheet!AJ315="","",Worksheet!AJ315)</f>
        <v>HSE A Haantjes Certifisc Oudenaarde</v>
      </c>
      <c r="P315" t="str">
        <f>IF(Worksheet!AK315="","",Worksheet!AK315)</f>
        <v>Speler</v>
      </c>
    </row>
    <row r="316" spans="1:16" x14ac:dyDescent="0.3">
      <c r="A316" t="str">
        <v>Jerome Van de Weghe</v>
      </c>
      <c r="B316" t="str">
        <v>pieter@combus.be</v>
      </c>
      <c r="C316" t="str">
        <v>+32477473741</v>
      </c>
      <c r="D316" t="str">
        <v/>
      </c>
      <c r="E316" s="2">
        <v>758509</v>
      </c>
      <c r="F316" t="str">
        <v>Zomerstage 2026 (Blankenberge)</v>
      </c>
      <c r="G316" t="str">
        <v>Speler</v>
      </c>
      <c r="J316" t="str">
        <f>Worksheet!C316&amp;" "&amp;Worksheet!B316</f>
        <v>Fadila Ettijrini</v>
      </c>
      <c r="K316" t="str">
        <f>Worksheet!AM316</f>
        <v/>
      </c>
      <c r="L316" t="str">
        <f>Worksheet!AN316</f>
        <v>+32470221432</v>
      </c>
      <c r="M316" t="str">
        <f>IF(Worksheet!AE316="","",Worksheet!AE316)</f>
        <v/>
      </c>
      <c r="N316" t="str">
        <f>IF(Worksheet!AG316="","",Worksheet!AG316)</f>
        <v/>
      </c>
      <c r="O316" t="str">
        <f>IF(Worksheet!AJ316="","",Worksheet!AJ316)</f>
        <v>M10 HAANTJES CERTIFISC OUDENAARDE</v>
      </c>
      <c r="P316" t="str">
        <f>IF(Worksheet!AK316="","",Worksheet!AK316)</f>
        <v>Speler</v>
      </c>
    </row>
    <row r="317" spans="1:16" x14ac:dyDescent="0.3">
      <c r="A317" t="str">
        <v>Jerome Van de Weghe</v>
      </c>
      <c r="B317" t="str">
        <v>pieter@combus.be</v>
      </c>
      <c r="C317" t="str">
        <v>+32477473741</v>
      </c>
      <c r="D317" t="str">
        <v/>
      </c>
      <c r="E317" s="2">
        <v>758509</v>
      </c>
      <c r="F317" t="str">
        <v>G12 Geel HAANTJES CERTIFISC OUDENAARDE</v>
      </c>
      <c r="G317" t="str">
        <v>Speler</v>
      </c>
      <c r="J317" t="str">
        <f>Worksheet!C317&amp;" "&amp;Worksheet!B317</f>
        <v>Jamila Ettijrini</v>
      </c>
      <c r="K317" t="str">
        <f>Worksheet!AM317</f>
        <v/>
      </c>
      <c r="L317" t="str">
        <f>Worksheet!AN317</f>
        <v>+32470221432</v>
      </c>
      <c r="M317" t="str">
        <f>IF(Worksheet!AE317="","",Worksheet!AE317)</f>
        <v/>
      </c>
      <c r="N317" t="str">
        <f>IF(Worksheet!AG317="","",Worksheet!AG317)</f>
        <v/>
      </c>
      <c r="O317" t="str">
        <f>IF(Worksheet!AJ317="","",Worksheet!AJ317)</f>
        <v>M16 A Haantjes CERTIFISC  Oudenaarde</v>
      </c>
      <c r="P317" t="str">
        <f>IF(Worksheet!AK317="","",Worksheet!AK317)</f>
        <v>Speler</v>
      </c>
    </row>
    <row r="318" spans="1:16" x14ac:dyDescent="0.3">
      <c r="A318" t="str">
        <v>Ella Van de zande</v>
      </c>
      <c r="B318" t="str">
        <v>piekske007@yahoo.com</v>
      </c>
      <c r="C318" t="str">
        <v>+32486372617</v>
      </c>
      <c r="D318" t="str">
        <v>https://app.twizzit.com/public/photos/7665003/s/5ed58413208ebbb451d8f9179fc6141b44a190fa.png</v>
      </c>
      <c r="E318" s="2" t="str">
        <v/>
      </c>
      <c r="F318" t="str">
        <v>M10 HAANTJES CERTIFISC OUDENAARDE</v>
      </c>
      <c r="G318" t="str">
        <v>Speler</v>
      </c>
      <c r="J318" t="str">
        <f>Worksheet!C318&amp;" "&amp;Worksheet!B318</f>
        <v>Amélie Evrard</v>
      </c>
      <c r="K318" t="str">
        <f>Worksheet!AM318</f>
        <v>evrard143@gmail.com</v>
      </c>
      <c r="L318" t="str">
        <f>Worksheet!AN318</f>
        <v>+32473223315</v>
      </c>
      <c r="M318" t="str">
        <f>IF(Worksheet!AE318="","",Worksheet!AE318)</f>
        <v/>
      </c>
      <c r="N318" t="str">
        <f>IF(Worksheet!AG318="","",Worksheet!AG318)</f>
        <v/>
      </c>
      <c r="O318" t="str">
        <f>IF(Worksheet!AJ318="","",Worksheet!AJ318)</f>
        <v/>
      </c>
      <c r="P318" t="str">
        <f>IF(Worksheet!AK318="","",Worksheet!AK318)</f>
        <v/>
      </c>
    </row>
    <row r="319" spans="1:16" x14ac:dyDescent="0.3">
      <c r="A319" t="str">
        <v>Ella Van de zande</v>
      </c>
      <c r="B319" t="str">
        <v>piekske007@yahoo.com</v>
      </c>
      <c r="C319" t="str">
        <v>+32486372617</v>
      </c>
      <c r="D319" t="str">
        <v>https://app.twizzit.com/public/photos/7665003/s/5ed58413208ebbb451d8f9179fc6141b44a190fa.png</v>
      </c>
      <c r="E319" s="2" t="str">
        <v/>
      </c>
      <c r="F319" t="str">
        <v>Zomerstage 2026 U10 &amp; U12 (Oudenaarde)</v>
      </c>
      <c r="G319" t="str">
        <v>Speler</v>
      </c>
      <c r="J319" t="str">
        <f>Worksheet!C319&amp;" "&amp;Worksheet!B319</f>
        <v>Chloé Faelens</v>
      </c>
      <c r="K319" t="str">
        <f>Worksheet!AM319</f>
        <v/>
      </c>
      <c r="L319" t="str">
        <f>Worksheet!AN319</f>
        <v>+32472960602</v>
      </c>
      <c r="M319" t="str">
        <f>IF(Worksheet!AE319="","",Worksheet!AE319)</f>
        <v>https://app.twizzit.com/public/photos/4276094/s/88cd5d3554278fc03aae2c2a9989ae19589b1181.png</v>
      </c>
      <c r="N319" t="str">
        <f>IF(Worksheet!AG319="","",Worksheet!AG319)</f>
        <v/>
      </c>
      <c r="O319" t="str">
        <f>IF(Worksheet!AJ319="","",Worksheet!AJ319)</f>
        <v>M16 A Haantjes CERTIFISC  Oudenaarde</v>
      </c>
      <c r="P319" t="str">
        <f>IF(Worksheet!AK319="","",Worksheet!AK319)</f>
        <v>Speler</v>
      </c>
    </row>
    <row r="320" spans="1:16" x14ac:dyDescent="0.3">
      <c r="A320" t="str">
        <v>Mali-June Van Dorpe</v>
      </c>
      <c r="B320" t="str">
        <v>tracy.desmet@hotmail.com</v>
      </c>
      <c r="C320" t="str">
        <v>+32485650671</v>
      </c>
      <c r="D320" t="str">
        <v/>
      </c>
      <c r="E320" s="2" t="str">
        <v/>
      </c>
      <c r="F320" t="str">
        <v>G08 Groen HAANTJES CERTIFISC OUDENAARDE</v>
      </c>
      <c r="G320" t="str">
        <v>Speler</v>
      </c>
      <c r="J320" t="str">
        <f>Worksheet!C320&amp;" "&amp;Worksheet!B320</f>
        <v>Chloé Faelens</v>
      </c>
      <c r="K320" t="str">
        <f>Worksheet!AM320</f>
        <v/>
      </c>
      <c r="L320" t="str">
        <f>Worksheet!AN320</f>
        <v>+32472960602</v>
      </c>
      <c r="M320" t="str">
        <f>IF(Worksheet!AE320="","",Worksheet!AE320)</f>
        <v>https://app.twizzit.com/public/photos/4276094/s/88cd5d3554278fc03aae2c2a9989ae19589b1181.png</v>
      </c>
      <c r="N320" t="str">
        <f>IF(Worksheet!AG320="","",Worksheet!AG320)</f>
        <v/>
      </c>
      <c r="O320" t="str">
        <f>IF(Worksheet!AJ320="","",Worksheet!AJ320)</f>
        <v>Zomerstage 2026 (Blankenberge)</v>
      </c>
      <c r="P320" t="str">
        <f>IF(Worksheet!AK320="","",Worksheet!AK320)</f>
        <v>Speler</v>
      </c>
    </row>
    <row r="321" spans="1:16" x14ac:dyDescent="0.3">
      <c r="A321" t="str">
        <v>Mali-June Van Dorpe</v>
      </c>
      <c r="B321" t="str">
        <v>tracy.desmet@hotmail.com</v>
      </c>
      <c r="C321" t="str">
        <v>+32485650671</v>
      </c>
      <c r="D321" t="str">
        <v/>
      </c>
      <c r="E321" s="2" t="str">
        <v/>
      </c>
      <c r="F321" t="str">
        <v>Zomerstage 2026 U8 (Oudenaarde)</v>
      </c>
      <c r="G321" t="str">
        <v>Speler</v>
      </c>
      <c r="J321" t="str">
        <f>Worksheet!C321&amp;" "&amp;Worksheet!B321</f>
        <v>Thibeau Flamant</v>
      </c>
      <c r="K321" t="str">
        <f>Worksheet!AM321</f>
        <v/>
      </c>
      <c r="L321" t="str">
        <f>Worksheet!AN321</f>
        <v>+32473663542</v>
      </c>
      <c r="M321" t="str">
        <f>IF(Worksheet!AE321="","",Worksheet!AE321)</f>
        <v/>
      </c>
      <c r="N321" t="str">
        <f>IF(Worksheet!AG321="","",Worksheet!AG321)</f>
        <v/>
      </c>
      <c r="O321" t="str">
        <f>IF(Worksheet!AJ321="","",Worksheet!AJ321)</f>
        <v/>
      </c>
      <c r="P321" t="str">
        <f>IF(Worksheet!AK321="","",Worksheet!AK321)</f>
        <v/>
      </c>
    </row>
    <row r="322" spans="1:16" x14ac:dyDescent="0.3">
      <c r="A322" t="str">
        <v>Brecht Van Glabeke</v>
      </c>
      <c r="B322" t="str">
        <v/>
      </c>
      <c r="C322" t="str">
        <v>+32470671727</v>
      </c>
      <c r="D322" t="str">
        <v/>
      </c>
      <c r="E322" s="2" t="str">
        <v/>
      </c>
      <c r="F322" t="str">
        <v>J18 A Haantjes CERTIFISC Oudenaarde</v>
      </c>
      <c r="G322" t="str">
        <v>Speler</v>
      </c>
      <c r="J322" t="str">
        <f>Worksheet!C322&amp;" "&amp;Worksheet!B322</f>
        <v>Matteo Foret</v>
      </c>
      <c r="K322" t="str">
        <f>Worksheet!AM322</f>
        <v/>
      </c>
      <c r="L322" t="str">
        <f>Worksheet!AN322</f>
        <v>+32477187671</v>
      </c>
      <c r="M322" t="str">
        <f>IF(Worksheet!AE322="","",Worksheet!AE322)</f>
        <v/>
      </c>
      <c r="N322" t="str">
        <f>IF(Worksheet!AG322="","",Worksheet!AG322)</f>
        <v/>
      </c>
      <c r="O322" t="str">
        <f>IF(Worksheet!AJ322="","",Worksheet!AJ322)</f>
        <v/>
      </c>
      <c r="P322" t="str">
        <f>IF(Worksheet!AK322="","",Worksheet!AK322)</f>
        <v/>
      </c>
    </row>
    <row r="323" spans="1:16" x14ac:dyDescent="0.3">
      <c r="A323" t="str">
        <v>Brecht Van Glabeke</v>
      </c>
      <c r="B323" t="str">
        <v/>
      </c>
      <c r="C323" t="str">
        <v>+32470671727</v>
      </c>
      <c r="D323" t="str">
        <v/>
      </c>
      <c r="E323" s="2" t="str">
        <v/>
      </c>
      <c r="F323" t="str">
        <v>Zomerstage 2026 (Blankenberge)</v>
      </c>
      <c r="G323" t="str">
        <v>Speler</v>
      </c>
      <c r="J323" t="str">
        <f>Worksheet!C323&amp;" "&amp;Worksheet!B323</f>
        <v>Karolien Gallant</v>
      </c>
      <c r="K323" t="str">
        <f>Worksheet!AM323</f>
        <v/>
      </c>
      <c r="L323" t="str">
        <f>Worksheet!AN323</f>
        <v/>
      </c>
      <c r="M323" t="str">
        <f>IF(Worksheet!AE323="","",Worksheet!AE323)</f>
        <v/>
      </c>
      <c r="N323" t="str">
        <f>IF(Worksheet!AG323="","",Worksheet!AG323)</f>
        <v/>
      </c>
      <c r="O323" t="str">
        <f>IF(Worksheet!AJ323="","",Worksheet!AJ323)</f>
        <v/>
      </c>
      <c r="P323" t="str">
        <f>IF(Worksheet!AK323="","",Worksheet!AK323)</f>
        <v/>
      </c>
    </row>
    <row r="324" spans="1:16" x14ac:dyDescent="0.3">
      <c r="A324" t="str">
        <v>Brecht Van Glabeke</v>
      </c>
      <c r="B324" t="str">
        <v/>
      </c>
      <c r="C324" t="str">
        <v>+32470671727</v>
      </c>
      <c r="D324" t="str">
        <v/>
      </c>
      <c r="E324" s="2" t="str">
        <v/>
      </c>
      <c r="F324" t="str">
        <v>HSE B Haantjes Certifisc Oudenaarde</v>
      </c>
      <c r="G324" t="str">
        <v>Speler</v>
      </c>
      <c r="J324" t="str">
        <f>Worksheet!C324&amp;" "&amp;Worksheet!B324</f>
        <v>Daniël Garcia</v>
      </c>
      <c r="K324" t="str">
        <f>Worksheet!AM324</f>
        <v/>
      </c>
      <c r="L324" t="str">
        <f>Worksheet!AN324</f>
        <v/>
      </c>
      <c r="M324" t="str">
        <f>IF(Worksheet!AE324="","",Worksheet!AE324)</f>
        <v/>
      </c>
      <c r="N324" t="str">
        <f>IF(Worksheet!AG324="","",Worksheet!AG324)</f>
        <v/>
      </c>
      <c r="O324" t="str">
        <f>IF(Worksheet!AJ324="","",Worksheet!AJ324)</f>
        <v/>
      </c>
      <c r="P324" t="str">
        <f>IF(Worksheet!AK324="","",Worksheet!AK324)</f>
        <v/>
      </c>
    </row>
    <row r="325" spans="1:16" x14ac:dyDescent="0.3">
      <c r="A325" t="str">
        <v>Maxime Van Herpe</v>
      </c>
      <c r="B325" t="str">
        <v/>
      </c>
      <c r="C325" t="str">
        <v>+32479775361</v>
      </c>
      <c r="D325" t="str">
        <v/>
      </c>
      <c r="E325" s="2" t="str">
        <v/>
      </c>
      <c r="F325" t="str">
        <v>G12 Blauw HAANTJES CERTIFISC OUDENAARDE</v>
      </c>
      <c r="G325" t="str">
        <v>Speler</v>
      </c>
      <c r="J325" t="str">
        <f>Worksheet!C325&amp;" "&amp;Worksheet!B325</f>
        <v>Luis Garcia</v>
      </c>
      <c r="K325" t="str">
        <f>Worksheet!AM325</f>
        <v/>
      </c>
      <c r="L325" t="str">
        <f>Worksheet!AN325</f>
        <v/>
      </c>
      <c r="M325" t="str">
        <f>IF(Worksheet!AE325="","",Worksheet!AE325)</f>
        <v/>
      </c>
      <c r="N325">
        <f>IF(Worksheet!AG325="","",Worksheet!AG325)</f>
        <v>646498</v>
      </c>
      <c r="O325" t="str">
        <f>IF(Worksheet!AJ325="","",Worksheet!AJ325)</f>
        <v/>
      </c>
      <c r="P325" t="str">
        <f>IF(Worksheet!AK325="","",Worksheet!AK325)</f>
        <v/>
      </c>
    </row>
    <row r="326" spans="1:16" x14ac:dyDescent="0.3">
      <c r="A326" t="str">
        <v>Maxime Van Herpe</v>
      </c>
      <c r="B326" t="str">
        <v/>
      </c>
      <c r="C326" t="str">
        <v>+32479775361</v>
      </c>
      <c r="D326" t="str">
        <v/>
      </c>
      <c r="E326" s="2" t="str">
        <v/>
      </c>
      <c r="F326" t="str">
        <v>Zomerstage 2026 (Blankenberge)</v>
      </c>
      <c r="G326" t="str">
        <v>Speler</v>
      </c>
      <c r="J326" t="str">
        <f>Worksheet!C326&amp;" "&amp;Worksheet!B326</f>
        <v>Alixe Geenens</v>
      </c>
      <c r="K326" t="str">
        <f>Worksheet!AM326</f>
        <v>stephengeenens@gmail.com</v>
      </c>
      <c r="L326" t="str">
        <f>Worksheet!AN326</f>
        <v>+32494195355</v>
      </c>
      <c r="M326" t="str">
        <f>IF(Worksheet!AE326="","",Worksheet!AE326)</f>
        <v/>
      </c>
      <c r="N326" t="str">
        <f>IF(Worksheet!AG326="","",Worksheet!AG326)</f>
        <v/>
      </c>
      <c r="O326" t="str">
        <f>IF(Worksheet!AJ326="","",Worksheet!AJ326)</f>
        <v>M10 HAANTJES CERTIFISC OUDENAARDE</v>
      </c>
      <c r="P326" t="str">
        <f>IF(Worksheet!AK326="","",Worksheet!AK326)</f>
        <v>Speler</v>
      </c>
    </row>
    <row r="327" spans="1:16" x14ac:dyDescent="0.3">
      <c r="A327" t="str">
        <v>Jaimie Van Marcke</v>
      </c>
      <c r="B327" t="str">
        <v/>
      </c>
      <c r="C327" t="str">
        <v>+32472516116</v>
      </c>
      <c r="D327" t="str">
        <v>https://app.twizzit.com/public/photos/4080394/s/a0a6f7a1f3c9650e7b60b7c90fcc741fdb018fb0.png</v>
      </c>
      <c r="E327" s="2" t="str">
        <v/>
      </c>
      <c r="F327" t="str">
        <v>J18 B Haantjes CERTIFISC Oudenaarde</v>
      </c>
      <c r="G327" t="str">
        <v>Speler</v>
      </c>
      <c r="J327" t="str">
        <f>Worksheet!C327&amp;" "&amp;Worksheet!B327</f>
        <v>Alixe Geenens</v>
      </c>
      <c r="K327" t="str">
        <f>Worksheet!AM327</f>
        <v>stephengeenens@gmail.com</v>
      </c>
      <c r="L327" t="str">
        <f>Worksheet!AN327</f>
        <v>+32494195355</v>
      </c>
      <c r="M327" t="str">
        <f>IF(Worksheet!AE327="","",Worksheet!AE327)</f>
        <v/>
      </c>
      <c r="N327" t="str">
        <f>IF(Worksheet!AG327="","",Worksheet!AG327)</f>
        <v/>
      </c>
      <c r="O327" t="str">
        <f>IF(Worksheet!AJ327="","",Worksheet!AJ327)</f>
        <v>Zomerstage 2026 U10 &amp; U12 (Oudenaarde)</v>
      </c>
      <c r="P327" t="str">
        <f>IF(Worksheet!AK327="","",Worksheet!AK327)</f>
        <v>Speler</v>
      </c>
    </row>
    <row r="328" spans="1:16" x14ac:dyDescent="0.3">
      <c r="A328" t="str">
        <v>Tristan Van Meenen</v>
      </c>
      <c r="B328" t="str">
        <v>jzvanmeenen@telenet.be</v>
      </c>
      <c r="C328" t="str">
        <v>+32468153046</v>
      </c>
      <c r="D328" t="str">
        <v/>
      </c>
      <c r="E328" s="2" t="str">
        <v/>
      </c>
      <c r="F328" t="str">
        <v>HSE  C Haantjes Certifisc Oudenaarde</v>
      </c>
      <c r="G328" t="str">
        <v>Speler</v>
      </c>
      <c r="J328" t="str">
        <f>Worksheet!C328&amp;" "&amp;Worksheet!B328</f>
        <v>Celeste Geenens</v>
      </c>
      <c r="K328" t="str">
        <f>Worksheet!AM328</f>
        <v>stephengeenens@gmail.com</v>
      </c>
      <c r="L328" t="str">
        <f>Worksheet!AN328</f>
        <v>+32494195355</v>
      </c>
      <c r="M328" t="str">
        <f>IF(Worksheet!AE328="","",Worksheet!AE328)</f>
        <v/>
      </c>
      <c r="N328" t="str">
        <f>IF(Worksheet!AG328="","",Worksheet!AG328)</f>
        <v/>
      </c>
      <c r="O328" t="str">
        <f>IF(Worksheet!AJ328="","",Worksheet!AJ328)</f>
        <v>Zomerstage 2026 (Blankenberge)</v>
      </c>
      <c r="P328" t="str">
        <f>IF(Worksheet!AK328="","",Worksheet!AK328)</f>
        <v>Speler</v>
      </c>
    </row>
    <row r="329" spans="1:16" x14ac:dyDescent="0.3">
      <c r="A329" t="str">
        <v>Giles Van Merhaeghe</v>
      </c>
      <c r="B329" t="str">
        <v/>
      </c>
      <c r="C329" t="str">
        <v/>
      </c>
      <c r="D329" t="str">
        <v/>
      </c>
      <c r="E329" s="2">
        <v>663125</v>
      </c>
      <c r="F329" t="str">
        <v>HSE  C Haantjes Certifisc Oudenaarde</v>
      </c>
      <c r="G329" t="str">
        <v>Speler</v>
      </c>
      <c r="J329" t="str">
        <f>Worksheet!C329&amp;" "&amp;Worksheet!B329</f>
        <v>Celeste Geenens</v>
      </c>
      <c r="K329" t="str">
        <f>Worksheet!AM329</f>
        <v>stephengeenens@gmail.com</v>
      </c>
      <c r="L329" t="str">
        <f>Worksheet!AN329</f>
        <v>+32494195355</v>
      </c>
      <c r="M329" t="str">
        <f>IF(Worksheet!AE329="","",Worksheet!AE329)</f>
        <v/>
      </c>
      <c r="N329" t="str">
        <f>IF(Worksheet!AG329="","",Worksheet!AG329)</f>
        <v/>
      </c>
      <c r="O329" t="str">
        <f>IF(Worksheet!AJ329="","",Worksheet!AJ329)</f>
        <v>M14 A Haantjes CERTIFISC  Oudenaarde</v>
      </c>
      <c r="P329" t="str">
        <f>IF(Worksheet!AK329="","",Worksheet!AK329)</f>
        <v>Speler</v>
      </c>
    </row>
    <row r="330" spans="1:16" x14ac:dyDescent="0.3">
      <c r="A330" t="str">
        <v>Charlotte Van Moorleghem</v>
      </c>
      <c r="B330" t="str">
        <v>charlotte.vanmoorleghem1@gmail.com</v>
      </c>
      <c r="C330" t="str">
        <v/>
      </c>
      <c r="D330" t="str">
        <v/>
      </c>
      <c r="E330" s="2">
        <v>201618</v>
      </c>
      <c r="F330" t="str">
        <v xml:space="preserve">Trainerspoule </v>
      </c>
      <c r="G330" t="str">
        <v>Coach</v>
      </c>
      <c r="J330" t="str">
        <f>Worksheet!C330&amp;" "&amp;Worksheet!B330</f>
        <v>Lou Geenens</v>
      </c>
      <c r="K330" t="str">
        <f>Worksheet!AM330</f>
        <v/>
      </c>
      <c r="L330" t="str">
        <f>Worksheet!AN330</f>
        <v>+32479858482</v>
      </c>
      <c r="M330" t="str">
        <f>IF(Worksheet!AE330="","",Worksheet!AE330)</f>
        <v>https://app.twizzit.com/public/photos/10377574/s/62e9c970b54f4ce753f6fe1b02a81459ce0f4576.png</v>
      </c>
      <c r="N330" t="str">
        <f>IF(Worksheet!AG330="","",Worksheet!AG330)</f>
        <v/>
      </c>
      <c r="O330" t="str">
        <f>IF(Worksheet!AJ330="","",Worksheet!AJ330)</f>
        <v>G12 Blauw HAANTJES CERTIFISC OUDENAARDE</v>
      </c>
      <c r="P330" t="str">
        <f>IF(Worksheet!AK330="","",Worksheet!AK330)</f>
        <v>Speler</v>
      </c>
    </row>
    <row r="331" spans="1:16" x14ac:dyDescent="0.3">
      <c r="A331" t="str">
        <v>Emma Van Nieuwenhuyze</v>
      </c>
      <c r="B331" t="str">
        <v>maaikeschiettecatte@gmail.com</v>
      </c>
      <c r="C331" t="str">
        <v>+32477259667</v>
      </c>
      <c r="D331" t="str">
        <v/>
      </c>
      <c r="E331" s="2" t="str">
        <v/>
      </c>
      <c r="F331" t="str">
        <v>M12 A HAANTJES CERTIFISC OUDENAARDE</v>
      </c>
      <c r="G331" t="str">
        <v>Speler</v>
      </c>
      <c r="J331" t="str">
        <f>Worksheet!C331&amp;" "&amp;Worksheet!B331</f>
        <v>Stephen Geenens</v>
      </c>
      <c r="K331" t="str">
        <f>Worksheet!AM331</f>
        <v/>
      </c>
      <c r="L331" t="str">
        <f>Worksheet!AN331</f>
        <v>+32494195355</v>
      </c>
      <c r="M331" t="str">
        <f>IF(Worksheet!AE331="","",Worksheet!AE331)</f>
        <v/>
      </c>
      <c r="N331">
        <f>IF(Worksheet!AG331="","",Worksheet!AG331)</f>
        <v>773025</v>
      </c>
      <c r="O331" t="str">
        <f>IF(Worksheet!AJ331="","",Worksheet!AJ331)</f>
        <v/>
      </c>
      <c r="P331" t="str">
        <f>IF(Worksheet!AK331="","",Worksheet!AK331)</f>
        <v/>
      </c>
    </row>
    <row r="332" spans="1:16" x14ac:dyDescent="0.3">
      <c r="A332" t="str">
        <v>Emma Van Nieuwenhuyze</v>
      </c>
      <c r="B332" t="str">
        <v>maaikeschiettecatte@gmail.com</v>
      </c>
      <c r="C332" t="str">
        <v>+32477259667</v>
      </c>
      <c r="D332" t="str">
        <v/>
      </c>
      <c r="E332" s="2" t="str">
        <v/>
      </c>
      <c r="F332" t="str">
        <v>Zomerstage 2026 U10 &amp; U12 (Oudenaarde)</v>
      </c>
      <c r="G332" t="str">
        <v>Speler</v>
      </c>
      <c r="J332" t="str">
        <f>Worksheet!C332&amp;" "&amp;Worksheet!B332</f>
        <v>Stephen Geenens</v>
      </c>
      <c r="K332" t="str">
        <f>Worksheet!AM332</f>
        <v/>
      </c>
      <c r="L332" t="str">
        <f>Worksheet!AN332</f>
        <v>+32494195355</v>
      </c>
      <c r="M332" t="str">
        <f>IF(Worksheet!AE332="","",Worksheet!AE332)</f>
        <v/>
      </c>
      <c r="N332">
        <f>IF(Worksheet!AG332="","",Worksheet!AG332)</f>
        <v>773025</v>
      </c>
      <c r="O332" t="str">
        <f>IF(Worksheet!AJ332="","",Worksheet!AJ332)</f>
        <v/>
      </c>
      <c r="P332" t="str">
        <f>IF(Worksheet!AK332="","",Worksheet!AK332)</f>
        <v/>
      </c>
    </row>
    <row r="333" spans="1:16" x14ac:dyDescent="0.3">
      <c r="A333" t="str">
        <v>Lowie Van Nieuwenhuyze</v>
      </c>
      <c r="B333" t="str">
        <v>pietervannieuwenhuyze1984@gmail.com</v>
      </c>
      <c r="C333" t="str">
        <v>+32477259667</v>
      </c>
      <c r="D333" t="str">
        <v/>
      </c>
      <c r="E333" s="2" t="str">
        <v/>
      </c>
      <c r="F333" t="str">
        <v>G08 Geel HAANTJES CERTIFISC OUDENAARDE</v>
      </c>
      <c r="G333" t="str">
        <v>Speler</v>
      </c>
      <c r="J333" t="str">
        <f>Worksheet!C333&amp;" "&amp;Worksheet!B333</f>
        <v>Matisse Geiregat</v>
      </c>
      <c r="K333" t="str">
        <f>Worksheet!AM333</f>
        <v/>
      </c>
      <c r="L333" t="str">
        <f>Worksheet!AN333</f>
        <v>+32499132186</v>
      </c>
      <c r="M333" t="str">
        <f>IF(Worksheet!AE333="","",Worksheet!AE333)</f>
        <v/>
      </c>
      <c r="N333" t="str">
        <f>IF(Worksheet!AG333="","",Worksheet!AG333)</f>
        <v/>
      </c>
      <c r="O333" t="str">
        <f>IF(Worksheet!AJ333="","",Worksheet!AJ333)</f>
        <v/>
      </c>
      <c r="P333" t="str">
        <f>IF(Worksheet!AK333="","",Worksheet!AK333)</f>
        <v/>
      </c>
    </row>
    <row r="334" spans="1:16" x14ac:dyDescent="0.3">
      <c r="A334" t="str">
        <v>Lowie Van Nieuwenhuyze</v>
      </c>
      <c r="B334" t="str">
        <v>pietervannieuwenhuyze1984@gmail.com</v>
      </c>
      <c r="C334" t="str">
        <v>+32477259667</v>
      </c>
      <c r="D334" t="str">
        <v/>
      </c>
      <c r="E334" s="2" t="str">
        <v/>
      </c>
      <c r="F334" t="str">
        <v>Zomerstage 2026 U8 (Oudenaarde)</v>
      </c>
      <c r="G334" t="str">
        <v>Speler</v>
      </c>
      <c r="J334" t="str">
        <f>Worksheet!C334&amp;" "&amp;Worksheet!B334</f>
        <v>Victor Geiregat</v>
      </c>
      <c r="K334" t="str">
        <f>Worksheet!AM334</f>
        <v>victorgeiregat@gmail.com</v>
      </c>
      <c r="L334" t="str">
        <f>Worksheet!AN334</f>
        <v>+32467007382</v>
      </c>
      <c r="M334" t="str">
        <f>IF(Worksheet!AE334="","",Worksheet!AE334)</f>
        <v/>
      </c>
      <c r="N334" t="str">
        <f>IF(Worksheet!AG334="","",Worksheet!AG334)</f>
        <v/>
      </c>
      <c r="O334" t="str">
        <f>IF(Worksheet!AJ334="","",Worksheet!AJ334)</f>
        <v>J16 B Haantjes CERTIFISC Oudenaarde</v>
      </c>
      <c r="P334" t="str">
        <f>IF(Worksheet!AK334="","",Worksheet!AK334)</f>
        <v>Speler</v>
      </c>
    </row>
    <row r="335" spans="1:16" x14ac:dyDescent="0.3">
      <c r="A335" t="str">
        <v>Mauro Van Sande</v>
      </c>
      <c r="B335" t="str">
        <v>Sylvie.mincke@outlook.com</v>
      </c>
      <c r="C335" t="str">
        <v>+32494744847</v>
      </c>
      <c r="D335" t="str">
        <v>https://app.twizzit.com/public/photos/2650608/s/9cebeb89f0d68fff18c1faf3be6be5621d757adb.png</v>
      </c>
      <c r="E335" s="2">
        <v>742367</v>
      </c>
      <c r="F335" t="str">
        <v>G14 B Haantjes CERTIFISC Oudenaarde</v>
      </c>
      <c r="G335" t="str">
        <v>Speler</v>
      </c>
      <c r="J335" t="str">
        <f>Worksheet!C335&amp;" "&amp;Worksheet!B335</f>
        <v>Victor Geiregat</v>
      </c>
      <c r="K335" t="str">
        <f>Worksheet!AM335</f>
        <v>victorgeiregat@gmail.com</v>
      </c>
      <c r="L335" t="str">
        <f>Worksheet!AN335</f>
        <v>+32467007382</v>
      </c>
      <c r="M335" t="str">
        <f>IF(Worksheet!AE335="","",Worksheet!AE335)</f>
        <v/>
      </c>
      <c r="N335" t="str">
        <f>IF(Worksheet!AG335="","",Worksheet!AG335)</f>
        <v/>
      </c>
      <c r="O335" t="str">
        <f>IF(Worksheet!AJ335="","",Worksheet!AJ335)</f>
        <v>Zomerstage 2026 (Blankenberge)</v>
      </c>
      <c r="P335" t="str">
        <f>IF(Worksheet!AK335="","",Worksheet!AK335)</f>
        <v>Speler</v>
      </c>
    </row>
    <row r="336" spans="1:16" x14ac:dyDescent="0.3">
      <c r="A336" t="str">
        <v>Miro Van Schoorisse</v>
      </c>
      <c r="B336" t="str">
        <v>mirovanschoorisse@gmail.com</v>
      </c>
      <c r="C336" t="str">
        <v>+32496771030</v>
      </c>
      <c r="D336" t="str">
        <v/>
      </c>
      <c r="E336" s="2">
        <v>709427</v>
      </c>
      <c r="F336" t="str">
        <v>J18 A Haantjes CERTIFISC Oudenaarde</v>
      </c>
      <c r="G336" t="str">
        <v>Speler</v>
      </c>
      <c r="J336" t="str">
        <f>Worksheet!C336&amp;" "&amp;Worksheet!B336</f>
        <v>Basiel Genbrugge</v>
      </c>
      <c r="K336" t="str">
        <f>Worksheet!AM336</f>
        <v>basiel.genbrugge@gmail.com</v>
      </c>
      <c r="L336" t="str">
        <f>Worksheet!AN336</f>
        <v>+32486314030</v>
      </c>
      <c r="M336" t="str">
        <f>IF(Worksheet!AE336="","",Worksheet!AE336)</f>
        <v>https://app.twizzit.com/public/photos/8579142/s/db8d4000b96831e0c69a1f9ee9bb0955ce673dba.png</v>
      </c>
      <c r="N336" t="str">
        <f>IF(Worksheet!AG336="","",Worksheet!AG336)</f>
        <v/>
      </c>
      <c r="O336" t="str">
        <f>IF(Worksheet!AJ336="","",Worksheet!AJ336)</f>
        <v>J16 A Haantjes CERTIFISC Oudenaarde</v>
      </c>
      <c r="P336" t="str">
        <f>IF(Worksheet!AK336="","",Worksheet!AK336)</f>
        <v>Speler</v>
      </c>
    </row>
    <row r="337" spans="1:16" x14ac:dyDescent="0.3">
      <c r="A337" t="str">
        <v>Bram Van Wyngene</v>
      </c>
      <c r="B337" t="str">
        <v/>
      </c>
      <c r="C337" t="str">
        <v>+32477349575</v>
      </c>
      <c r="D337" t="str">
        <v/>
      </c>
      <c r="E337" s="2" t="str">
        <v/>
      </c>
      <c r="F337" t="str">
        <v>HSE A Haantjes Certifisc Oudenaarde</v>
      </c>
      <c r="G337" t="str">
        <v>Coach</v>
      </c>
      <c r="J337" t="str">
        <f>Worksheet!C337&amp;" "&amp;Worksheet!B337</f>
        <v>Basiel Genbrugge</v>
      </c>
      <c r="K337" t="str">
        <f>Worksheet!AM337</f>
        <v>basiel.genbrugge@gmail.com</v>
      </c>
      <c r="L337" t="str">
        <f>Worksheet!AN337</f>
        <v>+32486314030</v>
      </c>
      <c r="M337" t="str">
        <f>IF(Worksheet!AE337="","",Worksheet!AE337)</f>
        <v>https://app.twizzit.com/public/photos/8579142/s/db8d4000b96831e0c69a1f9ee9bb0955ce673dba.png</v>
      </c>
      <c r="N337" t="str">
        <f>IF(Worksheet!AG337="","",Worksheet!AG337)</f>
        <v/>
      </c>
      <c r="O337" t="str">
        <f>IF(Worksheet!AJ337="","",Worksheet!AJ337)</f>
        <v>Zomerstage 2026 (Blankenberge)</v>
      </c>
      <c r="P337" t="str">
        <f>IF(Worksheet!AK337="","",Worksheet!AK337)</f>
        <v>Speler</v>
      </c>
    </row>
    <row r="338" spans="1:16" x14ac:dyDescent="0.3">
      <c r="A338" t="str">
        <v>Bram Van Wyngene</v>
      </c>
      <c r="B338" t="str">
        <v/>
      </c>
      <c r="C338" t="str">
        <v>+32477349575</v>
      </c>
      <c r="D338" t="str">
        <v/>
      </c>
      <c r="E338" s="2" t="str">
        <v/>
      </c>
      <c r="F338" t="str">
        <v>J18 A Haantjes CERTIFISC Oudenaarde</v>
      </c>
      <c r="G338" t="str">
        <v>Coach</v>
      </c>
      <c r="J338" t="str">
        <f>Worksheet!C338&amp;" "&amp;Worksheet!B338</f>
        <v>Tuur Genbrugge</v>
      </c>
      <c r="K338" t="str">
        <f>Worksheet!AM338</f>
        <v/>
      </c>
      <c r="L338" t="str">
        <f>Worksheet!AN338</f>
        <v>+32486314030</v>
      </c>
      <c r="M338" t="str">
        <f>IF(Worksheet!AE338="","",Worksheet!AE338)</f>
        <v/>
      </c>
      <c r="N338" t="str">
        <f>IF(Worksheet!AG338="","",Worksheet!AG338)</f>
        <v/>
      </c>
      <c r="O338" t="str">
        <f>IF(Worksheet!AJ338="","",Worksheet!AJ338)</f>
        <v xml:space="preserve">Trainerspoule </v>
      </c>
      <c r="P338" t="str">
        <f>IF(Worksheet!AK338="","",Worksheet!AK338)</f>
        <v>Coach</v>
      </c>
    </row>
    <row r="339" spans="1:16" x14ac:dyDescent="0.3">
      <c r="A339" t="str">
        <v>Olivia Vanbutsele</v>
      </c>
      <c r="B339" t="str">
        <v>Mike.vb@telenet.be</v>
      </c>
      <c r="C339" t="str">
        <v>+32483081624</v>
      </c>
      <c r="D339" t="str">
        <v>https://app.twizzit.com/public/photos/4292310/s/063d2ce017539cf8df316f28e3a639739d1c1148.jpeg</v>
      </c>
      <c r="E339" s="2" t="str">
        <v/>
      </c>
      <c r="F339" t="str">
        <v>Zomerstage 2026 (Blankenberge)</v>
      </c>
      <c r="G339" t="str">
        <v>Speler</v>
      </c>
      <c r="J339" t="str">
        <f>Worksheet!C339&amp;" "&amp;Worksheet!B339</f>
        <v>Amber Gheysen</v>
      </c>
      <c r="K339" t="str">
        <f>Worksheet!AM339</f>
        <v>amber.gheysen@gmail.com</v>
      </c>
      <c r="L339" t="str">
        <f>Worksheet!AN339</f>
        <v>+32497236008</v>
      </c>
      <c r="M339" t="str">
        <f>IF(Worksheet!AE339="","",Worksheet!AE339)</f>
        <v>https://app.twizzit.com/public/photos/2182901/s/a2498335971019f322ad895555337e0117e5cb4b.png</v>
      </c>
      <c r="N339" t="str">
        <f>IF(Worksheet!AG339="","",Worksheet!AG339)</f>
        <v/>
      </c>
      <c r="O339" t="str">
        <f>IF(Worksheet!AJ339="","",Worksheet!AJ339)</f>
        <v/>
      </c>
      <c r="P339" t="str">
        <f>IF(Worksheet!AK339="","",Worksheet!AK339)</f>
        <v/>
      </c>
    </row>
    <row r="340" spans="1:16" x14ac:dyDescent="0.3">
      <c r="A340" t="str">
        <v>Olivia Vanbutsele</v>
      </c>
      <c r="B340" t="str">
        <v>Mike.vb@telenet.be</v>
      </c>
      <c r="C340" t="str">
        <v>+32483081624</v>
      </c>
      <c r="D340" t="str">
        <v>https://app.twizzit.com/public/photos/4292310/s/063d2ce017539cf8df316f28e3a639739d1c1148.jpeg</v>
      </c>
      <c r="E340" s="2" t="str">
        <v/>
      </c>
      <c r="F340" t="str">
        <v>M14 A Haantjes CERTIFISC  Oudenaarde</v>
      </c>
      <c r="G340" t="str">
        <v>Speler</v>
      </c>
      <c r="J340" t="str">
        <f>Worksheet!C340&amp;" "&amp;Worksheet!B340</f>
        <v>Brent Gheysen</v>
      </c>
      <c r="K340" t="str">
        <f>Worksheet!AM340</f>
        <v/>
      </c>
      <c r="L340" t="str">
        <f>Worksheet!AN340</f>
        <v>+32493192487</v>
      </c>
      <c r="M340" t="str">
        <f>IF(Worksheet!AE340="","",Worksheet!AE340)</f>
        <v/>
      </c>
      <c r="N340">
        <f>IF(Worksheet!AG340="","",Worksheet!AG340)</f>
        <v>619160</v>
      </c>
      <c r="O340" t="str">
        <f>IF(Worksheet!AJ340="","",Worksheet!AJ340)</f>
        <v/>
      </c>
      <c r="P340" t="str">
        <f>IF(Worksheet!AK340="","",Worksheet!AK340)</f>
        <v/>
      </c>
    </row>
    <row r="341" spans="1:16" x14ac:dyDescent="0.3">
      <c r="A341" t="str">
        <v>Kobe Vandaele</v>
      </c>
      <c r="B341" t="str">
        <v/>
      </c>
      <c r="C341" t="str">
        <v>+32478439213</v>
      </c>
      <c r="D341" t="str">
        <v/>
      </c>
      <c r="E341" s="2">
        <v>739424</v>
      </c>
      <c r="F341" t="str">
        <v>J16 B Haantjes CERTIFISC Oudenaarde</v>
      </c>
      <c r="G341" t="str">
        <v>Speler</v>
      </c>
      <c r="J341" t="str">
        <f>Worksheet!C341&amp;" "&amp;Worksheet!B341</f>
        <v>Lobke Gheysen</v>
      </c>
      <c r="K341" t="str">
        <f>Worksheet!AM341</f>
        <v/>
      </c>
      <c r="L341" t="str">
        <f>Worksheet!AN341</f>
        <v/>
      </c>
      <c r="M341" t="str">
        <f>IF(Worksheet!AE341="","",Worksheet!AE341)</f>
        <v/>
      </c>
      <c r="N341" t="str">
        <f>IF(Worksheet!AG341="","",Worksheet!AG341)</f>
        <v/>
      </c>
      <c r="O341" t="str">
        <f>IF(Worksheet!AJ341="","",Worksheet!AJ341)</f>
        <v/>
      </c>
      <c r="P341" t="str">
        <f>IF(Worksheet!AK341="","",Worksheet!AK341)</f>
        <v/>
      </c>
    </row>
    <row r="342" spans="1:16" x14ac:dyDescent="0.3">
      <c r="A342" t="str">
        <v>Lowie Vande Kerckhove</v>
      </c>
      <c r="B342" t="str">
        <v/>
      </c>
      <c r="C342" t="str">
        <v>+32498621224</v>
      </c>
      <c r="D342" t="str">
        <v/>
      </c>
      <c r="E342" s="2">
        <v>705824</v>
      </c>
      <c r="F342" t="str">
        <v>J18 A Haantjes CERTIFISC Oudenaarde</v>
      </c>
      <c r="G342" t="str">
        <v>Speler</v>
      </c>
      <c r="J342" t="str">
        <f>Worksheet!C342&amp;" "&amp;Worksheet!B342</f>
        <v>Hervé Ghyselinck</v>
      </c>
      <c r="K342" t="str">
        <f>Worksheet!AM342</f>
        <v>jonifoucart@hotmail.com</v>
      </c>
      <c r="L342" t="str">
        <f>Worksheet!AN342</f>
        <v>+32485336563</v>
      </c>
      <c r="M342" t="str">
        <f>IF(Worksheet!AE342="","",Worksheet!AE342)</f>
        <v/>
      </c>
      <c r="N342" t="str">
        <f>IF(Worksheet!AG342="","",Worksheet!AG342)</f>
        <v/>
      </c>
      <c r="O342" t="str">
        <f>IF(Worksheet!AJ342="","",Worksheet!AJ342)</f>
        <v/>
      </c>
      <c r="P342" t="str">
        <f>IF(Worksheet!AK342="","",Worksheet!AK342)</f>
        <v/>
      </c>
    </row>
    <row r="343" spans="1:16" x14ac:dyDescent="0.3">
      <c r="A343" t="str">
        <v>Lowie Vande Kerckhove</v>
      </c>
      <c r="B343" t="str">
        <v/>
      </c>
      <c r="C343" t="str">
        <v>+32498621224</v>
      </c>
      <c r="D343" t="str">
        <v/>
      </c>
      <c r="E343" s="2">
        <v>705824</v>
      </c>
      <c r="F343" t="str">
        <v>Zomerstage 2026 (Blankenberge)</v>
      </c>
      <c r="G343" t="str">
        <v>Speler</v>
      </c>
      <c r="J343" t="str">
        <f>Worksheet!C343&amp;" "&amp;Worksheet!B343</f>
        <v>Kathelyn Ghyselinck</v>
      </c>
      <c r="K343" t="str">
        <f>Worksheet!AM343</f>
        <v/>
      </c>
      <c r="L343" t="str">
        <f>Worksheet!AN343</f>
        <v/>
      </c>
      <c r="M343" t="str">
        <f>IF(Worksheet!AE343="","",Worksheet!AE343)</f>
        <v/>
      </c>
      <c r="N343" t="str">
        <f>IF(Worksheet!AG343="","",Worksheet!AG343)</f>
        <v/>
      </c>
      <c r="O343" t="str">
        <f>IF(Worksheet!AJ343="","",Worksheet!AJ343)</f>
        <v/>
      </c>
      <c r="P343" t="str">
        <f>IF(Worksheet!AK343="","",Worksheet!AK343)</f>
        <v/>
      </c>
    </row>
    <row r="344" spans="1:16" x14ac:dyDescent="0.3">
      <c r="A344" t="str">
        <v>Lukas Vandemaele</v>
      </c>
      <c r="B344" t="str">
        <v>Wimvandemaele@hotmail.com</v>
      </c>
      <c r="C344" t="str">
        <v>+32491941753</v>
      </c>
      <c r="D344" t="str">
        <v/>
      </c>
      <c r="E344" s="2">
        <v>735083</v>
      </c>
      <c r="F344" t="str">
        <v>J16 B Haantjes CERTIFISC Oudenaarde</v>
      </c>
      <c r="G344" t="str">
        <v>Speler</v>
      </c>
      <c r="J344" t="str">
        <f>Worksheet!C344&amp;" "&amp;Worksheet!B344</f>
        <v>Yves Bellard Giriteka</v>
      </c>
      <c r="K344" t="str">
        <f>Worksheet!AM344</f>
        <v/>
      </c>
      <c r="L344" t="str">
        <f>Worksheet!AN344</f>
        <v>+32466419783</v>
      </c>
      <c r="M344" t="str">
        <f>IF(Worksheet!AE344="","",Worksheet!AE344)</f>
        <v/>
      </c>
      <c r="N344" t="str">
        <f>IF(Worksheet!AG344="","",Worksheet!AG344)</f>
        <v/>
      </c>
      <c r="O344" t="str">
        <f>IF(Worksheet!AJ344="","",Worksheet!AJ344)</f>
        <v>HSE B Haantjes Certifisc Oudenaarde</v>
      </c>
      <c r="P344" t="str">
        <f>IF(Worksheet!AK344="","",Worksheet!AK344)</f>
        <v>Speler</v>
      </c>
    </row>
    <row r="345" spans="1:16" x14ac:dyDescent="0.3">
      <c r="A345" t="str">
        <v>Vic Vanden Hautte</v>
      </c>
      <c r="B345" t="str">
        <v>Kevin.vdh@gmail.com</v>
      </c>
      <c r="C345" t="str">
        <v>+32473448896</v>
      </c>
      <c r="D345" t="str">
        <v>https://app.twizzit.com/public/photos/10733442/s/de71a0feaf3ea4a6afe343b706af319962bb20c0.jpeg</v>
      </c>
      <c r="E345" s="2" t="str">
        <v/>
      </c>
      <c r="F345" t="str">
        <v>G10 Blauw HAANTJES CERTIFISC OUDENAARDE</v>
      </c>
      <c r="G345" t="str">
        <v>Speler</v>
      </c>
      <c r="J345" t="str">
        <f>Worksheet!C345&amp;" "&amp;Worksheet!B345</f>
        <v>Valerie Glorieux</v>
      </c>
      <c r="K345" t="str">
        <f>Worksheet!AM345</f>
        <v>Nico.demaertelaere@live.be</v>
      </c>
      <c r="L345" t="str">
        <f>Worksheet!AN345</f>
        <v>+324721630933</v>
      </c>
      <c r="M345" t="str">
        <f>IF(Worksheet!AE345="","",Worksheet!AE345)</f>
        <v/>
      </c>
      <c r="N345" t="str">
        <f>IF(Worksheet!AG345="","",Worksheet!AG345)</f>
        <v/>
      </c>
      <c r="O345" t="str">
        <f>IF(Worksheet!AJ345="","",Worksheet!AJ345)</f>
        <v/>
      </c>
      <c r="P345" t="str">
        <f>IF(Worksheet!AK345="","",Worksheet!AK345)</f>
        <v/>
      </c>
    </row>
    <row r="346" spans="1:16" x14ac:dyDescent="0.3">
      <c r="A346" t="str">
        <v>Ilias Vander Beken</v>
      </c>
      <c r="B346" t="str">
        <v>tine_de_smet90@hotmail.com</v>
      </c>
      <c r="C346" t="str">
        <v>+32468142508</v>
      </c>
      <c r="D346" t="str">
        <v>https://app.twizzit.com/public/photos/9469457/s/eb40348dfb8a2c0c9b13e74dd04369019dbd2f32.jpeg</v>
      </c>
      <c r="E346" s="2" t="str">
        <v/>
      </c>
      <c r="F346" t="str">
        <v>Zomerstage 2026 (Blankenberge)</v>
      </c>
      <c r="G346" t="str">
        <v>Speler</v>
      </c>
      <c r="J346" t="str">
        <f>Worksheet!C346&amp;" "&amp;Worksheet!B346</f>
        <v>Dea Gocaj</v>
      </c>
      <c r="K346" t="str">
        <f>Worksheet!AM346</f>
        <v/>
      </c>
      <c r="L346" t="str">
        <f>Worksheet!AN346</f>
        <v>+32465136417</v>
      </c>
      <c r="M346" t="str">
        <f>IF(Worksheet!AE346="","",Worksheet!AE346)</f>
        <v/>
      </c>
      <c r="N346" t="str">
        <f>IF(Worksheet!AG346="","",Worksheet!AG346)</f>
        <v/>
      </c>
      <c r="O346" t="str">
        <f>IF(Worksheet!AJ346="","",Worksheet!AJ346)</f>
        <v>M10 HAANTJES CERTIFISC OUDENAARDE</v>
      </c>
      <c r="P346" t="str">
        <f>IF(Worksheet!AK346="","",Worksheet!AK346)</f>
        <v>Speler</v>
      </c>
    </row>
    <row r="347" spans="1:16" x14ac:dyDescent="0.3">
      <c r="A347" t="str">
        <v>Ilias Vander Beken</v>
      </c>
      <c r="B347" t="str">
        <v>tine_de_smet90@hotmail.com</v>
      </c>
      <c r="C347" t="str">
        <v>+32468142508</v>
      </c>
      <c r="D347" t="str">
        <v>https://app.twizzit.com/public/photos/9469457/s/eb40348dfb8a2c0c9b13e74dd04369019dbd2f32.jpeg</v>
      </c>
      <c r="E347" s="2" t="str">
        <v/>
      </c>
      <c r="F347" t="str">
        <v>G12 Geel HAANTJES CERTIFISC OUDENAARDE</v>
      </c>
      <c r="G347" t="str">
        <v>Speler</v>
      </c>
      <c r="J347" t="str">
        <f>Worksheet!C347&amp;" "&amp;Worksheet!B347</f>
        <v>Jules Godefroot</v>
      </c>
      <c r="K347" t="str">
        <f>Worksheet!AM347</f>
        <v/>
      </c>
      <c r="L347" t="str">
        <f>Worksheet!AN347</f>
        <v>+32473683008</v>
      </c>
      <c r="M347" t="str">
        <f>IF(Worksheet!AE347="","",Worksheet!AE347)</f>
        <v/>
      </c>
      <c r="N347">
        <f>IF(Worksheet!AG347="","",Worksheet!AG347)</f>
        <v>747253</v>
      </c>
      <c r="O347" t="str">
        <f>IF(Worksheet!AJ347="","",Worksheet!AJ347)</f>
        <v/>
      </c>
      <c r="P347" t="str">
        <f>IF(Worksheet!AK347="","",Worksheet!AK347)</f>
        <v/>
      </c>
    </row>
    <row r="348" spans="1:16" x14ac:dyDescent="0.3">
      <c r="A348" t="str">
        <v>Emiel Vanderhelstraeten</v>
      </c>
      <c r="B348" t="str">
        <v>anneleendesmet1978@outlook.com</v>
      </c>
      <c r="C348" t="str">
        <v/>
      </c>
      <c r="D348" t="str">
        <v/>
      </c>
      <c r="E348" s="2">
        <v>666306</v>
      </c>
      <c r="F348" t="str">
        <v>J21 A HAANTJES CERTIFISC OUDENAARDE</v>
      </c>
      <c r="G348" t="str">
        <v>Speler</v>
      </c>
      <c r="J348" t="str">
        <f>Worksheet!C348&amp;" "&amp;Worksheet!B348</f>
        <v>Wolf Godefroot</v>
      </c>
      <c r="K348" t="str">
        <f>Worksheet!AM348</f>
        <v/>
      </c>
      <c r="L348" t="str">
        <f>Worksheet!AN348</f>
        <v>+32473683008</v>
      </c>
      <c r="M348" t="str">
        <f>IF(Worksheet!AE348="","",Worksheet!AE348)</f>
        <v/>
      </c>
      <c r="N348" t="str">
        <f>IF(Worksheet!AG348="","",Worksheet!AG348)</f>
        <v/>
      </c>
      <c r="O348" t="str">
        <f>IF(Worksheet!AJ348="","",Worksheet!AJ348)</f>
        <v/>
      </c>
      <c r="P348" t="str">
        <f>IF(Worksheet!AK348="","",Worksheet!AK348)</f>
        <v/>
      </c>
    </row>
    <row r="349" spans="1:16" x14ac:dyDescent="0.3">
      <c r="A349" t="str">
        <v>Auguste Vanderschueren</v>
      </c>
      <c r="B349" t="str">
        <v>olivier.vanderschueren@safetyjogger.com</v>
      </c>
      <c r="C349" t="str">
        <v/>
      </c>
      <c r="D349" t="str">
        <v/>
      </c>
      <c r="E349" s="2" t="str">
        <v/>
      </c>
      <c r="F349" t="str">
        <v>G08 Geel HAANTJES CERTIFISC OUDENAARDE</v>
      </c>
      <c r="G349" t="str">
        <v>Speler</v>
      </c>
      <c r="J349" t="str">
        <f>Worksheet!C349&amp;" "&amp;Worksheet!B349</f>
        <v>Oben Godpower</v>
      </c>
      <c r="K349" t="str">
        <f>Worksheet!AM349</f>
        <v/>
      </c>
      <c r="L349" t="str">
        <f>Worksheet!AN349</f>
        <v>+32497885450</v>
      </c>
      <c r="M349" t="str">
        <f>IF(Worksheet!AE349="","",Worksheet!AE349)</f>
        <v/>
      </c>
      <c r="N349" t="str">
        <f>IF(Worksheet!AG349="","",Worksheet!AG349)</f>
        <v/>
      </c>
      <c r="O349" t="str">
        <f>IF(Worksheet!AJ349="","",Worksheet!AJ349)</f>
        <v>G14 B Haantjes CERTIFISC Oudenaarde</v>
      </c>
      <c r="P349" t="str">
        <f>IF(Worksheet!AK349="","",Worksheet!AK349)</f>
        <v>Speler</v>
      </c>
    </row>
    <row r="350" spans="1:16" x14ac:dyDescent="0.3">
      <c r="A350" t="str">
        <v>Lucas Vanderstraeten</v>
      </c>
      <c r="B350" t="str">
        <v/>
      </c>
      <c r="C350" t="str">
        <v>+32496654860</v>
      </c>
      <c r="D350" t="str">
        <v>https://app.twizzit.com/public/photos/3447788/s/a21b510884c5e068d9fd07894f967e10ecef7568.png</v>
      </c>
      <c r="E350" s="2" t="str">
        <v/>
      </c>
      <c r="F350" t="str">
        <v>G12 Blauw HAANTJES CERTIFISC OUDENAARDE</v>
      </c>
      <c r="G350" t="str">
        <v>Speler</v>
      </c>
      <c r="J350" t="str">
        <f>Worksheet!C350&amp;" "&amp;Worksheet!B350</f>
        <v>Briek Goossens</v>
      </c>
      <c r="K350" t="str">
        <f>Worksheet!AM350</f>
        <v>slimmerik.briek@gmail.com</v>
      </c>
      <c r="L350" t="str">
        <f>Worksheet!AN350</f>
        <v>+32495362023</v>
      </c>
      <c r="M350" t="str">
        <f>IF(Worksheet!AE350="","",Worksheet!AE350)</f>
        <v/>
      </c>
      <c r="N350">
        <f>IF(Worksheet!AG350="","",Worksheet!AG350)</f>
        <v>735147</v>
      </c>
      <c r="O350" t="str">
        <f>IF(Worksheet!AJ350="","",Worksheet!AJ350)</f>
        <v>J16 A Haantjes CERTIFISC Oudenaarde</v>
      </c>
      <c r="P350" t="str">
        <f>IF(Worksheet!AK350="","",Worksheet!AK350)</f>
        <v>Speler</v>
      </c>
    </row>
    <row r="351" spans="1:16" x14ac:dyDescent="0.3">
      <c r="A351" t="str">
        <v>Lucas Vanderstraeten</v>
      </c>
      <c r="B351" t="str">
        <v/>
      </c>
      <c r="C351" t="str">
        <v>+32496654860</v>
      </c>
      <c r="D351" t="str">
        <v>https://app.twizzit.com/public/photos/3447788/s/a21b510884c5e068d9fd07894f967e10ecef7568.png</v>
      </c>
      <c r="E351" s="2" t="str">
        <v/>
      </c>
      <c r="F351" t="str">
        <v>Zomerstage 2026 (Blankenberge)</v>
      </c>
      <c r="G351" t="str">
        <v>Speler</v>
      </c>
      <c r="J351" t="str">
        <f>Worksheet!C351&amp;" "&amp;Worksheet!B351</f>
        <v>Briek Goossens</v>
      </c>
      <c r="K351" t="str">
        <f>Worksheet!AM351</f>
        <v>slimmerik.briek@gmail.com</v>
      </c>
      <c r="L351" t="str">
        <f>Worksheet!AN351</f>
        <v>+32495362023</v>
      </c>
      <c r="M351" t="str">
        <f>IF(Worksheet!AE351="","",Worksheet!AE351)</f>
        <v/>
      </c>
      <c r="N351">
        <f>IF(Worksheet!AG351="","",Worksheet!AG351)</f>
        <v>735147</v>
      </c>
      <c r="O351" t="str">
        <f>IF(Worksheet!AJ351="","",Worksheet!AJ351)</f>
        <v>Zomerstage 2026 (Blankenberge)</v>
      </c>
      <c r="P351" t="str">
        <f>IF(Worksheet!AK351="","",Worksheet!AK351)</f>
        <v>Speler</v>
      </c>
    </row>
    <row r="352" spans="1:16" x14ac:dyDescent="0.3">
      <c r="A352" t="str">
        <v>Lucas Vanderstraeten</v>
      </c>
      <c r="B352" t="str">
        <v/>
      </c>
      <c r="C352" t="str">
        <v>+32496654860</v>
      </c>
      <c r="D352" t="str">
        <v>https://app.twizzit.com/public/photos/3447788/s/a21b510884c5e068d9fd07894f967e10ecef7568.png</v>
      </c>
      <c r="E352" s="2" t="str">
        <v/>
      </c>
      <c r="F352" t="str">
        <v>Zomerstage 2026 U10 &amp; U12 (Oudenaarde)</v>
      </c>
      <c r="G352" t="str">
        <v>Speler</v>
      </c>
      <c r="J352" t="str">
        <f>Worksheet!C352&amp;" "&amp;Worksheet!B352</f>
        <v>Dries Goossens</v>
      </c>
      <c r="K352" t="str">
        <f>Worksheet!AM352</f>
        <v/>
      </c>
      <c r="L352" t="str">
        <f>Worksheet!AN352</f>
        <v/>
      </c>
      <c r="M352" t="str">
        <f>IF(Worksheet!AE352="","",Worksheet!AE352)</f>
        <v/>
      </c>
      <c r="N352">
        <f>IF(Worksheet!AG352="","",Worksheet!AG352)</f>
        <v>727876</v>
      </c>
      <c r="O352" t="str">
        <f>IF(Worksheet!AJ352="","",Worksheet!AJ352)</f>
        <v/>
      </c>
      <c r="P352" t="str">
        <f>IF(Worksheet!AK352="","",Worksheet!AK352)</f>
        <v/>
      </c>
    </row>
    <row r="353" spans="1:16" x14ac:dyDescent="0.3">
      <c r="A353" t="str">
        <v>Flo Vandewege</v>
      </c>
      <c r="B353" t="str">
        <v>diedev@hotmail.com</v>
      </c>
      <c r="C353" t="str">
        <v>+32497914889</v>
      </c>
      <c r="D353" t="str">
        <v>https://app.twizzit.com/public/photos/10452584/s/5f2777167147a40d5e0cdf16d10044b2680e0e8c.png</v>
      </c>
      <c r="E353" s="2" t="str">
        <v/>
      </c>
      <c r="F353" t="str">
        <v>G08 Groen HAANTJES CERTIFISC OUDENAARDE</v>
      </c>
      <c r="G353" t="str">
        <v>Speler</v>
      </c>
      <c r="J353" t="str">
        <f>Worksheet!C353&amp;" "&amp;Worksheet!B353</f>
        <v>Olivier Goossens</v>
      </c>
      <c r="K353" t="str">
        <f>Worksheet!AM353</f>
        <v/>
      </c>
      <c r="L353" t="str">
        <f>Worksheet!AN353</f>
        <v/>
      </c>
      <c r="M353" t="str">
        <f>IF(Worksheet!AE353="","",Worksheet!AE353)</f>
        <v>https://app.twizzit.com/public/photos/2934245/s/03a766ee1e50ca3bad05d69030cd7b4aca9e67ff.png</v>
      </c>
      <c r="N353">
        <f>IF(Worksheet!AG353="","",Worksheet!AG353)</f>
        <v>711026</v>
      </c>
      <c r="O353" t="str">
        <f>IF(Worksheet!AJ353="","",Worksheet!AJ353)</f>
        <v/>
      </c>
      <c r="P353" t="str">
        <f>IF(Worksheet!AK353="","",Worksheet!AK353)</f>
        <v/>
      </c>
    </row>
    <row r="354" spans="1:16" x14ac:dyDescent="0.3">
      <c r="A354" t="str">
        <v>Janne Vandriessche</v>
      </c>
      <c r="B354" t="str">
        <v>wout.vandriessche@telenet.be</v>
      </c>
      <c r="C354" t="str">
        <v>+32474875556</v>
      </c>
      <c r="D354" t="str">
        <v/>
      </c>
      <c r="E354" s="2">
        <v>703875</v>
      </c>
      <c r="F354" t="str">
        <v>M19 A Haantjes CERTIFISC Oudenaarde</v>
      </c>
      <c r="G354" t="str">
        <v>Speler</v>
      </c>
      <c r="J354" t="str">
        <f>Worksheet!C354&amp;" "&amp;Worksheet!B354</f>
        <v>Thomas Goossens</v>
      </c>
      <c r="K354" t="str">
        <f>Worksheet!AM354</f>
        <v/>
      </c>
      <c r="L354" t="str">
        <f>Worksheet!AN354</f>
        <v>+32477281468</v>
      </c>
      <c r="M354" t="str">
        <f>IF(Worksheet!AE354="","",Worksheet!AE354)</f>
        <v>https://app.twizzit.com/public/photos/2182921/s/d5ec4bbccbaf575bfa3a597df60827a1e6809d4b.png</v>
      </c>
      <c r="N354">
        <f>IF(Worksheet!AG354="","",Worksheet!AG354)</f>
        <v>708299</v>
      </c>
      <c r="O354" t="str">
        <f>IF(Worksheet!AJ354="","",Worksheet!AJ354)</f>
        <v>J21 A HAANTJES CERTIFISC OUDENAARDE</v>
      </c>
      <c r="P354" t="str">
        <f>IF(Worksheet!AK354="","",Worksheet!AK354)</f>
        <v>Speler</v>
      </c>
    </row>
    <row r="355" spans="1:16" x14ac:dyDescent="0.3">
      <c r="A355" t="str">
        <v>Anaïs Vanhessche</v>
      </c>
      <c r="B355" t="str">
        <v>miekevanderhaeghen@gmail.com</v>
      </c>
      <c r="C355" t="str">
        <v>+32477741955</v>
      </c>
      <c r="D355" t="str">
        <v>https://app.twizzit.com/public/photos/2183392/s/3035381a43296f702255c02c3c99c4303bd9ab17.png</v>
      </c>
      <c r="E355" s="2">
        <v>730033</v>
      </c>
      <c r="F355" t="str">
        <v>M16 A Haantjes CERTIFISC  Oudenaarde</v>
      </c>
      <c r="G355" t="str">
        <v>Speler</v>
      </c>
      <c r="J355" t="str">
        <f>Worksheet!C355&amp;" "&amp;Worksheet!B355</f>
        <v>Thomas Goossens</v>
      </c>
      <c r="K355" t="str">
        <f>Worksheet!AM355</f>
        <v/>
      </c>
      <c r="L355" t="str">
        <f>Worksheet!AN355</f>
        <v>+32477281468</v>
      </c>
      <c r="M355" t="str">
        <f>IF(Worksheet!AE355="","",Worksheet!AE355)</f>
        <v>https://app.twizzit.com/public/photos/2182921/s/d5ec4bbccbaf575bfa3a597df60827a1e6809d4b.png</v>
      </c>
      <c r="N355">
        <f>IF(Worksheet!AG355="","",Worksheet!AG355)</f>
        <v>708299</v>
      </c>
      <c r="O355" t="str">
        <f>IF(Worksheet!AJ355="","",Worksheet!AJ355)</f>
        <v>HSE B Haantjes Certifisc Oudenaarde</v>
      </c>
      <c r="P355" t="str">
        <f>IF(Worksheet!AK355="","",Worksheet!AK355)</f>
        <v>Speler</v>
      </c>
    </row>
    <row r="356" spans="1:16" x14ac:dyDescent="0.3">
      <c r="A356" t="str">
        <v>Anaïs Vanhessche</v>
      </c>
      <c r="B356" t="str">
        <v>miekevanderhaeghen@gmail.com</v>
      </c>
      <c r="C356" t="str">
        <v>+32477741955</v>
      </c>
      <c r="D356" t="str">
        <v>https://app.twizzit.com/public/photos/2183392/s/3035381a43296f702255c02c3c99c4303bd9ab17.png</v>
      </c>
      <c r="E356" s="2">
        <v>730033</v>
      </c>
      <c r="F356" t="str">
        <v>Zomerstage 2026 (Blankenberge)</v>
      </c>
      <c r="G356" t="str">
        <v>Speler</v>
      </c>
      <c r="J356" t="str">
        <f>Worksheet!C356&amp;" "&amp;Worksheet!B356</f>
        <v>Tuur Goossens</v>
      </c>
      <c r="K356" t="str">
        <f>Worksheet!AM356</f>
        <v>vrolijke.tuur@gmail.com</v>
      </c>
      <c r="L356" t="str">
        <f>Worksheet!AN356</f>
        <v>+32478766076</v>
      </c>
      <c r="M356" t="str">
        <f>IF(Worksheet!AE356="","",Worksheet!AE356)</f>
        <v/>
      </c>
      <c r="N356">
        <f>IF(Worksheet!AG356="","",Worksheet!AG356)</f>
        <v>735148</v>
      </c>
      <c r="O356" t="str">
        <f>IF(Worksheet!AJ356="","",Worksheet!AJ356)</f>
        <v>G14 B Haantjes CERTIFISC Oudenaarde</v>
      </c>
      <c r="P356" t="str">
        <f>IF(Worksheet!AK356="","",Worksheet!AK356)</f>
        <v>Speler</v>
      </c>
    </row>
    <row r="357" spans="1:16" x14ac:dyDescent="0.3">
      <c r="A357" t="str">
        <v>Ronan Vanneste</v>
      </c>
      <c r="B357" t="str">
        <v>Koen.vanneste.k@gmail.com</v>
      </c>
      <c r="C357" t="str">
        <v>+32472817695</v>
      </c>
      <c r="D357" t="str">
        <v>https://app.twizzit.com/public/photos/7992424/s/7741759047d554aed7aaac84a694a4ea4a62b085.jpeg</v>
      </c>
      <c r="E357" s="2" t="str">
        <v/>
      </c>
      <c r="F357" t="str">
        <v>G08 Blauw HAANTJES CERTIFISC OUDENAARDE</v>
      </c>
      <c r="G357" t="str">
        <v>Speler</v>
      </c>
      <c r="J357" t="str">
        <f>Worksheet!C357&amp;" "&amp;Worksheet!B357</f>
        <v>Heike Guenter</v>
      </c>
      <c r="K357" t="str">
        <f>Worksheet!AM357</f>
        <v>Heike.guenter@telenet.be</v>
      </c>
      <c r="L357" t="str">
        <f>Worksheet!AN357</f>
        <v>+32456085054</v>
      </c>
      <c r="M357" t="str">
        <f>IF(Worksheet!AE357="","",Worksheet!AE357)</f>
        <v/>
      </c>
      <c r="N357">
        <f>IF(Worksheet!AG357="","",Worksheet!AG357)</f>
        <v>727038</v>
      </c>
      <c r="O357" t="str">
        <f>IF(Worksheet!AJ357="","",Worksheet!AJ357)</f>
        <v>DSE A Haantjes Certifisc Oudenaarde</v>
      </c>
      <c r="P357" t="str">
        <f>IF(Worksheet!AK357="","",Worksheet!AK357)</f>
        <v>Speler</v>
      </c>
    </row>
    <row r="358" spans="1:16" x14ac:dyDescent="0.3">
      <c r="A358" t="str">
        <v>Ronan Vanneste</v>
      </c>
      <c r="B358" t="str">
        <v>Koen.vanneste.k@gmail.com</v>
      </c>
      <c r="C358" t="str">
        <v>+32472817695</v>
      </c>
      <c r="D358" t="str">
        <v>https://app.twizzit.com/public/photos/7992424/s/7741759047d554aed7aaac84a694a4ea4a62b085.jpeg</v>
      </c>
      <c r="E358" s="2" t="str">
        <v/>
      </c>
      <c r="F358" t="str">
        <v>Zomerstage 2026 U8 (Oudenaarde)</v>
      </c>
      <c r="G358" t="str">
        <v>Speler</v>
      </c>
      <c r="J358" t="str">
        <f>Worksheet!C358&amp;" "&amp;Worksheet!B358</f>
        <v>Heike Guenter</v>
      </c>
      <c r="K358" t="str">
        <f>Worksheet!AM358</f>
        <v>Heike.guenter@telenet.be</v>
      </c>
      <c r="L358" t="str">
        <f>Worksheet!AN358</f>
        <v>+32456085054</v>
      </c>
      <c r="M358" t="str">
        <f>IF(Worksheet!AE358="","",Worksheet!AE358)</f>
        <v/>
      </c>
      <c r="N358">
        <f>IF(Worksheet!AG358="","",Worksheet!AG358)</f>
        <v>727038</v>
      </c>
      <c r="O358" t="str">
        <f>IF(Worksheet!AJ358="","",Worksheet!AJ358)</f>
        <v>Zomerstage 2026 (Blankenberge)</v>
      </c>
      <c r="P358" t="str">
        <f>IF(Worksheet!AK358="","",Worksheet!AK358)</f>
        <v>Speler</v>
      </c>
    </row>
    <row r="359" spans="1:16" x14ac:dyDescent="0.3">
      <c r="A359" t="str">
        <v>Joselien Vannieuwenhuyze</v>
      </c>
      <c r="B359" t="str">
        <v>elisabeth.vercammen@outlook.com</v>
      </c>
      <c r="C359" t="str">
        <v>+32494645568</v>
      </c>
      <c r="D359" t="str">
        <v>https://app.twizzit.com/public/photos/7500726/s/2eff7ed0f6739149e998067c7d82dda70894fc63.png</v>
      </c>
      <c r="E359" s="2" t="str">
        <v/>
      </c>
      <c r="F359" t="str">
        <v>M12 A HAANTJES CERTIFISC OUDENAARDE</v>
      </c>
      <c r="G359" t="str">
        <v>Speler</v>
      </c>
      <c r="J359" t="str">
        <f>Worksheet!C359&amp;" "&amp;Worksheet!B359</f>
        <v>Heike Guenter</v>
      </c>
      <c r="K359" t="str">
        <f>Worksheet!AM359</f>
        <v>Heike.guenter@telenet.be</v>
      </c>
      <c r="L359" t="str">
        <f>Worksheet!AN359</f>
        <v>+32456085054</v>
      </c>
      <c r="M359" t="str">
        <f>IF(Worksheet!AE359="","",Worksheet!AE359)</f>
        <v/>
      </c>
      <c r="N359">
        <f>IF(Worksheet!AG359="","",Worksheet!AG359)</f>
        <v>727038</v>
      </c>
      <c r="O359" t="str">
        <f>IF(Worksheet!AJ359="","",Worksheet!AJ359)</f>
        <v>M19 A Haantjes CERTIFISC Oudenaarde</v>
      </c>
      <c r="P359" t="str">
        <f>IF(Worksheet!AK359="","",Worksheet!AK359)</f>
        <v>Speler</v>
      </c>
    </row>
    <row r="360" spans="1:16" x14ac:dyDescent="0.3">
      <c r="A360" t="str">
        <v>Lias Velghe</v>
      </c>
      <c r="B360" t="str">
        <v>natacham_davidv@hotmail.be</v>
      </c>
      <c r="C360" t="str">
        <v>+32498593233</v>
      </c>
      <c r="D360" t="str">
        <v>https://app.twizzit.com/public/photos/3445768/s/4c884b157432a6deaaa18542df061bd432646fa3.png</v>
      </c>
      <c r="E360" s="2" t="str">
        <v/>
      </c>
      <c r="F360" t="str">
        <v>G10 Geel HAANTJES CERTIFISC OUDENAARDE</v>
      </c>
      <c r="G360" t="str">
        <v>Speler</v>
      </c>
      <c r="J360" t="str">
        <f>Worksheet!C360&amp;" "&amp;Worksheet!B360</f>
        <v>Viktor Guillaume</v>
      </c>
      <c r="K360" t="str">
        <f>Worksheet!AM360</f>
        <v>Dieter.Guillaume@gmail.com</v>
      </c>
      <c r="L360" t="str">
        <f>Worksheet!AN360</f>
        <v>+32486392021</v>
      </c>
      <c r="M360" t="str">
        <f>IF(Worksheet!AE360="","",Worksheet!AE360)</f>
        <v/>
      </c>
      <c r="N360" t="str">
        <f>IF(Worksheet!AG360="","",Worksheet!AG360)</f>
        <v/>
      </c>
      <c r="O360" t="str">
        <f>IF(Worksheet!AJ360="","",Worksheet!AJ360)</f>
        <v>G10 Blauw HAANTJES CERTIFISC OUDENAARDE</v>
      </c>
      <c r="P360" t="str">
        <f>IF(Worksheet!AK360="","",Worksheet!AK360)</f>
        <v>Speler</v>
      </c>
    </row>
    <row r="361" spans="1:16" x14ac:dyDescent="0.3">
      <c r="A361" t="str">
        <v>Basile Verbrugghe</v>
      </c>
      <c r="B361" t="str">
        <v>Chrisverbrugghe@hotmail.com</v>
      </c>
      <c r="C361" t="str">
        <v>+32479311550</v>
      </c>
      <c r="D361" t="str">
        <v/>
      </c>
      <c r="E361" s="2" t="str">
        <v/>
      </c>
      <c r="F361" t="str">
        <v>G10 Geel HAANTJES CERTIFISC OUDENAARDE</v>
      </c>
      <c r="G361" t="str">
        <v>Speler</v>
      </c>
      <c r="J361" t="str">
        <f>Worksheet!C361&amp;" "&amp;Worksheet!B361</f>
        <v>Eva Haffner</v>
      </c>
      <c r="K361" t="str">
        <f>Worksheet!AM361</f>
        <v>haffner.r@hotmail.com</v>
      </c>
      <c r="L361" t="str">
        <f>Worksheet!AN361</f>
        <v>+32470654159</v>
      </c>
      <c r="M361" t="str">
        <f>IF(Worksheet!AE361="","",Worksheet!AE361)</f>
        <v/>
      </c>
      <c r="N361" t="str">
        <f>IF(Worksheet!AG361="","",Worksheet!AG361)</f>
        <v/>
      </c>
      <c r="O361" t="str">
        <f>IF(Worksheet!AJ361="","",Worksheet!AJ361)</f>
        <v/>
      </c>
      <c r="P361" t="str">
        <f>IF(Worksheet!AK361="","",Worksheet!AK361)</f>
        <v/>
      </c>
    </row>
    <row r="362" spans="1:16" x14ac:dyDescent="0.3">
      <c r="A362" t="str">
        <v>Lente Verhaeghe</v>
      </c>
      <c r="B362" t="str">
        <v>verhaeghelente@gmail.com</v>
      </c>
      <c r="C362" t="str">
        <v/>
      </c>
      <c r="D362" t="str">
        <v>https://app.twizzit.com/public/photos/3706826/s/7283d518f82547e0fb530790cddedb0edf0a5785.jpeg</v>
      </c>
      <c r="E362" s="2" t="str">
        <v/>
      </c>
      <c r="F362" t="str">
        <v>DSE A Haantjes Certifisc Oudenaarde</v>
      </c>
      <c r="G362" t="str">
        <v>Speler</v>
      </c>
      <c r="J362" t="str">
        <f>Worksheet!C362&amp;" "&amp;Worksheet!B362</f>
        <v>Laura Hakuzimana</v>
      </c>
      <c r="K362" t="str">
        <f>Worksheet!AM362</f>
        <v/>
      </c>
      <c r="L362" t="str">
        <f>Worksheet!AN362</f>
        <v>+32496950967</v>
      </c>
      <c r="M362" t="str">
        <f>IF(Worksheet!AE362="","",Worksheet!AE362)</f>
        <v/>
      </c>
      <c r="N362">
        <f>IF(Worksheet!AG362="","",Worksheet!AG362)</f>
        <v>721092</v>
      </c>
      <c r="O362" t="str">
        <f>IF(Worksheet!AJ362="","",Worksheet!AJ362)</f>
        <v>M16 A Haantjes CERTIFISC  Oudenaarde</v>
      </c>
      <c r="P362" t="str">
        <f>IF(Worksheet!AK362="","",Worksheet!AK362)</f>
        <v>Speler</v>
      </c>
    </row>
    <row r="363" spans="1:16" x14ac:dyDescent="0.3">
      <c r="A363" t="str">
        <v>Lente Verhaeghe</v>
      </c>
      <c r="B363" t="str">
        <v>verhaeghelente@gmail.com</v>
      </c>
      <c r="C363" t="str">
        <v/>
      </c>
      <c r="D363" t="str">
        <v>https://app.twizzit.com/public/photos/3706826/s/7283d518f82547e0fb530790cddedb0edf0a5785.jpeg</v>
      </c>
      <c r="E363" s="2" t="str">
        <v/>
      </c>
      <c r="F363" t="str">
        <v>Zomerstage 2026 (Blankenberge)</v>
      </c>
      <c r="G363" t="str">
        <v>Speler</v>
      </c>
      <c r="J363" t="str">
        <f>Worksheet!C363&amp;" "&amp;Worksheet!B363</f>
        <v>Laura Hakuzimana</v>
      </c>
      <c r="K363" t="str">
        <f>Worksheet!AM363</f>
        <v/>
      </c>
      <c r="L363" t="str">
        <f>Worksheet!AN363</f>
        <v>+32496950967</v>
      </c>
      <c r="M363" t="str">
        <f>IF(Worksheet!AE363="","",Worksheet!AE363)</f>
        <v/>
      </c>
      <c r="N363">
        <f>IF(Worksheet!AG363="","",Worksheet!AG363)</f>
        <v>721092</v>
      </c>
      <c r="O363" t="str">
        <f>IF(Worksheet!AJ363="","",Worksheet!AJ363)</f>
        <v>Zomerstage 2026 (Blankenberge)</v>
      </c>
      <c r="P363" t="str">
        <f>IF(Worksheet!AK363="","",Worksheet!AK363)</f>
        <v>Speler</v>
      </c>
    </row>
    <row r="364" spans="1:16" x14ac:dyDescent="0.3">
      <c r="A364" t="str">
        <v>Lente Verhaeghe</v>
      </c>
      <c r="B364" t="str">
        <v>verhaeghelente@gmail.com</v>
      </c>
      <c r="C364" t="str">
        <v/>
      </c>
      <c r="D364" t="str">
        <v>https://app.twizzit.com/public/photos/3706826/s/7283d518f82547e0fb530790cddedb0edf0a5785.jpeg</v>
      </c>
      <c r="E364" s="2" t="str">
        <v/>
      </c>
      <c r="F364" t="str">
        <v>M19 A Haantjes CERTIFISC Oudenaarde</v>
      </c>
      <c r="G364" t="str">
        <v>Speler</v>
      </c>
      <c r="J364" t="str">
        <f>Worksheet!C364&amp;" "&amp;Worksheet!B364</f>
        <v>Sander Hakuzimana</v>
      </c>
      <c r="K364" t="str">
        <f>Worksheet!AM364</f>
        <v/>
      </c>
      <c r="L364" t="str">
        <f>Worksheet!AN364</f>
        <v>+32467059655</v>
      </c>
      <c r="M364" t="str">
        <f>IF(Worksheet!AE364="","",Worksheet!AE364)</f>
        <v/>
      </c>
      <c r="N364" t="str">
        <f>IF(Worksheet!AG364="","",Worksheet!AG364)</f>
        <v/>
      </c>
      <c r="O364" t="str">
        <f>IF(Worksheet!AJ364="","",Worksheet!AJ364)</f>
        <v>J21 A HAANTJES CERTIFISC OUDENAARDE</v>
      </c>
      <c r="P364" t="str">
        <f>IF(Worksheet!AK364="","",Worksheet!AK364)</f>
        <v>Speler</v>
      </c>
    </row>
    <row r="365" spans="1:16" x14ac:dyDescent="0.3">
      <c r="A365" t="str">
        <v>Debbie Verhelst</v>
      </c>
      <c r="B365" t="str">
        <v/>
      </c>
      <c r="C365" t="str">
        <v/>
      </c>
      <c r="D365" t="str">
        <v/>
      </c>
      <c r="E365" s="2">
        <v>181550</v>
      </c>
      <c r="F365" t="str">
        <v>G08 Geel HAANTJES CERTIFISC OUDENAARDE</v>
      </c>
      <c r="G365" t="str">
        <v>Coach</v>
      </c>
      <c r="J365" t="str">
        <f>Worksheet!C365&amp;" "&amp;Worksheet!B365</f>
        <v>Sander Hakuzimana</v>
      </c>
      <c r="K365" t="str">
        <f>Worksheet!AM365</f>
        <v/>
      </c>
      <c r="L365" t="str">
        <f>Worksheet!AN365</f>
        <v>+32467059655</v>
      </c>
      <c r="M365" t="str">
        <f>IF(Worksheet!AE365="","",Worksheet!AE365)</f>
        <v/>
      </c>
      <c r="N365" t="str">
        <f>IF(Worksheet!AG365="","",Worksheet!AG365)</f>
        <v/>
      </c>
      <c r="O365" t="str">
        <f>IF(Worksheet!AJ365="","",Worksheet!AJ365)</f>
        <v>HSE B Haantjes Certifisc Oudenaarde</v>
      </c>
      <c r="P365" t="str">
        <f>IF(Worksheet!AK365="","",Worksheet!AK365)</f>
        <v>Speler</v>
      </c>
    </row>
    <row r="366" spans="1:16" x14ac:dyDescent="0.3">
      <c r="A366" t="str">
        <v>Viek Verhoeyen</v>
      </c>
      <c r="B366" t="str">
        <v/>
      </c>
      <c r="C366" t="str">
        <v>+32470229908</v>
      </c>
      <c r="D366" t="str">
        <v/>
      </c>
      <c r="E366" s="2" t="str">
        <v/>
      </c>
      <c r="F366" t="str">
        <v>G14 B Haantjes CERTIFISC Oudenaarde</v>
      </c>
      <c r="G366" t="str">
        <v>Speler</v>
      </c>
      <c r="J366" t="str">
        <f>Worksheet!C366&amp;" "&amp;Worksheet!B366</f>
        <v>Guillaume Hardeel</v>
      </c>
      <c r="K366" t="str">
        <f>Worksheet!AM366</f>
        <v>guillaume.hardeel@outlook.be</v>
      </c>
      <c r="L366" t="str">
        <f>Worksheet!AN366</f>
        <v/>
      </c>
      <c r="M366" t="str">
        <f>IF(Worksheet!AE366="","",Worksheet!AE366)</f>
        <v/>
      </c>
      <c r="N366">
        <f>IF(Worksheet!AG366="","",Worksheet!AG366)</f>
        <v>630471</v>
      </c>
      <c r="O366" t="str">
        <f>IF(Worksheet!AJ366="","",Worksheet!AJ366)</f>
        <v/>
      </c>
      <c r="P366" t="str">
        <f>IF(Worksheet!AK366="","",Worksheet!AK366)</f>
        <v/>
      </c>
    </row>
    <row r="367" spans="1:16" x14ac:dyDescent="0.3">
      <c r="A367" t="str">
        <v>Emma Verleyen</v>
      </c>
      <c r="B367" t="str">
        <v>emma.verleyen094@gmail.com</v>
      </c>
      <c r="C367" t="str">
        <v>+32496129595</v>
      </c>
      <c r="D367" t="str">
        <v/>
      </c>
      <c r="E367" s="2" t="str">
        <v/>
      </c>
      <c r="F367" t="str">
        <v>M16 A Haantjes CERTIFISC  Oudenaarde</v>
      </c>
      <c r="G367" t="str">
        <v>Speler</v>
      </c>
      <c r="J367" t="str">
        <f>Worksheet!C367&amp;" "&amp;Worksheet!B367</f>
        <v>Mathijs Hebbelynck</v>
      </c>
      <c r="K367" t="str">
        <f>Worksheet!AM367</f>
        <v>bhebbelynck@gmail.com</v>
      </c>
      <c r="L367" t="str">
        <f>Worksheet!AN367</f>
        <v>+32498670082</v>
      </c>
      <c r="M367" t="str">
        <f>IF(Worksheet!AE367="","",Worksheet!AE367)</f>
        <v/>
      </c>
      <c r="N367" t="str">
        <f>IF(Worksheet!AG367="","",Worksheet!AG367)</f>
        <v/>
      </c>
      <c r="O367" t="str">
        <f>IF(Worksheet!AJ367="","",Worksheet!AJ367)</f>
        <v/>
      </c>
      <c r="P367" t="str">
        <f>IF(Worksheet!AK367="","",Worksheet!AK367)</f>
        <v/>
      </c>
    </row>
    <row r="368" spans="1:16" x14ac:dyDescent="0.3">
      <c r="A368" t="str">
        <v>Emma Verleyen</v>
      </c>
      <c r="B368" t="str">
        <v>emma.verleyen094@gmail.com</v>
      </c>
      <c r="C368" t="str">
        <v>+32496129595</v>
      </c>
      <c r="D368" t="str">
        <v/>
      </c>
      <c r="E368" s="2" t="str">
        <v/>
      </c>
      <c r="F368" t="str">
        <v>Zomerstage 2026 (Blankenberge)</v>
      </c>
      <c r="G368" t="str">
        <v>Speler</v>
      </c>
      <c r="J368" t="str">
        <f>Worksheet!C368&amp;" "&amp;Worksheet!B368</f>
        <v>Ali Heerman</v>
      </c>
      <c r="K368" t="str">
        <f>Worksheet!AM368</f>
        <v/>
      </c>
      <c r="L368" t="str">
        <f>Worksheet!AN368</f>
        <v/>
      </c>
      <c r="M368" t="str">
        <f>IF(Worksheet!AE368="","",Worksheet!AE368)</f>
        <v/>
      </c>
      <c r="N368" t="str">
        <f>IF(Worksheet!AG368="","",Worksheet!AG368)</f>
        <v/>
      </c>
      <c r="O368" t="str">
        <f>IF(Worksheet!AJ368="","",Worksheet!AJ368)</f>
        <v/>
      </c>
      <c r="P368" t="str">
        <f>IF(Worksheet!AK368="","",Worksheet!AK368)</f>
        <v/>
      </c>
    </row>
    <row r="369" spans="1:16" x14ac:dyDescent="0.3">
      <c r="A369" t="str">
        <v>Emiel Verlinden</v>
      </c>
      <c r="B369" t="str">
        <v/>
      </c>
      <c r="C369" t="str">
        <v>+32478376691</v>
      </c>
      <c r="D369" t="str">
        <v/>
      </c>
      <c r="E369" s="2">
        <v>733989</v>
      </c>
      <c r="F369" t="str">
        <v>J18 B Haantjes CERTIFISC Oudenaarde</v>
      </c>
      <c r="G369" t="str">
        <v>Speler</v>
      </c>
      <c r="J369" t="str">
        <f>Worksheet!C369&amp;" "&amp;Worksheet!B369</f>
        <v>Babette Heerman</v>
      </c>
      <c r="K369" t="str">
        <f>Worksheet!AM369</f>
        <v/>
      </c>
      <c r="L369" t="str">
        <f>Worksheet!AN369</f>
        <v>+32494139188</v>
      </c>
      <c r="M369" t="str">
        <f>IF(Worksheet!AE369="","",Worksheet!AE369)</f>
        <v>https://app.twizzit.com/public/photos/2182962/s/678de8b1828bb3edb726733948e3f8b1d0b8d6f4.png</v>
      </c>
      <c r="N369">
        <f>IF(Worksheet!AG369="","",Worksheet!AG369)</f>
        <v>668596</v>
      </c>
      <c r="O369" t="str">
        <f>IF(Worksheet!AJ369="","",Worksheet!AJ369)</f>
        <v/>
      </c>
      <c r="P369" t="str">
        <f>IF(Worksheet!AK369="","",Worksheet!AK369)</f>
        <v/>
      </c>
    </row>
    <row r="370" spans="1:16" x14ac:dyDescent="0.3">
      <c r="A370" t="str">
        <v>Lucas Verlinden</v>
      </c>
      <c r="B370" t="str">
        <v/>
      </c>
      <c r="C370" t="str">
        <v>+32486682066</v>
      </c>
      <c r="D370" t="str">
        <v/>
      </c>
      <c r="E370" s="2" t="str">
        <v/>
      </c>
      <c r="F370" t="str">
        <v>Zomerstage 2026 (Blankenberge)</v>
      </c>
      <c r="G370" t="str">
        <v>Speler</v>
      </c>
      <c r="J370" t="str">
        <f>Worksheet!C370&amp;" "&amp;Worksheet!B370</f>
        <v>Marcel Heerman</v>
      </c>
      <c r="K370" t="str">
        <f>Worksheet!AM370</f>
        <v/>
      </c>
      <c r="L370" t="str">
        <f>Worksheet!AN370</f>
        <v>+32494139188</v>
      </c>
      <c r="M370" t="str">
        <f>IF(Worksheet!AE370="","",Worksheet!AE370)</f>
        <v>https://app.twizzit.com/public/photos/2182967/s/54b7da2d9b89a11ac01b0e47a5e1459ba7405e68.png</v>
      </c>
      <c r="N370">
        <f>IF(Worksheet!AG370="","",Worksheet!AG370)</f>
        <v>668593</v>
      </c>
      <c r="O370" t="str">
        <f>IF(Worksheet!AJ370="","",Worksheet!AJ370)</f>
        <v/>
      </c>
      <c r="P370" t="str">
        <f>IF(Worksheet!AK370="","",Worksheet!AK370)</f>
        <v/>
      </c>
    </row>
    <row r="371" spans="1:16" x14ac:dyDescent="0.3">
      <c r="A371" t="str">
        <v>Lucas Verlinden</v>
      </c>
      <c r="B371" t="str">
        <v/>
      </c>
      <c r="C371" t="str">
        <v>+32486682066</v>
      </c>
      <c r="D371" t="str">
        <v/>
      </c>
      <c r="E371" s="2" t="str">
        <v/>
      </c>
      <c r="F371" t="str">
        <v>G12 Geel HAANTJES CERTIFISC OUDENAARDE</v>
      </c>
      <c r="G371" t="str">
        <v>Speler</v>
      </c>
      <c r="J371" t="str">
        <f>Worksheet!C371&amp;" "&amp;Worksheet!B371</f>
        <v>Ron Heestermans</v>
      </c>
      <c r="K371" t="str">
        <f>Worksheet!AM371</f>
        <v/>
      </c>
      <c r="L371" t="str">
        <f>Worksheet!AN371</f>
        <v>+32468152536</v>
      </c>
      <c r="M371" t="str">
        <f>IF(Worksheet!AE371="","",Worksheet!AE371)</f>
        <v/>
      </c>
      <c r="N371" t="str">
        <f>IF(Worksheet!AG371="","",Worksheet!AG371)</f>
        <v/>
      </c>
      <c r="O371" t="str">
        <f>IF(Worksheet!AJ371="","",Worksheet!AJ371)</f>
        <v>M16 A Haantjes CERTIFISC  Oudenaarde</v>
      </c>
      <c r="P371" t="str">
        <f>IF(Worksheet!AK371="","",Worksheet!AK371)</f>
        <v>Coach</v>
      </c>
    </row>
    <row r="372" spans="1:16" x14ac:dyDescent="0.3">
      <c r="A372" t="str">
        <v>Mauro Vermassen</v>
      </c>
      <c r="B372" t="str">
        <v>twizzit@kevinvermassen.be</v>
      </c>
      <c r="C372" t="str">
        <v>+32497427216</v>
      </c>
      <c r="D372" t="str">
        <v/>
      </c>
      <c r="E372" s="2" t="str">
        <v/>
      </c>
      <c r="F372" t="str">
        <v>G14 B Haantjes CERTIFISC Oudenaarde</v>
      </c>
      <c r="G372" t="str">
        <v>Speler</v>
      </c>
      <c r="J372" t="str">
        <f>Worksheet!C372&amp;" "&amp;Worksheet!B372</f>
        <v>Elise Heijse</v>
      </c>
      <c r="K372" t="str">
        <f>Worksheet!AM372</f>
        <v/>
      </c>
      <c r="L372" t="str">
        <f>Worksheet!AN372</f>
        <v/>
      </c>
      <c r="M372" t="str">
        <f>IF(Worksheet!AE372="","",Worksheet!AE372)</f>
        <v/>
      </c>
      <c r="N372" t="str">
        <f>IF(Worksheet!AG372="","",Worksheet!AG372)</f>
        <v/>
      </c>
      <c r="O372" t="str">
        <f>IF(Worksheet!AJ372="","",Worksheet!AJ372)</f>
        <v/>
      </c>
      <c r="P372" t="str">
        <f>IF(Worksheet!AK372="","",Worksheet!AK372)</f>
        <v/>
      </c>
    </row>
    <row r="373" spans="1:16" x14ac:dyDescent="0.3">
      <c r="A373" t="str">
        <v>Nathan Vermassen</v>
      </c>
      <c r="B373" t="str">
        <v/>
      </c>
      <c r="C373" t="str">
        <v>+32498493330</v>
      </c>
      <c r="D373" t="str">
        <v/>
      </c>
      <c r="E373" s="2" t="str">
        <v/>
      </c>
      <c r="F373" t="str">
        <v>Zomerstage 2026 (Blankenberge)</v>
      </c>
      <c r="G373" t="str">
        <v>Speler</v>
      </c>
      <c r="J373" t="str">
        <f>Worksheet!C373&amp;" "&amp;Worksheet!B373</f>
        <v>Senne Heirbaut</v>
      </c>
      <c r="K373" t="str">
        <f>Worksheet!AM373</f>
        <v/>
      </c>
      <c r="L373" t="str">
        <f>Worksheet!AN373</f>
        <v/>
      </c>
      <c r="M373" t="str">
        <f>IF(Worksheet!AE373="","",Worksheet!AE373)</f>
        <v/>
      </c>
      <c r="N373" t="str">
        <f>IF(Worksheet!AG373="","",Worksheet!AG373)</f>
        <v/>
      </c>
      <c r="O373" t="str">
        <f>IF(Worksheet!AJ373="","",Worksheet!AJ373)</f>
        <v/>
      </c>
      <c r="P373" t="str">
        <f>IF(Worksheet!AK373="","",Worksheet!AK373)</f>
        <v/>
      </c>
    </row>
    <row r="374" spans="1:16" x14ac:dyDescent="0.3">
      <c r="A374" t="str">
        <v>Nathan Vermassen</v>
      </c>
      <c r="B374" t="str">
        <v/>
      </c>
      <c r="C374" t="str">
        <v>+32498493330</v>
      </c>
      <c r="D374" t="str">
        <v/>
      </c>
      <c r="E374" s="2" t="str">
        <v/>
      </c>
      <c r="F374" t="str">
        <v>G12 Blauw HAANTJES CERTIFISC OUDENAARDE</v>
      </c>
      <c r="G374" t="str">
        <v>Speler</v>
      </c>
      <c r="J374" t="str">
        <f>Worksheet!C374&amp;" "&amp;Worksheet!B374</f>
        <v>Paulien Herman</v>
      </c>
      <c r="K374" t="str">
        <f>Worksheet!AM374</f>
        <v/>
      </c>
      <c r="L374" t="str">
        <f>Worksheet!AN374</f>
        <v/>
      </c>
      <c r="M374" t="str">
        <f>IF(Worksheet!AE374="","",Worksheet!AE374)</f>
        <v/>
      </c>
      <c r="N374" t="str">
        <f>IF(Worksheet!AG374="","",Worksheet!AG374)</f>
        <v/>
      </c>
      <c r="O374" t="str">
        <f>IF(Worksheet!AJ374="","",Worksheet!AJ374)</f>
        <v/>
      </c>
      <c r="P374" t="str">
        <f>IF(Worksheet!AK374="","",Worksheet!AK374)</f>
        <v/>
      </c>
    </row>
    <row r="375" spans="1:16" x14ac:dyDescent="0.3">
      <c r="A375" t="str">
        <v>Matz Vermeerschen</v>
      </c>
      <c r="B375" t="str">
        <v>charlotte.vanmoorleghem1@gmail.com</v>
      </c>
      <c r="C375" t="str">
        <v/>
      </c>
      <c r="D375" t="str">
        <v/>
      </c>
      <c r="E375" s="2">
        <v>729844</v>
      </c>
      <c r="F375" t="str">
        <v>G14 A Haantjes CERTIFISC Oudenaarde</v>
      </c>
      <c r="G375" t="str">
        <v>Speler</v>
      </c>
      <c r="J375" t="str">
        <f>Worksheet!C375&amp;" "&amp;Worksheet!B375</f>
        <v>Arno Heyerick</v>
      </c>
      <c r="K375" t="str">
        <f>Worksheet!AM375</f>
        <v/>
      </c>
      <c r="L375" t="str">
        <f>Worksheet!AN375</f>
        <v>+32479480500</v>
      </c>
      <c r="M375" t="str">
        <f>IF(Worksheet!AE375="","",Worksheet!AE375)</f>
        <v/>
      </c>
      <c r="N375">
        <f>IF(Worksheet!AG375="","",Worksheet!AG375)</f>
        <v>665927</v>
      </c>
      <c r="O375" t="str">
        <f>IF(Worksheet!AJ375="","",Worksheet!AJ375)</f>
        <v>J21 A HAANTJES CERTIFISC OUDENAARDE</v>
      </c>
      <c r="P375" t="str">
        <f>IF(Worksheet!AK375="","",Worksheet!AK375)</f>
        <v>Speler</v>
      </c>
    </row>
    <row r="376" spans="1:16" x14ac:dyDescent="0.3">
      <c r="A376" t="str">
        <v>Matz Vermeerschen</v>
      </c>
      <c r="B376" t="str">
        <v>charlotte.vanmoorleghem1@gmail.com</v>
      </c>
      <c r="C376" t="str">
        <v/>
      </c>
      <c r="D376" t="str">
        <v/>
      </c>
      <c r="E376" s="2">
        <v>729844</v>
      </c>
      <c r="F376" t="str">
        <v>Zomerstage 2026 (Blankenberge)</v>
      </c>
      <c r="G376" t="str">
        <v>Speler</v>
      </c>
      <c r="J376" t="str">
        <f>Worksheet!C376&amp;" "&amp;Worksheet!B376</f>
        <v>Arno Heyerick</v>
      </c>
      <c r="K376" t="str">
        <f>Worksheet!AM376</f>
        <v/>
      </c>
      <c r="L376" t="str">
        <f>Worksheet!AN376</f>
        <v>+32479480500</v>
      </c>
      <c r="M376" t="str">
        <f>IF(Worksheet!AE376="","",Worksheet!AE376)</f>
        <v/>
      </c>
      <c r="N376">
        <f>IF(Worksheet!AG376="","",Worksheet!AG376)</f>
        <v>665927</v>
      </c>
      <c r="O376" t="str">
        <f>IF(Worksheet!AJ376="","",Worksheet!AJ376)</f>
        <v>HSE B Haantjes Certifisc Oudenaarde</v>
      </c>
      <c r="P376" t="str">
        <f>IF(Worksheet!AK376="","",Worksheet!AK376)</f>
        <v>Speler</v>
      </c>
    </row>
    <row r="377" spans="1:16" x14ac:dyDescent="0.3">
      <c r="A377" t="str">
        <v>Lander Verschatse</v>
      </c>
      <c r="B377" t="str">
        <v/>
      </c>
      <c r="C377" t="str">
        <v>+32468516883</v>
      </c>
      <c r="D377" t="str">
        <v>https://app.twizzit.com/public/photos/3557796/s/59f2bc8b383bb3e65d902c435f70a74103c4138d.png</v>
      </c>
      <c r="E377" s="2" t="str">
        <v/>
      </c>
      <c r="F377" t="str">
        <v>G12 Geel HAANTJES CERTIFISC OUDENAARDE</v>
      </c>
      <c r="G377" t="str">
        <v>Speler</v>
      </c>
      <c r="J377" t="str">
        <f>Worksheet!C377&amp;" "&amp;Worksheet!B377</f>
        <v>Lien Heyse</v>
      </c>
      <c r="K377" t="str">
        <f>Worksheet!AM377</f>
        <v/>
      </c>
      <c r="L377" t="str">
        <f>Worksheet!AN377</f>
        <v>+32493707989</v>
      </c>
      <c r="M377" t="str">
        <f>IF(Worksheet!AE377="","",Worksheet!AE377)</f>
        <v/>
      </c>
      <c r="N377">
        <f>IF(Worksheet!AG377="","",Worksheet!AG377)</f>
        <v>633338</v>
      </c>
      <c r="O377" t="str">
        <f>IF(Worksheet!AJ377="","",Worksheet!AJ377)</f>
        <v/>
      </c>
      <c r="P377" t="str">
        <f>IF(Worksheet!AK377="","",Worksheet!AK377)</f>
        <v/>
      </c>
    </row>
    <row r="378" spans="1:16" x14ac:dyDescent="0.3">
      <c r="A378" t="str">
        <v>Lena Verschatse</v>
      </c>
      <c r="B378" t="str">
        <v/>
      </c>
      <c r="C378" t="str">
        <v>+32468516883</v>
      </c>
      <c r="D378" t="str">
        <v/>
      </c>
      <c r="E378" s="2">
        <v>735282</v>
      </c>
      <c r="F378" t="str">
        <v>Zomerstage 2026 (Blankenberge)</v>
      </c>
      <c r="G378" t="str">
        <v>Speler</v>
      </c>
      <c r="J378" t="str">
        <f>Worksheet!C378&amp;" "&amp;Worksheet!B378</f>
        <v>Patrick Heyse</v>
      </c>
      <c r="K378" t="str">
        <f>Worksheet!AM378</f>
        <v/>
      </c>
      <c r="L378" t="str">
        <f>Worksheet!AN378</f>
        <v>+32476590142</v>
      </c>
      <c r="M378" t="str">
        <f>IF(Worksheet!AE378="","",Worksheet!AE378)</f>
        <v/>
      </c>
      <c r="N378" t="str">
        <f>IF(Worksheet!AG378="","",Worksheet!AG378)</f>
        <v/>
      </c>
      <c r="O378" t="str">
        <f>IF(Worksheet!AJ378="","",Worksheet!AJ378)</f>
        <v/>
      </c>
      <c r="P378" t="str">
        <f>IF(Worksheet!AK378="","",Worksheet!AK378)</f>
        <v/>
      </c>
    </row>
    <row r="379" spans="1:16" x14ac:dyDescent="0.3">
      <c r="A379" t="str">
        <v>Lena Verschatse</v>
      </c>
      <c r="B379" t="str">
        <v/>
      </c>
      <c r="C379" t="str">
        <v>+32468516883</v>
      </c>
      <c r="D379" t="str">
        <v/>
      </c>
      <c r="E379" s="2">
        <v>735282</v>
      </c>
      <c r="F379" t="str">
        <v>M19 A Haantjes CERTIFISC Oudenaarde</v>
      </c>
      <c r="G379" t="str">
        <v>Speler</v>
      </c>
      <c r="J379" t="str">
        <f>Worksheet!C379&amp;" "&amp;Worksheet!B379</f>
        <v>Joeri Hoerée</v>
      </c>
      <c r="K379" t="str">
        <f>Worksheet!AM379</f>
        <v>katty.tallieu@pandora.be</v>
      </c>
      <c r="L379" t="str">
        <f>Worksheet!AN379</f>
        <v/>
      </c>
      <c r="M379" t="str">
        <f>IF(Worksheet!AE379="","",Worksheet!AE379)</f>
        <v/>
      </c>
      <c r="N379" t="str">
        <f>IF(Worksheet!AG379="","",Worksheet!AG379)</f>
        <v/>
      </c>
      <c r="O379" t="str">
        <f>IF(Worksheet!AJ379="","",Worksheet!AJ379)</f>
        <v/>
      </c>
      <c r="P379" t="str">
        <f>IF(Worksheet!AK379="","",Worksheet!AK379)</f>
        <v/>
      </c>
    </row>
    <row r="380" spans="1:16" x14ac:dyDescent="0.3">
      <c r="A380" t="str">
        <v>Charlotte Verschueren</v>
      </c>
      <c r="B380" t="str">
        <v/>
      </c>
      <c r="C380" t="str">
        <v>+32474278078</v>
      </c>
      <c r="D380" t="str">
        <v>https://app.twizzit.com/public/photos/2183447/s/1f201bfdf86762e0642c70c1aa487baf5ab852bb.png</v>
      </c>
      <c r="E380" s="2">
        <v>241914</v>
      </c>
      <c r="F380" t="str">
        <v>G08 Groen HAANTJES CERTIFISC OUDENAARDE</v>
      </c>
      <c r="G380" t="str">
        <v>Coach</v>
      </c>
      <c r="J380" t="str">
        <f>Worksheet!C380&amp;" "&amp;Worksheet!B380</f>
        <v>Jonas Hollebar</v>
      </c>
      <c r="K380" t="str">
        <f>Worksheet!AM380</f>
        <v/>
      </c>
      <c r="L380" t="str">
        <f>Worksheet!AN380</f>
        <v>+32472994952</v>
      </c>
      <c r="M380" t="str">
        <f>IF(Worksheet!AE380="","",Worksheet!AE380)</f>
        <v/>
      </c>
      <c r="N380">
        <f>IF(Worksheet!AG380="","",Worksheet!AG380)</f>
        <v>601162</v>
      </c>
      <c r="O380" t="str">
        <f>IF(Worksheet!AJ380="","",Worksheet!AJ380)</f>
        <v/>
      </c>
      <c r="P380" t="str">
        <f>IF(Worksheet!AK380="","",Worksheet!AK380)</f>
        <v/>
      </c>
    </row>
    <row r="381" spans="1:16" x14ac:dyDescent="0.3">
      <c r="A381" t="str">
        <v>Nand Versmessen</v>
      </c>
      <c r="B381" t="str">
        <v>veerle_coussement@hotmail.com</v>
      </c>
      <c r="C381" t="str">
        <v>+32499030802</v>
      </c>
      <c r="D381" t="str">
        <v>https://app.twizzit.com/public/photos/3447367/s/f6e635bb7022dfc6607d762d0f4b7b25a59a85c4.png</v>
      </c>
      <c r="E381" s="2" t="str">
        <v/>
      </c>
      <c r="F381" t="str">
        <v>G10 Blauw HAANTJES CERTIFISC OUDENAARDE</v>
      </c>
      <c r="G381" t="str">
        <v>Speler</v>
      </c>
      <c r="J381" t="str">
        <f>Worksheet!C381&amp;" "&amp;Worksheet!B381</f>
        <v>Mihaèl Hoogervorst</v>
      </c>
      <c r="K381" t="str">
        <f>Worksheet!AM381</f>
        <v/>
      </c>
      <c r="L381" t="str">
        <f>Worksheet!AN381</f>
        <v>+32465557955</v>
      </c>
      <c r="M381" t="str">
        <f>IF(Worksheet!AE381="","",Worksheet!AE381)</f>
        <v/>
      </c>
      <c r="N381" t="str">
        <f>IF(Worksheet!AG381="","",Worksheet!AG381)</f>
        <v/>
      </c>
      <c r="O381" t="str">
        <f>IF(Worksheet!AJ381="","",Worksheet!AJ381)</f>
        <v/>
      </c>
      <c r="P381" t="str">
        <f>IF(Worksheet!AK381="","",Worksheet!AK381)</f>
        <v/>
      </c>
    </row>
    <row r="382" spans="1:16" x14ac:dyDescent="0.3">
      <c r="A382" t="str">
        <v>Nand Versmessen</v>
      </c>
      <c r="B382" t="str">
        <v>veerle_coussement@hotmail.com</v>
      </c>
      <c r="C382" t="str">
        <v>+32499030802</v>
      </c>
      <c r="D382" t="str">
        <v>https://app.twizzit.com/public/photos/3447367/s/f6e635bb7022dfc6607d762d0f4b7b25a59a85c4.png</v>
      </c>
      <c r="E382" s="2" t="str">
        <v/>
      </c>
      <c r="F382" t="str">
        <v>Zomerstage 2026 U10 &amp; U12 (Oudenaarde)</v>
      </c>
      <c r="G382" t="str">
        <v>Speler</v>
      </c>
      <c r="J382" t="str">
        <f>Worksheet!C382&amp;" "&amp;Worksheet!B382</f>
        <v>Liesbeth Hoste</v>
      </c>
      <c r="K382" t="str">
        <f>Worksheet!AM382</f>
        <v/>
      </c>
      <c r="L382" t="str">
        <f>Worksheet!AN382</f>
        <v>+32474721420</v>
      </c>
      <c r="M382" t="str">
        <f>IF(Worksheet!AE382="","",Worksheet!AE382)</f>
        <v/>
      </c>
      <c r="N382">
        <f>IF(Worksheet!AG382="","",Worksheet!AG382)</f>
        <v>742177</v>
      </c>
      <c r="O382" t="str">
        <f>IF(Worksheet!AJ382="","",Worksheet!AJ382)</f>
        <v/>
      </c>
      <c r="P382" t="str">
        <f>IF(Worksheet!AK382="","",Worksheet!AK382)</f>
        <v/>
      </c>
    </row>
    <row r="383" spans="1:16" x14ac:dyDescent="0.3">
      <c r="A383" t="str">
        <v>Bogdan Verstraete</v>
      </c>
      <c r="B383" t="str">
        <v>wtbi.verstraete@gmail.com</v>
      </c>
      <c r="C383" t="str">
        <v>+32468305290</v>
      </c>
      <c r="D383" t="str">
        <v/>
      </c>
      <c r="E383" s="2">
        <v>705479</v>
      </c>
      <c r="F383" t="str">
        <v>J21 A HAANTJES CERTIFISC OUDENAARDE</v>
      </c>
      <c r="G383" t="str">
        <v>Speler</v>
      </c>
      <c r="J383" t="str">
        <f>Worksheet!C383&amp;" "&amp;Worksheet!B383</f>
        <v>Lennert Huys</v>
      </c>
      <c r="K383" t="str">
        <f>Worksheet!AM383</f>
        <v/>
      </c>
      <c r="L383" t="str">
        <f>Worksheet!AN383</f>
        <v>+32498103578</v>
      </c>
      <c r="M383" t="str">
        <f>IF(Worksheet!AE383="","",Worksheet!AE383)</f>
        <v/>
      </c>
      <c r="N383">
        <f>IF(Worksheet!AG383="","",Worksheet!AG383)</f>
        <v>735041</v>
      </c>
      <c r="O383" t="str">
        <f>IF(Worksheet!AJ383="","",Worksheet!AJ383)</f>
        <v>G14 A Haantjes CERTIFISC Oudenaarde</v>
      </c>
      <c r="P383" t="str">
        <f>IF(Worksheet!AK383="","",Worksheet!AK383)</f>
        <v>Speler</v>
      </c>
    </row>
    <row r="384" spans="1:16" x14ac:dyDescent="0.3">
      <c r="A384" t="str">
        <v>Mats Verstraeten</v>
      </c>
      <c r="B384" t="str">
        <v/>
      </c>
      <c r="C384" t="str">
        <v>+32497152857</v>
      </c>
      <c r="D384" t="str">
        <v/>
      </c>
      <c r="E384" s="2" t="str">
        <v/>
      </c>
      <c r="F384" t="str">
        <v>J16 B Haantjes CERTIFISC Oudenaarde</v>
      </c>
      <c r="G384" t="str">
        <v>Speler</v>
      </c>
      <c r="J384" t="str">
        <f>Worksheet!C384&amp;" "&amp;Worksheet!B384</f>
        <v>Lennert Huys</v>
      </c>
      <c r="K384" t="str">
        <f>Worksheet!AM384</f>
        <v/>
      </c>
      <c r="L384" t="str">
        <f>Worksheet!AN384</f>
        <v>+32498103578</v>
      </c>
      <c r="M384" t="str">
        <f>IF(Worksheet!AE384="","",Worksheet!AE384)</f>
        <v/>
      </c>
      <c r="N384">
        <f>IF(Worksheet!AG384="","",Worksheet!AG384)</f>
        <v>735041</v>
      </c>
      <c r="O384" t="str">
        <f>IF(Worksheet!AJ384="","",Worksheet!AJ384)</f>
        <v>Zomerstage 2026 (Blankenberge)</v>
      </c>
      <c r="P384" t="str">
        <f>IF(Worksheet!AK384="","",Worksheet!AK384)</f>
        <v>Speler</v>
      </c>
    </row>
    <row r="385" spans="1:16" x14ac:dyDescent="0.3">
      <c r="A385" t="str">
        <v>Thomas Viaene</v>
      </c>
      <c r="B385" t="str">
        <v/>
      </c>
      <c r="C385" t="str">
        <v>+32497313727</v>
      </c>
      <c r="D385" t="str">
        <v/>
      </c>
      <c r="E385" s="2">
        <v>739602</v>
      </c>
      <c r="F385" t="str">
        <v>J18 A Haantjes CERTIFISC Oudenaarde</v>
      </c>
      <c r="G385" t="str">
        <v>Speler</v>
      </c>
      <c r="J385" t="str">
        <f>Worksheet!C385&amp;" "&amp;Worksheet!B385</f>
        <v>Felix Huysman</v>
      </c>
      <c r="K385" t="str">
        <f>Worksheet!AM385</f>
        <v>huysman_felix@gmail.com</v>
      </c>
      <c r="L385" t="str">
        <f>Worksheet!AN385</f>
        <v>+32474884540</v>
      </c>
      <c r="M385" t="str">
        <f>IF(Worksheet!AE385="","",Worksheet!AE385)</f>
        <v/>
      </c>
      <c r="N385">
        <f>IF(Worksheet!AG385="","",Worksheet!AG385)</f>
        <v>741745</v>
      </c>
      <c r="O385" t="str">
        <f>IF(Worksheet!AJ385="","",Worksheet!AJ385)</f>
        <v/>
      </c>
      <c r="P385" t="str">
        <f>IF(Worksheet!AK385="","",Worksheet!AK385)</f>
        <v/>
      </c>
    </row>
    <row r="386" spans="1:16" x14ac:dyDescent="0.3">
      <c r="A386" t="str">
        <v>Thomas Viaene</v>
      </c>
      <c r="B386" t="str">
        <v/>
      </c>
      <c r="C386" t="str">
        <v>+32497313727</v>
      </c>
      <c r="D386" t="str">
        <v/>
      </c>
      <c r="E386" s="2">
        <v>739602</v>
      </c>
      <c r="F386" t="str">
        <v>Zomerstage 2026 (Blankenberge)</v>
      </c>
      <c r="G386" t="str">
        <v>Speler</v>
      </c>
      <c r="J386" t="str">
        <f>Worksheet!C386&amp;" "&amp;Worksheet!B386</f>
        <v>Stijn Huysman</v>
      </c>
      <c r="K386" t="str">
        <f>Worksheet!AM386</f>
        <v>stijn.huysman@outlook.com</v>
      </c>
      <c r="L386" t="str">
        <f>Worksheet!AN386</f>
        <v>+32474884540</v>
      </c>
      <c r="M386" t="str">
        <f>IF(Worksheet!AE386="","",Worksheet!AE386)</f>
        <v/>
      </c>
      <c r="N386" t="str">
        <f>IF(Worksheet!AG386="","",Worksheet!AG386)</f>
        <v/>
      </c>
      <c r="O386" t="str">
        <f>IF(Worksheet!AJ386="","",Worksheet!AJ386)</f>
        <v/>
      </c>
      <c r="P386" t="str">
        <f>IF(Worksheet!AK386="","",Worksheet!AK386)</f>
        <v/>
      </c>
    </row>
    <row r="387" spans="1:16" x14ac:dyDescent="0.3">
      <c r="A387" t="str">
        <v>Thomas Viaene</v>
      </c>
      <c r="B387" t="str">
        <v/>
      </c>
      <c r="C387" t="str">
        <v>+32497313727</v>
      </c>
      <c r="D387" t="str">
        <v/>
      </c>
      <c r="E387" s="2">
        <v>739602</v>
      </c>
      <c r="F387" t="str">
        <v>HSE B Haantjes Certifisc Oudenaarde</v>
      </c>
      <c r="G387" t="str">
        <v>Speler</v>
      </c>
      <c r="J387" t="str">
        <f>Worksheet!C387&amp;" "&amp;Worksheet!B387</f>
        <v>Vic Huysman</v>
      </c>
      <c r="K387" t="str">
        <f>Worksheet!AM387</f>
        <v/>
      </c>
      <c r="L387" t="str">
        <f>Worksheet!AN387</f>
        <v>+32474884540</v>
      </c>
      <c r="M387" t="str">
        <f>IF(Worksheet!AE387="","",Worksheet!AE387)</f>
        <v>https://app.twizzit.com/public/photos/2936186/s/c4015a6cfb380c1e7090d66488ca6326fa9caa7a.png</v>
      </c>
      <c r="N387">
        <f>IF(Worksheet!AG387="","",Worksheet!AG387)</f>
        <v>744354</v>
      </c>
      <c r="O387" t="str">
        <f>IF(Worksheet!AJ387="","",Worksheet!AJ387)</f>
        <v>J18 A Haantjes CERTIFISC Oudenaarde</v>
      </c>
      <c r="P387" t="str">
        <f>IF(Worksheet!AK387="","",Worksheet!AK387)</f>
        <v>Speler</v>
      </c>
    </row>
    <row r="388" spans="1:16" x14ac:dyDescent="0.3">
      <c r="A388" t="str">
        <v>Kenny Volkaert</v>
      </c>
      <c r="B388" t="str">
        <v/>
      </c>
      <c r="C388" t="str">
        <v>+32483038837</v>
      </c>
      <c r="D388" t="str">
        <v/>
      </c>
      <c r="E388" s="2">
        <v>644848</v>
      </c>
      <c r="F388" t="str">
        <v>HSE  C Haantjes Certifisc Oudenaarde</v>
      </c>
      <c r="G388" t="str">
        <v>Speler</v>
      </c>
      <c r="J388" t="str">
        <f>Worksheet!C388&amp;" "&amp;Worksheet!B388</f>
        <v>Vic Huysman</v>
      </c>
      <c r="K388" t="str">
        <f>Worksheet!AM388</f>
        <v/>
      </c>
      <c r="L388" t="str">
        <f>Worksheet!AN388</f>
        <v>+32474884540</v>
      </c>
      <c r="M388" t="str">
        <f>IF(Worksheet!AE388="","",Worksheet!AE388)</f>
        <v>https://app.twizzit.com/public/photos/2936186/s/c4015a6cfb380c1e7090d66488ca6326fa9caa7a.png</v>
      </c>
      <c r="N388">
        <f>IF(Worksheet!AG388="","",Worksheet!AG388)</f>
        <v>744354</v>
      </c>
      <c r="O388" t="str">
        <f>IF(Worksheet!AJ388="","",Worksheet!AJ388)</f>
        <v>Zomerstage 2026 (Blankenberge)</v>
      </c>
      <c r="P388" t="str">
        <f>IF(Worksheet!AK388="","",Worksheet!AK388)</f>
        <v>Speler</v>
      </c>
    </row>
    <row r="389" spans="1:16" x14ac:dyDescent="0.3">
      <c r="A389" t="str">
        <v>Basiel Vossen</v>
      </c>
      <c r="B389" t="str">
        <v>pieterpaulvossen@hotmail.com</v>
      </c>
      <c r="C389" t="str">
        <v>+32472546513</v>
      </c>
      <c r="D389" t="str">
        <v/>
      </c>
      <c r="E389" s="2" t="str">
        <v/>
      </c>
      <c r="F389" t="str">
        <v>G08 Geel HAANTJES CERTIFISC OUDENAARDE</v>
      </c>
      <c r="G389" t="str">
        <v>Speler</v>
      </c>
      <c r="J389" t="str">
        <f>Worksheet!C389&amp;" "&amp;Worksheet!B389</f>
        <v>Vic Huysman</v>
      </c>
      <c r="K389" t="str">
        <f>Worksheet!AM389</f>
        <v/>
      </c>
      <c r="L389" t="str">
        <f>Worksheet!AN389</f>
        <v>+32474884540</v>
      </c>
      <c r="M389" t="str">
        <f>IF(Worksheet!AE389="","",Worksheet!AE389)</f>
        <v>https://app.twizzit.com/public/photos/2936186/s/c4015a6cfb380c1e7090d66488ca6326fa9caa7a.png</v>
      </c>
      <c r="N389">
        <f>IF(Worksheet!AG389="","",Worksheet!AG389)</f>
        <v>744354</v>
      </c>
      <c r="O389" t="str">
        <f>IF(Worksheet!AJ389="","",Worksheet!AJ389)</f>
        <v>HSE B Haantjes Certifisc Oudenaarde</v>
      </c>
      <c r="P389" t="str">
        <f>IF(Worksheet!AK389="","",Worksheet!AK389)</f>
        <v>Speler</v>
      </c>
    </row>
    <row r="390" spans="1:16" x14ac:dyDescent="0.3">
      <c r="A390" t="str">
        <v>Matteo Vunck</v>
      </c>
      <c r="B390" t="str">
        <v>fam.vunck.demoor@outlook.com</v>
      </c>
      <c r="C390" t="str">
        <v>+32473356747</v>
      </c>
      <c r="D390" t="str">
        <v>https://app.twizzit.com/public/photos/8418462/s/4cd851c617ea9849ca7ba85a62a0807b8b769b48.jpeg</v>
      </c>
      <c r="E390" s="2" t="str">
        <v/>
      </c>
      <c r="F390" t="str">
        <v>G10 Blauw HAANTJES CERTIFISC OUDENAARDE</v>
      </c>
      <c r="G390" t="str">
        <v>Speler</v>
      </c>
      <c r="J390" t="str">
        <f>Worksheet!C390&amp;" "&amp;Worksheet!B390</f>
        <v>Noah Huyzentruyt</v>
      </c>
      <c r="K390" t="str">
        <f>Worksheet!AM390</f>
        <v/>
      </c>
      <c r="L390" t="str">
        <f>Worksheet!AN390</f>
        <v>+32456548873</v>
      </c>
      <c r="M390" t="str">
        <f>IF(Worksheet!AE390="","",Worksheet!AE390)</f>
        <v/>
      </c>
      <c r="N390">
        <f>IF(Worksheet!AG390="","",Worksheet!AG390)</f>
        <v>631406</v>
      </c>
      <c r="O390" t="str">
        <f>IF(Worksheet!AJ390="","",Worksheet!AJ390)</f>
        <v/>
      </c>
      <c r="P390" t="str">
        <f>IF(Worksheet!AK390="","",Worksheet!AK390)</f>
        <v/>
      </c>
    </row>
    <row r="391" spans="1:16" x14ac:dyDescent="0.3">
      <c r="A391" t="str">
        <v>Gaston Waelkens</v>
      </c>
      <c r="B391" t="str">
        <v/>
      </c>
      <c r="C391" t="str">
        <v>+32486694007</v>
      </c>
      <c r="D391" t="str">
        <v>https://app.twizzit.com/public/photos/3437289/s/570cbbb3ba40336fabf43491384c678cfbbf4db4.png</v>
      </c>
      <c r="E391" s="2" t="str">
        <v/>
      </c>
      <c r="F391" t="str">
        <v>G10 Geel HAANTJES CERTIFISC OUDENAARDE</v>
      </c>
      <c r="G391" t="str">
        <v>Speler</v>
      </c>
      <c r="J391" t="str">
        <f>Worksheet!C391&amp;" "&amp;Worksheet!B391</f>
        <v>Thibault Huyzentruyt</v>
      </c>
      <c r="K391" t="str">
        <f>Worksheet!AM391</f>
        <v/>
      </c>
      <c r="L391" t="str">
        <f>Worksheet!AN391</f>
        <v/>
      </c>
      <c r="M391" t="str">
        <f>IF(Worksheet!AE391="","",Worksheet!AE391)</f>
        <v/>
      </c>
      <c r="N391">
        <f>IF(Worksheet!AG391="","",Worksheet!AG391)</f>
        <v>612532</v>
      </c>
      <c r="O391" t="str">
        <f>IF(Worksheet!AJ391="","",Worksheet!AJ391)</f>
        <v/>
      </c>
      <c r="P391" t="str">
        <f>IF(Worksheet!AK391="","",Worksheet!AK391)</f>
        <v/>
      </c>
    </row>
    <row r="392" spans="1:16" x14ac:dyDescent="0.3">
      <c r="A392" t="str">
        <v>Jeanne Waelkens</v>
      </c>
      <c r="B392" t="str">
        <v/>
      </c>
      <c r="C392" t="str">
        <v>+32495460727</v>
      </c>
      <c r="D392" t="str">
        <v>https://app.twizzit.com/public/photos/3437291/s/f3577d619164c0e4ca4ac15321e6e9e51e00ea9d.png</v>
      </c>
      <c r="E392" s="2" t="str">
        <v/>
      </c>
      <c r="F392" t="str">
        <v>M10 HAANTJES CERTIFISC OUDENAARDE</v>
      </c>
      <c r="G392" t="str">
        <v>Speler</v>
      </c>
      <c r="J392" t="str">
        <f>Worksheet!C392&amp;" "&amp;Worksheet!B392</f>
        <v>Ilona Ismajli Foulon</v>
      </c>
      <c r="K392" t="str">
        <f>Worksheet!AM392</f>
        <v>feritamg@gmail.com</v>
      </c>
      <c r="L392" t="str">
        <f>Worksheet!AN392</f>
        <v>+32486670994</v>
      </c>
      <c r="M392" t="str">
        <f>IF(Worksheet!AE392="","",Worksheet!AE392)</f>
        <v/>
      </c>
      <c r="N392" t="str">
        <f>IF(Worksheet!AG392="","",Worksheet!AG392)</f>
        <v/>
      </c>
      <c r="O392" t="str">
        <f>IF(Worksheet!AJ392="","",Worksheet!AJ392)</f>
        <v/>
      </c>
      <c r="P392" t="str">
        <f>IF(Worksheet!AK392="","",Worksheet!AK392)</f>
        <v/>
      </c>
    </row>
    <row r="393" spans="1:16" x14ac:dyDescent="0.3">
      <c r="A393" t="str">
        <v>Cedric Watteyn</v>
      </c>
      <c r="B393" t="str">
        <v/>
      </c>
      <c r="C393" t="str">
        <v>+32471244684</v>
      </c>
      <c r="D393" t="str">
        <v/>
      </c>
      <c r="E393" s="2">
        <v>644411</v>
      </c>
      <c r="F393" t="str">
        <v>HSE A Haantjes Certifisc Oudenaarde</v>
      </c>
      <c r="G393" t="str">
        <v>Speler</v>
      </c>
      <c r="J393" t="str">
        <f>Worksheet!C393&amp;" "&amp;Worksheet!B393</f>
        <v>Mirte Janssens</v>
      </c>
      <c r="K393" t="str">
        <f>Worksheet!AM393</f>
        <v>Lies.Vanlerberghe@gmaiil.com</v>
      </c>
      <c r="L393" t="str">
        <f>Worksheet!AN393</f>
        <v/>
      </c>
      <c r="M393" t="str">
        <f>IF(Worksheet!AE393="","",Worksheet!AE393)</f>
        <v>https://app.twizzit.com/public/photos/2669942/s/5f79e0ad9bcf611750cb283fbc9adebafe876bae.png</v>
      </c>
      <c r="N393">
        <f>IF(Worksheet!AG393="","",Worksheet!AG393)</f>
        <v>704269</v>
      </c>
      <c r="O393" t="str">
        <f>IF(Worksheet!AJ393="","",Worksheet!AJ393)</f>
        <v/>
      </c>
      <c r="P393" t="str">
        <f>IF(Worksheet!AK393="","",Worksheet!AK393)</f>
        <v/>
      </c>
    </row>
    <row r="394" spans="1:16" x14ac:dyDescent="0.3">
      <c r="A394" t="str">
        <v>Océane Wisbecq</v>
      </c>
      <c r="B394" t="str">
        <v>jasper.wisbecq@hotmail.com</v>
      </c>
      <c r="C394" t="str">
        <v>+32472459757</v>
      </c>
      <c r="D394" t="str">
        <v/>
      </c>
      <c r="E394" s="2" t="str">
        <v/>
      </c>
      <c r="F394" t="str">
        <v>G08 Blauw HAANTJES CERTIFISC OUDENAARDE</v>
      </c>
      <c r="G394" t="str">
        <v>Speler</v>
      </c>
      <c r="J394" t="str">
        <f>Worksheet!C394&amp;" "&amp;Worksheet!B394</f>
        <v>Mirte Janssens</v>
      </c>
      <c r="K394" t="str">
        <f>Worksheet!AM394</f>
        <v>Lies.Vanlerberghe@gmaiil.com</v>
      </c>
      <c r="L394" t="str">
        <f>Worksheet!AN394</f>
        <v/>
      </c>
      <c r="M394" t="str">
        <f>IF(Worksheet!AE394="","",Worksheet!AE394)</f>
        <v>https://app.twizzit.com/public/photos/2669942/s/5f79e0ad9bcf611750cb283fbc9adebafe876bae.png</v>
      </c>
      <c r="N394">
        <f>IF(Worksheet!AG394="","",Worksheet!AG394)</f>
        <v>704269</v>
      </c>
      <c r="O394" t="str">
        <f>IF(Worksheet!AJ394="","",Worksheet!AJ394)</f>
        <v/>
      </c>
      <c r="P394" t="str">
        <f>IF(Worksheet!AK394="","",Worksheet!AK394)</f>
        <v/>
      </c>
    </row>
    <row r="395" spans="1:16" x14ac:dyDescent="0.3">
      <c r="E395" s="2"/>
      <c r="J395" t="str">
        <f>Worksheet!C395&amp;" "&amp;Worksheet!B395</f>
        <v>William Janssens</v>
      </c>
      <c r="K395" t="str">
        <f>Worksheet!AM395</f>
        <v/>
      </c>
      <c r="L395" t="str">
        <f>Worksheet!AN395</f>
        <v>+32486756760</v>
      </c>
      <c r="M395" t="str">
        <f>IF(Worksheet!AE395="","",Worksheet!AE395)</f>
        <v/>
      </c>
      <c r="N395">
        <f>IF(Worksheet!AG395="","",Worksheet!AG395)</f>
        <v>80412</v>
      </c>
      <c r="O395" t="str">
        <f>IF(Worksheet!AJ395="","",Worksheet!AJ395)</f>
        <v/>
      </c>
      <c r="P395" t="str">
        <f>IF(Worksheet!AK395="","",Worksheet!AK395)</f>
        <v/>
      </c>
    </row>
    <row r="396" spans="1:16" x14ac:dyDescent="0.3">
      <c r="E396" s="2"/>
      <c r="J396" t="str">
        <f>Worksheet!C396&amp;" "&amp;Worksheet!B396</f>
        <v>Aleksandr Kazmenko</v>
      </c>
      <c r="K396" t="str">
        <f>Worksheet!AM396</f>
        <v>alex@inolel.com</v>
      </c>
      <c r="L396" t="str">
        <f>Worksheet!AN396</f>
        <v/>
      </c>
      <c r="M396" t="str">
        <f>IF(Worksheet!AE396="","",Worksheet!AE396)</f>
        <v/>
      </c>
      <c r="N396">
        <f>IF(Worksheet!AG396="","",Worksheet!AG396)</f>
        <v>280658</v>
      </c>
      <c r="O396" t="str">
        <f>IF(Worksheet!AJ396="","",Worksheet!AJ396)</f>
        <v>HSE B Haantjes Certifisc Oudenaarde</v>
      </c>
      <c r="P396" t="str">
        <f>IF(Worksheet!AK396="","",Worksheet!AK396)</f>
        <v>Speler</v>
      </c>
    </row>
    <row r="397" spans="1:16" x14ac:dyDescent="0.3">
      <c r="E397" s="2"/>
      <c r="J397" t="str">
        <f>Worksheet!C397&amp;" "&amp;Worksheet!B397</f>
        <v>Maarten Kesteloot</v>
      </c>
      <c r="K397" t="str">
        <f>Worksheet!AM397</f>
        <v/>
      </c>
      <c r="L397" t="str">
        <f>Worksheet!AN397</f>
        <v>+32472298312</v>
      </c>
      <c r="M397" t="str">
        <f>IF(Worksheet!AE397="","",Worksheet!AE397)</f>
        <v>https://app.twizzit.com/public/photos/2183017/s/cab2a8ce50a8c2f200efa9bb74de43a6f9fbf6e7.png</v>
      </c>
      <c r="N397">
        <f>IF(Worksheet!AG397="","",Worksheet!AG397)</f>
        <v>233069</v>
      </c>
      <c r="O397" t="str">
        <f>IF(Worksheet!AJ397="","",Worksheet!AJ397)</f>
        <v/>
      </c>
      <c r="P397" t="str">
        <f>IF(Worksheet!AK397="","",Worksheet!AK397)</f>
        <v/>
      </c>
    </row>
    <row r="398" spans="1:16" x14ac:dyDescent="0.3">
      <c r="E398" s="2"/>
      <c r="J398" t="str">
        <f>Worksheet!C398&amp;" "&amp;Worksheet!B398</f>
        <v>Filip L'Hommelet</v>
      </c>
      <c r="K398" t="str">
        <f>Worksheet!AM398</f>
        <v>filip.lhommelet@myweb4u.be</v>
      </c>
      <c r="L398" t="str">
        <f>Worksheet!AN398</f>
        <v>+32479376759</v>
      </c>
      <c r="M398" t="str">
        <f>IF(Worksheet!AE398="","",Worksheet!AE398)</f>
        <v/>
      </c>
      <c r="N398">
        <f>IF(Worksheet!AG398="","",Worksheet!AG398)</f>
        <v>92637</v>
      </c>
      <c r="O398" t="str">
        <f>IF(Worksheet!AJ398="","",Worksheet!AJ398)</f>
        <v>G14 A Haantjes CERTIFISC Oudenaarde</v>
      </c>
      <c r="P398" t="str">
        <f>IF(Worksheet!AK398="","",Worksheet!AK398)</f>
        <v>Coach</v>
      </c>
    </row>
    <row r="399" spans="1:16" x14ac:dyDescent="0.3">
      <c r="E399" s="2"/>
      <c r="J399" t="str">
        <f>Worksheet!C399&amp;" "&amp;Worksheet!B399</f>
        <v>Leon L'Hommelet</v>
      </c>
      <c r="K399" t="str">
        <f>Worksheet!AM399</f>
        <v>els.bourgois@gmail.com</v>
      </c>
      <c r="L399" t="str">
        <f>Worksheet!AN399</f>
        <v>+32479376759</v>
      </c>
      <c r="M399" t="str">
        <f>IF(Worksheet!AE399="","",Worksheet!AE399)</f>
        <v/>
      </c>
      <c r="N399">
        <f>IF(Worksheet!AG399="","",Worksheet!AG399)</f>
        <v>733228</v>
      </c>
      <c r="O399" t="str">
        <f>IF(Worksheet!AJ399="","",Worksheet!AJ399)</f>
        <v>G14 A Haantjes CERTIFISC Oudenaarde</v>
      </c>
      <c r="P399" t="str">
        <f>IF(Worksheet!AK399="","",Worksheet!AK399)</f>
        <v>Speler</v>
      </c>
    </row>
    <row r="400" spans="1:16" x14ac:dyDescent="0.3">
      <c r="E400" s="2"/>
      <c r="J400" t="str">
        <f>Worksheet!C400&amp;" "&amp;Worksheet!B400</f>
        <v>Leon L'Hommelet</v>
      </c>
      <c r="K400" t="str">
        <f>Worksheet!AM400</f>
        <v>els.bourgois@gmail.com</v>
      </c>
      <c r="L400" t="str">
        <f>Worksheet!AN400</f>
        <v>+32479376759</v>
      </c>
      <c r="M400" t="str">
        <f>IF(Worksheet!AE400="","",Worksheet!AE400)</f>
        <v/>
      </c>
      <c r="N400">
        <f>IF(Worksheet!AG400="","",Worksheet!AG400)</f>
        <v>733228</v>
      </c>
      <c r="O400" t="str">
        <f>IF(Worksheet!AJ400="","",Worksheet!AJ400)</f>
        <v>Zomerstage 2026 (Blankenberge)</v>
      </c>
      <c r="P400" t="str">
        <f>IF(Worksheet!AK400="","",Worksheet!AK400)</f>
        <v>Speler</v>
      </c>
    </row>
    <row r="401" spans="5:16" x14ac:dyDescent="0.3">
      <c r="E401" s="2"/>
      <c r="J401" t="str">
        <f>Worksheet!C401&amp;" "&amp;Worksheet!B401</f>
        <v>Maud Lacres</v>
      </c>
      <c r="K401" t="str">
        <f>Worksheet!AM401</f>
        <v>taelman.elke@gmail.com</v>
      </c>
      <c r="L401" t="str">
        <f>Worksheet!AN401</f>
        <v>+32486264195</v>
      </c>
      <c r="M401" t="str">
        <f>IF(Worksheet!AE401="","",Worksheet!AE401)</f>
        <v>https://app.twizzit.com/public/photos/7284400/s/788dc5308deee743b8d2d9764e0824010b7633fe.png</v>
      </c>
      <c r="N401">
        <f>IF(Worksheet!AG401="","",Worksheet!AG401)</f>
        <v>764842</v>
      </c>
      <c r="O401" t="str">
        <f>IF(Worksheet!AJ401="","",Worksheet!AJ401)</f>
        <v>M12 A HAANTJES CERTIFISC OUDENAARDE</v>
      </c>
      <c r="P401" t="str">
        <f>IF(Worksheet!AK401="","",Worksheet!AK401)</f>
        <v>Speler</v>
      </c>
    </row>
    <row r="402" spans="5:16" x14ac:dyDescent="0.3">
      <c r="E402" s="2"/>
      <c r="J402" t="str">
        <f>Worksheet!C402&amp;" "&amp;Worksheet!B402</f>
        <v>Jannes Lagae</v>
      </c>
      <c r="K402" t="str">
        <f>Worksheet!AM402</f>
        <v>Ruubelagae@gmail.com</v>
      </c>
      <c r="L402" t="str">
        <f>Worksheet!AN402</f>
        <v>+32486615053</v>
      </c>
      <c r="M402" t="str">
        <f>IF(Worksheet!AE402="","",Worksheet!AE402)</f>
        <v/>
      </c>
      <c r="N402" t="str">
        <f>IF(Worksheet!AG402="","",Worksheet!AG402)</f>
        <v/>
      </c>
      <c r="O402" t="str">
        <f>IF(Worksheet!AJ402="","",Worksheet!AJ402)</f>
        <v/>
      </c>
      <c r="P402" t="str">
        <f>IF(Worksheet!AK402="","",Worksheet!AK402)</f>
        <v/>
      </c>
    </row>
    <row r="403" spans="5:16" x14ac:dyDescent="0.3">
      <c r="E403" s="2"/>
      <c r="J403" t="str">
        <f>Worksheet!C403&amp;" "&amp;Worksheet!B403</f>
        <v>Ruube Lagae</v>
      </c>
      <c r="K403" t="str">
        <f>Worksheet!AM403</f>
        <v>Ruubelagae@gmail.com</v>
      </c>
      <c r="L403" t="str">
        <f>Worksheet!AN403</f>
        <v>+32471247514</v>
      </c>
      <c r="M403" t="str">
        <f>IF(Worksheet!AE403="","",Worksheet!AE403)</f>
        <v/>
      </c>
      <c r="N403" t="str">
        <f>IF(Worksheet!AG403="","",Worksheet!AG403)</f>
        <v/>
      </c>
      <c r="O403" t="str">
        <f>IF(Worksheet!AJ403="","",Worksheet!AJ403)</f>
        <v>G14 A Haantjes CERTIFISC Oudenaarde</v>
      </c>
      <c r="P403" t="str">
        <f>IF(Worksheet!AK403="","",Worksheet!AK403)</f>
        <v>Speler</v>
      </c>
    </row>
    <row r="404" spans="5:16" x14ac:dyDescent="0.3">
      <c r="E404" s="2"/>
      <c r="J404" t="str">
        <f>Worksheet!C404&amp;" "&amp;Worksheet!B404</f>
        <v>Ruube Lagae</v>
      </c>
      <c r="K404" t="str">
        <f>Worksheet!AM404</f>
        <v>Ruubelagae@gmail.com</v>
      </c>
      <c r="L404" t="str">
        <f>Worksheet!AN404</f>
        <v>+32471247514</v>
      </c>
      <c r="M404" t="str">
        <f>IF(Worksheet!AE404="","",Worksheet!AE404)</f>
        <v/>
      </c>
      <c r="N404" t="str">
        <f>IF(Worksheet!AG404="","",Worksheet!AG404)</f>
        <v/>
      </c>
      <c r="O404" t="str">
        <f>IF(Worksheet!AJ404="","",Worksheet!AJ404)</f>
        <v>Zomerstage 2026 (Blankenberge)</v>
      </c>
      <c r="P404" t="str">
        <f>IF(Worksheet!AK404="","",Worksheet!AK404)</f>
        <v>Speler</v>
      </c>
    </row>
    <row r="405" spans="5:16" x14ac:dyDescent="0.3">
      <c r="E405" s="2"/>
      <c r="J405" t="str">
        <f>Worksheet!C405&amp;" "&amp;Worksheet!B405</f>
        <v>Katrien Lambert</v>
      </c>
      <c r="K405" t="str">
        <f>Worksheet!AM405</f>
        <v/>
      </c>
      <c r="L405" t="str">
        <f>Worksheet!AN405</f>
        <v>+32474613344</v>
      </c>
      <c r="M405" t="str">
        <f>IF(Worksheet!AE405="","",Worksheet!AE405)</f>
        <v/>
      </c>
      <c r="N405" t="str">
        <f>IF(Worksheet!AG405="","",Worksheet!AG405)</f>
        <v/>
      </c>
      <c r="O405" t="str">
        <f>IF(Worksheet!AJ405="","",Worksheet!AJ405)</f>
        <v/>
      </c>
      <c r="P405" t="str">
        <f>IF(Worksheet!AK405="","",Worksheet!AK405)</f>
        <v/>
      </c>
    </row>
    <row r="406" spans="5:16" x14ac:dyDescent="0.3">
      <c r="E406" s="2"/>
      <c r="J406" t="str">
        <f>Worksheet!C406&amp;" "&amp;Worksheet!B406</f>
        <v>Wiebe Lampens</v>
      </c>
      <c r="K406" t="str">
        <f>Worksheet!AM406</f>
        <v>wiebelampens@gmail.com</v>
      </c>
      <c r="L406" t="str">
        <f>Worksheet!AN406</f>
        <v/>
      </c>
      <c r="M406" t="str">
        <f>IF(Worksheet!AE406="","",Worksheet!AE406)</f>
        <v/>
      </c>
      <c r="N406">
        <f>IF(Worksheet!AG406="","",Worksheet!AG406)</f>
        <v>717008</v>
      </c>
      <c r="O406" t="str">
        <f>IF(Worksheet!AJ406="","",Worksheet!AJ406)</f>
        <v/>
      </c>
      <c r="P406" t="str">
        <f>IF(Worksheet!AK406="","",Worksheet!AK406)</f>
        <v/>
      </c>
    </row>
    <row r="407" spans="5:16" x14ac:dyDescent="0.3">
      <c r="E407" s="2"/>
      <c r="J407" t="str">
        <f>Worksheet!C407&amp;" "&amp;Worksheet!B407</f>
        <v>Natasja Langaskens</v>
      </c>
      <c r="K407" t="str">
        <f>Worksheet!AM407</f>
        <v/>
      </c>
      <c r="L407" t="str">
        <f>Worksheet!AN407</f>
        <v/>
      </c>
      <c r="M407" t="str">
        <f>IF(Worksheet!AE407="","",Worksheet!AE407)</f>
        <v/>
      </c>
      <c r="N407">
        <f>IF(Worksheet!AG407="","",Worksheet!AG407)</f>
        <v>640293</v>
      </c>
      <c r="O407" t="str">
        <f>IF(Worksheet!AJ407="","",Worksheet!AJ407)</f>
        <v/>
      </c>
      <c r="P407" t="str">
        <f>IF(Worksheet!AK407="","",Worksheet!AK407)</f>
        <v/>
      </c>
    </row>
    <row r="408" spans="5:16" x14ac:dyDescent="0.3">
      <c r="E408" s="2"/>
      <c r="J408" t="str">
        <f>Worksheet!C408&amp;" "&amp;Worksheet!B408</f>
        <v>Lucas Lapiere</v>
      </c>
      <c r="K408" t="str">
        <f>Worksheet!AM408</f>
        <v/>
      </c>
      <c r="L408" t="str">
        <f>Worksheet!AN408</f>
        <v/>
      </c>
      <c r="M408" t="str">
        <f>IF(Worksheet!AE408="","",Worksheet!AE408)</f>
        <v/>
      </c>
      <c r="N408">
        <f>IF(Worksheet!AG408="","",Worksheet!AG408)</f>
        <v>638439</v>
      </c>
      <c r="O408" t="str">
        <f>IF(Worksheet!AJ408="","",Worksheet!AJ408)</f>
        <v/>
      </c>
      <c r="P408" t="str">
        <f>IF(Worksheet!AK408="","",Worksheet!AK408)</f>
        <v/>
      </c>
    </row>
    <row r="409" spans="5:16" x14ac:dyDescent="0.3">
      <c r="E409" s="2"/>
      <c r="J409" t="str">
        <f>Worksheet!C409&amp;" "&amp;Worksheet!B409</f>
        <v>Niko Lapiere</v>
      </c>
      <c r="K409" t="str">
        <f>Worksheet!AM409</f>
        <v/>
      </c>
      <c r="L409" t="str">
        <f>Worksheet!AN409</f>
        <v>+32468406427</v>
      </c>
      <c r="M409" t="str">
        <f>IF(Worksheet!AE409="","",Worksheet!AE409)</f>
        <v/>
      </c>
      <c r="N409">
        <f>IF(Worksheet!AG409="","",Worksheet!AG409)</f>
        <v>661064</v>
      </c>
      <c r="O409" t="str">
        <f>IF(Worksheet!AJ409="","",Worksheet!AJ409)</f>
        <v/>
      </c>
      <c r="P409" t="str">
        <f>IF(Worksheet!AK409="","",Worksheet!AK409)</f>
        <v/>
      </c>
    </row>
    <row r="410" spans="5:16" x14ac:dyDescent="0.3">
      <c r="E410" s="2"/>
      <c r="J410" t="str">
        <f>Worksheet!C410&amp;" "&amp;Worksheet!B410</f>
        <v>Pieter Lapierre</v>
      </c>
      <c r="K410" t="str">
        <f>Worksheet!AM410</f>
        <v/>
      </c>
      <c r="L410" t="str">
        <f>Worksheet!AN410</f>
        <v>+32477590960</v>
      </c>
      <c r="M410" t="str">
        <f>IF(Worksheet!AE410="","",Worksheet!AE410)</f>
        <v/>
      </c>
      <c r="N410">
        <f>IF(Worksheet!AG410="","",Worksheet!AG410)</f>
        <v>214428</v>
      </c>
      <c r="O410" t="str">
        <f>IF(Worksheet!AJ410="","",Worksheet!AJ410)</f>
        <v/>
      </c>
      <c r="P410" t="str">
        <f>IF(Worksheet!AK410="","",Worksheet!AK410)</f>
        <v/>
      </c>
    </row>
    <row r="411" spans="5:16" x14ac:dyDescent="0.3">
      <c r="E411" s="2"/>
      <c r="J411" t="str">
        <f>Worksheet!C411&amp;" "&amp;Worksheet!B411</f>
        <v>Georges Lasseel</v>
      </c>
      <c r="K411" t="str">
        <f>Worksheet!AM411</f>
        <v>lasseeltom@gmail.com</v>
      </c>
      <c r="L411" t="str">
        <f>Worksheet!AN411</f>
        <v>+32470351060</v>
      </c>
      <c r="M411" t="str">
        <f>IF(Worksheet!AE411="","",Worksheet!AE411)</f>
        <v/>
      </c>
      <c r="N411" t="str">
        <f>IF(Worksheet!AG411="","",Worksheet!AG411)</f>
        <v/>
      </c>
      <c r="O411" t="str">
        <f>IF(Worksheet!AJ411="","",Worksheet!AJ411)</f>
        <v/>
      </c>
      <c r="P411" t="str">
        <f>IF(Worksheet!AK411="","",Worksheet!AK411)</f>
        <v/>
      </c>
    </row>
    <row r="412" spans="5:16" x14ac:dyDescent="0.3">
      <c r="E412" s="2"/>
      <c r="J412" t="str">
        <f>Worksheet!C412&amp;" "&amp;Worksheet!B412</f>
        <v>Babet Laurez</v>
      </c>
      <c r="K412" t="str">
        <f>Worksheet!AM412</f>
        <v/>
      </c>
      <c r="L412" t="str">
        <f>Worksheet!AN412</f>
        <v>+32477501978</v>
      </c>
      <c r="M412" t="str">
        <f>IF(Worksheet!AE412="","",Worksheet!AE412)</f>
        <v/>
      </c>
      <c r="N412" t="str">
        <f>IF(Worksheet!AG412="","",Worksheet!AG412)</f>
        <v/>
      </c>
      <c r="O412" t="str">
        <f>IF(Worksheet!AJ412="","",Worksheet!AJ412)</f>
        <v>M12 A HAANTJES CERTIFISC OUDENAARDE</v>
      </c>
      <c r="P412" t="str">
        <f>IF(Worksheet!AK412="","",Worksheet!AK412)</f>
        <v>Speler</v>
      </c>
    </row>
    <row r="413" spans="5:16" x14ac:dyDescent="0.3">
      <c r="E413" s="2"/>
      <c r="J413" t="str">
        <f>Worksheet!C413&amp;" "&amp;Worksheet!B413</f>
        <v>Jef Lauwereins</v>
      </c>
      <c r="K413" t="str">
        <f>Worksheet!AM413</f>
        <v>lauwereins.steven@gmail.com</v>
      </c>
      <c r="L413" t="str">
        <f>Worksheet!AN413</f>
        <v>+32474317844</v>
      </c>
      <c r="M413" t="str">
        <f>IF(Worksheet!AE413="","",Worksheet!AE413)</f>
        <v/>
      </c>
      <c r="N413" t="str">
        <f>IF(Worksheet!AG413="","",Worksheet!AG413)</f>
        <v/>
      </c>
      <c r="O413" t="str">
        <f>IF(Worksheet!AJ413="","",Worksheet!AJ413)</f>
        <v>G08 Blauw HAANTJES CERTIFISC OUDENAARDE</v>
      </c>
      <c r="P413" t="str">
        <f>IF(Worksheet!AK413="","",Worksheet!AK413)</f>
        <v>Speler</v>
      </c>
    </row>
    <row r="414" spans="5:16" x14ac:dyDescent="0.3">
      <c r="E414" s="2"/>
      <c r="J414" t="str">
        <f>Worksheet!C414&amp;" "&amp;Worksheet!B414</f>
        <v>Jef Lauwereins</v>
      </c>
      <c r="K414" t="str">
        <f>Worksheet!AM414</f>
        <v>lauwereins.steven@gmail.com</v>
      </c>
      <c r="L414" t="str">
        <f>Worksheet!AN414</f>
        <v>+32474317844</v>
      </c>
      <c r="M414" t="str">
        <f>IF(Worksheet!AE414="","",Worksheet!AE414)</f>
        <v/>
      </c>
      <c r="N414" t="str">
        <f>IF(Worksheet!AG414="","",Worksheet!AG414)</f>
        <v/>
      </c>
      <c r="O414" t="str">
        <f>IF(Worksheet!AJ414="","",Worksheet!AJ414)</f>
        <v>Zomerstage 2026 U8 (Oudenaarde)</v>
      </c>
      <c r="P414" t="str">
        <f>IF(Worksheet!AK414="","",Worksheet!AK414)</f>
        <v>Speler</v>
      </c>
    </row>
    <row r="415" spans="5:16" x14ac:dyDescent="0.3">
      <c r="E415" s="2"/>
      <c r="J415" t="str">
        <f>Worksheet!C415&amp;" "&amp;Worksheet!B415</f>
        <v>Ramon Lauwers</v>
      </c>
      <c r="K415" t="str">
        <f>Worksheet!AM415</f>
        <v>lauwersvanzele@gmail.com</v>
      </c>
      <c r="L415" t="str">
        <f>Worksheet!AN415</f>
        <v>+32473974827</v>
      </c>
      <c r="M415" t="str">
        <f>IF(Worksheet!AE415="","",Worksheet!AE415)</f>
        <v/>
      </c>
      <c r="N415">
        <f>IF(Worksheet!AG415="","",Worksheet!AG415)</f>
        <v>758359</v>
      </c>
      <c r="O415" t="str">
        <f>IF(Worksheet!AJ415="","",Worksheet!AJ415)</f>
        <v/>
      </c>
      <c r="P415" t="str">
        <f>IF(Worksheet!AK415="","",Worksheet!AK415)</f>
        <v/>
      </c>
    </row>
    <row r="416" spans="5:16" x14ac:dyDescent="0.3">
      <c r="E416" s="2"/>
      <c r="J416" t="str">
        <f>Worksheet!C416&amp;" "&amp;Worksheet!B416</f>
        <v>Rayan Lebrouchi Poddubnaya</v>
      </c>
      <c r="K416" t="str">
        <f>Worksheet!AM416</f>
        <v>marina.pd34@gmail</v>
      </c>
      <c r="L416" t="str">
        <f>Worksheet!AN416</f>
        <v>+32492948427</v>
      </c>
      <c r="M416" t="str">
        <f>IF(Worksheet!AE416="","",Worksheet!AE416)</f>
        <v/>
      </c>
      <c r="N416" t="str">
        <f>IF(Worksheet!AG416="","",Worksheet!AG416)</f>
        <v/>
      </c>
      <c r="O416" t="str">
        <f>IF(Worksheet!AJ416="","",Worksheet!AJ416)</f>
        <v>J21 A HAANTJES CERTIFISC OUDENAARDE</v>
      </c>
      <c r="P416" t="str">
        <f>IF(Worksheet!AK416="","",Worksheet!AK416)</f>
        <v>Speler</v>
      </c>
    </row>
    <row r="417" spans="5:16" x14ac:dyDescent="0.3">
      <c r="E417" s="2"/>
      <c r="J417" t="str">
        <f>Worksheet!C417&amp;" "&amp;Worksheet!B417</f>
        <v>Rayan Lebrouchi Poddubnaya</v>
      </c>
      <c r="K417" t="str">
        <f>Worksheet!AM417</f>
        <v>marina.pd34@gmail</v>
      </c>
      <c r="L417" t="str">
        <f>Worksheet!AN417</f>
        <v>+32492948427</v>
      </c>
      <c r="M417" t="str">
        <f>IF(Worksheet!AE417="","",Worksheet!AE417)</f>
        <v/>
      </c>
      <c r="N417" t="str">
        <f>IF(Worksheet!AG417="","",Worksheet!AG417)</f>
        <v/>
      </c>
      <c r="O417" t="str">
        <f>IF(Worksheet!AJ417="","",Worksheet!AJ417)</f>
        <v>J18 A Haantjes CERTIFISC Oudenaarde</v>
      </c>
      <c r="P417" t="str">
        <f>IF(Worksheet!AK417="","",Worksheet!AK417)</f>
        <v>Speler</v>
      </c>
    </row>
    <row r="418" spans="5:16" x14ac:dyDescent="0.3">
      <c r="E418" s="2"/>
      <c r="J418" t="str">
        <f>Worksheet!C418&amp;" "&amp;Worksheet!B418</f>
        <v>Sven Legein</v>
      </c>
      <c r="K418" t="str">
        <f>Worksheet!AM418</f>
        <v/>
      </c>
      <c r="L418" t="str">
        <f>Worksheet!AN418</f>
        <v>+32479175859</v>
      </c>
      <c r="M418" t="str">
        <f>IF(Worksheet!AE418="","",Worksheet!AE418)</f>
        <v/>
      </c>
      <c r="N418">
        <f>IF(Worksheet!AG418="","",Worksheet!AG418)</f>
        <v>620445</v>
      </c>
      <c r="O418" t="str">
        <f>IF(Worksheet!AJ418="","",Worksheet!AJ418)</f>
        <v/>
      </c>
      <c r="P418" t="str">
        <f>IF(Worksheet!AK418="","",Worksheet!AK418)</f>
        <v/>
      </c>
    </row>
    <row r="419" spans="5:16" x14ac:dyDescent="0.3">
      <c r="E419" s="2"/>
      <c r="J419" t="str">
        <f>Worksheet!C419&amp;" "&amp;Worksheet!B419</f>
        <v>Lothar Lemaire</v>
      </c>
      <c r="K419" t="str">
        <f>Worksheet!AM419</f>
        <v>huglemaire@hotmail.com</v>
      </c>
      <c r="L419" t="str">
        <f>Worksheet!AN419</f>
        <v>+32485677282</v>
      </c>
      <c r="M419" t="str">
        <f>IF(Worksheet!AE419="","",Worksheet!AE419)</f>
        <v>https://app.twizzit.com/public/photos/9680220/s/630006e9802fd7af81a6784302b397c8d31a519e.jpeg</v>
      </c>
      <c r="N419" t="str">
        <f>IF(Worksheet!AG419="","",Worksheet!AG419)</f>
        <v/>
      </c>
      <c r="O419" t="str">
        <f>IF(Worksheet!AJ419="","",Worksheet!AJ419)</f>
        <v>G10 Blauw HAANTJES CERTIFISC OUDENAARDE</v>
      </c>
      <c r="P419" t="str">
        <f>IF(Worksheet!AK419="","",Worksheet!AK419)</f>
        <v>Speler</v>
      </c>
    </row>
    <row r="420" spans="5:16" x14ac:dyDescent="0.3">
      <c r="E420" s="2"/>
      <c r="J420" t="str">
        <f>Worksheet!C420&amp;" "&amp;Worksheet!B420</f>
        <v>Céleste Lepez</v>
      </c>
      <c r="K420" t="str">
        <f>Worksheet!AM420</f>
        <v>timo.lepez@gmail.com</v>
      </c>
      <c r="L420" t="str">
        <f>Worksheet!AN420</f>
        <v>+32498735730</v>
      </c>
      <c r="M420" t="str">
        <f>IF(Worksheet!AE420="","",Worksheet!AE420)</f>
        <v>https://app.twizzit.com/public/photos/10452680/s/43631296673a3f6a5260a0eddda463059079fbf8.jpeg</v>
      </c>
      <c r="N420" t="str">
        <f>IF(Worksheet!AG420="","",Worksheet!AG420)</f>
        <v/>
      </c>
      <c r="O420" t="str">
        <f>IF(Worksheet!AJ420="","",Worksheet!AJ420)</f>
        <v/>
      </c>
      <c r="P420" t="str">
        <f>IF(Worksheet!AK420="","",Worksheet!AK420)</f>
        <v/>
      </c>
    </row>
    <row r="421" spans="5:16" x14ac:dyDescent="0.3">
      <c r="E421" s="2"/>
      <c r="J421" t="str">
        <f>Worksheet!C421&amp;" "&amp;Worksheet!B421</f>
        <v>Thor Lessenne</v>
      </c>
      <c r="K421" t="str">
        <f>Worksheet!AM421</f>
        <v>lessenne_frederic@yahoo.com</v>
      </c>
      <c r="L421" t="str">
        <f>Worksheet!AN421</f>
        <v>+32477650341</v>
      </c>
      <c r="M421" t="str">
        <f>IF(Worksheet!AE421="","",Worksheet!AE421)</f>
        <v>https://app.twizzit.com/public/photos/4393791/s/f227f8ddb169feb6dded4f508fa8f0a8d6bc3bc4.jpeg</v>
      </c>
      <c r="N421">
        <f>IF(Worksheet!AG421="","",Worksheet!AG421)</f>
        <v>758517</v>
      </c>
      <c r="O421" t="str">
        <f>IF(Worksheet!AJ421="","",Worksheet!AJ421)</f>
        <v>Zomerstage 2026 (Blankenberge)</v>
      </c>
      <c r="P421" t="str">
        <f>IF(Worksheet!AK421="","",Worksheet!AK421)</f>
        <v>Speler</v>
      </c>
    </row>
    <row r="422" spans="5:16" x14ac:dyDescent="0.3">
      <c r="E422" s="2"/>
      <c r="J422" t="str">
        <f>Worksheet!C422&amp;" "&amp;Worksheet!B422</f>
        <v>Thor Lessenne</v>
      </c>
      <c r="K422" t="str">
        <f>Worksheet!AM422</f>
        <v>lessenne_frederic@yahoo.com</v>
      </c>
      <c r="L422" t="str">
        <f>Worksheet!AN422</f>
        <v>+32477650341</v>
      </c>
      <c r="M422" t="str">
        <f>IF(Worksheet!AE422="","",Worksheet!AE422)</f>
        <v>https://app.twizzit.com/public/photos/4393791/s/f227f8ddb169feb6dded4f508fa8f0a8d6bc3bc4.jpeg</v>
      </c>
      <c r="N422">
        <f>IF(Worksheet!AG422="","",Worksheet!AG422)</f>
        <v>758517</v>
      </c>
      <c r="O422" t="str">
        <f>IF(Worksheet!AJ422="","",Worksheet!AJ422)</f>
        <v>G12 Geel HAANTJES CERTIFISC OUDENAARDE</v>
      </c>
      <c r="P422" t="str">
        <f>IF(Worksheet!AK422="","",Worksheet!AK422)</f>
        <v>Speler</v>
      </c>
    </row>
    <row r="423" spans="5:16" x14ac:dyDescent="0.3">
      <c r="E423" s="2"/>
      <c r="J423" t="str">
        <f>Worksheet!C423&amp;" "&amp;Worksheet!B423</f>
        <v>Wolf Lessenne</v>
      </c>
      <c r="K423" t="str">
        <f>Worksheet!AM423</f>
        <v/>
      </c>
      <c r="L423" t="str">
        <f>Worksheet!AN423</f>
        <v>+32494240195</v>
      </c>
      <c r="M423" t="str">
        <f>IF(Worksheet!AE423="","",Worksheet!AE423)</f>
        <v>https://app.twizzit.com/public/photos/3580747/s/157853967ede68629434e8db7d36b6d860f7ea97.jpeg</v>
      </c>
      <c r="N423" t="str">
        <f>IF(Worksheet!AG423="","",Worksheet!AG423)</f>
        <v/>
      </c>
      <c r="O423" t="str">
        <f>IF(Worksheet!AJ423="","",Worksheet!AJ423)</f>
        <v>G10 Geel HAANTJES CERTIFISC OUDENAARDE</v>
      </c>
      <c r="P423" t="str">
        <f>IF(Worksheet!AK423="","",Worksheet!AK423)</f>
        <v>Speler</v>
      </c>
    </row>
    <row r="424" spans="5:16" x14ac:dyDescent="0.3">
      <c r="E424" s="2"/>
      <c r="J424" t="str">
        <f>Worksheet!C424&amp;" "&amp;Worksheet!B424</f>
        <v>Anouk Libbrecht</v>
      </c>
      <c r="K424" t="str">
        <f>Worksheet!AM424</f>
        <v/>
      </c>
      <c r="L424" t="str">
        <f>Worksheet!AN424</f>
        <v/>
      </c>
      <c r="M424" t="str">
        <f>IF(Worksheet!AE424="","",Worksheet!AE424)</f>
        <v/>
      </c>
      <c r="N424" t="str">
        <f>IF(Worksheet!AG424="","",Worksheet!AG424)</f>
        <v/>
      </c>
      <c r="O424" t="str">
        <f>IF(Worksheet!AJ424="","",Worksheet!AJ424)</f>
        <v/>
      </c>
      <c r="P424" t="str">
        <f>IF(Worksheet!AK424="","",Worksheet!AK424)</f>
        <v/>
      </c>
    </row>
    <row r="425" spans="5:16" x14ac:dyDescent="0.3">
      <c r="E425" s="2"/>
      <c r="J425" t="str">
        <f>Worksheet!C425&amp;" "&amp;Worksheet!B425</f>
        <v>Alexander Libert</v>
      </c>
      <c r="K425" t="str">
        <f>Worksheet!AM425</f>
        <v>s_ardenois@hotmail.com</v>
      </c>
      <c r="L425" t="str">
        <f>Worksheet!AN425</f>
        <v>+32471396733</v>
      </c>
      <c r="M425" t="str">
        <f>IF(Worksheet!AE425="","",Worksheet!AE425)</f>
        <v/>
      </c>
      <c r="N425">
        <f>IF(Worksheet!AG425="","",Worksheet!AG425)</f>
        <v>723668</v>
      </c>
      <c r="O425" t="str">
        <f>IF(Worksheet!AJ425="","",Worksheet!AJ425)</f>
        <v>J16 B Haantjes CERTIFISC Oudenaarde</v>
      </c>
      <c r="P425" t="str">
        <f>IF(Worksheet!AK425="","",Worksheet!AK425)</f>
        <v>Speler</v>
      </c>
    </row>
    <row r="426" spans="5:16" x14ac:dyDescent="0.3">
      <c r="E426" s="2"/>
      <c r="J426" t="str">
        <f>Worksheet!C426&amp;" "&amp;Worksheet!B426</f>
        <v>Alexander Libert</v>
      </c>
      <c r="K426" t="str">
        <f>Worksheet!AM426</f>
        <v>s_ardenois@hotmail.com</v>
      </c>
      <c r="L426" t="str">
        <f>Worksheet!AN426</f>
        <v>+32471396733</v>
      </c>
      <c r="M426" t="str">
        <f>IF(Worksheet!AE426="","",Worksheet!AE426)</f>
        <v/>
      </c>
      <c r="N426">
        <f>IF(Worksheet!AG426="","",Worksheet!AG426)</f>
        <v>723668</v>
      </c>
      <c r="O426" t="str">
        <f>IF(Worksheet!AJ426="","",Worksheet!AJ426)</f>
        <v>Zomerstage 2026 (Blankenberge)</v>
      </c>
      <c r="P426" t="str">
        <f>IF(Worksheet!AK426="","",Worksheet!AK426)</f>
        <v>Speler</v>
      </c>
    </row>
    <row r="427" spans="5:16" x14ac:dyDescent="0.3">
      <c r="E427" s="2"/>
      <c r="J427" t="str">
        <f>Worksheet!C427&amp;" "&amp;Worksheet!B427</f>
        <v>Alexander Libert</v>
      </c>
      <c r="K427" t="str">
        <f>Worksheet!AM427</f>
        <v>s_ardenois@hotmail.com</v>
      </c>
      <c r="L427" t="str">
        <f>Worksheet!AN427</f>
        <v>+32471396733</v>
      </c>
      <c r="M427" t="str">
        <f>IF(Worksheet!AE427="","",Worksheet!AE427)</f>
        <v/>
      </c>
      <c r="N427">
        <f>IF(Worksheet!AG427="","",Worksheet!AG427)</f>
        <v>723668</v>
      </c>
      <c r="O427" t="str">
        <f>IF(Worksheet!AJ427="","",Worksheet!AJ427)</f>
        <v/>
      </c>
      <c r="P427" t="str">
        <f>IF(Worksheet!AK427="","",Worksheet!AK427)</f>
        <v/>
      </c>
    </row>
    <row r="428" spans="5:16" x14ac:dyDescent="0.3">
      <c r="E428" s="2"/>
      <c r="J428" t="str">
        <f>Worksheet!C428&amp;" "&amp;Worksheet!B428</f>
        <v>Bart Libert</v>
      </c>
      <c r="K428" t="str">
        <f>Worksheet!AM428</f>
        <v/>
      </c>
      <c r="L428" t="str">
        <f>Worksheet!AN428</f>
        <v/>
      </c>
      <c r="M428" t="str">
        <f>IF(Worksheet!AE428="","",Worksheet!AE428)</f>
        <v/>
      </c>
      <c r="N428" t="str">
        <f>IF(Worksheet!AG428="","",Worksheet!AG428)</f>
        <v/>
      </c>
      <c r="O428" t="str">
        <f>IF(Worksheet!AJ428="","",Worksheet!AJ428)</f>
        <v/>
      </c>
      <c r="P428" t="str">
        <f>IF(Worksheet!AK428="","",Worksheet!AK428)</f>
        <v/>
      </c>
    </row>
    <row r="429" spans="5:16" x14ac:dyDescent="0.3">
      <c r="E429" s="2"/>
      <c r="J429" t="str">
        <f>Worksheet!C429&amp;" "&amp;Worksheet!B429</f>
        <v>Felice Libert</v>
      </c>
      <c r="K429" t="str">
        <f>Worksheet!AM429</f>
        <v/>
      </c>
      <c r="L429" t="str">
        <f>Worksheet!AN429</f>
        <v>+32473780275</v>
      </c>
      <c r="M429" t="str">
        <f>IF(Worksheet!AE429="","",Worksheet!AE429)</f>
        <v>https://app.twizzit.com/public/photos/7279180/s/1c5d9fda02031baa486ebec940b4c251ec4b6762.png</v>
      </c>
      <c r="N429">
        <f>IF(Worksheet!AG429="","",Worksheet!AG429)</f>
        <v>762633</v>
      </c>
      <c r="O429" t="str">
        <f>IF(Worksheet!AJ429="","",Worksheet!AJ429)</f>
        <v>M12 A HAANTJES CERTIFISC OUDENAARDE</v>
      </c>
      <c r="P429" t="str">
        <f>IF(Worksheet!AK429="","",Worksheet!AK429)</f>
        <v>Speler</v>
      </c>
    </row>
    <row r="430" spans="5:16" x14ac:dyDescent="0.3">
      <c r="E430" s="2"/>
      <c r="J430" t="str">
        <f>Worksheet!C430&amp;" "&amp;Worksheet!B430</f>
        <v>Mathieu Libert</v>
      </c>
      <c r="K430" t="str">
        <f>Worksheet!AM430</f>
        <v>s_ardenois@hotmail.com</v>
      </c>
      <c r="L430" t="str">
        <f>Worksheet!AN430</f>
        <v>+32479788543</v>
      </c>
      <c r="M430" t="str">
        <f>IF(Worksheet!AE430="","",Worksheet!AE430)</f>
        <v/>
      </c>
      <c r="N430" t="str">
        <f>IF(Worksheet!AG430="","",Worksheet!AG430)</f>
        <v/>
      </c>
      <c r="O430" t="str">
        <f>IF(Worksheet!AJ430="","",Worksheet!AJ430)</f>
        <v>Zomerstage 2026 (Blankenberge)</v>
      </c>
      <c r="P430" t="str">
        <f>IF(Worksheet!AK430="","",Worksheet!AK430)</f>
        <v>Speler</v>
      </c>
    </row>
    <row r="431" spans="5:16" x14ac:dyDescent="0.3">
      <c r="E431" s="2"/>
      <c r="J431" t="str">
        <f>Worksheet!C431&amp;" "&amp;Worksheet!B431</f>
        <v>Mathieu Libert</v>
      </c>
      <c r="K431" t="str">
        <f>Worksheet!AM431</f>
        <v>s_ardenois@hotmail.com</v>
      </c>
      <c r="L431" t="str">
        <f>Worksheet!AN431</f>
        <v>+32479788543</v>
      </c>
      <c r="M431" t="str">
        <f>IF(Worksheet!AE431="","",Worksheet!AE431)</f>
        <v/>
      </c>
      <c r="N431" t="str">
        <f>IF(Worksheet!AG431="","",Worksheet!AG431)</f>
        <v/>
      </c>
      <c r="O431" t="str">
        <f>IF(Worksheet!AJ431="","",Worksheet!AJ431)</f>
        <v>G12 Geel HAANTJES CERTIFISC OUDENAARDE</v>
      </c>
      <c r="P431" t="str">
        <f>IF(Worksheet!AK431="","",Worksheet!AK431)</f>
        <v>Speler</v>
      </c>
    </row>
    <row r="432" spans="5:16" x14ac:dyDescent="0.3">
      <c r="E432" s="2"/>
      <c r="J432" t="str">
        <f>Worksheet!C432&amp;" "&amp;Worksheet!B432</f>
        <v>Victor Libert</v>
      </c>
      <c r="K432" t="str">
        <f>Worksheet!AM432</f>
        <v/>
      </c>
      <c r="L432" t="str">
        <f>Worksheet!AN432</f>
        <v>+32473780275</v>
      </c>
      <c r="M432" t="str">
        <f>IF(Worksheet!AE432="","",Worksheet!AE432)</f>
        <v>https://app.twizzit.com/public/photos/7493172/s/6235261693b78c2a6b1d4ecbb92a61770437eca9.jpeg</v>
      </c>
      <c r="N432" t="str">
        <f>IF(Worksheet!AG432="","",Worksheet!AG432)</f>
        <v/>
      </c>
      <c r="O432" t="str">
        <f>IF(Worksheet!AJ432="","",Worksheet!AJ432)</f>
        <v>G10 Blauw HAANTJES CERTIFISC OUDENAARDE</v>
      </c>
      <c r="P432" t="str">
        <f>IF(Worksheet!AK432="","",Worksheet!AK432)</f>
        <v>Speler</v>
      </c>
    </row>
    <row r="433" spans="5:16" x14ac:dyDescent="0.3">
      <c r="E433" s="2"/>
      <c r="J433" t="str">
        <f>Worksheet!C433&amp;" "&amp;Worksheet!B433</f>
        <v>Sam Liekens</v>
      </c>
      <c r="K433" t="str">
        <f>Worksheet!AM433</f>
        <v/>
      </c>
      <c r="L433" t="str">
        <f>Worksheet!AN433</f>
        <v>+32478888243</v>
      </c>
      <c r="M433" t="str">
        <f>IF(Worksheet!AE433="","",Worksheet!AE433)</f>
        <v>https://app.twizzit.com/public/photos/3475283/s/e532263ea43cddb59650656f3777387ca04d2de4.jpeg</v>
      </c>
      <c r="N433">
        <f>IF(Worksheet!AG433="","",Worksheet!AG433)</f>
        <v>749236</v>
      </c>
      <c r="O433" t="str">
        <f>IF(Worksheet!AJ433="","",Worksheet!AJ433)</f>
        <v>J18 B Haantjes CERTIFISC Oudenaarde</v>
      </c>
      <c r="P433" t="str">
        <f>IF(Worksheet!AK433="","",Worksheet!AK433)</f>
        <v>Speler</v>
      </c>
    </row>
    <row r="434" spans="5:16" x14ac:dyDescent="0.3">
      <c r="E434" s="2"/>
      <c r="J434" t="str">
        <f>Worksheet!C434&amp;" "&amp;Worksheet!B434</f>
        <v>Sam Liekens</v>
      </c>
      <c r="K434" t="str">
        <f>Worksheet!AM434</f>
        <v/>
      </c>
      <c r="L434" t="str">
        <f>Worksheet!AN434</f>
        <v>+32478888243</v>
      </c>
      <c r="M434" t="str">
        <f>IF(Worksheet!AE434="","",Worksheet!AE434)</f>
        <v>https://app.twizzit.com/public/photos/3475283/s/e532263ea43cddb59650656f3777387ca04d2de4.jpeg</v>
      </c>
      <c r="N434">
        <f>IF(Worksheet!AG434="","",Worksheet!AG434)</f>
        <v>749236</v>
      </c>
      <c r="O434" t="str">
        <f>IF(Worksheet!AJ434="","",Worksheet!AJ434)</f>
        <v>Zomerstage 2026 (Blankenberge)</v>
      </c>
      <c r="P434" t="str">
        <f>IF(Worksheet!AK434="","",Worksheet!AK434)</f>
        <v>Speler</v>
      </c>
    </row>
    <row r="435" spans="5:16" x14ac:dyDescent="0.3">
      <c r="E435" s="2"/>
      <c r="J435" t="str">
        <f>Worksheet!C435&amp;" "&amp;Worksheet!B435</f>
        <v>Sofie Lievyns</v>
      </c>
      <c r="K435" t="str">
        <f>Worksheet!AM435</f>
        <v/>
      </c>
      <c r="L435" t="str">
        <f>Worksheet!AN435</f>
        <v>+32478331198</v>
      </c>
      <c r="M435" t="str">
        <f>IF(Worksheet!AE435="","",Worksheet!AE435)</f>
        <v/>
      </c>
      <c r="N435" t="str">
        <f>IF(Worksheet!AG435="","",Worksheet!AG435)</f>
        <v/>
      </c>
      <c r="O435" t="str">
        <f>IF(Worksheet!AJ435="","",Worksheet!AJ435)</f>
        <v/>
      </c>
      <c r="P435" t="str">
        <f>IF(Worksheet!AK435="","",Worksheet!AK435)</f>
        <v/>
      </c>
    </row>
    <row r="436" spans="5:16" x14ac:dyDescent="0.3">
      <c r="E436" s="2"/>
      <c r="J436" t="str">
        <f>Worksheet!C436&amp;" "&amp;Worksheet!B436</f>
        <v>Andreas Lippens</v>
      </c>
      <c r="K436" t="str">
        <f>Worksheet!AM436</f>
        <v/>
      </c>
      <c r="L436" t="str">
        <f>Worksheet!AN436</f>
        <v>+32492223206</v>
      </c>
      <c r="M436" t="str">
        <f>IF(Worksheet!AE436="","",Worksheet!AE436)</f>
        <v/>
      </c>
      <c r="N436">
        <f>IF(Worksheet!AG436="","",Worksheet!AG436)</f>
        <v>287179</v>
      </c>
      <c r="O436" t="str">
        <f>IF(Worksheet!AJ436="","",Worksheet!AJ436)</f>
        <v>HSE A Haantjes Certifisc Oudenaarde</v>
      </c>
      <c r="P436" t="str">
        <f>IF(Worksheet!AK436="","",Worksheet!AK436)</f>
        <v>Speler</v>
      </c>
    </row>
    <row r="437" spans="5:16" x14ac:dyDescent="0.3">
      <c r="E437" s="2"/>
      <c r="J437" t="str">
        <f>Worksheet!C437&amp;" "&amp;Worksheet!B437</f>
        <v>Lars Lodewyckx</v>
      </c>
      <c r="K437" t="str">
        <f>Worksheet!AM437</f>
        <v/>
      </c>
      <c r="L437" t="str">
        <f>Worksheet!AN437</f>
        <v>+32495242000</v>
      </c>
      <c r="M437" t="str">
        <f>IF(Worksheet!AE437="","",Worksheet!AE437)</f>
        <v/>
      </c>
      <c r="N437" t="str">
        <f>IF(Worksheet!AG437="","",Worksheet!AG437)</f>
        <v/>
      </c>
      <c r="O437" t="str">
        <f>IF(Worksheet!AJ437="","",Worksheet!AJ437)</f>
        <v/>
      </c>
      <c r="P437" t="str">
        <f>IF(Worksheet!AK437="","",Worksheet!AK437)</f>
        <v/>
      </c>
    </row>
    <row r="438" spans="5:16" x14ac:dyDescent="0.3">
      <c r="E438" s="2"/>
      <c r="J438" t="str">
        <f>Worksheet!C438&amp;" "&amp;Worksheet!B438</f>
        <v>Lucas Lodewyckx</v>
      </c>
      <c r="K438" t="str">
        <f>Worksheet!AM438</f>
        <v/>
      </c>
      <c r="L438" t="str">
        <f>Worksheet!AN438</f>
        <v>+32495242000</v>
      </c>
      <c r="M438" t="str">
        <f>IF(Worksheet!AE438="","",Worksheet!AE438)</f>
        <v/>
      </c>
      <c r="N438" t="str">
        <f>IF(Worksheet!AG438="","",Worksheet!AG438)</f>
        <v/>
      </c>
      <c r="O438" t="str">
        <f>IF(Worksheet!AJ438="","",Worksheet!AJ438)</f>
        <v/>
      </c>
      <c r="P438" t="str">
        <f>IF(Worksheet!AK438="","",Worksheet!AK438)</f>
        <v/>
      </c>
    </row>
    <row r="439" spans="5:16" x14ac:dyDescent="0.3">
      <c r="E439" s="2"/>
      <c r="J439" t="str">
        <f>Worksheet!C439&amp;" "&amp;Worksheet!B439</f>
        <v>Senne Lossie</v>
      </c>
      <c r="K439" t="str">
        <f>Worksheet!AM439</f>
        <v/>
      </c>
      <c r="L439" t="str">
        <f>Worksheet!AN439</f>
        <v>+32497030064</v>
      </c>
      <c r="M439" t="str">
        <f>IF(Worksheet!AE439="","",Worksheet!AE439)</f>
        <v/>
      </c>
      <c r="N439">
        <f>IF(Worksheet!AG439="","",Worksheet!AG439)</f>
        <v>740400</v>
      </c>
      <c r="O439" t="str">
        <f>IF(Worksheet!AJ439="","",Worksheet!AJ439)</f>
        <v/>
      </c>
      <c r="P439" t="str">
        <f>IF(Worksheet!AK439="","",Worksheet!AK439)</f>
        <v/>
      </c>
    </row>
    <row r="440" spans="5:16" x14ac:dyDescent="0.3">
      <c r="E440" s="2"/>
      <c r="J440" t="str">
        <f>Worksheet!C440&amp;" "&amp;Worksheet!B440</f>
        <v>Boris Luyten</v>
      </c>
      <c r="K440" t="str">
        <f>Worksheet!AM440</f>
        <v>liesbeth_boudrez@hotmail.be</v>
      </c>
      <c r="L440" t="str">
        <f>Worksheet!AN440</f>
        <v>+32499650150</v>
      </c>
      <c r="M440" t="str">
        <f>IF(Worksheet!AE440="","",Worksheet!AE440)</f>
        <v>https://app.twizzit.com/public/photos/3437308/s/ee02af9294d7823dae37d6eb7126b435ef764909.png</v>
      </c>
      <c r="N440" t="str">
        <f>IF(Worksheet!AG440="","",Worksheet!AG440)</f>
        <v/>
      </c>
      <c r="O440" t="str">
        <f>IF(Worksheet!AJ440="","",Worksheet!AJ440)</f>
        <v>G10 Geel HAANTJES CERTIFISC OUDENAARDE</v>
      </c>
      <c r="P440" t="str">
        <f>IF(Worksheet!AK440="","",Worksheet!AK440)</f>
        <v>Speler</v>
      </c>
    </row>
    <row r="441" spans="5:16" x14ac:dyDescent="0.3">
      <c r="E441" s="2"/>
      <c r="J441" t="str">
        <f>Worksheet!C441&amp;" "&amp;Worksheet!B441</f>
        <v>Max Luyten</v>
      </c>
      <c r="K441" t="str">
        <f>Worksheet!AM441</f>
        <v/>
      </c>
      <c r="L441" t="str">
        <f>Worksheet!AN441</f>
        <v/>
      </c>
      <c r="M441" t="str">
        <f>IF(Worksheet!AE441="","",Worksheet!AE441)</f>
        <v/>
      </c>
      <c r="N441">
        <f>IF(Worksheet!AG441="","",Worksheet!AG441)</f>
        <v>738763</v>
      </c>
      <c r="O441" t="str">
        <f>IF(Worksheet!AJ441="","",Worksheet!AJ441)</f>
        <v/>
      </c>
      <c r="P441" t="str">
        <f>IF(Worksheet!AK441="","",Worksheet!AK441)</f>
        <v/>
      </c>
    </row>
    <row r="442" spans="5:16" x14ac:dyDescent="0.3">
      <c r="E442" s="2"/>
      <c r="J442" t="str">
        <f>Worksheet!C442&amp;" "&amp;Worksheet!B442</f>
        <v>Oskar Luyten</v>
      </c>
      <c r="K442" t="str">
        <f>Worksheet!AM442</f>
        <v>liesbeth_boudrez@hotmail.be</v>
      </c>
      <c r="L442" t="str">
        <f>Worksheet!AN442</f>
        <v>+32499650150</v>
      </c>
      <c r="M442" t="str">
        <f>IF(Worksheet!AE442="","",Worksheet!AE442)</f>
        <v>https://app.twizzit.com/public/photos/6067218/s/05d3b6d34153ded2c11249ae66f232311ce5df9d.jpeg</v>
      </c>
      <c r="N442" t="str">
        <f>IF(Worksheet!AG442="","",Worksheet!AG442)</f>
        <v/>
      </c>
      <c r="O442" t="str">
        <f>IF(Worksheet!AJ442="","",Worksheet!AJ442)</f>
        <v>G08 Geel HAANTJES CERTIFISC OUDENAARDE</v>
      </c>
      <c r="P442" t="str">
        <f>IF(Worksheet!AK442="","",Worksheet!AK442)</f>
        <v>Speler</v>
      </c>
    </row>
    <row r="443" spans="5:16" x14ac:dyDescent="0.3">
      <c r="E443" s="2"/>
      <c r="J443" t="str">
        <f>Worksheet!C443&amp;" "&amp;Worksheet!B443</f>
        <v>Steven Luyten</v>
      </c>
      <c r="K443" t="str">
        <f>Worksheet!AM443</f>
        <v/>
      </c>
      <c r="L443" t="str">
        <f>Worksheet!AN443</f>
        <v/>
      </c>
      <c r="M443" t="str">
        <f>IF(Worksheet!AE443="","",Worksheet!AE443)</f>
        <v/>
      </c>
      <c r="N443" t="str">
        <f>IF(Worksheet!AG443="","",Worksheet!AG443)</f>
        <v/>
      </c>
      <c r="O443" t="str">
        <f>IF(Worksheet!AJ443="","",Worksheet!AJ443)</f>
        <v/>
      </c>
      <c r="P443" t="str">
        <f>IF(Worksheet!AK443="","",Worksheet!AK443)</f>
        <v/>
      </c>
    </row>
    <row r="444" spans="5:16" x14ac:dyDescent="0.3">
      <c r="E444" s="2"/>
      <c r="J444" t="str">
        <f>Worksheet!C444&amp;" "&amp;Worksheet!B444</f>
        <v>Viktor L’Hommelet</v>
      </c>
      <c r="K444" t="str">
        <f>Worksheet!AM444</f>
        <v>els.bourgois@gmail.com</v>
      </c>
      <c r="L444" t="str">
        <f>Worksheet!AN444</f>
        <v>+32479376759</v>
      </c>
      <c r="M444" t="str">
        <f>IF(Worksheet!AE444="","",Worksheet!AE444)</f>
        <v/>
      </c>
      <c r="N444">
        <f>IF(Worksheet!AG444="","",Worksheet!AG444)</f>
        <v>714059</v>
      </c>
      <c r="O444" t="str">
        <f>IF(Worksheet!AJ444="","",Worksheet!AJ444)</f>
        <v>J16 A Haantjes CERTIFISC Oudenaarde</v>
      </c>
      <c r="P444" t="str">
        <f>IF(Worksheet!AK444="","",Worksheet!AK444)</f>
        <v>Speler</v>
      </c>
    </row>
    <row r="445" spans="5:16" x14ac:dyDescent="0.3">
      <c r="E445" s="2"/>
      <c r="J445" t="str">
        <f>Worksheet!C445&amp;" "&amp;Worksheet!B445</f>
        <v>Viktor L’Hommelet</v>
      </c>
      <c r="K445" t="str">
        <f>Worksheet!AM445</f>
        <v>els.bourgois@gmail.com</v>
      </c>
      <c r="L445" t="str">
        <f>Worksheet!AN445</f>
        <v>+32479376759</v>
      </c>
      <c r="M445" t="str">
        <f>IF(Worksheet!AE445="","",Worksheet!AE445)</f>
        <v/>
      </c>
      <c r="N445">
        <f>IF(Worksheet!AG445="","",Worksheet!AG445)</f>
        <v>714059</v>
      </c>
      <c r="O445" t="str">
        <f>IF(Worksheet!AJ445="","",Worksheet!AJ445)</f>
        <v>Zomerstage 2026 (Blankenberge)</v>
      </c>
      <c r="P445" t="str">
        <f>IF(Worksheet!AK445="","",Worksheet!AK445)</f>
        <v>Speler</v>
      </c>
    </row>
    <row r="446" spans="5:16" x14ac:dyDescent="0.3">
      <c r="E446" s="2"/>
      <c r="J446" t="str">
        <f>Worksheet!C446&amp;" "&amp;Worksheet!B446</f>
        <v>Fenne Maebe</v>
      </c>
      <c r="K446" t="str">
        <f>Worksheet!AM446</f>
        <v/>
      </c>
      <c r="L446" t="str">
        <f>Worksheet!AN446</f>
        <v>+32496392771</v>
      </c>
      <c r="M446" t="str">
        <f>IF(Worksheet!AE446="","",Worksheet!AE446)</f>
        <v/>
      </c>
      <c r="N446" t="str">
        <f>IF(Worksheet!AG446="","",Worksheet!AG446)</f>
        <v/>
      </c>
      <c r="O446" t="str">
        <f>IF(Worksheet!AJ446="","",Worksheet!AJ446)</f>
        <v/>
      </c>
      <c r="P446" t="str">
        <f>IF(Worksheet!AK446="","",Worksheet!AK446)</f>
        <v/>
      </c>
    </row>
    <row r="447" spans="5:16" x14ac:dyDescent="0.3">
      <c r="E447" s="2"/>
      <c r="J447" t="str">
        <f>Worksheet!C447&amp;" "&amp;Worksheet!B447</f>
        <v>Nathan Maenhout</v>
      </c>
      <c r="K447" t="str">
        <f>Worksheet!AM447</f>
        <v>jokespies@hotmail.com</v>
      </c>
      <c r="L447" t="str">
        <f>Worksheet!AN447</f>
        <v>+32489178706</v>
      </c>
      <c r="M447" t="str">
        <f>IF(Worksheet!AE447="","",Worksheet!AE447)</f>
        <v>https://app.twizzit.com/public/photos/9359547/s/0986374ba59a462685344af411da25079641e82d.jpeg</v>
      </c>
      <c r="N447" t="str">
        <f>IF(Worksheet!AG447="","",Worksheet!AG447)</f>
        <v/>
      </c>
      <c r="O447" t="str">
        <f>IF(Worksheet!AJ447="","",Worksheet!AJ447)</f>
        <v>G14 A Haantjes CERTIFISC Oudenaarde</v>
      </c>
      <c r="P447" t="str">
        <f>IF(Worksheet!AK447="","",Worksheet!AK447)</f>
        <v>Speler</v>
      </c>
    </row>
    <row r="448" spans="5:16" x14ac:dyDescent="0.3">
      <c r="E448" s="2"/>
      <c r="J448" t="str">
        <f>Worksheet!C448&amp;" "&amp;Worksheet!B448</f>
        <v>Nathan Maenhout</v>
      </c>
      <c r="K448" t="str">
        <f>Worksheet!AM448</f>
        <v>jokespies@hotmail.com</v>
      </c>
      <c r="L448" t="str">
        <f>Worksheet!AN448</f>
        <v>+32489178706</v>
      </c>
      <c r="M448" t="str">
        <f>IF(Worksheet!AE448="","",Worksheet!AE448)</f>
        <v>https://app.twizzit.com/public/photos/9359547/s/0986374ba59a462685344af411da25079641e82d.jpeg</v>
      </c>
      <c r="N448" t="str">
        <f>IF(Worksheet!AG448="","",Worksheet!AG448)</f>
        <v/>
      </c>
      <c r="O448" t="str">
        <f>IF(Worksheet!AJ448="","",Worksheet!AJ448)</f>
        <v>Zomerstage 2026 (Blankenberge)</v>
      </c>
      <c r="P448" t="str">
        <f>IF(Worksheet!AK448="","",Worksheet!AK448)</f>
        <v>Speler</v>
      </c>
    </row>
    <row r="449" spans="5:16" x14ac:dyDescent="0.3">
      <c r="E449" s="2"/>
      <c r="J449" t="str">
        <f>Worksheet!C449&amp;" "&amp;Worksheet!B449</f>
        <v>Jonas Maertens</v>
      </c>
      <c r="K449" t="str">
        <f>Worksheet!AM449</f>
        <v/>
      </c>
      <c r="L449" t="str">
        <f>Worksheet!AN449</f>
        <v>+32477970937</v>
      </c>
      <c r="M449" t="str">
        <f>IF(Worksheet!AE449="","",Worksheet!AE449)</f>
        <v/>
      </c>
      <c r="N449">
        <f>IF(Worksheet!AG449="","",Worksheet!AG449)</f>
        <v>95935</v>
      </c>
      <c r="O449" t="str">
        <f>IF(Worksheet!AJ449="","",Worksheet!AJ449)</f>
        <v/>
      </c>
      <c r="P449" t="str">
        <f>IF(Worksheet!AK449="","",Worksheet!AK449)</f>
        <v/>
      </c>
    </row>
    <row r="450" spans="5:16" x14ac:dyDescent="0.3">
      <c r="E450" s="2"/>
      <c r="J450" t="str">
        <f>Worksheet!C450&amp;" "&amp;Worksheet!B450</f>
        <v>Dréa Maes</v>
      </c>
      <c r="K450" t="str">
        <f>Worksheet!AM450</f>
        <v>Joke.merlaen@gmail.com</v>
      </c>
      <c r="L450" t="str">
        <f>Worksheet!AN450</f>
        <v/>
      </c>
      <c r="M450" t="str">
        <f>IF(Worksheet!AE450="","",Worksheet!AE450)</f>
        <v>https://app.twizzit.com/public/photos/3412861/s/5d2322ba0de7264fd5ba0170cc29e82844de05d5.png</v>
      </c>
      <c r="N450" t="str">
        <f>IF(Worksheet!AG450="","",Worksheet!AG450)</f>
        <v/>
      </c>
      <c r="O450" t="str">
        <f>IF(Worksheet!AJ450="","",Worksheet!AJ450)</f>
        <v>M16 A Haantjes CERTIFISC  Oudenaarde</v>
      </c>
      <c r="P450" t="str">
        <f>IF(Worksheet!AK450="","",Worksheet!AK450)</f>
        <v>Speler</v>
      </c>
    </row>
    <row r="451" spans="5:16" x14ac:dyDescent="0.3">
      <c r="E451" s="2"/>
      <c r="J451" t="str">
        <f>Worksheet!C451&amp;" "&amp;Worksheet!B451</f>
        <v>Dréa Maes</v>
      </c>
      <c r="K451" t="str">
        <f>Worksheet!AM451</f>
        <v>Joke.merlaen@gmail.com</v>
      </c>
      <c r="L451" t="str">
        <f>Worksheet!AN451</f>
        <v/>
      </c>
      <c r="M451" t="str">
        <f>IF(Worksheet!AE451="","",Worksheet!AE451)</f>
        <v>https://app.twizzit.com/public/photos/3412861/s/5d2322ba0de7264fd5ba0170cc29e82844de05d5.png</v>
      </c>
      <c r="N451" t="str">
        <f>IF(Worksheet!AG451="","",Worksheet!AG451)</f>
        <v/>
      </c>
      <c r="O451" t="str">
        <f>IF(Worksheet!AJ451="","",Worksheet!AJ451)</f>
        <v>Zomerstage 2026 (Blankenberge)</v>
      </c>
      <c r="P451" t="str">
        <f>IF(Worksheet!AK451="","",Worksheet!AK451)</f>
        <v>Speler</v>
      </c>
    </row>
    <row r="452" spans="5:16" x14ac:dyDescent="0.3">
      <c r="E452" s="2"/>
      <c r="J452" t="str">
        <f>Worksheet!C452&amp;" "&amp;Worksheet!B452</f>
        <v>Kamiel Mahieu</v>
      </c>
      <c r="K452" t="str">
        <f>Worksheet!AM452</f>
        <v/>
      </c>
      <c r="L452" t="str">
        <f>Worksheet!AN452</f>
        <v>+32473745981</v>
      </c>
      <c r="M452" t="str">
        <f>IF(Worksheet!AE452="","",Worksheet!AE452)</f>
        <v/>
      </c>
      <c r="N452" t="str">
        <f>IF(Worksheet!AG452="","",Worksheet!AG452)</f>
        <v/>
      </c>
      <c r="O452" t="str">
        <f>IF(Worksheet!AJ452="","",Worksheet!AJ452)</f>
        <v>J18 B Haantjes CERTIFISC Oudenaarde</v>
      </c>
      <c r="P452" t="str">
        <f>IF(Worksheet!AK452="","",Worksheet!AK452)</f>
        <v>Speler</v>
      </c>
    </row>
    <row r="453" spans="5:16" x14ac:dyDescent="0.3">
      <c r="E453" s="2"/>
      <c r="J453" t="str">
        <f>Worksheet!C453&amp;" "&amp;Worksheet!B453</f>
        <v>Senne Mahieu</v>
      </c>
      <c r="K453" t="str">
        <f>Worksheet!AM453</f>
        <v/>
      </c>
      <c r="L453" t="str">
        <f>Worksheet!AN453</f>
        <v/>
      </c>
      <c r="M453" t="str">
        <f>IF(Worksheet!AE453="","",Worksheet!AE453)</f>
        <v/>
      </c>
      <c r="N453">
        <f>IF(Worksheet!AG453="","",Worksheet!AG453)</f>
        <v>662953</v>
      </c>
      <c r="O453" t="str">
        <f>IF(Worksheet!AJ453="","",Worksheet!AJ453)</f>
        <v/>
      </c>
      <c r="P453" t="str">
        <f>IF(Worksheet!AK453="","",Worksheet!AK453)</f>
        <v/>
      </c>
    </row>
    <row r="454" spans="5:16" x14ac:dyDescent="0.3">
      <c r="E454" s="2"/>
      <c r="J454" t="str">
        <f>Worksheet!C454&amp;" "&amp;Worksheet!B454</f>
        <v>John Malbrant</v>
      </c>
      <c r="K454" t="str">
        <f>Worksheet!AM454</f>
        <v/>
      </c>
      <c r="L454" t="str">
        <f>Worksheet!AN454</f>
        <v>+32478314265</v>
      </c>
      <c r="M454" t="str">
        <f>IF(Worksheet!AE454="","",Worksheet!AE454)</f>
        <v/>
      </c>
      <c r="N454">
        <f>IF(Worksheet!AG454="","",Worksheet!AG454)</f>
        <v>612102</v>
      </c>
      <c r="O454" t="str">
        <f>IF(Worksheet!AJ454="","",Worksheet!AJ454)</f>
        <v/>
      </c>
      <c r="P454" t="str">
        <f>IF(Worksheet!AK454="","",Worksheet!AK454)</f>
        <v/>
      </c>
    </row>
    <row r="455" spans="5:16" x14ac:dyDescent="0.3">
      <c r="E455" s="2"/>
      <c r="J455" t="str">
        <f>Worksheet!C455&amp;" "&amp;Worksheet!B455</f>
        <v>Lowie Malfait</v>
      </c>
      <c r="K455" t="str">
        <f>Worksheet!AM455</f>
        <v>Hoekman.annelies1@gmail.com</v>
      </c>
      <c r="L455" t="str">
        <f>Worksheet!AN455</f>
        <v>+32478836273</v>
      </c>
      <c r="M455" t="str">
        <f>IF(Worksheet!AE455="","",Worksheet!AE455)</f>
        <v/>
      </c>
      <c r="N455" t="str">
        <f>IF(Worksheet!AG455="","",Worksheet!AG455)</f>
        <v/>
      </c>
      <c r="O455" t="str">
        <f>IF(Worksheet!AJ455="","",Worksheet!AJ455)</f>
        <v>G12 Blauw HAANTJES CERTIFISC OUDENAARDE</v>
      </c>
      <c r="P455" t="str">
        <f>IF(Worksheet!AK455="","",Worksheet!AK455)</f>
        <v>Speler</v>
      </c>
    </row>
    <row r="456" spans="5:16" x14ac:dyDescent="0.3">
      <c r="E456" s="2"/>
      <c r="J456" t="str">
        <f>Worksheet!C456&amp;" "&amp;Worksheet!B456</f>
        <v>Jakob Marcou</v>
      </c>
      <c r="K456" t="str">
        <f>Worksheet!AM456</f>
        <v/>
      </c>
      <c r="L456" t="str">
        <f>Worksheet!AN456</f>
        <v>+32474234134</v>
      </c>
      <c r="M456" t="str">
        <f>IF(Worksheet!AE456="","",Worksheet!AE456)</f>
        <v/>
      </c>
      <c r="N456">
        <f>IF(Worksheet!AG456="","",Worksheet!AG456)</f>
        <v>608268</v>
      </c>
      <c r="O456" t="str">
        <f>IF(Worksheet!AJ456="","",Worksheet!AJ456)</f>
        <v>HSE A Haantjes Certifisc Oudenaarde</v>
      </c>
      <c r="P456" t="str">
        <f>IF(Worksheet!AK456="","",Worksheet!AK456)</f>
        <v>Speler</v>
      </c>
    </row>
    <row r="457" spans="5:16" x14ac:dyDescent="0.3">
      <c r="E457" s="2"/>
      <c r="J457" t="str">
        <f>Worksheet!C457&amp;" "&amp;Worksheet!B457</f>
        <v>Gilles Martens</v>
      </c>
      <c r="K457" t="str">
        <f>Worksheet!AM457</f>
        <v/>
      </c>
      <c r="L457" t="str">
        <f>Worksheet!AN457</f>
        <v>+32473420843</v>
      </c>
      <c r="M457" t="str">
        <f>IF(Worksheet!AE457="","",Worksheet!AE457)</f>
        <v/>
      </c>
      <c r="N457" t="str">
        <f>IF(Worksheet!AG457="","",Worksheet!AG457)</f>
        <v/>
      </c>
      <c r="O457" t="str">
        <f>IF(Worksheet!AJ457="","",Worksheet!AJ457)</f>
        <v/>
      </c>
      <c r="P457" t="str">
        <f>IF(Worksheet!AK457="","",Worksheet!AK457)</f>
        <v/>
      </c>
    </row>
    <row r="458" spans="5:16" x14ac:dyDescent="0.3">
      <c r="E458" s="2"/>
      <c r="J458" t="str">
        <f>Worksheet!C458&amp;" "&amp;Worksheet!B458</f>
        <v>Mieke Martyn</v>
      </c>
      <c r="K458" t="str">
        <f>Worksheet!AM458</f>
        <v/>
      </c>
      <c r="L458" t="str">
        <f>Worksheet!AN458</f>
        <v/>
      </c>
      <c r="M458" t="str">
        <f>IF(Worksheet!AE458="","",Worksheet!AE458)</f>
        <v/>
      </c>
      <c r="N458" t="str">
        <f>IF(Worksheet!AG458="","",Worksheet!AG458)</f>
        <v/>
      </c>
      <c r="O458" t="str">
        <f>IF(Worksheet!AJ458="","",Worksheet!AJ458)</f>
        <v/>
      </c>
      <c r="P458" t="str">
        <f>IF(Worksheet!AK458="","",Worksheet!AK458)</f>
        <v/>
      </c>
    </row>
    <row r="459" spans="5:16" x14ac:dyDescent="0.3">
      <c r="E459" s="2"/>
      <c r="J459" t="str">
        <f>Worksheet!C459&amp;" "&amp;Worksheet!B459</f>
        <v>Patrick Matthys</v>
      </c>
      <c r="K459" t="str">
        <f>Worksheet!AM459</f>
        <v/>
      </c>
      <c r="L459" t="str">
        <f>Worksheet!AN459</f>
        <v>+32475330345</v>
      </c>
      <c r="M459" t="str">
        <f>IF(Worksheet!AE459="","",Worksheet!AE459)</f>
        <v/>
      </c>
      <c r="N459">
        <f>IF(Worksheet!AG459="","",Worksheet!AG459)</f>
        <v>100834</v>
      </c>
      <c r="O459" t="str">
        <f>IF(Worksheet!AJ459="","",Worksheet!AJ459)</f>
        <v>HSE A Haantjes Certifisc Oudenaarde</v>
      </c>
      <c r="P459" t="str">
        <f>IF(Worksheet!AK459="","",Worksheet!AK459)</f>
        <v>Ploegverantwoordelijke</v>
      </c>
    </row>
    <row r="460" spans="5:16" x14ac:dyDescent="0.3">
      <c r="E460" s="2"/>
      <c r="J460" t="str">
        <f>Worksheet!C460&amp;" "&amp;Worksheet!B460</f>
        <v>Steppe Matthys</v>
      </c>
      <c r="K460" t="str">
        <f>Worksheet!AM460</f>
        <v/>
      </c>
      <c r="L460" t="str">
        <f>Worksheet!AN460</f>
        <v>+32468429871</v>
      </c>
      <c r="M460" t="str">
        <f>IF(Worksheet!AE460="","",Worksheet!AE460)</f>
        <v>https://app.twizzit.com/public/photos/10488364/s/177c95b9932dcdda23e09eda7b0298c34ca94551.jpeg</v>
      </c>
      <c r="N460" t="str">
        <f>IF(Worksheet!AG460="","",Worksheet!AG460)</f>
        <v/>
      </c>
      <c r="O460" t="str">
        <f>IF(Worksheet!AJ460="","",Worksheet!AJ460)</f>
        <v>G14 B Haantjes CERTIFISC Oudenaarde</v>
      </c>
      <c r="P460" t="str">
        <f>IF(Worksheet!AK460="","",Worksheet!AK460)</f>
        <v>Speler</v>
      </c>
    </row>
    <row r="461" spans="5:16" x14ac:dyDescent="0.3">
      <c r="E461" s="2"/>
      <c r="J461" t="str">
        <f>Worksheet!C461&amp;" "&amp;Worksheet!B461</f>
        <v>Steppe Matthys</v>
      </c>
      <c r="K461" t="str">
        <f>Worksheet!AM461</f>
        <v/>
      </c>
      <c r="L461" t="str">
        <f>Worksheet!AN461</f>
        <v>+32468429871</v>
      </c>
      <c r="M461" t="str">
        <f>IF(Worksheet!AE461="","",Worksheet!AE461)</f>
        <v>https://app.twizzit.com/public/photos/10488364/s/177c95b9932dcdda23e09eda7b0298c34ca94551.jpeg</v>
      </c>
      <c r="N461" t="str">
        <f>IF(Worksheet!AG461="","",Worksheet!AG461)</f>
        <v/>
      </c>
      <c r="O461" t="str">
        <f>IF(Worksheet!AJ461="","",Worksheet!AJ461)</f>
        <v>Zomerstage 2026 (Blankenberge)</v>
      </c>
      <c r="P461" t="str">
        <f>IF(Worksheet!AK461="","",Worksheet!AK461)</f>
        <v>Speler</v>
      </c>
    </row>
    <row r="462" spans="5:16" x14ac:dyDescent="0.3">
      <c r="E462" s="2"/>
      <c r="J462" t="str">
        <f>Worksheet!C462&amp;" "&amp;Worksheet!B462</f>
        <v>Bleys Maxime</v>
      </c>
      <c r="K462" t="str">
        <f>Worksheet!AM462</f>
        <v/>
      </c>
      <c r="L462" t="str">
        <f>Worksheet!AN462</f>
        <v>+32495940240</v>
      </c>
      <c r="M462" t="str">
        <f>IF(Worksheet!AE462="","",Worksheet!AE462)</f>
        <v/>
      </c>
      <c r="N462">
        <f>IF(Worksheet!AG462="","",Worksheet!AG462)</f>
        <v>661314</v>
      </c>
      <c r="O462" t="str">
        <f>IF(Worksheet!AJ462="","",Worksheet!AJ462)</f>
        <v>HSE A Haantjes Certifisc Oudenaarde</v>
      </c>
      <c r="P462" t="str">
        <f>IF(Worksheet!AK462="","",Worksheet!AK462)</f>
        <v>Speler</v>
      </c>
    </row>
    <row r="463" spans="5:16" x14ac:dyDescent="0.3">
      <c r="E463" s="2"/>
      <c r="J463" t="str">
        <f>Worksheet!C463&amp;" "&amp;Worksheet!B463</f>
        <v>Joris Mechant</v>
      </c>
      <c r="K463" t="str">
        <f>Worksheet!AM463</f>
        <v>jme@cretes.be</v>
      </c>
      <c r="L463" t="str">
        <f>Worksheet!AN463</f>
        <v/>
      </c>
      <c r="M463" t="str">
        <f>IF(Worksheet!AE463="","",Worksheet!AE463)</f>
        <v/>
      </c>
      <c r="N463">
        <f>IF(Worksheet!AG463="","",Worksheet!AG463)</f>
        <v>671215</v>
      </c>
      <c r="O463" t="str">
        <f>IF(Worksheet!AJ463="","",Worksheet!AJ463)</f>
        <v/>
      </c>
      <c r="P463" t="str">
        <f>IF(Worksheet!AK463="","",Worksheet!AK463)</f>
        <v/>
      </c>
    </row>
    <row r="464" spans="5:16" x14ac:dyDescent="0.3">
      <c r="E464" s="2"/>
      <c r="J464" t="str">
        <f>Worksheet!C464&amp;" "&amp;Worksheet!B464</f>
        <v>Joris Mechant</v>
      </c>
      <c r="K464" t="str">
        <f>Worksheet!AM464</f>
        <v>jme@cretes.be</v>
      </c>
      <c r="L464" t="str">
        <f>Worksheet!AN464</f>
        <v/>
      </c>
      <c r="M464" t="str">
        <f>IF(Worksheet!AE464="","",Worksheet!AE464)</f>
        <v/>
      </c>
      <c r="N464">
        <f>IF(Worksheet!AG464="","",Worksheet!AG464)</f>
        <v>671215</v>
      </c>
      <c r="O464" t="str">
        <f>IF(Worksheet!AJ464="","",Worksheet!AJ464)</f>
        <v/>
      </c>
      <c r="P464" t="str">
        <f>IF(Worksheet!AK464="","",Worksheet!AK464)</f>
        <v/>
      </c>
    </row>
    <row r="465" spans="5:16" x14ac:dyDescent="0.3">
      <c r="E465" s="2"/>
      <c r="J465" t="str">
        <f>Worksheet!C465&amp;" "&amp;Worksheet!B465</f>
        <v>Joris Mechant</v>
      </c>
      <c r="K465" t="str">
        <f>Worksheet!AM465</f>
        <v>jme@cretes.be</v>
      </c>
      <c r="L465" t="str">
        <f>Worksheet!AN465</f>
        <v/>
      </c>
      <c r="M465" t="str">
        <f>IF(Worksheet!AE465="","",Worksheet!AE465)</f>
        <v/>
      </c>
      <c r="N465">
        <f>IF(Worksheet!AG465="","",Worksheet!AG465)</f>
        <v>671215</v>
      </c>
      <c r="O465" t="str">
        <f>IF(Worksheet!AJ465="","",Worksheet!AJ465)</f>
        <v/>
      </c>
      <c r="P465" t="str">
        <f>IF(Worksheet!AK465="","",Worksheet!AK465)</f>
        <v/>
      </c>
    </row>
    <row r="466" spans="5:16" x14ac:dyDescent="0.3">
      <c r="E466" s="2"/>
      <c r="J466" t="str">
        <f>Worksheet!C466&amp;" "&amp;Worksheet!B466</f>
        <v>Marte Mechant</v>
      </c>
      <c r="K466" t="str">
        <f>Worksheet!AM466</f>
        <v>jme.basket@telenet.be</v>
      </c>
      <c r="L466" t="str">
        <f>Worksheet!AN466</f>
        <v>+32470449365</v>
      </c>
      <c r="M466" t="str">
        <f>IF(Worksheet!AE466="","",Worksheet!AE466)</f>
        <v/>
      </c>
      <c r="N466">
        <f>IF(Worksheet!AG466="","",Worksheet!AG466)</f>
        <v>665060</v>
      </c>
      <c r="O466" t="str">
        <f>IF(Worksheet!AJ466="","",Worksheet!AJ466)</f>
        <v>G10 Blauw HAANTJES CERTIFISC OUDENAARDE</v>
      </c>
      <c r="P466" t="str">
        <f>IF(Worksheet!AK466="","",Worksheet!AK466)</f>
        <v>Coach</v>
      </c>
    </row>
    <row r="467" spans="5:16" x14ac:dyDescent="0.3">
      <c r="E467" s="2"/>
      <c r="J467" t="str">
        <f>Worksheet!C467&amp;" "&amp;Worksheet!B467</f>
        <v>Simon Meerpoel</v>
      </c>
      <c r="K467" t="str">
        <f>Worksheet!AM467</f>
        <v>eric.meerpoel@telenet.be</v>
      </c>
      <c r="L467" t="str">
        <f>Worksheet!AN467</f>
        <v/>
      </c>
      <c r="M467" t="str">
        <f>IF(Worksheet!AE467="","",Worksheet!AE467)</f>
        <v/>
      </c>
      <c r="N467">
        <f>IF(Worksheet!AG467="","",Worksheet!AG467)</f>
        <v>644105</v>
      </c>
      <c r="O467" t="str">
        <f>IF(Worksheet!AJ467="","",Worksheet!AJ467)</f>
        <v/>
      </c>
      <c r="P467" t="str">
        <f>IF(Worksheet!AK467="","",Worksheet!AK467)</f>
        <v/>
      </c>
    </row>
    <row r="468" spans="5:16" x14ac:dyDescent="0.3">
      <c r="E468" s="2"/>
      <c r="J468" t="str">
        <f>Worksheet!C468&amp;" "&amp;Worksheet!B468</f>
        <v>Cezar Mees</v>
      </c>
      <c r="K468" t="str">
        <f>Worksheet!AM468</f>
        <v/>
      </c>
      <c r="L468" t="str">
        <f>Worksheet!AN468</f>
        <v>+32474721420</v>
      </c>
      <c r="M468" t="str">
        <f>IF(Worksheet!AE468="","",Worksheet!AE468)</f>
        <v>https://app.twizzit.com/public/photos/3436128/s/3f658dce803d1d860ec8c7dcfee63c3e63f8aeae.png</v>
      </c>
      <c r="N468" t="str">
        <f>IF(Worksheet!AG468="","",Worksheet!AG468)</f>
        <v/>
      </c>
      <c r="O468" t="str">
        <f>IF(Worksheet!AJ468="","",Worksheet!AJ468)</f>
        <v/>
      </c>
      <c r="P468" t="str">
        <f>IF(Worksheet!AK468="","",Worksheet!AK468)</f>
        <v/>
      </c>
    </row>
    <row r="469" spans="5:16" x14ac:dyDescent="0.3">
      <c r="E469" s="2"/>
      <c r="J469" t="str">
        <f>Worksheet!C469&amp;" "&amp;Worksheet!B469</f>
        <v>Jakob Mees</v>
      </c>
      <c r="K469" t="str">
        <f>Worksheet!AM469</f>
        <v>gillesmees@hotmail.com</v>
      </c>
      <c r="L469" t="str">
        <f>Worksheet!AN469</f>
        <v>+32474721420</v>
      </c>
      <c r="M469" t="str">
        <f>IF(Worksheet!AE469="","",Worksheet!AE469)</f>
        <v/>
      </c>
      <c r="N469">
        <f>IF(Worksheet!AG469="","",Worksheet!AG469)</f>
        <v>742176</v>
      </c>
      <c r="O469" t="str">
        <f>IF(Worksheet!AJ469="","",Worksheet!AJ469)</f>
        <v/>
      </c>
      <c r="P469" t="str">
        <f>IF(Worksheet!AK469="","",Worksheet!AK469)</f>
        <v/>
      </c>
    </row>
    <row r="470" spans="5:16" x14ac:dyDescent="0.3">
      <c r="E470" s="2"/>
      <c r="J470" t="str">
        <f>Worksheet!C470&amp;" "&amp;Worksheet!B470</f>
        <v>Kasper Mees</v>
      </c>
      <c r="K470" t="str">
        <f>Worksheet!AM470</f>
        <v/>
      </c>
      <c r="L470" t="str">
        <f>Worksheet!AN470</f>
        <v>+32474721420</v>
      </c>
      <c r="M470" t="str">
        <f>IF(Worksheet!AE470="","",Worksheet!AE470)</f>
        <v>https://app.twizzit.com/public/photos/2183112/s/07942e4161d7a20864d1fbcf54b9a6dda331637e.png</v>
      </c>
      <c r="N470">
        <f>IF(Worksheet!AG470="","",Worksheet!AG470)</f>
        <v>732219</v>
      </c>
      <c r="O470" t="str">
        <f>IF(Worksheet!AJ470="","",Worksheet!AJ470)</f>
        <v>J16 A Haantjes CERTIFISC Oudenaarde</v>
      </c>
      <c r="P470" t="str">
        <f>IF(Worksheet!AK470="","",Worksheet!AK470)</f>
        <v>Speler</v>
      </c>
    </row>
    <row r="471" spans="5:16" x14ac:dyDescent="0.3">
      <c r="E471" s="2"/>
      <c r="J471" t="str">
        <f>Worksheet!C471&amp;" "&amp;Worksheet!B471</f>
        <v>Kasper Mees</v>
      </c>
      <c r="K471" t="str">
        <f>Worksheet!AM471</f>
        <v/>
      </c>
      <c r="L471" t="str">
        <f>Worksheet!AN471</f>
        <v>+32474721420</v>
      </c>
      <c r="M471" t="str">
        <f>IF(Worksheet!AE471="","",Worksheet!AE471)</f>
        <v>https://app.twizzit.com/public/photos/2183112/s/07942e4161d7a20864d1fbcf54b9a6dda331637e.png</v>
      </c>
      <c r="N471">
        <f>IF(Worksheet!AG471="","",Worksheet!AG471)</f>
        <v>732219</v>
      </c>
      <c r="O471" t="str">
        <f>IF(Worksheet!AJ471="","",Worksheet!AJ471)</f>
        <v>Zomerstage 2026 (Blankenberge)</v>
      </c>
      <c r="P471" t="str">
        <f>IF(Worksheet!AK471="","",Worksheet!AK471)</f>
        <v>Speler</v>
      </c>
    </row>
    <row r="472" spans="5:16" x14ac:dyDescent="0.3">
      <c r="E472" s="2"/>
      <c r="J472" t="str">
        <f>Worksheet!C472&amp;" "&amp;Worksheet!B472</f>
        <v>Jayson Melis</v>
      </c>
      <c r="K472" t="str">
        <f>Worksheet!AM472</f>
        <v/>
      </c>
      <c r="L472" t="str">
        <f>Worksheet!AN472</f>
        <v>+32495300478</v>
      </c>
      <c r="M472" t="str">
        <f>IF(Worksheet!AE472="","",Worksheet!AE472)</f>
        <v/>
      </c>
      <c r="N472">
        <f>IF(Worksheet!AG472="","",Worksheet!AG472)</f>
        <v>626275</v>
      </c>
      <c r="O472" t="str">
        <f>IF(Worksheet!AJ472="","",Worksheet!AJ472)</f>
        <v/>
      </c>
      <c r="P472" t="str">
        <f>IF(Worksheet!AK472="","",Worksheet!AK472)</f>
        <v/>
      </c>
    </row>
    <row r="473" spans="5:16" x14ac:dyDescent="0.3">
      <c r="E473" s="2"/>
      <c r="J473" t="str">
        <f>Worksheet!C473&amp;" "&amp;Worksheet!B473</f>
        <v>Aureel Melsens</v>
      </c>
      <c r="K473" t="str">
        <f>Worksheet!AM473</f>
        <v>lieven.melsens@gmail.com</v>
      </c>
      <c r="L473" t="str">
        <f>Worksheet!AN473</f>
        <v>+32496392510</v>
      </c>
      <c r="M473" t="str">
        <f>IF(Worksheet!AE473="","",Worksheet!AE473)</f>
        <v/>
      </c>
      <c r="N473" t="str">
        <f>IF(Worksheet!AG473="","",Worksheet!AG473)</f>
        <v/>
      </c>
      <c r="O473" t="str">
        <f>IF(Worksheet!AJ473="","",Worksheet!AJ473)</f>
        <v/>
      </c>
      <c r="P473" t="str">
        <f>IF(Worksheet!AK473="","",Worksheet!AK473)</f>
        <v/>
      </c>
    </row>
    <row r="474" spans="5:16" x14ac:dyDescent="0.3">
      <c r="E474" s="2"/>
      <c r="J474" t="str">
        <f>Worksheet!C474&amp;" "&amp;Worksheet!B474</f>
        <v>Juul Messeeuw</v>
      </c>
      <c r="K474" t="str">
        <f>Worksheet!AM474</f>
        <v>lynnvdwiele@hotmail.com</v>
      </c>
      <c r="L474" t="str">
        <f>Worksheet!AN474</f>
        <v>+32486610793</v>
      </c>
      <c r="M474" t="str">
        <f>IF(Worksheet!AE474="","",Worksheet!AE474)</f>
        <v/>
      </c>
      <c r="N474" t="str">
        <f>IF(Worksheet!AG474="","",Worksheet!AG474)</f>
        <v/>
      </c>
      <c r="O474" t="str">
        <f>IF(Worksheet!AJ474="","",Worksheet!AJ474)</f>
        <v>G08 Blauw HAANTJES CERTIFISC OUDENAARDE</v>
      </c>
      <c r="P474" t="str">
        <f>IF(Worksheet!AK474="","",Worksheet!AK474)</f>
        <v>Speler</v>
      </c>
    </row>
    <row r="475" spans="5:16" x14ac:dyDescent="0.3">
      <c r="E475" s="2"/>
      <c r="J475" t="str">
        <f>Worksheet!C475&amp;" "&amp;Worksheet!B475</f>
        <v>Julian Moerman</v>
      </c>
      <c r="K475" t="str">
        <f>Worksheet!AM475</f>
        <v>mirkomoerman@hotmail.com</v>
      </c>
      <c r="L475" t="str">
        <f>Worksheet!AN475</f>
        <v>+32495423490</v>
      </c>
      <c r="M475" t="str">
        <f>IF(Worksheet!AE475="","",Worksheet!AE475)</f>
        <v/>
      </c>
      <c r="N475" t="str">
        <f>IF(Worksheet!AG475="","",Worksheet!AG475)</f>
        <v/>
      </c>
      <c r="O475" t="str">
        <f>IF(Worksheet!AJ475="","",Worksheet!AJ475)</f>
        <v>G08 Groen HAANTJES CERTIFISC OUDENAARDE</v>
      </c>
      <c r="P475" t="str">
        <f>IF(Worksheet!AK475="","",Worksheet!AK475)</f>
        <v>Speler</v>
      </c>
    </row>
    <row r="476" spans="5:16" x14ac:dyDescent="0.3">
      <c r="E476" s="2"/>
      <c r="J476" t="str">
        <f>Worksheet!C476&amp;" "&amp;Worksheet!B476</f>
        <v>Lucas Molly</v>
      </c>
      <c r="K476" t="str">
        <f>Worksheet!AM476</f>
        <v>Molly.diederick@gmail.com</v>
      </c>
      <c r="L476" t="str">
        <f>Worksheet!AN476</f>
        <v>+32478510919</v>
      </c>
      <c r="M476" t="str">
        <f>IF(Worksheet!AE476="","",Worksheet!AE476)</f>
        <v>https://app.twizzit.com/public/photos/3485821/s/5f632eac97edae595ea1c86f4260b88c5b95d8cd.jpeg</v>
      </c>
      <c r="N476" t="str">
        <f>IF(Worksheet!AG476="","",Worksheet!AG476)</f>
        <v/>
      </c>
      <c r="O476" t="str">
        <f>IF(Worksheet!AJ476="","",Worksheet!AJ476)</f>
        <v>G10 Blauw HAANTJES CERTIFISC OUDENAARDE</v>
      </c>
      <c r="P476" t="str">
        <f>IF(Worksheet!AK476="","",Worksheet!AK476)</f>
        <v>Speler</v>
      </c>
    </row>
    <row r="477" spans="5:16" x14ac:dyDescent="0.3">
      <c r="E477" s="2"/>
      <c r="J477" t="str">
        <f>Worksheet!C477&amp;" "&amp;Worksheet!B477</f>
        <v>Tiaz Molly</v>
      </c>
      <c r="K477" t="str">
        <f>Worksheet!AM477</f>
        <v>Molly.diederick@gmail.com</v>
      </c>
      <c r="L477" t="str">
        <f>Worksheet!AN477</f>
        <v>+32494605068</v>
      </c>
      <c r="M477" t="str">
        <f>IF(Worksheet!AE477="","",Worksheet!AE477)</f>
        <v/>
      </c>
      <c r="N477" t="str">
        <f>IF(Worksheet!AG477="","",Worksheet!AG477)</f>
        <v/>
      </c>
      <c r="O477" t="str">
        <f>IF(Worksheet!AJ477="","",Worksheet!AJ477)</f>
        <v>Balschool U6</v>
      </c>
      <c r="P477" t="str">
        <f>IF(Worksheet!AK477="","",Worksheet!AK477)</f>
        <v>Speler</v>
      </c>
    </row>
    <row r="478" spans="5:16" x14ac:dyDescent="0.3">
      <c r="E478" s="2"/>
      <c r="J478" t="str">
        <f>Worksheet!C478&amp;" "&amp;Worksheet!B478</f>
        <v>Stijn Monseart</v>
      </c>
      <c r="K478" t="str">
        <f>Worksheet!AM478</f>
        <v/>
      </c>
      <c r="L478" t="str">
        <f>Worksheet!AN478</f>
        <v/>
      </c>
      <c r="M478" t="str">
        <f>IF(Worksheet!AE478="","",Worksheet!AE478)</f>
        <v/>
      </c>
      <c r="N478" t="str">
        <f>IF(Worksheet!AG478="","",Worksheet!AG478)</f>
        <v/>
      </c>
      <c r="O478" t="str">
        <f>IF(Worksheet!AJ478="","",Worksheet!AJ478)</f>
        <v/>
      </c>
      <c r="P478" t="str">
        <f>IF(Worksheet!AK478="","",Worksheet!AK478)</f>
        <v/>
      </c>
    </row>
    <row r="479" spans="5:16" x14ac:dyDescent="0.3">
      <c r="E479" s="2"/>
      <c r="J479" t="str">
        <f>Worksheet!C479&amp;" "&amp;Worksheet!B479</f>
        <v>Lieve Moyaert</v>
      </c>
      <c r="K479" t="str">
        <f>Worksheet!AM479</f>
        <v/>
      </c>
      <c r="L479" t="str">
        <f>Worksheet!AN479</f>
        <v>+32472509246</v>
      </c>
      <c r="M479" t="str">
        <f>IF(Worksheet!AE479="","",Worksheet!AE479)</f>
        <v>https://app.twizzit.com/public/photos/10350943/s/7e37f0181937dc97132770010b15ead720b4220a.png</v>
      </c>
      <c r="N479" t="str">
        <f>IF(Worksheet!AG479="","",Worksheet!AG479)</f>
        <v/>
      </c>
      <c r="O479" t="str">
        <f>IF(Worksheet!AJ479="","",Worksheet!AJ479)</f>
        <v/>
      </c>
      <c r="P479" t="str">
        <f>IF(Worksheet!AK479="","",Worksheet!AK479)</f>
        <v/>
      </c>
    </row>
    <row r="480" spans="5:16" x14ac:dyDescent="0.3">
      <c r="E480" s="2"/>
      <c r="J480" t="str">
        <f>Worksheet!C480&amp;" "&amp;Worksheet!B480</f>
        <v>Nohaila Msili</v>
      </c>
      <c r="K480" t="str">
        <f>Worksheet!AM480</f>
        <v/>
      </c>
      <c r="L480" t="str">
        <f>Worksheet!AN480</f>
        <v>+32489384856</v>
      </c>
      <c r="M480" t="str">
        <f>IF(Worksheet!AE480="","",Worksheet!AE480)</f>
        <v/>
      </c>
      <c r="N480">
        <f>IF(Worksheet!AG480="","",Worksheet!AG480)</f>
        <v>646639</v>
      </c>
      <c r="O480" t="str">
        <f>IF(Worksheet!AJ480="","",Worksheet!AJ480)</f>
        <v/>
      </c>
      <c r="P480" t="str">
        <f>IF(Worksheet!AK480="","",Worksheet!AK480)</f>
        <v/>
      </c>
    </row>
    <row r="481" spans="5:16" x14ac:dyDescent="0.3">
      <c r="E481" s="2"/>
      <c r="J481" t="str">
        <f>Worksheet!C481&amp;" "&amp;Worksheet!B481</f>
        <v>Jeremie-Matthis Mukuna-Ngongo</v>
      </c>
      <c r="K481" t="str">
        <f>Worksheet!AM481</f>
        <v>jeremiemukuna43@gmail.com</v>
      </c>
      <c r="L481" t="str">
        <f>Worksheet!AN481</f>
        <v>+32468153687</v>
      </c>
      <c r="M481" t="str">
        <f>IF(Worksheet!AE481="","",Worksheet!AE481)</f>
        <v/>
      </c>
      <c r="N481" t="str">
        <f>IF(Worksheet!AG481="","",Worksheet!AG481)</f>
        <v/>
      </c>
      <c r="O481" t="str">
        <f>IF(Worksheet!AJ481="","",Worksheet!AJ481)</f>
        <v/>
      </c>
      <c r="P481" t="str">
        <f>IF(Worksheet!AK481="","",Worksheet!AK481)</f>
        <v/>
      </c>
    </row>
    <row r="482" spans="5:16" x14ac:dyDescent="0.3">
      <c r="E482" s="2"/>
      <c r="J482" t="str">
        <f>Worksheet!C482&amp;" "&amp;Worksheet!B482</f>
        <v>Omer Nachtergaele</v>
      </c>
      <c r="K482" t="str">
        <f>Worksheet!AM482</f>
        <v/>
      </c>
      <c r="L482" t="str">
        <f>Worksheet!AN482</f>
        <v>+32486032155</v>
      </c>
      <c r="M482" t="str">
        <f>IF(Worksheet!AE482="","",Worksheet!AE482)</f>
        <v>https://app.twizzit.com/public/photos/3526587/s/d9cd2de281e5d48997de87a634d3e25b996ae478.png</v>
      </c>
      <c r="N482" t="str">
        <f>IF(Worksheet!AG482="","",Worksheet!AG482)</f>
        <v/>
      </c>
      <c r="O482" t="str">
        <f>IF(Worksheet!AJ482="","",Worksheet!AJ482)</f>
        <v>G12 Blauw HAANTJES CERTIFISC OUDENAARDE</v>
      </c>
      <c r="P482" t="str">
        <f>IF(Worksheet!AK482="","",Worksheet!AK482)</f>
        <v>Speler</v>
      </c>
    </row>
    <row r="483" spans="5:16" x14ac:dyDescent="0.3">
      <c r="E483" s="2"/>
      <c r="J483" t="str">
        <f>Worksheet!C483&amp;" "&amp;Worksheet!B483</f>
        <v>Rover Naessens</v>
      </c>
      <c r="K483" t="str">
        <f>Worksheet!AM483</f>
        <v>deesnaessens@hotmail.com</v>
      </c>
      <c r="L483" t="str">
        <f>Worksheet!AN483</f>
        <v>+32495844733</v>
      </c>
      <c r="M483" t="str">
        <f>IF(Worksheet!AE483="","",Worksheet!AE483)</f>
        <v>https://app.twizzit.com/public/photos/7328405/s/a238a3bac0fa83cb173f769b5ce64dd7bdebab6d.jpeg</v>
      </c>
      <c r="N483" t="str">
        <f>IF(Worksheet!AG483="","",Worksheet!AG483)</f>
        <v/>
      </c>
      <c r="O483" t="str">
        <f>IF(Worksheet!AJ483="","",Worksheet!AJ483)</f>
        <v>G08 Blauw HAANTJES CERTIFISC OUDENAARDE</v>
      </c>
      <c r="P483" t="str">
        <f>IF(Worksheet!AK483="","",Worksheet!AK483)</f>
        <v>Speler</v>
      </c>
    </row>
    <row r="484" spans="5:16" x14ac:dyDescent="0.3">
      <c r="E484" s="2"/>
      <c r="J484" t="str">
        <f>Worksheet!C484&amp;" "&amp;Worksheet!B484</f>
        <v>Rover Naessens</v>
      </c>
      <c r="K484" t="str">
        <f>Worksheet!AM484</f>
        <v>deesnaessens@hotmail.com</v>
      </c>
      <c r="L484" t="str">
        <f>Worksheet!AN484</f>
        <v>+32495844733</v>
      </c>
      <c r="M484" t="str">
        <f>IF(Worksheet!AE484="","",Worksheet!AE484)</f>
        <v>https://app.twizzit.com/public/photos/7328405/s/a238a3bac0fa83cb173f769b5ce64dd7bdebab6d.jpeg</v>
      </c>
      <c r="N484" t="str">
        <f>IF(Worksheet!AG484="","",Worksheet!AG484)</f>
        <v/>
      </c>
      <c r="O484" t="str">
        <f>IF(Worksheet!AJ484="","",Worksheet!AJ484)</f>
        <v>Zomerstage 2026 U8 (Oudenaarde)</v>
      </c>
      <c r="P484" t="str">
        <f>IF(Worksheet!AK484="","",Worksheet!AK484)</f>
        <v>Speler</v>
      </c>
    </row>
    <row r="485" spans="5:16" x14ac:dyDescent="0.3">
      <c r="E485" s="2"/>
      <c r="J485" t="str">
        <f>Worksheet!C485&amp;" "&amp;Worksheet!B485</f>
        <v>Jean-Reno Neyrinck</v>
      </c>
      <c r="K485" t="str">
        <f>Worksheet!AM485</f>
        <v/>
      </c>
      <c r="L485" t="str">
        <f>Worksheet!AN485</f>
        <v>+32474078109</v>
      </c>
      <c r="M485" t="str">
        <f>IF(Worksheet!AE485="","",Worksheet!AE485)</f>
        <v>https://app.twizzit.com/public/photos/3543437/s/4b4d34aba7c38171a5f39885d89d2a702bb4c5c8.jpeg</v>
      </c>
      <c r="N485" t="str">
        <f>IF(Worksheet!AG485="","",Worksheet!AG485)</f>
        <v/>
      </c>
      <c r="O485" t="str">
        <f>IF(Worksheet!AJ485="","",Worksheet!AJ485)</f>
        <v>J16 B Haantjes CERTIFISC Oudenaarde</v>
      </c>
      <c r="P485" t="str">
        <f>IF(Worksheet!AK485="","",Worksheet!AK485)</f>
        <v>Speler</v>
      </c>
    </row>
    <row r="486" spans="5:16" x14ac:dyDescent="0.3">
      <c r="E486" s="2"/>
      <c r="J486" t="str">
        <f>Worksheet!C486&amp;" "&amp;Worksheet!B486</f>
        <v>Sky Norman Broekaert</v>
      </c>
      <c r="K486" t="str">
        <f>Worksheet!AM486</f>
        <v>broekaert.geert@gmail.Com</v>
      </c>
      <c r="L486" t="str">
        <f>Worksheet!AN486</f>
        <v>+32473217678</v>
      </c>
      <c r="M486" t="str">
        <f>IF(Worksheet!AE486="","",Worksheet!AE486)</f>
        <v>https://app.twizzit.com/public/photos/4496871/s/16aa6bee5abb15fe43b03f1b23b2f50719423069.png</v>
      </c>
      <c r="N486" t="str">
        <f>IF(Worksheet!AG486="","",Worksheet!AG486)</f>
        <v/>
      </c>
      <c r="O486" t="str">
        <f>IF(Worksheet!AJ486="","",Worksheet!AJ486)</f>
        <v/>
      </c>
      <c r="P486" t="str">
        <f>IF(Worksheet!AK486="","",Worksheet!AK486)</f>
        <v/>
      </c>
    </row>
    <row r="487" spans="5:16" x14ac:dyDescent="0.3">
      <c r="E487" s="2"/>
      <c r="J487" t="str">
        <f>Worksheet!C487&amp;" "&amp;Worksheet!B487</f>
        <v>George O'Reilly</v>
      </c>
      <c r="K487" t="str">
        <f>Worksheet!AM487</f>
        <v>danieloreilly22@yahoo.ie</v>
      </c>
      <c r="L487" t="str">
        <f>Worksheet!AN487</f>
        <v>+32494886713</v>
      </c>
      <c r="M487" t="str">
        <f>IF(Worksheet!AE487="","",Worksheet!AE487)</f>
        <v/>
      </c>
      <c r="N487" t="str">
        <f>IF(Worksheet!AG487="","",Worksheet!AG487)</f>
        <v/>
      </c>
      <c r="O487" t="str">
        <f>IF(Worksheet!AJ487="","",Worksheet!AJ487)</f>
        <v>G08 Groen HAANTJES CERTIFISC OUDENAARDE</v>
      </c>
      <c r="P487" t="str">
        <f>IF(Worksheet!AK487="","",Worksheet!AK487)</f>
        <v>Speler</v>
      </c>
    </row>
    <row r="488" spans="5:16" x14ac:dyDescent="0.3">
      <c r="E488" s="2"/>
      <c r="J488" t="str">
        <f>Worksheet!C488&amp;" "&amp;Worksheet!B488</f>
        <v>Achilles Oosterlynck</v>
      </c>
      <c r="K488" t="str">
        <f>Worksheet!AM488</f>
        <v/>
      </c>
      <c r="L488" t="str">
        <f>Worksheet!AN488</f>
        <v>+32498493589</v>
      </c>
      <c r="M488" t="str">
        <f>IF(Worksheet!AE488="","",Worksheet!AE488)</f>
        <v/>
      </c>
      <c r="N488" t="str">
        <f>IF(Worksheet!AG488="","",Worksheet!AG488)</f>
        <v/>
      </c>
      <c r="O488" t="str">
        <f>IF(Worksheet!AJ488="","",Worksheet!AJ488)</f>
        <v/>
      </c>
      <c r="P488" t="str">
        <f>IF(Worksheet!AK488="","",Worksheet!AK488)</f>
        <v/>
      </c>
    </row>
    <row r="489" spans="5:16" x14ac:dyDescent="0.3">
      <c r="E489" s="2"/>
      <c r="J489" t="str">
        <f>Worksheet!C489&amp;" "&amp;Worksheet!B489</f>
        <v>Emiel Opsomer</v>
      </c>
      <c r="K489" t="str">
        <f>Worksheet!AM489</f>
        <v>meirlaen.evelien@gmail.com</v>
      </c>
      <c r="L489" t="str">
        <f>Worksheet!AN489</f>
        <v>+32478767261</v>
      </c>
      <c r="M489" t="str">
        <f>IF(Worksheet!AE489="","",Worksheet!AE489)</f>
        <v/>
      </c>
      <c r="N489">
        <f>IF(Worksheet!AG489="","",Worksheet!AG489)</f>
        <v>757869</v>
      </c>
      <c r="O489" t="str">
        <f>IF(Worksheet!AJ489="","",Worksheet!AJ489)</f>
        <v>G12 Geel HAANTJES CERTIFISC OUDENAARDE</v>
      </c>
      <c r="P489" t="str">
        <f>IF(Worksheet!AK489="","",Worksheet!AK489)</f>
        <v>Speler</v>
      </c>
    </row>
    <row r="490" spans="5:16" x14ac:dyDescent="0.3">
      <c r="E490" s="2"/>
      <c r="J490" t="str">
        <f>Worksheet!C490&amp;" "&amp;Worksheet!B490</f>
        <v>Emiel Opsomer</v>
      </c>
      <c r="K490" t="str">
        <f>Worksheet!AM490</f>
        <v>meirlaen.evelien@gmail.com</v>
      </c>
      <c r="L490" t="str">
        <f>Worksheet!AN490</f>
        <v>+32478767261</v>
      </c>
      <c r="M490" t="str">
        <f>IF(Worksheet!AE490="","",Worksheet!AE490)</f>
        <v/>
      </c>
      <c r="N490">
        <f>IF(Worksheet!AG490="","",Worksheet!AG490)</f>
        <v>757869</v>
      </c>
      <c r="O490" t="str">
        <f>IF(Worksheet!AJ490="","",Worksheet!AJ490)</f>
        <v>Zomerstage 2026 U10 &amp; U12 (Oudenaarde)</v>
      </c>
      <c r="P490" t="str">
        <f>IF(Worksheet!AK490="","",Worksheet!AK490)</f>
        <v>Speler</v>
      </c>
    </row>
    <row r="491" spans="5:16" x14ac:dyDescent="0.3">
      <c r="E491" s="2"/>
      <c r="J491" t="str">
        <f>Worksheet!C491&amp;" "&amp;Worksheet!B491</f>
        <v>Jorne Opsomer</v>
      </c>
      <c r="K491" t="str">
        <f>Worksheet!AM491</f>
        <v/>
      </c>
      <c r="L491" t="str">
        <f>Worksheet!AN491</f>
        <v/>
      </c>
      <c r="M491" t="str">
        <f>IF(Worksheet!AE491="","",Worksheet!AE491)</f>
        <v/>
      </c>
      <c r="N491" t="str">
        <f>IF(Worksheet!AG491="","",Worksheet!AG491)</f>
        <v/>
      </c>
      <c r="O491" t="str">
        <f>IF(Worksheet!AJ491="","",Worksheet!AJ491)</f>
        <v/>
      </c>
      <c r="P491" t="str">
        <f>IF(Worksheet!AK491="","",Worksheet!AK491)</f>
        <v/>
      </c>
    </row>
    <row r="492" spans="5:16" x14ac:dyDescent="0.3">
      <c r="E492" s="2"/>
      <c r="J492" t="str">
        <f>Worksheet!C492&amp;" "&amp;Worksheet!B492</f>
        <v>Felix Orbie</v>
      </c>
      <c r="K492" t="str">
        <f>Worksheet!AM492</f>
        <v/>
      </c>
      <c r="L492" t="str">
        <f>Worksheet!AN492</f>
        <v>+32472656820</v>
      </c>
      <c r="M492" t="str">
        <f>IF(Worksheet!AE492="","",Worksheet!AE492)</f>
        <v/>
      </c>
      <c r="N492" t="str">
        <f>IF(Worksheet!AG492="","",Worksheet!AG492)</f>
        <v/>
      </c>
      <c r="O492" t="str">
        <f>IF(Worksheet!AJ492="","",Worksheet!AJ492)</f>
        <v/>
      </c>
      <c r="P492" t="str">
        <f>IF(Worksheet!AK492="","",Worksheet!AK492)</f>
        <v/>
      </c>
    </row>
    <row r="493" spans="5:16" x14ac:dyDescent="0.3">
      <c r="E493" s="2"/>
      <c r="J493" t="str">
        <f>Worksheet!C493&amp;" "&amp;Worksheet!B493</f>
        <v>Julie Orbie</v>
      </c>
      <c r="K493" t="str">
        <f>Worksheet!AM493</f>
        <v/>
      </c>
      <c r="L493" t="str">
        <f>Worksheet!AN493</f>
        <v>+32472656820</v>
      </c>
      <c r="M493" t="str">
        <f>IF(Worksheet!AE493="","",Worksheet!AE493)</f>
        <v/>
      </c>
      <c r="N493">
        <f>IF(Worksheet!AG493="","",Worksheet!AG493)</f>
        <v>746004</v>
      </c>
      <c r="O493" t="str">
        <f>IF(Worksheet!AJ493="","",Worksheet!AJ493)</f>
        <v>Zomerstage 2026 (Blankenberge)</v>
      </c>
      <c r="P493" t="str">
        <f>IF(Worksheet!AK493="","",Worksheet!AK493)</f>
        <v>Speler</v>
      </c>
    </row>
    <row r="494" spans="5:16" x14ac:dyDescent="0.3">
      <c r="E494" s="2"/>
      <c r="J494" t="str">
        <f>Worksheet!C494&amp;" "&amp;Worksheet!B494</f>
        <v>Julie Orbie</v>
      </c>
      <c r="K494" t="str">
        <f>Worksheet!AM494</f>
        <v/>
      </c>
      <c r="L494" t="str">
        <f>Worksheet!AN494</f>
        <v>+32472656820</v>
      </c>
      <c r="M494" t="str">
        <f>IF(Worksheet!AE494="","",Worksheet!AE494)</f>
        <v/>
      </c>
      <c r="N494">
        <f>IF(Worksheet!AG494="","",Worksheet!AG494)</f>
        <v>746004</v>
      </c>
      <c r="O494" t="str">
        <f>IF(Worksheet!AJ494="","",Worksheet!AJ494)</f>
        <v>M14 A Haantjes CERTIFISC  Oudenaarde</v>
      </c>
      <c r="P494" t="str">
        <f>IF(Worksheet!AK494="","",Worksheet!AK494)</f>
        <v>Speler</v>
      </c>
    </row>
    <row r="495" spans="5:16" x14ac:dyDescent="0.3">
      <c r="E495" s="2"/>
      <c r="J495" t="str">
        <f>Worksheet!C495&amp;" "&amp;Worksheet!B495</f>
        <v>Pieter Orbie</v>
      </c>
      <c r="K495" t="str">
        <f>Worksheet!AM495</f>
        <v/>
      </c>
      <c r="L495" t="str">
        <f>Worksheet!AN495</f>
        <v>+32473713325</v>
      </c>
      <c r="M495" t="str">
        <f>IF(Worksheet!AE495="","",Worksheet!AE495)</f>
        <v/>
      </c>
      <c r="N495" t="str">
        <f>IF(Worksheet!AG495="","",Worksheet!AG495)</f>
        <v/>
      </c>
      <c r="O495" t="str">
        <f>IF(Worksheet!AJ495="","",Worksheet!AJ495)</f>
        <v/>
      </c>
      <c r="P495" t="str">
        <f>IF(Worksheet!AK495="","",Worksheet!AK495)</f>
        <v/>
      </c>
    </row>
    <row r="496" spans="5:16" x14ac:dyDescent="0.3">
      <c r="E496" s="2"/>
      <c r="J496" t="str">
        <f>Worksheet!C496&amp;" "&amp;Worksheet!B496</f>
        <v>Gust Ottevaere</v>
      </c>
      <c r="K496" t="str">
        <f>Worksheet!AM496</f>
        <v>gust.ottevaere@telenet.be</v>
      </c>
      <c r="L496" t="str">
        <f>Worksheet!AN496</f>
        <v>+32467011927</v>
      </c>
      <c r="M496" t="str">
        <f>IF(Worksheet!AE496="","",Worksheet!AE496)</f>
        <v/>
      </c>
      <c r="N496" t="str">
        <f>IF(Worksheet!AG496="","",Worksheet!AG496)</f>
        <v/>
      </c>
      <c r="O496" t="str">
        <f>IF(Worksheet!AJ496="","",Worksheet!AJ496)</f>
        <v>J16 A Haantjes CERTIFISC Oudenaarde</v>
      </c>
      <c r="P496" t="str">
        <f>IF(Worksheet!AK496="","",Worksheet!AK496)</f>
        <v>Speler</v>
      </c>
    </row>
    <row r="497" spans="5:16" x14ac:dyDescent="0.3">
      <c r="E497" s="2"/>
      <c r="J497" t="str">
        <f>Worksheet!C497&amp;" "&amp;Worksheet!B497</f>
        <v>Gust Ottevaere</v>
      </c>
      <c r="K497" t="str">
        <f>Worksheet!AM497</f>
        <v>gust.ottevaere@telenet.be</v>
      </c>
      <c r="L497" t="str">
        <f>Worksheet!AN497</f>
        <v>+32467011927</v>
      </c>
      <c r="M497" t="str">
        <f>IF(Worksheet!AE497="","",Worksheet!AE497)</f>
        <v/>
      </c>
      <c r="N497" t="str">
        <f>IF(Worksheet!AG497="","",Worksheet!AG497)</f>
        <v/>
      </c>
      <c r="O497" t="str">
        <f>IF(Worksheet!AJ497="","",Worksheet!AJ497)</f>
        <v>Zomerstage 2026 (Blankenberge)</v>
      </c>
      <c r="P497" t="str">
        <f>IF(Worksheet!AK497="","",Worksheet!AK497)</f>
        <v>Speler</v>
      </c>
    </row>
    <row r="498" spans="5:16" x14ac:dyDescent="0.3">
      <c r="E498" s="2"/>
      <c r="J498" t="str">
        <f>Worksheet!C498&amp;" "&amp;Worksheet!B498</f>
        <v>Fabienne Paindavin</v>
      </c>
      <c r="K498" t="str">
        <f>Worksheet!AM498</f>
        <v>jarno.mathis@gmail.com</v>
      </c>
      <c r="L498" t="str">
        <f>Worksheet!AN498</f>
        <v/>
      </c>
      <c r="M498" t="str">
        <f>IF(Worksheet!AE498="","",Worksheet!AE498)</f>
        <v>https://app.twizzit.com/public/photos/2183137/s/3b1e368023103c92cad2292d92c8235ee2af4994.png</v>
      </c>
      <c r="N498">
        <f>IF(Worksheet!AG498="","",Worksheet!AG498)</f>
        <v>702227</v>
      </c>
      <c r="O498" t="str">
        <f>IF(Worksheet!AJ498="","",Worksheet!AJ498)</f>
        <v/>
      </c>
      <c r="P498" t="str">
        <f>IF(Worksheet!AK498="","",Worksheet!AK498)</f>
        <v/>
      </c>
    </row>
    <row r="499" spans="5:16" x14ac:dyDescent="0.3">
      <c r="E499" s="2"/>
      <c r="J499" t="str">
        <f>Worksheet!C499&amp;" "&amp;Worksheet!B499</f>
        <v>Théo Parmentier</v>
      </c>
      <c r="K499" t="str">
        <f>Worksheet!AM499</f>
        <v>jensparmentier@gmail.com</v>
      </c>
      <c r="L499" t="str">
        <f>Worksheet!AN499</f>
        <v>+32498076133</v>
      </c>
      <c r="M499" t="str">
        <f>IF(Worksheet!AE499="","",Worksheet!AE499)</f>
        <v/>
      </c>
      <c r="N499" t="str">
        <f>IF(Worksheet!AG499="","",Worksheet!AG499)</f>
        <v/>
      </c>
      <c r="O499" t="str">
        <f>IF(Worksheet!AJ499="","",Worksheet!AJ499)</f>
        <v>G08 Blauw HAANTJES CERTIFISC OUDENAARDE</v>
      </c>
      <c r="P499" t="str">
        <f>IF(Worksheet!AK499="","",Worksheet!AK499)</f>
        <v>Speler</v>
      </c>
    </row>
    <row r="500" spans="5:16" x14ac:dyDescent="0.3">
      <c r="E500" s="2"/>
      <c r="J500" t="str">
        <f>Worksheet!C500&amp;" "&amp;Worksheet!B500</f>
        <v>Théo Parmentier</v>
      </c>
      <c r="K500" t="str">
        <f>Worksheet!AM500</f>
        <v>jensparmentier@gmail.com</v>
      </c>
      <c r="L500" t="str">
        <f>Worksheet!AN500</f>
        <v>+32498076133</v>
      </c>
      <c r="M500" t="str">
        <f>IF(Worksheet!AE500="","",Worksheet!AE500)</f>
        <v/>
      </c>
      <c r="N500" t="str">
        <f>IF(Worksheet!AG500="","",Worksheet!AG500)</f>
        <v/>
      </c>
      <c r="O500" t="str">
        <f>IF(Worksheet!AJ500="","",Worksheet!AJ500)</f>
        <v>Zomerstage 2026 U8 (Oudenaarde)</v>
      </c>
      <c r="P500" t="str">
        <f>IF(Worksheet!AK500="","",Worksheet!AK500)</f>
        <v>Speler</v>
      </c>
    </row>
    <row r="501" spans="5:16" x14ac:dyDescent="0.3">
      <c r="E501" s="2"/>
      <c r="J501" t="str">
        <f>Worksheet!C501&amp;" "&amp;Worksheet!B501</f>
        <v>Sofie Pattyn</v>
      </c>
      <c r="K501" t="str">
        <f>Worksheet!AM501</f>
        <v/>
      </c>
      <c r="L501" t="str">
        <f>Worksheet!AN501</f>
        <v/>
      </c>
      <c r="M501" t="str">
        <f>IF(Worksheet!AE501="","",Worksheet!AE501)</f>
        <v/>
      </c>
      <c r="N501">
        <f>IF(Worksheet!AG501="","",Worksheet!AG501)</f>
        <v>669073</v>
      </c>
      <c r="O501" t="str">
        <f>IF(Worksheet!AJ501="","",Worksheet!AJ501)</f>
        <v/>
      </c>
      <c r="P501" t="str">
        <f>IF(Worksheet!AK501="","",Worksheet!AK501)</f>
        <v/>
      </c>
    </row>
    <row r="502" spans="5:16" x14ac:dyDescent="0.3">
      <c r="E502" s="2"/>
      <c r="J502" t="str">
        <f>Worksheet!C502&amp;" "&amp;Worksheet!B502</f>
        <v>Leonie Pauwels</v>
      </c>
      <c r="K502" t="str">
        <f>Worksheet!AM502</f>
        <v/>
      </c>
      <c r="L502" t="str">
        <f>Worksheet!AN502</f>
        <v/>
      </c>
      <c r="M502" t="str">
        <f>IF(Worksheet!AE502="","",Worksheet!AE502)</f>
        <v/>
      </c>
      <c r="N502">
        <f>IF(Worksheet!AG502="","",Worksheet!AG502)</f>
        <v>610168</v>
      </c>
      <c r="O502" t="str">
        <f>IF(Worksheet!AJ502="","",Worksheet!AJ502)</f>
        <v/>
      </c>
      <c r="P502" t="str">
        <f>IF(Worksheet!AK502="","",Worksheet!AK502)</f>
        <v/>
      </c>
    </row>
    <row r="503" spans="5:16" x14ac:dyDescent="0.3">
      <c r="E503" s="2"/>
      <c r="J503" t="str">
        <f>Worksheet!C503&amp;" "&amp;Worksheet!B503</f>
        <v>Joël Peeters</v>
      </c>
      <c r="K503" t="str">
        <f>Worksheet!AM503</f>
        <v/>
      </c>
      <c r="L503" t="str">
        <f>Worksheet!AN503</f>
        <v/>
      </c>
      <c r="M503" t="str">
        <f>IF(Worksheet!AE503="","",Worksheet!AE503)</f>
        <v/>
      </c>
      <c r="N503" t="str">
        <f>IF(Worksheet!AG503="","",Worksheet!AG503)</f>
        <v/>
      </c>
      <c r="O503" t="str">
        <f>IF(Worksheet!AJ503="","",Worksheet!AJ503)</f>
        <v>HSE  C Haantjes Certifisc Oudenaarde</v>
      </c>
      <c r="P503" t="str">
        <f>IF(Worksheet!AK503="","",Worksheet!AK503)</f>
        <v>Speler</v>
      </c>
    </row>
    <row r="504" spans="5:16" x14ac:dyDescent="0.3">
      <c r="E504" s="2"/>
      <c r="J504" t="str">
        <f>Worksheet!C504&amp;" "&amp;Worksheet!B504</f>
        <v>Maarten Peeters</v>
      </c>
      <c r="K504" t="str">
        <f>Worksheet!AM504</f>
        <v>Maarten.peeters1@hotmail.com</v>
      </c>
      <c r="L504" t="str">
        <f>Worksheet!AN504</f>
        <v/>
      </c>
      <c r="M504" t="str">
        <f>IF(Worksheet!AE504="","",Worksheet!AE504)</f>
        <v/>
      </c>
      <c r="N504">
        <f>IF(Worksheet!AG504="","",Worksheet!AG504)</f>
        <v>669286</v>
      </c>
      <c r="O504" t="str">
        <f>IF(Worksheet!AJ504="","",Worksheet!AJ504)</f>
        <v/>
      </c>
      <c r="P504" t="str">
        <f>IF(Worksheet!AK504="","",Worksheet!AK504)</f>
        <v/>
      </c>
    </row>
    <row r="505" spans="5:16" x14ac:dyDescent="0.3">
      <c r="E505" s="2"/>
      <c r="J505" t="str">
        <f>Worksheet!C505&amp;" "&amp;Worksheet!B505</f>
        <v>Arthur Penninck</v>
      </c>
      <c r="K505" t="str">
        <f>Worksheet!AM505</f>
        <v/>
      </c>
      <c r="L505" t="str">
        <f>Worksheet!AN505</f>
        <v>+32477480963</v>
      </c>
      <c r="M505" t="str">
        <f>IF(Worksheet!AE505="","",Worksheet!AE505)</f>
        <v/>
      </c>
      <c r="N505">
        <f>IF(Worksheet!AG505="","",Worksheet!AG505)</f>
        <v>744403</v>
      </c>
      <c r="O505" t="str">
        <f>IF(Worksheet!AJ505="","",Worksheet!AJ505)</f>
        <v/>
      </c>
      <c r="P505" t="str">
        <f>IF(Worksheet!AK505="","",Worksheet!AK505)</f>
        <v/>
      </c>
    </row>
    <row r="506" spans="5:16" x14ac:dyDescent="0.3">
      <c r="E506" s="2"/>
      <c r="J506" t="str">
        <f>Worksheet!C506&amp;" "&amp;Worksheet!B506</f>
        <v>Guillaume Penninck</v>
      </c>
      <c r="K506" t="str">
        <f>Worksheet!AM506</f>
        <v/>
      </c>
      <c r="L506" t="str">
        <f>Worksheet!AN506</f>
        <v>+32469360650</v>
      </c>
      <c r="M506" t="str">
        <f>IF(Worksheet!AE506="","",Worksheet!AE506)</f>
        <v/>
      </c>
      <c r="N506" t="str">
        <f>IF(Worksheet!AG506="","",Worksheet!AG506)</f>
        <v/>
      </c>
      <c r="O506" t="str">
        <f>IF(Worksheet!AJ506="","",Worksheet!AJ506)</f>
        <v/>
      </c>
      <c r="P506" t="str">
        <f>IF(Worksheet!AK506="","",Worksheet!AK506)</f>
        <v/>
      </c>
    </row>
    <row r="507" spans="5:16" x14ac:dyDescent="0.3">
      <c r="E507" s="2"/>
      <c r="J507" t="str">
        <f>Worksheet!C507&amp;" "&amp;Worksheet!B507</f>
        <v>An Picard</v>
      </c>
      <c r="K507" t="str">
        <f>Worksheet!AM507</f>
        <v/>
      </c>
      <c r="L507" t="str">
        <f>Worksheet!AN507</f>
        <v/>
      </c>
      <c r="M507" t="str">
        <f>IF(Worksheet!AE507="","",Worksheet!AE507)</f>
        <v/>
      </c>
      <c r="N507" t="str">
        <f>IF(Worksheet!AG507="","",Worksheet!AG507)</f>
        <v/>
      </c>
      <c r="O507" t="str">
        <f>IF(Worksheet!AJ507="","",Worksheet!AJ507)</f>
        <v/>
      </c>
      <c r="P507" t="str">
        <f>IF(Worksheet!AK507="","",Worksheet!AK507)</f>
        <v/>
      </c>
    </row>
    <row r="508" spans="5:16" x14ac:dyDescent="0.3">
      <c r="E508" s="2"/>
      <c r="J508" t="str">
        <f>Worksheet!C508&amp;" "&amp;Worksheet!B508</f>
        <v>Marie-Laure Piens</v>
      </c>
      <c r="K508" t="str">
        <f>Worksheet!AM508</f>
        <v/>
      </c>
      <c r="L508" t="str">
        <f>Worksheet!AN508</f>
        <v>+32479984186</v>
      </c>
      <c r="M508" t="str">
        <f>IF(Worksheet!AE508="","",Worksheet!AE508)</f>
        <v/>
      </c>
      <c r="N508">
        <f>IF(Worksheet!AG508="","",Worksheet!AG508)</f>
        <v>704482</v>
      </c>
      <c r="O508" t="str">
        <f>IF(Worksheet!AJ508="","",Worksheet!AJ508)</f>
        <v/>
      </c>
      <c r="P508" t="str">
        <f>IF(Worksheet!AK508="","",Worksheet!AK508)</f>
        <v/>
      </c>
    </row>
    <row r="509" spans="5:16" x14ac:dyDescent="0.3">
      <c r="E509" s="2"/>
      <c r="J509" t="str">
        <f>Worksheet!C509&amp;" "&amp;Worksheet!B509</f>
        <v>Sebastiaan Piens</v>
      </c>
      <c r="K509" t="str">
        <f>Worksheet!AM509</f>
        <v/>
      </c>
      <c r="L509" t="str">
        <f>Worksheet!AN509</f>
        <v>+32479984186</v>
      </c>
      <c r="M509" t="str">
        <f>IF(Worksheet!AE509="","",Worksheet!AE509)</f>
        <v/>
      </c>
      <c r="N509">
        <f>IF(Worksheet!AG509="","",Worksheet!AG509)</f>
        <v>704481</v>
      </c>
      <c r="O509" t="str">
        <f>IF(Worksheet!AJ509="","",Worksheet!AJ509)</f>
        <v/>
      </c>
      <c r="P509" t="str">
        <f>IF(Worksheet!AK509="","",Worksheet!AK509)</f>
        <v/>
      </c>
    </row>
    <row r="510" spans="5:16" x14ac:dyDescent="0.3">
      <c r="E510" s="2"/>
      <c r="J510" t="str">
        <f>Worksheet!C510&amp;" "&amp;Worksheet!B510</f>
        <v>Elien Poffyn</v>
      </c>
      <c r="K510" t="str">
        <f>Worksheet!AM510</f>
        <v/>
      </c>
      <c r="L510" t="str">
        <f>Worksheet!AN510</f>
        <v/>
      </c>
      <c r="M510" t="str">
        <f>IF(Worksheet!AE510="","",Worksheet!AE510)</f>
        <v/>
      </c>
      <c r="N510">
        <f>IF(Worksheet!AG510="","",Worksheet!AG510)</f>
        <v>606672</v>
      </c>
      <c r="O510" t="str">
        <f>IF(Worksheet!AJ510="","",Worksheet!AJ510)</f>
        <v/>
      </c>
      <c r="P510" t="str">
        <f>IF(Worksheet!AK510="","",Worksheet!AK510)</f>
        <v/>
      </c>
    </row>
    <row r="511" spans="5:16" x14ac:dyDescent="0.3">
      <c r="E511" s="2"/>
      <c r="J511" t="str">
        <f>Worksheet!C511&amp;" "&amp;Worksheet!B511</f>
        <v>Pieter Poitiez</v>
      </c>
      <c r="K511" t="str">
        <f>Worksheet!AM511</f>
        <v/>
      </c>
      <c r="L511" t="str">
        <f>Worksheet!AN511</f>
        <v>+32472508299</v>
      </c>
      <c r="M511" t="str">
        <f>IF(Worksheet!AE511="","",Worksheet!AE511)</f>
        <v/>
      </c>
      <c r="N511" t="str">
        <f>IF(Worksheet!AG511="","",Worksheet!AG511)</f>
        <v/>
      </c>
      <c r="O511" t="str">
        <f>IF(Worksheet!AJ511="","",Worksheet!AJ511)</f>
        <v/>
      </c>
      <c r="P511" t="str">
        <f>IF(Worksheet!AK511="","",Worksheet!AK511)</f>
        <v/>
      </c>
    </row>
    <row r="512" spans="5:16" x14ac:dyDescent="0.3">
      <c r="E512" s="2"/>
      <c r="J512" t="str">
        <f>Worksheet!C512&amp;" "&amp;Worksheet!B512</f>
        <v>Fons Polfliet</v>
      </c>
      <c r="K512" t="str">
        <f>Worksheet!AM512</f>
        <v/>
      </c>
      <c r="L512" t="str">
        <f>Worksheet!AN512</f>
        <v>+32472855243</v>
      </c>
      <c r="M512" t="str">
        <f>IF(Worksheet!AE512="","",Worksheet!AE512)</f>
        <v/>
      </c>
      <c r="N512">
        <f>IF(Worksheet!AG512="","",Worksheet!AG512)</f>
        <v>739969</v>
      </c>
      <c r="O512" t="str">
        <f>IF(Worksheet!AJ512="","",Worksheet!AJ512)</f>
        <v/>
      </c>
      <c r="P512" t="str">
        <f>IF(Worksheet!AK512="","",Worksheet!AK512)</f>
        <v/>
      </c>
    </row>
    <row r="513" spans="5:16" x14ac:dyDescent="0.3">
      <c r="E513" s="2"/>
      <c r="J513" t="str">
        <f>Worksheet!C513&amp;" "&amp;Worksheet!B513</f>
        <v>Brent Pollet</v>
      </c>
      <c r="K513" t="str">
        <f>Worksheet!AM513</f>
        <v>pollet.jelle@gmail.com</v>
      </c>
      <c r="L513" t="str">
        <f>Worksheet!AN513</f>
        <v>+32474223155</v>
      </c>
      <c r="M513" t="str">
        <f>IF(Worksheet!AE513="","",Worksheet!AE513)</f>
        <v>https://app.twizzit.com/public/photos/3454870/s/e7fdcf5140d5e910d15662f873e9aafb78eb7d4f.jpeg</v>
      </c>
      <c r="N513">
        <f>IF(Worksheet!AG513="","",Worksheet!AG513)</f>
        <v>756320</v>
      </c>
      <c r="O513" t="str">
        <f>IF(Worksheet!AJ513="","",Worksheet!AJ513)</f>
        <v>Zomerstage 2026 (Blankenberge)</v>
      </c>
      <c r="P513" t="str">
        <f>IF(Worksheet!AK513="","",Worksheet!AK513)</f>
        <v>Speler</v>
      </c>
    </row>
    <row r="514" spans="5:16" x14ac:dyDescent="0.3">
      <c r="E514" s="2"/>
      <c r="J514" t="str">
        <f>Worksheet!C514&amp;" "&amp;Worksheet!B514</f>
        <v>Brent Pollet</v>
      </c>
      <c r="K514" t="str">
        <f>Worksheet!AM514</f>
        <v>pollet.jelle@gmail.com</v>
      </c>
      <c r="L514" t="str">
        <f>Worksheet!AN514</f>
        <v>+32474223155</v>
      </c>
      <c r="M514" t="str">
        <f>IF(Worksheet!AE514="","",Worksheet!AE514)</f>
        <v>https://app.twizzit.com/public/photos/3454870/s/e7fdcf5140d5e910d15662f873e9aafb78eb7d4f.jpeg</v>
      </c>
      <c r="N514">
        <f>IF(Worksheet!AG514="","",Worksheet!AG514)</f>
        <v>756320</v>
      </c>
      <c r="O514" t="str">
        <f>IF(Worksheet!AJ514="","",Worksheet!AJ514)</f>
        <v>Zomerstage 2026 U10 &amp; U12 (Oudenaarde)</v>
      </c>
      <c r="P514" t="str">
        <f>IF(Worksheet!AK514="","",Worksheet!AK514)</f>
        <v>Speler</v>
      </c>
    </row>
    <row r="515" spans="5:16" x14ac:dyDescent="0.3">
      <c r="E515" s="2"/>
      <c r="J515" t="str">
        <f>Worksheet!C515&amp;" "&amp;Worksheet!B515</f>
        <v>Brent Pollet</v>
      </c>
      <c r="K515" t="str">
        <f>Worksheet!AM515</f>
        <v>pollet.jelle@gmail.com</v>
      </c>
      <c r="L515" t="str">
        <f>Worksheet!AN515</f>
        <v>+32474223155</v>
      </c>
      <c r="M515" t="str">
        <f>IF(Worksheet!AE515="","",Worksheet!AE515)</f>
        <v>https://app.twizzit.com/public/photos/3454870/s/e7fdcf5140d5e910d15662f873e9aafb78eb7d4f.jpeg</v>
      </c>
      <c r="N515">
        <f>IF(Worksheet!AG515="","",Worksheet!AG515)</f>
        <v>756320</v>
      </c>
      <c r="O515" t="str">
        <f>IF(Worksheet!AJ515="","",Worksheet!AJ515)</f>
        <v>G12 Geel HAANTJES CERTIFISC OUDENAARDE</v>
      </c>
      <c r="P515" t="str">
        <f>IF(Worksheet!AK515="","",Worksheet!AK515)</f>
        <v>Speler</v>
      </c>
    </row>
    <row r="516" spans="5:16" x14ac:dyDescent="0.3">
      <c r="E516" s="2"/>
      <c r="J516" t="str">
        <f>Worksheet!C516&amp;" "&amp;Worksheet!B516</f>
        <v>Hovhanisyan Ralph</v>
      </c>
      <c r="K516" t="str">
        <f>Worksheet!AM516</f>
        <v>Flora.poghosyan@gmail.com</v>
      </c>
      <c r="L516" t="str">
        <f>Worksheet!AN516</f>
        <v>+32492779773</v>
      </c>
      <c r="M516" t="str">
        <f>IF(Worksheet!AE516="","",Worksheet!AE516)</f>
        <v>https://app.twizzit.com/public/photos/7790357/s/f283982c8d5add43df5648e925715a1d11e504c3.png</v>
      </c>
      <c r="N516" t="str">
        <f>IF(Worksheet!AG516="","",Worksheet!AG516)</f>
        <v/>
      </c>
      <c r="O516" t="str">
        <f>IF(Worksheet!AJ516="","",Worksheet!AJ516)</f>
        <v/>
      </c>
      <c r="P516" t="str">
        <f>IF(Worksheet!AK516="","",Worksheet!AK516)</f>
        <v/>
      </c>
    </row>
    <row r="517" spans="5:16" x14ac:dyDescent="0.3">
      <c r="E517" s="2"/>
      <c r="J517" t="str">
        <f>Worksheet!C517&amp;" "&amp;Worksheet!B517</f>
        <v>Mats Renard</v>
      </c>
      <c r="K517" t="str">
        <f>Worksheet!AM517</f>
        <v/>
      </c>
      <c r="L517" t="str">
        <f>Worksheet!AN517</f>
        <v>+32476752923</v>
      </c>
      <c r="M517" t="str">
        <f>IF(Worksheet!AE517="","",Worksheet!AE517)</f>
        <v>https://app.twizzit.com/public/photos/2183172/s/365feecf0a3ae5a9392582a322a55ff1fee56899.png</v>
      </c>
      <c r="N517">
        <f>IF(Worksheet!AG517="","",Worksheet!AG517)</f>
        <v>714465</v>
      </c>
      <c r="O517" t="str">
        <f>IF(Worksheet!AJ517="","",Worksheet!AJ517)</f>
        <v>Zomerstage 2026 (Blankenberge)</v>
      </c>
      <c r="P517" t="str">
        <f>IF(Worksheet!AK517="","",Worksheet!AK517)</f>
        <v>Speler</v>
      </c>
    </row>
    <row r="518" spans="5:16" x14ac:dyDescent="0.3">
      <c r="E518" s="2"/>
      <c r="J518" t="str">
        <f>Worksheet!C518&amp;" "&amp;Worksheet!B518</f>
        <v>Tim Reybroeck</v>
      </c>
      <c r="K518" t="str">
        <f>Worksheet!AM518</f>
        <v/>
      </c>
      <c r="L518" t="str">
        <f>Worksheet!AN518</f>
        <v>+32477295202</v>
      </c>
      <c r="M518" t="str">
        <f>IF(Worksheet!AE518="","",Worksheet!AE518)</f>
        <v/>
      </c>
      <c r="N518">
        <f>IF(Worksheet!AG518="","",Worksheet!AG518)</f>
        <v>712029</v>
      </c>
      <c r="O518" t="str">
        <f>IF(Worksheet!AJ518="","",Worksheet!AJ518)</f>
        <v/>
      </c>
      <c r="P518" t="str">
        <f>IF(Worksheet!AK518="","",Worksheet!AK518)</f>
        <v/>
      </c>
    </row>
    <row r="519" spans="5:16" x14ac:dyDescent="0.3">
      <c r="E519" s="2"/>
      <c r="J519" t="str">
        <f>Worksheet!C519&amp;" "&amp;Worksheet!B519</f>
        <v>Max Reynaert</v>
      </c>
      <c r="K519" t="str">
        <f>Worksheet!AM519</f>
        <v/>
      </c>
      <c r="L519" t="str">
        <f>Worksheet!AN519</f>
        <v>+32478122419</v>
      </c>
      <c r="M519" t="str">
        <f>IF(Worksheet!AE519="","",Worksheet!AE519)</f>
        <v>https://app.twizzit.com/public/photos/3501048/s/7764c3c4b704e9e0387292c076f32524df1d7d36.png</v>
      </c>
      <c r="N519" t="str">
        <f>IF(Worksheet!AG519="","",Worksheet!AG519)</f>
        <v/>
      </c>
      <c r="O519" t="str">
        <f>IF(Worksheet!AJ519="","",Worksheet!AJ519)</f>
        <v/>
      </c>
      <c r="P519" t="str">
        <f>IF(Worksheet!AK519="","",Worksheet!AK519)</f>
        <v/>
      </c>
    </row>
    <row r="520" spans="5:16" x14ac:dyDescent="0.3">
      <c r="E520" s="2"/>
      <c r="J520" t="str">
        <f>Worksheet!C520&amp;" "&amp;Worksheet!B520</f>
        <v>Dorinne Reynen</v>
      </c>
      <c r="K520" t="str">
        <f>Worksheet!AM520</f>
        <v/>
      </c>
      <c r="L520" t="str">
        <f>Worksheet!AN520</f>
        <v/>
      </c>
      <c r="M520" t="str">
        <f>IF(Worksheet!AE520="","",Worksheet!AE520)</f>
        <v>https://app.twizzit.com/public/photos/2183177/s/3f7f7784b29eb06e1132e92e793103356a6bf592.jpeg</v>
      </c>
      <c r="N520" t="str">
        <f>IF(Worksheet!AG520="","",Worksheet!AG520)</f>
        <v/>
      </c>
      <c r="O520" t="str">
        <f>IF(Worksheet!AJ520="","",Worksheet!AJ520)</f>
        <v/>
      </c>
      <c r="P520" t="str">
        <f>IF(Worksheet!AK520="","",Worksheet!AK520)</f>
        <v/>
      </c>
    </row>
    <row r="521" spans="5:16" x14ac:dyDescent="0.3">
      <c r="E521" s="2"/>
      <c r="J521" t="str">
        <f>Worksheet!C521&amp;" "&amp;Worksheet!B521</f>
        <v>Axel Rombaut</v>
      </c>
      <c r="K521" t="str">
        <f>Worksheet!AM521</f>
        <v/>
      </c>
      <c r="L521" t="str">
        <f>Worksheet!AN521</f>
        <v/>
      </c>
      <c r="M521" t="str">
        <f>IF(Worksheet!AE521="","",Worksheet!AE521)</f>
        <v/>
      </c>
      <c r="N521">
        <f>IF(Worksheet!AG521="","",Worksheet!AG521)</f>
        <v>622975</v>
      </c>
      <c r="O521" t="str">
        <f>IF(Worksheet!AJ521="","",Worksheet!AJ521)</f>
        <v/>
      </c>
      <c r="P521" t="str">
        <f>IF(Worksheet!AK521="","",Worksheet!AK521)</f>
        <v/>
      </c>
    </row>
    <row r="522" spans="5:16" x14ac:dyDescent="0.3">
      <c r="E522" s="2"/>
      <c r="J522" t="str">
        <f>Worksheet!C522&amp;" "&amp;Worksheet!B522</f>
        <v>Emlin Rommens</v>
      </c>
      <c r="K522" t="str">
        <f>Worksheet!AM522</f>
        <v>pieterrommens@hotmail.be</v>
      </c>
      <c r="L522" t="str">
        <f>Worksheet!AN522</f>
        <v>+32470513652</v>
      </c>
      <c r="M522" t="str">
        <f>IF(Worksheet!AE522="","",Worksheet!AE522)</f>
        <v>https://app.twizzit.com/public/photos/2650641/s/248b205ecc69fd455c13ac7cc9deb76d11e361a0.png</v>
      </c>
      <c r="N522">
        <f>IF(Worksheet!AG522="","",Worksheet!AG522)</f>
        <v>742358</v>
      </c>
      <c r="O522" t="str">
        <f>IF(Worksheet!AJ522="","",Worksheet!AJ522)</f>
        <v>Zomerstage 2026 (Blankenberge)</v>
      </c>
      <c r="P522" t="str">
        <f>IF(Worksheet!AK522="","",Worksheet!AK522)</f>
        <v>Speler</v>
      </c>
    </row>
    <row r="523" spans="5:16" x14ac:dyDescent="0.3">
      <c r="E523" s="2"/>
      <c r="J523" t="str">
        <f>Worksheet!C523&amp;" "&amp;Worksheet!B523</f>
        <v>Emlin Rommens</v>
      </c>
      <c r="K523" t="str">
        <f>Worksheet!AM523</f>
        <v>pieterrommens@hotmail.be</v>
      </c>
      <c r="L523" t="str">
        <f>Worksheet!AN523</f>
        <v>+32470513652</v>
      </c>
      <c r="M523" t="str">
        <f>IF(Worksheet!AE523="","",Worksheet!AE523)</f>
        <v>https://app.twizzit.com/public/photos/2650641/s/248b205ecc69fd455c13ac7cc9deb76d11e361a0.png</v>
      </c>
      <c r="N523">
        <f>IF(Worksheet!AG523="","",Worksheet!AG523)</f>
        <v>742358</v>
      </c>
      <c r="O523" t="str">
        <f>IF(Worksheet!AJ523="","",Worksheet!AJ523)</f>
        <v>M14 A Haantjes CERTIFISC  Oudenaarde</v>
      </c>
      <c r="P523" t="str">
        <f>IF(Worksheet!AK523="","",Worksheet!AK523)</f>
        <v>Speler</v>
      </c>
    </row>
    <row r="524" spans="5:16" x14ac:dyDescent="0.3">
      <c r="E524" s="2"/>
      <c r="J524" t="str">
        <f>Worksheet!C524&amp;" "&amp;Worksheet!B524</f>
        <v>Pieter Rommens</v>
      </c>
      <c r="K524" t="str">
        <f>Worksheet!AM524</f>
        <v/>
      </c>
      <c r="L524" t="str">
        <f>Worksheet!AN524</f>
        <v>+32498840277</v>
      </c>
      <c r="M524" t="str">
        <f>IF(Worksheet!AE524="","",Worksheet!AE524)</f>
        <v/>
      </c>
      <c r="N524" t="str">
        <f>IF(Worksheet!AG524="","",Worksheet!AG524)</f>
        <v/>
      </c>
      <c r="O524" t="str">
        <f>IF(Worksheet!AJ524="","",Worksheet!AJ524)</f>
        <v/>
      </c>
      <c r="P524" t="str">
        <f>IF(Worksheet!AK524="","",Worksheet!AK524)</f>
        <v/>
      </c>
    </row>
    <row r="525" spans="5:16" x14ac:dyDescent="0.3">
      <c r="E525" s="2"/>
      <c r="J525" t="str">
        <f>Worksheet!C525&amp;" "&amp;Worksheet!B525</f>
        <v>Thibaut Sadaune</v>
      </c>
      <c r="K525" t="str">
        <f>Worksheet!AM525</f>
        <v>bartsadaune@hotmail.com</v>
      </c>
      <c r="L525" t="str">
        <f>Worksheet!AN525</f>
        <v>+32485494075</v>
      </c>
      <c r="M525" t="str">
        <f>IF(Worksheet!AE525="","",Worksheet!AE525)</f>
        <v>https://app.twizzit.com/public/photos/8418475/s/c44854e7fe4ecdd14617bb0fe2e99a30f0cedc15.jpeg</v>
      </c>
      <c r="N525" t="str">
        <f>IF(Worksheet!AG525="","",Worksheet!AG525)</f>
        <v/>
      </c>
      <c r="O525" t="str">
        <f>IF(Worksheet!AJ525="","",Worksheet!AJ525)</f>
        <v>G08 Blauw HAANTJES CERTIFISC OUDENAARDE</v>
      </c>
      <c r="P525" t="str">
        <f>IF(Worksheet!AK525="","",Worksheet!AK525)</f>
        <v>Speler</v>
      </c>
    </row>
    <row r="526" spans="5:16" x14ac:dyDescent="0.3">
      <c r="E526" s="2"/>
      <c r="J526" t="str">
        <f>Worksheet!C526&amp;" "&amp;Worksheet!B526</f>
        <v>Jack Saerens</v>
      </c>
      <c r="K526" t="str">
        <f>Worksheet!AM526</f>
        <v/>
      </c>
      <c r="L526" t="str">
        <f>Worksheet!AN526</f>
        <v>+32498690042</v>
      </c>
      <c r="M526" t="str">
        <f>IF(Worksheet!AE526="","",Worksheet!AE526)</f>
        <v>https://app.twizzit.com/public/photos/3475134/s/78bd944a9e8b36fe65d592312d1522f18bbf3e32.png</v>
      </c>
      <c r="N526" t="str">
        <f>IF(Worksheet!AG526="","",Worksheet!AG526)</f>
        <v/>
      </c>
      <c r="O526" t="str">
        <f>IF(Worksheet!AJ526="","",Worksheet!AJ526)</f>
        <v>G10 Geel HAANTJES CERTIFISC OUDENAARDE</v>
      </c>
      <c r="P526" t="str">
        <f>IF(Worksheet!AK526="","",Worksheet!AK526)</f>
        <v>Speler</v>
      </c>
    </row>
    <row r="527" spans="5:16" x14ac:dyDescent="0.3">
      <c r="E527" s="2"/>
      <c r="J527" t="str">
        <f>Worksheet!C527&amp;" "&amp;Worksheet!B527</f>
        <v>Mathis Salembier</v>
      </c>
      <c r="K527" t="str">
        <f>Worksheet!AM527</f>
        <v/>
      </c>
      <c r="L527" t="str">
        <f>Worksheet!AN527</f>
        <v>+32476700611</v>
      </c>
      <c r="M527" t="str">
        <f>IF(Worksheet!AE527="","",Worksheet!AE527)</f>
        <v/>
      </c>
      <c r="N527" t="str">
        <f>IF(Worksheet!AG527="","",Worksheet!AG527)</f>
        <v/>
      </c>
      <c r="O527" t="str">
        <f>IF(Worksheet!AJ527="","",Worksheet!AJ527)</f>
        <v/>
      </c>
      <c r="P527" t="str">
        <f>IF(Worksheet!AK527="","",Worksheet!AK527)</f>
        <v/>
      </c>
    </row>
    <row r="528" spans="5:16" x14ac:dyDescent="0.3">
      <c r="E528" s="2"/>
      <c r="J528" t="str">
        <f>Worksheet!C528&amp;" "&amp;Worksheet!B528</f>
        <v>Elisabeth Saveyn</v>
      </c>
      <c r="K528" t="str">
        <f>Worksheet!AM528</f>
        <v>moonvanneste@hotmail.com</v>
      </c>
      <c r="L528" t="str">
        <f>Worksheet!AN528</f>
        <v>+32496392369</v>
      </c>
      <c r="M528" t="str">
        <f>IF(Worksheet!AE528="","",Worksheet!AE528)</f>
        <v/>
      </c>
      <c r="N528" t="str">
        <f>IF(Worksheet!AG528="","",Worksheet!AG528)</f>
        <v/>
      </c>
      <c r="O528" t="str">
        <f>IF(Worksheet!AJ528="","",Worksheet!AJ528)</f>
        <v>M16 A Haantjes CERTIFISC  Oudenaarde</v>
      </c>
      <c r="P528" t="str">
        <f>IF(Worksheet!AK528="","",Worksheet!AK528)</f>
        <v>Speler</v>
      </c>
    </row>
    <row r="529" spans="5:16" x14ac:dyDescent="0.3">
      <c r="E529" s="2"/>
      <c r="J529" t="str">
        <f>Worksheet!C529&amp;" "&amp;Worksheet!B529</f>
        <v>Elisabeth Saveyn</v>
      </c>
      <c r="K529" t="str">
        <f>Worksheet!AM529</f>
        <v>moonvanneste@hotmail.com</v>
      </c>
      <c r="L529" t="str">
        <f>Worksheet!AN529</f>
        <v>+32496392369</v>
      </c>
      <c r="M529" t="str">
        <f>IF(Worksheet!AE529="","",Worksheet!AE529)</f>
        <v/>
      </c>
      <c r="N529" t="str">
        <f>IF(Worksheet!AG529="","",Worksheet!AG529)</f>
        <v/>
      </c>
      <c r="O529" t="str">
        <f>IF(Worksheet!AJ529="","",Worksheet!AJ529)</f>
        <v>Zomerstage 2026 (Blankenberge)</v>
      </c>
      <c r="P529" t="str">
        <f>IF(Worksheet!AK529="","",Worksheet!AK529)</f>
        <v>Speler</v>
      </c>
    </row>
    <row r="530" spans="5:16" x14ac:dyDescent="0.3">
      <c r="E530" s="2"/>
      <c r="J530" t="str">
        <f>Worksheet!C530&amp;" "&amp;Worksheet!B530</f>
        <v>Alexander Schmitt</v>
      </c>
      <c r="K530" t="str">
        <f>Worksheet!AM530</f>
        <v/>
      </c>
      <c r="L530" t="str">
        <f>Worksheet!AN530</f>
        <v/>
      </c>
      <c r="M530" t="str">
        <f>IF(Worksheet!AE530="","",Worksheet!AE530)</f>
        <v/>
      </c>
      <c r="N530" t="str">
        <f>IF(Worksheet!AG530="","",Worksheet!AG530)</f>
        <v/>
      </c>
      <c r="O530" t="str">
        <f>IF(Worksheet!AJ530="","",Worksheet!AJ530)</f>
        <v/>
      </c>
      <c r="P530" t="str">
        <f>IF(Worksheet!AK530="","",Worksheet!AK530)</f>
        <v/>
      </c>
    </row>
    <row r="531" spans="5:16" x14ac:dyDescent="0.3">
      <c r="E531" s="2"/>
      <c r="J531" t="str">
        <f>Worksheet!C531&amp;" "&amp;Worksheet!B531</f>
        <v>Nona Schmitt</v>
      </c>
      <c r="K531" t="str">
        <f>Worksheet!AM531</f>
        <v>alexander.schmitt@authority.biz</v>
      </c>
      <c r="L531" t="str">
        <f>Worksheet!AN531</f>
        <v>+32473761554</v>
      </c>
      <c r="M531" t="str">
        <f>IF(Worksheet!AE531="","",Worksheet!AE531)</f>
        <v/>
      </c>
      <c r="N531" t="str">
        <f>IF(Worksheet!AG531="","",Worksheet!AG531)</f>
        <v/>
      </c>
      <c r="O531" t="str">
        <f>IF(Worksheet!AJ531="","",Worksheet!AJ531)</f>
        <v>M16 A Haantjes CERTIFISC  Oudenaarde</v>
      </c>
      <c r="P531" t="str">
        <f>IF(Worksheet!AK531="","",Worksheet!AK531)</f>
        <v>Speler</v>
      </c>
    </row>
    <row r="532" spans="5:16" x14ac:dyDescent="0.3">
      <c r="E532" s="2"/>
      <c r="J532" t="str">
        <f>Worksheet!C532&amp;" "&amp;Worksheet!B532</f>
        <v>Nona Schmitt</v>
      </c>
      <c r="K532" t="str">
        <f>Worksheet!AM532</f>
        <v>alexander.schmitt@authority.biz</v>
      </c>
      <c r="L532" t="str">
        <f>Worksheet!AN532</f>
        <v>+32473761554</v>
      </c>
      <c r="M532" t="str">
        <f>IF(Worksheet!AE532="","",Worksheet!AE532)</f>
        <v/>
      </c>
      <c r="N532" t="str">
        <f>IF(Worksheet!AG532="","",Worksheet!AG532)</f>
        <v/>
      </c>
      <c r="O532" t="str">
        <f>IF(Worksheet!AJ532="","",Worksheet!AJ532)</f>
        <v>Zomerstage 2026 (Blankenberge)</v>
      </c>
      <c r="P532" t="str">
        <f>IF(Worksheet!AK532="","",Worksheet!AK532)</f>
        <v>Speler</v>
      </c>
    </row>
    <row r="533" spans="5:16" x14ac:dyDescent="0.3">
      <c r="E533" s="2"/>
      <c r="J533" t="str">
        <f>Worksheet!C533&amp;" "&amp;Worksheet!B533</f>
        <v>Ziano Schoenmaekers</v>
      </c>
      <c r="K533" t="str">
        <f>Worksheet!AM533</f>
        <v>pedro.schoenmaekers@hotmail.com</v>
      </c>
      <c r="L533" t="str">
        <f>Worksheet!AN533</f>
        <v>+32476935877</v>
      </c>
      <c r="M533" t="str">
        <f>IF(Worksheet!AE533="","",Worksheet!AE533)</f>
        <v>https://app.twizzit.com/public/photos/2650796/s/806ce17769fd3d29fc435d865a5b302b6c25c6ca.png</v>
      </c>
      <c r="N533">
        <f>IF(Worksheet!AG533="","",Worksheet!AG533)</f>
        <v>743241</v>
      </c>
      <c r="O533" t="str">
        <f>IF(Worksheet!AJ533="","",Worksheet!AJ533)</f>
        <v>J18 B Haantjes CERTIFISC Oudenaarde</v>
      </c>
      <c r="P533" t="str">
        <f>IF(Worksheet!AK533="","",Worksheet!AK533)</f>
        <v>Speler</v>
      </c>
    </row>
    <row r="534" spans="5:16" x14ac:dyDescent="0.3">
      <c r="E534" s="2"/>
      <c r="J534" t="str">
        <f>Worksheet!C534&amp;" "&amp;Worksheet!B534</f>
        <v>Ziano Schoenmaekers</v>
      </c>
      <c r="K534" t="str">
        <f>Worksheet!AM534</f>
        <v>pedro.schoenmaekers@hotmail.com</v>
      </c>
      <c r="L534" t="str">
        <f>Worksheet!AN534</f>
        <v>+32476935877</v>
      </c>
      <c r="M534" t="str">
        <f>IF(Worksheet!AE534="","",Worksheet!AE534)</f>
        <v>https://app.twizzit.com/public/photos/2650796/s/806ce17769fd3d29fc435d865a5b302b6c25c6ca.png</v>
      </c>
      <c r="N534">
        <f>IF(Worksheet!AG534="","",Worksheet!AG534)</f>
        <v>743241</v>
      </c>
      <c r="O534" t="str">
        <f>IF(Worksheet!AJ534="","",Worksheet!AJ534)</f>
        <v>Zomerstage 2026 (Blankenberge)</v>
      </c>
      <c r="P534" t="str">
        <f>IF(Worksheet!AK534="","",Worksheet!AK534)</f>
        <v>Speler</v>
      </c>
    </row>
    <row r="535" spans="5:16" x14ac:dyDescent="0.3">
      <c r="E535" s="2"/>
      <c r="J535" t="str">
        <f>Worksheet!C535&amp;" "&amp;Worksheet!B535</f>
        <v>Sara Serlippens</v>
      </c>
      <c r="K535" t="str">
        <f>Worksheet!AM535</f>
        <v/>
      </c>
      <c r="L535" t="str">
        <f>Worksheet!AN535</f>
        <v/>
      </c>
      <c r="M535" t="str">
        <f>IF(Worksheet!AE535="","",Worksheet!AE535)</f>
        <v/>
      </c>
      <c r="N535">
        <f>IF(Worksheet!AG535="","",Worksheet!AG535)</f>
        <v>189524</v>
      </c>
      <c r="O535" t="str">
        <f>IF(Worksheet!AJ535="","",Worksheet!AJ535)</f>
        <v/>
      </c>
      <c r="P535" t="str">
        <f>IF(Worksheet!AK535="","",Worksheet!AK535)</f>
        <v/>
      </c>
    </row>
    <row r="536" spans="5:16" x14ac:dyDescent="0.3">
      <c r="E536" s="2"/>
      <c r="J536" t="str">
        <f>Worksheet!C536&amp;" "&amp;Worksheet!B536</f>
        <v>Liezelot Simoens</v>
      </c>
      <c r="K536" t="str">
        <f>Worksheet!AM536</f>
        <v/>
      </c>
      <c r="L536" t="str">
        <f>Worksheet!AN536</f>
        <v>+32474339019</v>
      </c>
      <c r="M536" t="str">
        <f>IF(Worksheet!AE536="","",Worksheet!AE536)</f>
        <v/>
      </c>
      <c r="N536">
        <f>IF(Worksheet!AG536="","",Worksheet!AG536)</f>
        <v>744352</v>
      </c>
      <c r="O536" t="str">
        <f>IF(Worksheet!AJ536="","",Worksheet!AJ536)</f>
        <v/>
      </c>
      <c r="P536" t="str">
        <f>IF(Worksheet!AK536="","",Worksheet!AK536)</f>
        <v/>
      </c>
    </row>
    <row r="537" spans="5:16" x14ac:dyDescent="0.3">
      <c r="E537" s="2"/>
      <c r="J537" t="str">
        <f>Worksheet!C537&amp;" "&amp;Worksheet!B537</f>
        <v>Tijs Simoens</v>
      </c>
      <c r="K537" t="str">
        <f>Worksheet!AM537</f>
        <v/>
      </c>
      <c r="L537" t="str">
        <f>Worksheet!AN537</f>
        <v/>
      </c>
      <c r="M537" t="str">
        <f>IF(Worksheet!AE537="","",Worksheet!AE537)</f>
        <v/>
      </c>
      <c r="N537">
        <f>IF(Worksheet!AG537="","",Worksheet!AG537)</f>
        <v>247353</v>
      </c>
      <c r="O537" t="str">
        <f>IF(Worksheet!AJ537="","",Worksheet!AJ537)</f>
        <v/>
      </c>
      <c r="P537" t="str">
        <f>IF(Worksheet!AK537="","",Worksheet!AK537)</f>
        <v/>
      </c>
    </row>
    <row r="538" spans="5:16" x14ac:dyDescent="0.3">
      <c r="E538" s="2"/>
      <c r="J538" t="str">
        <f>Worksheet!C538&amp;" "&amp;Worksheet!B538</f>
        <v>Elise Six</v>
      </c>
      <c r="K538" t="str">
        <f>Worksheet!AM538</f>
        <v/>
      </c>
      <c r="L538" t="str">
        <f>Worksheet!AN538</f>
        <v>+32484846213</v>
      </c>
      <c r="M538" t="str">
        <f>IF(Worksheet!AE538="","",Worksheet!AE538)</f>
        <v/>
      </c>
      <c r="N538" t="str">
        <f>IF(Worksheet!AG538="","",Worksheet!AG538)</f>
        <v/>
      </c>
      <c r="O538" t="str">
        <f>IF(Worksheet!AJ538="","",Worksheet!AJ538)</f>
        <v/>
      </c>
      <c r="P538" t="str">
        <f>IF(Worksheet!AK538="","",Worksheet!AK538)</f>
        <v/>
      </c>
    </row>
    <row r="539" spans="5:16" x14ac:dyDescent="0.3">
      <c r="E539" s="2"/>
      <c r="J539" t="str">
        <f>Worksheet!C539&amp;" "&amp;Worksheet!B539</f>
        <v>Alba Slembrouck</v>
      </c>
      <c r="K539" t="str">
        <f>Worksheet!AM539</f>
        <v>alexandra-kemp@hotmail.com</v>
      </c>
      <c r="L539" t="str">
        <f>Worksheet!AN539</f>
        <v>+32472902002</v>
      </c>
      <c r="M539" t="str">
        <f>IF(Worksheet!AE539="","",Worksheet!AE539)</f>
        <v/>
      </c>
      <c r="N539" t="str">
        <f>IF(Worksheet!AG539="","",Worksheet!AG539)</f>
        <v/>
      </c>
      <c r="O539" t="str">
        <f>IF(Worksheet!AJ539="","",Worksheet!AJ539)</f>
        <v>Balschool U6</v>
      </c>
      <c r="P539" t="str">
        <f>IF(Worksheet!AK539="","",Worksheet!AK539)</f>
        <v>Speler</v>
      </c>
    </row>
    <row r="540" spans="5:16" x14ac:dyDescent="0.3">
      <c r="E540" s="2"/>
      <c r="J540" t="str">
        <f>Worksheet!C540&amp;" "&amp;Worksheet!B540</f>
        <v>Romée Slembrouck</v>
      </c>
      <c r="K540" t="str">
        <f>Worksheet!AM540</f>
        <v>alexandra-kemp@hotmail.com</v>
      </c>
      <c r="L540" t="str">
        <f>Worksheet!AN540</f>
        <v>+32472902002</v>
      </c>
      <c r="M540" t="str">
        <f>IF(Worksheet!AE540="","",Worksheet!AE540)</f>
        <v>https://app.twizzit.com/public/photos/7328316/s/d832d97a4d222f65f11eb5051494f0f7bb0f899d.png</v>
      </c>
      <c r="N540" t="str">
        <f>IF(Worksheet!AG540="","",Worksheet!AG540)</f>
        <v/>
      </c>
      <c r="O540" t="str">
        <f>IF(Worksheet!AJ540="","",Worksheet!AJ540)</f>
        <v>G08 Groen HAANTJES CERTIFISC OUDENAARDE</v>
      </c>
      <c r="P540" t="str">
        <f>IF(Worksheet!AK540="","",Worksheet!AK540)</f>
        <v>Speler</v>
      </c>
    </row>
    <row r="541" spans="5:16" x14ac:dyDescent="0.3">
      <c r="E541" s="2"/>
      <c r="J541" t="str">
        <f>Worksheet!C541&amp;" "&amp;Worksheet!B541</f>
        <v>Filip Snauwaert</v>
      </c>
      <c r="K541">
        <f>Worksheet!AM541</f>
        <v>0</v>
      </c>
      <c r="L541" t="str">
        <f>Worksheet!AN541</f>
        <v/>
      </c>
      <c r="M541" t="str">
        <f>IF(Worksheet!AE541="","",Worksheet!AE541)</f>
        <v/>
      </c>
      <c r="N541" t="str">
        <f>IF(Worksheet!AG541="","",Worksheet!AG541)</f>
        <v/>
      </c>
      <c r="O541" t="str">
        <f>IF(Worksheet!AJ541="","",Worksheet!AJ541)</f>
        <v/>
      </c>
      <c r="P541" t="str">
        <f>IF(Worksheet!AK541="","",Worksheet!AK541)</f>
        <v/>
      </c>
    </row>
    <row r="542" spans="5:16" x14ac:dyDescent="0.3">
      <c r="E542" s="2"/>
      <c r="J542" t="str">
        <f>Worksheet!C542&amp;" "&amp;Worksheet!B542</f>
        <v>Zian Snauwaert</v>
      </c>
      <c r="K542" t="str">
        <f>Worksheet!AM542</f>
        <v>filipodimarco@hotmail.com</v>
      </c>
      <c r="L542" t="str">
        <f>Worksheet!AN542</f>
        <v>+32473633638</v>
      </c>
      <c r="M542" t="str">
        <f>IF(Worksheet!AE542="","",Worksheet!AE542)</f>
        <v/>
      </c>
      <c r="N542" t="str">
        <f>IF(Worksheet!AG542="","",Worksheet!AG542)</f>
        <v/>
      </c>
      <c r="O542" t="str">
        <f>IF(Worksheet!AJ542="","",Worksheet!AJ542)</f>
        <v/>
      </c>
      <c r="P542" t="str">
        <f>IF(Worksheet!AK542="","",Worksheet!AK542)</f>
        <v/>
      </c>
    </row>
    <row r="543" spans="5:16" x14ac:dyDescent="0.3">
      <c r="E543" s="2"/>
      <c r="J543" t="str">
        <f>Worksheet!C543&amp;" "&amp;Worksheet!B543</f>
        <v>Robin Spaens</v>
      </c>
      <c r="K543" t="str">
        <f>Worksheet!AM543</f>
        <v/>
      </c>
      <c r="L543" t="str">
        <f>Worksheet!AN543</f>
        <v>+32476359988</v>
      </c>
      <c r="M543" t="str">
        <f>IF(Worksheet!AE543="","",Worksheet!AE543)</f>
        <v/>
      </c>
      <c r="N543">
        <f>IF(Worksheet!AG543="","",Worksheet!AG543)</f>
        <v>234515</v>
      </c>
      <c r="O543" t="str">
        <f>IF(Worksheet!AJ543="","",Worksheet!AJ543)</f>
        <v>HSE A Haantjes Certifisc Oudenaarde</v>
      </c>
      <c r="P543" t="str">
        <f>IF(Worksheet!AK543="","",Worksheet!AK543)</f>
        <v>Speler</v>
      </c>
    </row>
    <row r="544" spans="5:16" x14ac:dyDescent="0.3">
      <c r="E544" s="2"/>
      <c r="J544" t="str">
        <f>Worksheet!C544&amp;" "&amp;Worksheet!B544</f>
        <v>Freya Spiessens</v>
      </c>
      <c r="K544" t="str">
        <f>Worksheet!AM544</f>
        <v/>
      </c>
      <c r="L544" t="str">
        <f>Worksheet!AN544</f>
        <v>+32476837352</v>
      </c>
      <c r="M544" t="str">
        <f>IF(Worksheet!AE544="","",Worksheet!AE544)</f>
        <v>https://app.twizzit.com/public/photos/4061488/s/f7edd2a5fa67fe1f3ca653726f4b897e5aed79a4.jpeg</v>
      </c>
      <c r="N544">
        <f>IF(Worksheet!AG544="","",Worksheet!AG544)</f>
        <v>750073</v>
      </c>
      <c r="O544" t="str">
        <f>IF(Worksheet!AJ544="","",Worksheet!AJ544)</f>
        <v/>
      </c>
      <c r="P544" t="str">
        <f>IF(Worksheet!AK544="","",Worksheet!AK544)</f>
        <v/>
      </c>
    </row>
    <row r="545" spans="5:16" x14ac:dyDescent="0.3">
      <c r="E545" s="2"/>
      <c r="J545" t="str">
        <f>Worksheet!C545&amp;" "&amp;Worksheet!B545</f>
        <v>Freya Spiessens</v>
      </c>
      <c r="K545" t="str">
        <f>Worksheet!AM545</f>
        <v/>
      </c>
      <c r="L545" t="str">
        <f>Worksheet!AN545</f>
        <v>+32476837352</v>
      </c>
      <c r="M545" t="str">
        <f>IF(Worksheet!AE545="","",Worksheet!AE545)</f>
        <v>https://app.twizzit.com/public/photos/4061488/s/f7edd2a5fa67fe1f3ca653726f4b897e5aed79a4.jpeg</v>
      </c>
      <c r="N545">
        <f>IF(Worksheet!AG545="","",Worksheet!AG545)</f>
        <v>750073</v>
      </c>
      <c r="O545" t="str">
        <f>IF(Worksheet!AJ545="","",Worksheet!AJ545)</f>
        <v/>
      </c>
      <c r="P545" t="str">
        <f>IF(Worksheet!AK545="","",Worksheet!AK545)</f>
        <v/>
      </c>
    </row>
    <row r="546" spans="5:16" x14ac:dyDescent="0.3">
      <c r="E546" s="2"/>
      <c r="J546" t="str">
        <f>Worksheet!C546&amp;" "&amp;Worksheet!B546</f>
        <v>Freya Spiessens</v>
      </c>
      <c r="K546" t="str">
        <f>Worksheet!AM546</f>
        <v/>
      </c>
      <c r="L546" t="str">
        <f>Worksheet!AN546</f>
        <v>+32476837352</v>
      </c>
      <c r="M546" t="str">
        <f>IF(Worksheet!AE546="","",Worksheet!AE546)</f>
        <v>https://app.twizzit.com/public/photos/4061488/s/f7edd2a5fa67fe1f3ca653726f4b897e5aed79a4.jpeg</v>
      </c>
      <c r="N546">
        <f>IF(Worksheet!AG546="","",Worksheet!AG546)</f>
        <v>750073</v>
      </c>
      <c r="O546" t="str">
        <f>IF(Worksheet!AJ546="","",Worksheet!AJ546)</f>
        <v/>
      </c>
      <c r="P546" t="str">
        <f>IF(Worksheet!AK546="","",Worksheet!AK546)</f>
        <v/>
      </c>
    </row>
    <row r="547" spans="5:16" x14ac:dyDescent="0.3">
      <c r="E547" s="2"/>
      <c r="J547" t="str">
        <f>Worksheet!C547&amp;" "&amp;Worksheet!B547</f>
        <v>Freya Spiessens</v>
      </c>
      <c r="K547" t="str">
        <f>Worksheet!AM547</f>
        <v/>
      </c>
      <c r="L547" t="str">
        <f>Worksheet!AN547</f>
        <v>+32476837352</v>
      </c>
      <c r="M547" t="str">
        <f>IF(Worksheet!AE547="","",Worksheet!AE547)</f>
        <v>https://app.twizzit.com/public/photos/4061488/s/f7edd2a5fa67fe1f3ca653726f4b897e5aed79a4.jpeg</v>
      </c>
      <c r="N547">
        <f>IF(Worksheet!AG547="","",Worksheet!AG547)</f>
        <v>750073</v>
      </c>
      <c r="O547" t="str">
        <f>IF(Worksheet!AJ547="","",Worksheet!AJ547)</f>
        <v/>
      </c>
      <c r="P547" t="str">
        <f>IF(Worksheet!AK547="","",Worksheet!AK547)</f>
        <v/>
      </c>
    </row>
    <row r="548" spans="5:16" x14ac:dyDescent="0.3">
      <c r="E548" s="2"/>
      <c r="J548" t="str">
        <f>Worksheet!C548&amp;" "&amp;Worksheet!B548</f>
        <v>Merel Spiessens</v>
      </c>
      <c r="K548" t="str">
        <f>Worksheet!AM548</f>
        <v>Me@opcd.net</v>
      </c>
      <c r="L548" t="str">
        <f>Worksheet!AN548</f>
        <v>+32474655154</v>
      </c>
      <c r="M548" t="str">
        <f>IF(Worksheet!AE548="","",Worksheet!AE548)</f>
        <v>https://app.twizzit.com/public/photos/2183207/s/cd9fd40cf38cd1eb62df0198f102c2154c08c604.jpeg</v>
      </c>
      <c r="N548">
        <f>IF(Worksheet!AG548="","",Worksheet!AG548)</f>
        <v>721093</v>
      </c>
      <c r="O548" t="str">
        <f>IF(Worksheet!AJ548="","",Worksheet!AJ548)</f>
        <v>Zomerstage 2026 (Blankenberge)</v>
      </c>
      <c r="P548" t="str">
        <f>IF(Worksheet!AK548="","",Worksheet!AK548)</f>
        <v>Speler</v>
      </c>
    </row>
    <row r="549" spans="5:16" x14ac:dyDescent="0.3">
      <c r="E549" s="2"/>
      <c r="J549" t="str">
        <f>Worksheet!C549&amp;" "&amp;Worksheet!B549</f>
        <v>Merel Spiessens</v>
      </c>
      <c r="K549" t="str">
        <f>Worksheet!AM549</f>
        <v>Me@opcd.net</v>
      </c>
      <c r="L549" t="str">
        <f>Worksheet!AN549</f>
        <v>+32474655154</v>
      </c>
      <c r="M549" t="str">
        <f>IF(Worksheet!AE549="","",Worksheet!AE549)</f>
        <v>https://app.twizzit.com/public/photos/2183207/s/cd9fd40cf38cd1eb62df0198f102c2154c08c604.jpeg</v>
      </c>
      <c r="N549">
        <f>IF(Worksheet!AG549="","",Worksheet!AG549)</f>
        <v>721093</v>
      </c>
      <c r="O549" t="str">
        <f>IF(Worksheet!AJ549="","",Worksheet!AJ549)</f>
        <v>M14 A Haantjes CERTIFISC  Oudenaarde</v>
      </c>
      <c r="P549" t="str">
        <f>IF(Worksheet!AK549="","",Worksheet!AK549)</f>
        <v>Speler</v>
      </c>
    </row>
    <row r="550" spans="5:16" x14ac:dyDescent="0.3">
      <c r="E550" s="2"/>
      <c r="J550" t="str">
        <f>Worksheet!C550&amp;" "&amp;Worksheet!B550</f>
        <v>Patrick Spileers</v>
      </c>
      <c r="K550" t="str">
        <f>Worksheet!AM550</f>
        <v/>
      </c>
      <c r="L550" t="str">
        <f>Worksheet!AN550</f>
        <v/>
      </c>
      <c r="M550" t="str">
        <f>IF(Worksheet!AE550="","",Worksheet!AE550)</f>
        <v/>
      </c>
      <c r="N550">
        <f>IF(Worksheet!AG550="","",Worksheet!AG550)</f>
        <v>607447</v>
      </c>
      <c r="O550" t="str">
        <f>IF(Worksheet!AJ550="","",Worksheet!AJ550)</f>
        <v/>
      </c>
      <c r="P550" t="str">
        <f>IF(Worksheet!AK550="","",Worksheet!AK550)</f>
        <v/>
      </c>
    </row>
    <row r="551" spans="5:16" x14ac:dyDescent="0.3">
      <c r="E551" s="2"/>
      <c r="J551" t="str">
        <f>Worksheet!C551&amp;" "&amp;Worksheet!B551</f>
        <v>Antoaneta Spiridon</v>
      </c>
      <c r="K551" t="str">
        <f>Worksheet!AM551</f>
        <v/>
      </c>
      <c r="L551" t="str">
        <f>Worksheet!AN551</f>
        <v/>
      </c>
      <c r="M551" t="str">
        <f>IF(Worksheet!AE551="","",Worksheet!AE551)</f>
        <v/>
      </c>
      <c r="N551" t="str">
        <f>IF(Worksheet!AG551="","",Worksheet!AG551)</f>
        <v/>
      </c>
      <c r="O551" t="str">
        <f>IF(Worksheet!AJ551="","",Worksheet!AJ551)</f>
        <v/>
      </c>
      <c r="P551" t="str">
        <f>IF(Worksheet!AK551="","",Worksheet!AK551)</f>
        <v/>
      </c>
    </row>
    <row r="552" spans="5:16" x14ac:dyDescent="0.3">
      <c r="E552" s="2"/>
      <c r="J552" t="str">
        <f>Worksheet!C552&amp;" "&amp;Worksheet!B552</f>
        <v>Elis Spiridon</v>
      </c>
      <c r="K552" t="str">
        <f>Worksheet!AM552</f>
        <v/>
      </c>
      <c r="L552" t="str">
        <f>Worksheet!AN552</f>
        <v>+3260960209</v>
      </c>
      <c r="M552" t="str">
        <f>IF(Worksheet!AE552="","",Worksheet!AE552)</f>
        <v/>
      </c>
      <c r="N552">
        <f>IF(Worksheet!AG552="","",Worksheet!AG552)</f>
        <v>739986</v>
      </c>
      <c r="O552" t="str">
        <f>IF(Worksheet!AJ552="","",Worksheet!AJ552)</f>
        <v/>
      </c>
      <c r="P552" t="str">
        <f>IF(Worksheet!AK552="","",Worksheet!AK552)</f>
        <v/>
      </c>
    </row>
    <row r="553" spans="5:16" x14ac:dyDescent="0.3">
      <c r="E553" s="2"/>
      <c r="J553" t="str">
        <f>Worksheet!C553&amp;" "&amp;Worksheet!B553</f>
        <v>Magalie Stevens</v>
      </c>
      <c r="K553" t="str">
        <f>Worksheet!AM553</f>
        <v>safadorote3@gmail.com</v>
      </c>
      <c r="L553" t="str">
        <f>Worksheet!AN553</f>
        <v>+32477968913</v>
      </c>
      <c r="M553" t="str">
        <f>IF(Worksheet!AE553="","",Worksheet!AE553)</f>
        <v/>
      </c>
      <c r="N553" t="str">
        <f>IF(Worksheet!AG553="","",Worksheet!AG553)</f>
        <v/>
      </c>
      <c r="O553" t="str">
        <f>IF(Worksheet!AJ553="","",Worksheet!AJ553)</f>
        <v>M10 HAANTJES CERTIFISC OUDENAARDE</v>
      </c>
      <c r="P553" t="str">
        <f>IF(Worksheet!AK553="","",Worksheet!AK553)</f>
        <v>Speler</v>
      </c>
    </row>
    <row r="554" spans="5:16" x14ac:dyDescent="0.3">
      <c r="E554" s="2"/>
      <c r="J554" t="str">
        <f>Worksheet!C554&amp;" "&amp;Worksheet!B554</f>
        <v>Magalie Stevens</v>
      </c>
      <c r="K554" t="str">
        <f>Worksheet!AM554</f>
        <v>safadorote3@gmail.com</v>
      </c>
      <c r="L554" t="str">
        <f>Worksheet!AN554</f>
        <v>+32477968913</v>
      </c>
      <c r="M554" t="str">
        <f>IF(Worksheet!AE554="","",Worksheet!AE554)</f>
        <v/>
      </c>
      <c r="N554" t="str">
        <f>IF(Worksheet!AG554="","",Worksheet!AG554)</f>
        <v/>
      </c>
      <c r="O554" t="str">
        <f>IF(Worksheet!AJ554="","",Worksheet!AJ554)</f>
        <v>Zomerstage 2026 U10 &amp; U12 (Oudenaarde)</v>
      </c>
      <c r="P554" t="str">
        <f>IF(Worksheet!AK554="","",Worksheet!AK554)</f>
        <v>Speler</v>
      </c>
    </row>
    <row r="555" spans="5:16" x14ac:dyDescent="0.3">
      <c r="E555" s="2"/>
      <c r="J555" t="str">
        <f>Worksheet!C555&amp;" "&amp;Worksheet!B555</f>
        <v>Maiga Stevens</v>
      </c>
      <c r="K555" t="str">
        <f>Worksheet!AM555</f>
        <v>safadorote3@gmail.com</v>
      </c>
      <c r="L555" t="str">
        <f>Worksheet!AN555</f>
        <v>+32477968913</v>
      </c>
      <c r="M555" t="str">
        <f>IF(Worksheet!AE555="","",Worksheet!AE555)</f>
        <v/>
      </c>
      <c r="N555" t="str">
        <f>IF(Worksheet!AG555="","",Worksheet!AG555)</f>
        <v/>
      </c>
      <c r="O555" t="str">
        <f>IF(Worksheet!AJ555="","",Worksheet!AJ555)</f>
        <v>M10 HAANTJES CERTIFISC OUDENAARDE</v>
      </c>
      <c r="P555" t="str">
        <f>IF(Worksheet!AK555="","",Worksheet!AK555)</f>
        <v>Speler</v>
      </c>
    </row>
    <row r="556" spans="5:16" x14ac:dyDescent="0.3">
      <c r="E556" s="2"/>
      <c r="J556" t="str">
        <f>Worksheet!C556&amp;" "&amp;Worksheet!B556</f>
        <v>Maiga Stevens</v>
      </c>
      <c r="K556" t="str">
        <f>Worksheet!AM556</f>
        <v>safadorote3@gmail.com</v>
      </c>
      <c r="L556" t="str">
        <f>Worksheet!AN556</f>
        <v>+32477968913</v>
      </c>
      <c r="M556" t="str">
        <f>IF(Worksheet!AE556="","",Worksheet!AE556)</f>
        <v/>
      </c>
      <c r="N556" t="str">
        <f>IF(Worksheet!AG556="","",Worksheet!AG556)</f>
        <v/>
      </c>
      <c r="O556" t="str">
        <f>IF(Worksheet!AJ556="","",Worksheet!AJ556)</f>
        <v>Zomerstage 2026 U10 &amp; U12 (Oudenaarde)</v>
      </c>
      <c r="P556" t="str">
        <f>IF(Worksheet!AK556="","",Worksheet!AK556)</f>
        <v>Speler</v>
      </c>
    </row>
    <row r="557" spans="5:16" x14ac:dyDescent="0.3">
      <c r="E557" s="2"/>
      <c r="J557" t="str">
        <f>Worksheet!C557&amp;" "&amp;Worksheet!B557</f>
        <v>Inne Taelman</v>
      </c>
      <c r="K557" t="str">
        <f>Worksheet!AM557</f>
        <v/>
      </c>
      <c r="L557" t="str">
        <f>Worksheet!AN557</f>
        <v>+32478427271</v>
      </c>
      <c r="M557" t="str">
        <f>IF(Worksheet!AE557="","",Worksheet!AE557)</f>
        <v/>
      </c>
      <c r="N557" t="str">
        <f>IF(Worksheet!AG557="","",Worksheet!AG557)</f>
        <v/>
      </c>
      <c r="O557" t="str">
        <f>IF(Worksheet!AJ557="","",Worksheet!AJ557)</f>
        <v/>
      </c>
      <c r="P557" t="str">
        <f>IF(Worksheet!AK557="","",Worksheet!AK557)</f>
        <v/>
      </c>
    </row>
    <row r="558" spans="5:16" x14ac:dyDescent="0.3">
      <c r="E558" s="2"/>
      <c r="J558" t="str">
        <f>Worksheet!C558&amp;" "&amp;Worksheet!B558</f>
        <v>Alexander Tant</v>
      </c>
      <c r="K558" t="str">
        <f>Worksheet!AM558</f>
        <v/>
      </c>
      <c r="L558" t="str">
        <f>Worksheet!AN558</f>
        <v>+32473432508</v>
      </c>
      <c r="M558" t="str">
        <f>IF(Worksheet!AE558="","",Worksheet!AE558)</f>
        <v/>
      </c>
      <c r="N558" t="str">
        <f>IF(Worksheet!AG558="","",Worksheet!AG558)</f>
        <v/>
      </c>
      <c r="O558" t="str">
        <f>IF(Worksheet!AJ558="","",Worksheet!AJ558)</f>
        <v/>
      </c>
      <c r="P558" t="str">
        <f>IF(Worksheet!AK558="","",Worksheet!AK558)</f>
        <v/>
      </c>
    </row>
    <row r="559" spans="5:16" x14ac:dyDescent="0.3">
      <c r="E559" s="2"/>
      <c r="J559" t="str">
        <f>Worksheet!C559&amp;" "&amp;Worksheet!B559</f>
        <v>Mike Tant</v>
      </c>
      <c r="K559" t="str">
        <f>Worksheet!AM559</f>
        <v/>
      </c>
      <c r="L559" t="str">
        <f>Worksheet!AN559</f>
        <v>+32473432508</v>
      </c>
      <c r="M559" t="str">
        <f>IF(Worksheet!AE559="","",Worksheet!AE559)</f>
        <v/>
      </c>
      <c r="N559" t="str">
        <f>IF(Worksheet!AG559="","",Worksheet!AG559)</f>
        <v/>
      </c>
      <c r="O559" t="str">
        <f>IF(Worksheet!AJ559="","",Worksheet!AJ559)</f>
        <v/>
      </c>
      <c r="P559" t="str">
        <f>IF(Worksheet!AK559="","",Worksheet!AK559)</f>
        <v/>
      </c>
    </row>
    <row r="560" spans="5:16" x14ac:dyDescent="0.3">
      <c r="E560" s="2"/>
      <c r="J560" t="str">
        <f>Worksheet!C560&amp;" "&amp;Worksheet!B560</f>
        <v>Maaike Teirlinck</v>
      </c>
      <c r="K560" t="str">
        <f>Worksheet!AM560</f>
        <v/>
      </c>
      <c r="L560" t="str">
        <f>Worksheet!AN560</f>
        <v>+32476646787</v>
      </c>
      <c r="M560" t="str">
        <f>IF(Worksheet!AE560="","",Worksheet!AE560)</f>
        <v/>
      </c>
      <c r="N560" t="str">
        <f>IF(Worksheet!AG560="","",Worksheet!AG560)</f>
        <v/>
      </c>
      <c r="O560" t="str">
        <f>IF(Worksheet!AJ560="","",Worksheet!AJ560)</f>
        <v/>
      </c>
      <c r="P560" t="str">
        <f>IF(Worksheet!AK560="","",Worksheet!AK560)</f>
        <v/>
      </c>
    </row>
    <row r="561" spans="5:16" x14ac:dyDescent="0.3">
      <c r="E561" s="2"/>
      <c r="J561" t="str">
        <f>Worksheet!C561&amp;" "&amp;Worksheet!B561</f>
        <v>Rafaël Temmerman</v>
      </c>
      <c r="K561" t="str">
        <f>Worksheet!AM561</f>
        <v/>
      </c>
      <c r="L561" t="str">
        <f>Worksheet!AN561</f>
        <v>+32470396307</v>
      </c>
      <c r="M561" t="str">
        <f>IF(Worksheet!AE561="","",Worksheet!AE561)</f>
        <v/>
      </c>
      <c r="N561">
        <f>IF(Worksheet!AG561="","",Worksheet!AG561)</f>
        <v>650278</v>
      </c>
      <c r="O561" t="str">
        <f>IF(Worksheet!AJ561="","",Worksheet!AJ561)</f>
        <v/>
      </c>
      <c r="P561" t="str">
        <f>IF(Worksheet!AK561="","",Worksheet!AK561)</f>
        <v/>
      </c>
    </row>
    <row r="562" spans="5:16" x14ac:dyDescent="0.3">
      <c r="E562" s="2"/>
      <c r="J562" t="str">
        <f>Worksheet!C562&amp;" "&amp;Worksheet!B562</f>
        <v>Anouk Termonia</v>
      </c>
      <c r="K562" t="str">
        <f>Worksheet!AM562</f>
        <v/>
      </c>
      <c r="L562" t="str">
        <f>Worksheet!AN562</f>
        <v/>
      </c>
      <c r="M562" t="str">
        <f>IF(Worksheet!AE562="","",Worksheet!AE562)</f>
        <v/>
      </c>
      <c r="N562" t="str">
        <f>IF(Worksheet!AG562="","",Worksheet!AG562)</f>
        <v/>
      </c>
      <c r="O562" t="str">
        <f>IF(Worksheet!AJ562="","",Worksheet!AJ562)</f>
        <v/>
      </c>
      <c r="P562" t="str">
        <f>IF(Worksheet!AK562="","",Worksheet!AK562)</f>
        <v/>
      </c>
    </row>
    <row r="563" spans="5:16" x14ac:dyDescent="0.3">
      <c r="E563" s="2"/>
      <c r="J563" t="str">
        <f>Worksheet!C563&amp;" "&amp;Worksheet!B563</f>
        <v>Senne Termote</v>
      </c>
      <c r="K563" t="str">
        <f>Worksheet!AM563</f>
        <v>luciaderammelaere@hotmail.com</v>
      </c>
      <c r="L563" t="str">
        <f>Worksheet!AN563</f>
        <v>+32494047205</v>
      </c>
      <c r="M563" t="str">
        <f>IF(Worksheet!AE563="","",Worksheet!AE563)</f>
        <v>https://app.twizzit.com/public/photos/10363174/s/49198d22b66317151eafa7e84d216b20e54ab7fe.jpeg</v>
      </c>
      <c r="N563" t="str">
        <f>IF(Worksheet!AG563="","",Worksheet!AG563)</f>
        <v/>
      </c>
      <c r="O563" t="str">
        <f>IF(Worksheet!AJ563="","",Worksheet!AJ563)</f>
        <v/>
      </c>
      <c r="P563" t="str">
        <f>IF(Worksheet!AK563="","",Worksheet!AK563)</f>
        <v/>
      </c>
    </row>
    <row r="564" spans="5:16" x14ac:dyDescent="0.3">
      <c r="E564" s="2"/>
      <c r="J564" t="str">
        <f>Worksheet!C564&amp;" "&amp;Worksheet!B564</f>
        <v>Jules Ternoot</v>
      </c>
      <c r="K564" t="str">
        <f>Worksheet!AM564</f>
        <v/>
      </c>
      <c r="L564" t="str">
        <f>Worksheet!AN564</f>
        <v>+32468539021</v>
      </c>
      <c r="M564" t="str">
        <f>IF(Worksheet!AE564="","",Worksheet!AE564)</f>
        <v>https://app.twizzit.com/public/photos/9499964/s/ff5f984b647838e4bd7563b356e5c206230b1763.jpeg</v>
      </c>
      <c r="N564">
        <f>IF(Worksheet!AG564="","",Worksheet!AG564)</f>
        <v>743553</v>
      </c>
      <c r="O564" t="str">
        <f>IF(Worksheet!AJ564="","",Worksheet!AJ564)</f>
        <v>G14 A Haantjes CERTIFISC Oudenaarde</v>
      </c>
      <c r="P564" t="str">
        <f>IF(Worksheet!AK564="","",Worksheet!AK564)</f>
        <v>Speler</v>
      </c>
    </row>
    <row r="565" spans="5:16" x14ac:dyDescent="0.3">
      <c r="E565" s="2"/>
      <c r="J565" t="str">
        <f>Worksheet!C565&amp;" "&amp;Worksheet!B565</f>
        <v>Jules Ternoot</v>
      </c>
      <c r="K565" t="str">
        <f>Worksheet!AM565</f>
        <v/>
      </c>
      <c r="L565" t="str">
        <f>Worksheet!AN565</f>
        <v>+32468539021</v>
      </c>
      <c r="M565" t="str">
        <f>IF(Worksheet!AE565="","",Worksheet!AE565)</f>
        <v>https://app.twizzit.com/public/photos/9499964/s/ff5f984b647838e4bd7563b356e5c206230b1763.jpeg</v>
      </c>
      <c r="N565">
        <f>IF(Worksheet!AG565="","",Worksheet!AG565)</f>
        <v>743553</v>
      </c>
      <c r="O565" t="str">
        <f>IF(Worksheet!AJ565="","",Worksheet!AJ565)</f>
        <v>Zomerstage 2026 (Blankenberge)</v>
      </c>
      <c r="P565" t="str">
        <f>IF(Worksheet!AK565="","",Worksheet!AK565)</f>
        <v>Speler</v>
      </c>
    </row>
    <row r="566" spans="5:16" x14ac:dyDescent="0.3">
      <c r="E566" s="2"/>
      <c r="J566" t="str">
        <f>Worksheet!C566&amp;" "&amp;Worksheet!B566</f>
        <v>Maro Thas</v>
      </c>
      <c r="K566" t="str">
        <f>Worksheet!AM566</f>
        <v/>
      </c>
      <c r="L566" t="str">
        <f>Worksheet!AN566</f>
        <v>+32472433051</v>
      </c>
      <c r="M566" t="str">
        <f>IF(Worksheet!AE566="","",Worksheet!AE566)</f>
        <v>https://app.twizzit.com/public/photos/3451572/s/f7bd7e0dc5dd014e64108bf9fe43059bbb6a9a41.png</v>
      </c>
      <c r="N566" t="str">
        <f>IF(Worksheet!AG566="","",Worksheet!AG566)</f>
        <v/>
      </c>
      <c r="O566" t="str">
        <f>IF(Worksheet!AJ566="","",Worksheet!AJ566)</f>
        <v>J16 B Haantjes CERTIFISC Oudenaarde</v>
      </c>
      <c r="P566" t="str">
        <f>IF(Worksheet!AK566="","",Worksheet!AK566)</f>
        <v>Speler</v>
      </c>
    </row>
    <row r="567" spans="5:16" x14ac:dyDescent="0.3">
      <c r="E567" s="2"/>
      <c r="J567" t="str">
        <f>Worksheet!C567&amp;" "&amp;Worksheet!B567</f>
        <v>Connor Thomaes</v>
      </c>
      <c r="K567" t="str">
        <f>Worksheet!AM567</f>
        <v>kenith.thomaes@hotmail.com</v>
      </c>
      <c r="L567" t="str">
        <f>Worksheet!AN567</f>
        <v>+32496807989</v>
      </c>
      <c r="M567" t="str">
        <f>IF(Worksheet!AE567="","",Worksheet!AE567)</f>
        <v>https://app.twizzit.com/public/photos/2650895/s/8c88bbe29a6ba119edf2563b65cc739d6dc846de.png</v>
      </c>
      <c r="N567">
        <f>IF(Worksheet!AG567="","",Worksheet!AG567)</f>
        <v>742175</v>
      </c>
      <c r="O567" t="str">
        <f>IF(Worksheet!AJ567="","",Worksheet!AJ567)</f>
        <v/>
      </c>
      <c r="P567" t="str">
        <f>IF(Worksheet!AK567="","",Worksheet!AK567)</f>
        <v/>
      </c>
    </row>
    <row r="568" spans="5:16" x14ac:dyDescent="0.3">
      <c r="E568" s="2"/>
      <c r="J568" t="str">
        <f>Worksheet!C568&amp;" "&amp;Worksheet!B568</f>
        <v>Quinn Thomaes</v>
      </c>
      <c r="K568" t="str">
        <f>Worksheet!AM568</f>
        <v>kenith.thomaes@hotmail.com</v>
      </c>
      <c r="L568" t="str">
        <f>Worksheet!AN568</f>
        <v>+32494851244</v>
      </c>
      <c r="M568" t="str">
        <f>IF(Worksheet!AE568="","",Worksheet!AE568)</f>
        <v>https://app.twizzit.com/public/photos/3518572/s/d7b2c59280b93aeff7d8194db7053ca94d3af63f.png</v>
      </c>
      <c r="N568" t="str">
        <f>IF(Worksheet!AG568="","",Worksheet!AG568)</f>
        <v/>
      </c>
      <c r="O568" t="str">
        <f>IF(Worksheet!AJ568="","",Worksheet!AJ568)</f>
        <v/>
      </c>
      <c r="P568" t="str">
        <f>IF(Worksheet!AK568="","",Worksheet!AK568)</f>
        <v/>
      </c>
    </row>
    <row r="569" spans="5:16" x14ac:dyDescent="0.3">
      <c r="E569" s="2"/>
      <c r="J569" t="str">
        <f>Worksheet!C569&amp;" "&amp;Worksheet!B569</f>
        <v>Juul Torrekens</v>
      </c>
      <c r="K569" t="str">
        <f>Worksheet!AM569</f>
        <v/>
      </c>
      <c r="L569" t="str">
        <f>Worksheet!AN569</f>
        <v>+32491736700</v>
      </c>
      <c r="M569" t="str">
        <f>IF(Worksheet!AE569="","",Worksheet!AE569)</f>
        <v>https://app.twizzit.com/public/photos/10452742/s/6c5cf54cdc2121df9ea81aa430b2b5f8abe2c81a.jpeg</v>
      </c>
      <c r="N569" t="str">
        <f>IF(Worksheet!AG569="","",Worksheet!AG569)</f>
        <v/>
      </c>
      <c r="O569" t="str">
        <f>IF(Worksheet!AJ569="","",Worksheet!AJ569)</f>
        <v>G08 Groen HAANTJES CERTIFISC OUDENAARDE</v>
      </c>
      <c r="P569" t="str">
        <f>IF(Worksheet!AK569="","",Worksheet!AK569)</f>
        <v>Speler</v>
      </c>
    </row>
    <row r="570" spans="5:16" x14ac:dyDescent="0.3">
      <c r="E570" s="2"/>
      <c r="J570" t="str">
        <f>Worksheet!C570&amp;" "&amp;Worksheet!B570</f>
        <v>Cedrik Tranoy</v>
      </c>
      <c r="K570" t="str">
        <f>Worksheet!AM570</f>
        <v/>
      </c>
      <c r="L570" t="str">
        <f>Worksheet!AN570</f>
        <v/>
      </c>
      <c r="M570" t="str">
        <f>IF(Worksheet!AE570="","",Worksheet!AE570)</f>
        <v/>
      </c>
      <c r="N570" t="str">
        <f>IF(Worksheet!AG570="","",Worksheet!AG570)</f>
        <v/>
      </c>
      <c r="O570" t="str">
        <f>IF(Worksheet!AJ570="","",Worksheet!AJ570)</f>
        <v/>
      </c>
      <c r="P570" t="str">
        <f>IF(Worksheet!AK570="","",Worksheet!AK570)</f>
        <v/>
      </c>
    </row>
    <row r="571" spans="5:16" x14ac:dyDescent="0.3">
      <c r="E571" s="2"/>
      <c r="J571" t="str">
        <f>Worksheet!C571&amp;" "&amp;Worksheet!B571</f>
        <v>Noah Tranoy</v>
      </c>
      <c r="K571" t="str">
        <f>Worksheet!AM571</f>
        <v>tranoynoah@gmail.com</v>
      </c>
      <c r="L571" t="str">
        <f>Worksheet!AN571</f>
        <v>+32492068803</v>
      </c>
      <c r="M571" t="str">
        <f>IF(Worksheet!AE571="","",Worksheet!AE571)</f>
        <v/>
      </c>
      <c r="N571">
        <f>IF(Worksheet!AG571="","",Worksheet!AG571)</f>
        <v>736104</v>
      </c>
      <c r="O571" t="str">
        <f>IF(Worksheet!AJ571="","",Worksheet!AJ571)</f>
        <v/>
      </c>
      <c r="P571" t="str">
        <f>IF(Worksheet!AK571="","",Worksheet!AK571)</f>
        <v/>
      </c>
    </row>
    <row r="572" spans="5:16" x14ac:dyDescent="0.3">
      <c r="E572" s="2"/>
      <c r="J572" t="str">
        <f>Worksheet!C572&amp;" "&amp;Worksheet!B572</f>
        <v>Bart Tytgat</v>
      </c>
      <c r="K572" t="str">
        <f>Worksheet!AM572</f>
        <v/>
      </c>
      <c r="L572" t="str">
        <f>Worksheet!AN572</f>
        <v/>
      </c>
      <c r="M572" t="str">
        <f>IF(Worksheet!AE572="","",Worksheet!AE572)</f>
        <v/>
      </c>
      <c r="N572" t="str">
        <f>IF(Worksheet!AG572="","",Worksheet!AG572)</f>
        <v/>
      </c>
      <c r="O572" t="str">
        <f>IF(Worksheet!AJ572="","",Worksheet!AJ572)</f>
        <v/>
      </c>
      <c r="P572" t="str">
        <f>IF(Worksheet!AK572="","",Worksheet!AK572)</f>
        <v/>
      </c>
    </row>
    <row r="573" spans="5:16" x14ac:dyDescent="0.3">
      <c r="E573" s="2"/>
      <c r="J573" t="str">
        <f>Worksheet!C573&amp;" "&amp;Worksheet!B573</f>
        <v>Jena Van Assche</v>
      </c>
      <c r="K573" t="str">
        <f>Worksheet!AM573</f>
        <v>jena.vanassche@outlook.be</v>
      </c>
      <c r="L573" t="str">
        <f>Worksheet!AN573</f>
        <v>+32497912121</v>
      </c>
      <c r="M573" t="str">
        <f>IF(Worksheet!AE573="","",Worksheet!AE573)</f>
        <v>https://app.twizzit.com/public/photos/2183232/s/682c3391b2d7526a89f91553a66f8bf16c09dc4e.png</v>
      </c>
      <c r="N573">
        <f>IF(Worksheet!AG573="","",Worksheet!AG573)</f>
        <v>711407</v>
      </c>
      <c r="O573" t="str">
        <f>IF(Worksheet!AJ573="","",Worksheet!AJ573)</f>
        <v/>
      </c>
      <c r="P573" t="str">
        <f>IF(Worksheet!AK573="","",Worksheet!AK573)</f>
        <v/>
      </c>
    </row>
    <row r="574" spans="5:16" x14ac:dyDescent="0.3">
      <c r="E574" s="2"/>
      <c r="J574" t="str">
        <f>Worksheet!C574&amp;" "&amp;Worksheet!B574</f>
        <v>Koen Van Assche</v>
      </c>
      <c r="K574" t="str">
        <f>Worksheet!AM574</f>
        <v/>
      </c>
      <c r="L574" t="str">
        <f>Worksheet!AN574</f>
        <v>+32497912121</v>
      </c>
      <c r="M574" t="str">
        <f>IF(Worksheet!AE574="","",Worksheet!AE574)</f>
        <v>https://app.twizzit.com/public/photos/2183237/s/e1b953fc33ef5534ecc22b0a9058cbebd624fa20.png</v>
      </c>
      <c r="N574">
        <f>IF(Worksheet!AG574="","",Worksheet!AG574)</f>
        <v>722545</v>
      </c>
      <c r="O574" t="str">
        <f>IF(Worksheet!AJ574="","",Worksheet!AJ574)</f>
        <v/>
      </c>
      <c r="P574" t="str">
        <f>IF(Worksheet!AK574="","",Worksheet!AK574)</f>
        <v/>
      </c>
    </row>
    <row r="575" spans="5:16" x14ac:dyDescent="0.3">
      <c r="E575" s="2"/>
      <c r="J575" t="str">
        <f>Worksheet!C575&amp;" "&amp;Worksheet!B575</f>
        <v>Mattis Van Assche</v>
      </c>
      <c r="K575" t="str">
        <f>Worksheet!AM575</f>
        <v/>
      </c>
      <c r="L575" t="str">
        <f>Worksheet!AN575</f>
        <v>+32451022949</v>
      </c>
      <c r="M575" t="str">
        <f>IF(Worksheet!AE575="","",Worksheet!AE575)</f>
        <v>https://app.twizzit.com/public/photos/2183242/s/024b94ee0589d7797c4da7bd2e98266bcdb2677a.png</v>
      </c>
      <c r="N575">
        <f>IF(Worksheet!AG575="","",Worksheet!AG575)</f>
        <v>729846</v>
      </c>
      <c r="O575" t="str">
        <f>IF(Worksheet!AJ575="","",Worksheet!AJ575)</f>
        <v>G14 A Haantjes CERTIFISC Oudenaarde</v>
      </c>
      <c r="P575" t="str">
        <f>IF(Worksheet!AK575="","",Worksheet!AK575)</f>
        <v>Speler</v>
      </c>
    </row>
    <row r="576" spans="5:16" x14ac:dyDescent="0.3">
      <c r="E576" s="2"/>
      <c r="J576" t="str">
        <f>Worksheet!C576&amp;" "&amp;Worksheet!B576</f>
        <v>Mattis Van Assche</v>
      </c>
      <c r="K576" t="str">
        <f>Worksheet!AM576</f>
        <v/>
      </c>
      <c r="L576" t="str">
        <f>Worksheet!AN576</f>
        <v>+32451022949</v>
      </c>
      <c r="M576" t="str">
        <f>IF(Worksheet!AE576="","",Worksheet!AE576)</f>
        <v>https://app.twizzit.com/public/photos/2183242/s/024b94ee0589d7797c4da7bd2e98266bcdb2677a.png</v>
      </c>
      <c r="N576">
        <f>IF(Worksheet!AG576="","",Worksheet!AG576)</f>
        <v>729846</v>
      </c>
      <c r="O576" t="str">
        <f>IF(Worksheet!AJ576="","",Worksheet!AJ576)</f>
        <v>Zomerstage 2026 (Blankenberge)</v>
      </c>
      <c r="P576" t="str">
        <f>IF(Worksheet!AK576="","",Worksheet!AK576)</f>
        <v>Speler</v>
      </c>
    </row>
    <row r="577" spans="5:16" x14ac:dyDescent="0.3">
      <c r="E577" s="2"/>
      <c r="J577" t="str">
        <f>Worksheet!C577&amp;" "&amp;Worksheet!B577</f>
        <v>Anoek Van Caeneghem</v>
      </c>
      <c r="K577" t="str">
        <f>Worksheet!AM577</f>
        <v/>
      </c>
      <c r="L577" t="str">
        <f>Worksheet!AN577</f>
        <v>+32498086024</v>
      </c>
      <c r="M577" t="str">
        <f>IF(Worksheet!AE577="","",Worksheet!AE577)</f>
        <v>https://app.twizzit.com/public/photos/11917018/s/e098521fbafba2a80a9ddb8d7c06f83cdbae52a9.png</v>
      </c>
      <c r="N577" t="str">
        <f>IF(Worksheet!AG577="","",Worksheet!AG577)</f>
        <v/>
      </c>
      <c r="O577" t="str">
        <f>IF(Worksheet!AJ577="","",Worksheet!AJ577)</f>
        <v>J16 A Haantjes CERTIFISC Oudenaarde</v>
      </c>
      <c r="P577" t="str">
        <f>IF(Worksheet!AK577="","",Worksheet!AK577)</f>
        <v>Coach</v>
      </c>
    </row>
    <row r="578" spans="5:16" x14ac:dyDescent="0.3">
      <c r="E578" s="2"/>
      <c r="J578" t="str">
        <f>Worksheet!C578&amp;" "&amp;Worksheet!B578</f>
        <v>Aster Van Cauwenberghe</v>
      </c>
      <c r="K578" t="str">
        <f>Worksheet!AM578</f>
        <v/>
      </c>
      <c r="L578" t="str">
        <f>Worksheet!AN578</f>
        <v>+32476529185</v>
      </c>
      <c r="M578" t="str">
        <f>IF(Worksheet!AE578="","",Worksheet!AE578)</f>
        <v>https://app.twizzit.com/public/photos/6080950/s/e37d4499e2422d263ca72ca5adc1adb614aa1f40.jpeg</v>
      </c>
      <c r="N578">
        <f>IF(Worksheet!AG578="","",Worksheet!AG578)</f>
        <v>768928</v>
      </c>
      <c r="O578" t="str">
        <f>IF(Worksheet!AJ578="","",Worksheet!AJ578)</f>
        <v>G08 Blauw HAANTJES CERTIFISC OUDENAARDE</v>
      </c>
      <c r="P578" t="str">
        <f>IF(Worksheet!AK578="","",Worksheet!AK578)</f>
        <v>Speler</v>
      </c>
    </row>
    <row r="579" spans="5:16" x14ac:dyDescent="0.3">
      <c r="E579" s="2"/>
      <c r="J579" t="str">
        <f>Worksheet!C579&amp;" "&amp;Worksheet!B579</f>
        <v>Manu Van de Casteele</v>
      </c>
      <c r="K579" t="str">
        <f>Worksheet!AM579</f>
        <v>pietervdc@gmail.com</v>
      </c>
      <c r="L579" t="str">
        <f>Worksheet!AN579</f>
        <v>+32472846382</v>
      </c>
      <c r="M579" t="str">
        <f>IF(Worksheet!AE579="","",Worksheet!AE579)</f>
        <v/>
      </c>
      <c r="N579" t="str">
        <f>IF(Worksheet!AG579="","",Worksheet!AG579)</f>
        <v/>
      </c>
      <c r="O579" t="str">
        <f>IF(Worksheet!AJ579="","",Worksheet!AJ579)</f>
        <v>G10 Blauw HAANTJES CERTIFISC OUDENAARDE</v>
      </c>
      <c r="P579" t="str">
        <f>IF(Worksheet!AK579="","",Worksheet!AK579)</f>
        <v>Speler</v>
      </c>
    </row>
    <row r="580" spans="5:16" x14ac:dyDescent="0.3">
      <c r="E580" s="2"/>
      <c r="J580" t="str">
        <f>Worksheet!C580&amp;" "&amp;Worksheet!B580</f>
        <v>Lander Van De Maele</v>
      </c>
      <c r="K580" t="str">
        <f>Worksheet!AM580</f>
        <v>jensvdmaele@gmail.com</v>
      </c>
      <c r="L580" t="str">
        <f>Worksheet!AN580</f>
        <v>+32479246218</v>
      </c>
      <c r="M580" t="str">
        <f>IF(Worksheet!AE580="","",Worksheet!AE580)</f>
        <v>https://app.twizzit.com/public/photos/10715682/s/9ac40a7d3bcb76b36d9290dcb9c3bcdc167e2add.jpeg</v>
      </c>
      <c r="N580" t="str">
        <f>IF(Worksheet!AG580="","",Worksheet!AG580)</f>
        <v/>
      </c>
      <c r="O580" t="str">
        <f>IF(Worksheet!AJ580="","",Worksheet!AJ580)</f>
        <v>G08 Blauw HAANTJES CERTIFISC OUDENAARDE</v>
      </c>
      <c r="P580" t="str">
        <f>IF(Worksheet!AK580="","",Worksheet!AK580)</f>
        <v>Speler</v>
      </c>
    </row>
    <row r="581" spans="5:16" x14ac:dyDescent="0.3">
      <c r="E581" s="2"/>
      <c r="J581" t="str">
        <f>Worksheet!C581&amp;" "&amp;Worksheet!B581</f>
        <v>Lander Van De Maele</v>
      </c>
      <c r="K581" t="str">
        <f>Worksheet!AM581</f>
        <v>jensvdmaele@gmail.com</v>
      </c>
      <c r="L581" t="str">
        <f>Worksheet!AN581</f>
        <v>+32479246218</v>
      </c>
      <c r="M581" t="str">
        <f>IF(Worksheet!AE581="","",Worksheet!AE581)</f>
        <v>https://app.twizzit.com/public/photos/10715682/s/9ac40a7d3bcb76b36d9290dcb9c3bcdc167e2add.jpeg</v>
      </c>
      <c r="N581" t="str">
        <f>IF(Worksheet!AG581="","",Worksheet!AG581)</f>
        <v/>
      </c>
      <c r="O581" t="str">
        <f>IF(Worksheet!AJ581="","",Worksheet!AJ581)</f>
        <v>Zomerstage 2026 U8 (Oudenaarde)</v>
      </c>
      <c r="P581" t="str">
        <f>IF(Worksheet!AK581="","",Worksheet!AK581)</f>
        <v>Speler</v>
      </c>
    </row>
    <row r="582" spans="5:16" x14ac:dyDescent="0.3">
      <c r="E582" s="2"/>
      <c r="J582" t="str">
        <f>Worksheet!C582&amp;" "&amp;Worksheet!B582</f>
        <v>Loes Van de Populiere</v>
      </c>
      <c r="K582" t="str">
        <f>Worksheet!AM582</f>
        <v>biekemoone@hotmail.com</v>
      </c>
      <c r="L582" t="str">
        <f>Worksheet!AN582</f>
        <v>+32477353878</v>
      </c>
      <c r="M582" t="str">
        <f>IF(Worksheet!AE582="","",Worksheet!AE582)</f>
        <v/>
      </c>
      <c r="N582" t="str">
        <f>IF(Worksheet!AG582="","",Worksheet!AG582)</f>
        <v/>
      </c>
      <c r="O582" t="str">
        <f>IF(Worksheet!AJ582="","",Worksheet!AJ582)</f>
        <v>M12 A HAANTJES CERTIFISC OUDENAARDE</v>
      </c>
      <c r="P582" t="str">
        <f>IF(Worksheet!AK582="","",Worksheet!AK582)</f>
        <v>Speler</v>
      </c>
    </row>
    <row r="583" spans="5:16" x14ac:dyDescent="0.3">
      <c r="E583" s="2"/>
      <c r="J583" t="str">
        <f>Worksheet!C583&amp;" "&amp;Worksheet!B583</f>
        <v>Loes Van de Populiere</v>
      </c>
      <c r="K583" t="str">
        <f>Worksheet!AM583</f>
        <v>biekemoone@hotmail.com</v>
      </c>
      <c r="L583" t="str">
        <f>Worksheet!AN583</f>
        <v>+32477353878</v>
      </c>
      <c r="M583" t="str">
        <f>IF(Worksheet!AE583="","",Worksheet!AE583)</f>
        <v/>
      </c>
      <c r="N583" t="str">
        <f>IF(Worksheet!AG583="","",Worksheet!AG583)</f>
        <v/>
      </c>
      <c r="O583" t="str">
        <f>IF(Worksheet!AJ583="","",Worksheet!AJ583)</f>
        <v>Zomerstage 2026 (Blankenberge)</v>
      </c>
      <c r="P583" t="str">
        <f>IF(Worksheet!AK583="","",Worksheet!AK583)</f>
        <v>Speler</v>
      </c>
    </row>
    <row r="584" spans="5:16" x14ac:dyDescent="0.3">
      <c r="E584" s="2"/>
      <c r="J584" t="str">
        <f>Worksheet!C584&amp;" "&amp;Worksheet!B584</f>
        <v>Maxim Van de Populiere</v>
      </c>
      <c r="K584" t="str">
        <f>Worksheet!AM584</f>
        <v/>
      </c>
      <c r="L584" t="str">
        <f>Worksheet!AN584</f>
        <v>+32474463396</v>
      </c>
      <c r="M584" t="str">
        <f>IF(Worksheet!AE584="","",Worksheet!AE584)</f>
        <v/>
      </c>
      <c r="N584" t="str">
        <f>IF(Worksheet!AG584="","",Worksheet!AG584)</f>
        <v/>
      </c>
      <c r="O584" t="str">
        <f>IF(Worksheet!AJ584="","",Worksheet!AJ584)</f>
        <v/>
      </c>
      <c r="P584" t="str">
        <f>IF(Worksheet!AK584="","",Worksheet!AK584)</f>
        <v/>
      </c>
    </row>
    <row r="585" spans="5:16" x14ac:dyDescent="0.3">
      <c r="E585" s="2"/>
      <c r="J585" t="str">
        <f>Worksheet!C585&amp;" "&amp;Worksheet!B585</f>
        <v>Kristien Van De Velde</v>
      </c>
      <c r="K585" t="str">
        <f>Worksheet!AM585</f>
        <v/>
      </c>
      <c r="L585" t="str">
        <f>Worksheet!AN585</f>
        <v>+32472666182</v>
      </c>
      <c r="M585" t="str">
        <f>IF(Worksheet!AE585="","",Worksheet!AE585)</f>
        <v/>
      </c>
      <c r="N585">
        <f>IF(Worksheet!AG585="","",Worksheet!AG585)</f>
        <v>725136</v>
      </c>
      <c r="O585" t="str">
        <f>IF(Worksheet!AJ585="","",Worksheet!AJ585)</f>
        <v/>
      </c>
      <c r="P585" t="str">
        <f>IF(Worksheet!AK585="","",Worksheet!AK585)</f>
        <v/>
      </c>
    </row>
    <row r="586" spans="5:16" x14ac:dyDescent="0.3">
      <c r="E586" s="2"/>
      <c r="J586" t="str">
        <f>Worksheet!C586&amp;" "&amp;Worksheet!B586</f>
        <v>Kristien Van De Velde</v>
      </c>
      <c r="K586" t="str">
        <f>Worksheet!AM586</f>
        <v/>
      </c>
      <c r="L586" t="str">
        <f>Worksheet!AN586</f>
        <v>+32472666182</v>
      </c>
      <c r="M586" t="str">
        <f>IF(Worksheet!AE586="","",Worksheet!AE586)</f>
        <v/>
      </c>
      <c r="N586">
        <f>IF(Worksheet!AG586="","",Worksheet!AG586)</f>
        <v>725136</v>
      </c>
      <c r="O586" t="str">
        <f>IF(Worksheet!AJ586="","",Worksheet!AJ586)</f>
        <v/>
      </c>
      <c r="P586" t="str">
        <f>IF(Worksheet!AK586="","",Worksheet!AK586)</f>
        <v/>
      </c>
    </row>
    <row r="587" spans="5:16" x14ac:dyDescent="0.3">
      <c r="E587" s="2"/>
      <c r="J587" t="str">
        <f>Worksheet!C587&amp;" "&amp;Worksheet!B587</f>
        <v>Kristien Van De Velde</v>
      </c>
      <c r="K587" t="str">
        <f>Worksheet!AM587</f>
        <v/>
      </c>
      <c r="L587" t="str">
        <f>Worksheet!AN587</f>
        <v>+32472666182</v>
      </c>
      <c r="M587" t="str">
        <f>IF(Worksheet!AE587="","",Worksheet!AE587)</f>
        <v/>
      </c>
      <c r="N587">
        <f>IF(Worksheet!AG587="","",Worksheet!AG587)</f>
        <v>725136</v>
      </c>
      <c r="O587" t="str">
        <f>IF(Worksheet!AJ587="","",Worksheet!AJ587)</f>
        <v/>
      </c>
      <c r="P587" t="str">
        <f>IF(Worksheet!AK587="","",Worksheet!AK587)</f>
        <v/>
      </c>
    </row>
    <row r="588" spans="5:16" x14ac:dyDescent="0.3">
      <c r="E588" s="2"/>
      <c r="J588" t="str">
        <f>Worksheet!C588&amp;" "&amp;Worksheet!B588</f>
        <v>Ilaï Van De Walle</v>
      </c>
      <c r="K588" t="str">
        <f>Worksheet!AM588</f>
        <v/>
      </c>
      <c r="L588" t="str">
        <f>Worksheet!AN588</f>
        <v>+32474818195</v>
      </c>
      <c r="M588" t="str">
        <f>IF(Worksheet!AE588="","",Worksheet!AE588)</f>
        <v/>
      </c>
      <c r="N588" t="str">
        <f>IF(Worksheet!AG588="","",Worksheet!AG588)</f>
        <v/>
      </c>
      <c r="O588" t="str">
        <f>IF(Worksheet!AJ588="","",Worksheet!AJ588)</f>
        <v>G08 Geel HAANTJES CERTIFISC OUDENAARDE</v>
      </c>
      <c r="P588" t="str">
        <f>IF(Worksheet!AK588="","",Worksheet!AK588)</f>
        <v>Speler</v>
      </c>
    </row>
    <row r="589" spans="5:16" x14ac:dyDescent="0.3">
      <c r="E589" s="2"/>
      <c r="J589" t="str">
        <f>Worksheet!C589&amp;" "&amp;Worksheet!B589</f>
        <v>Edouard Van de Weghe</v>
      </c>
      <c r="K589" t="str">
        <f>Worksheet!AM589</f>
        <v/>
      </c>
      <c r="L589" t="str">
        <f>Worksheet!AN589</f>
        <v>+32479793011</v>
      </c>
      <c r="M589" t="str">
        <f>IF(Worksheet!AE589="","",Worksheet!AE589)</f>
        <v/>
      </c>
      <c r="N589">
        <f>IF(Worksheet!AG589="","",Worksheet!AG589)</f>
        <v>735070</v>
      </c>
      <c r="O589" t="str">
        <f>IF(Worksheet!AJ589="","",Worksheet!AJ589)</f>
        <v>G14 A Haantjes CERTIFISC Oudenaarde</v>
      </c>
      <c r="P589" t="str">
        <f>IF(Worksheet!AK589="","",Worksheet!AK589)</f>
        <v>Speler</v>
      </c>
    </row>
    <row r="590" spans="5:16" x14ac:dyDescent="0.3">
      <c r="E590" s="2"/>
      <c r="J590" t="str">
        <f>Worksheet!C590&amp;" "&amp;Worksheet!B590</f>
        <v>Edouard Van de Weghe</v>
      </c>
      <c r="K590" t="str">
        <f>Worksheet!AM590</f>
        <v/>
      </c>
      <c r="L590" t="str">
        <f>Worksheet!AN590</f>
        <v>+32479793011</v>
      </c>
      <c r="M590" t="str">
        <f>IF(Worksheet!AE590="","",Worksheet!AE590)</f>
        <v/>
      </c>
      <c r="N590">
        <f>IF(Worksheet!AG590="","",Worksheet!AG590)</f>
        <v>735070</v>
      </c>
      <c r="O590" t="str">
        <f>IF(Worksheet!AJ590="","",Worksheet!AJ590)</f>
        <v>Zomerstage 2026 (Blankenberge)</v>
      </c>
      <c r="P590" t="str">
        <f>IF(Worksheet!AK590="","",Worksheet!AK590)</f>
        <v>Speler</v>
      </c>
    </row>
    <row r="591" spans="5:16" x14ac:dyDescent="0.3">
      <c r="E591" s="2"/>
      <c r="J591" t="str">
        <f>Worksheet!C591&amp;" "&amp;Worksheet!B591</f>
        <v>Jerome Van de Weghe</v>
      </c>
      <c r="K591" t="str">
        <f>Worksheet!AM591</f>
        <v>pieter@combus.be</v>
      </c>
      <c r="L591" t="str">
        <f>Worksheet!AN591</f>
        <v>+32477473741</v>
      </c>
      <c r="M591" t="str">
        <f>IF(Worksheet!AE591="","",Worksheet!AE591)</f>
        <v/>
      </c>
      <c r="N591">
        <f>IF(Worksheet!AG591="","",Worksheet!AG591)</f>
        <v>758509</v>
      </c>
      <c r="O591" t="str">
        <f>IF(Worksheet!AJ591="","",Worksheet!AJ591)</f>
        <v>Zomerstage 2026 (Blankenberge)</v>
      </c>
      <c r="P591" t="str">
        <f>IF(Worksheet!AK591="","",Worksheet!AK591)</f>
        <v>Speler</v>
      </c>
    </row>
    <row r="592" spans="5:16" x14ac:dyDescent="0.3">
      <c r="E592" s="2"/>
      <c r="J592" t="str">
        <f>Worksheet!C592&amp;" "&amp;Worksheet!B592</f>
        <v>Jerome Van de Weghe</v>
      </c>
      <c r="K592" t="str">
        <f>Worksheet!AM592</f>
        <v>pieter@combus.be</v>
      </c>
      <c r="L592" t="str">
        <f>Worksheet!AN592</f>
        <v>+32477473741</v>
      </c>
      <c r="M592" t="str">
        <f>IF(Worksheet!AE592="","",Worksheet!AE592)</f>
        <v/>
      </c>
      <c r="N592">
        <f>IF(Worksheet!AG592="","",Worksheet!AG592)</f>
        <v>758509</v>
      </c>
      <c r="O592" t="str">
        <f>IF(Worksheet!AJ592="","",Worksheet!AJ592)</f>
        <v>G12 Geel HAANTJES CERTIFISC OUDENAARDE</v>
      </c>
      <c r="P592" t="str">
        <f>IF(Worksheet!AK592="","",Worksheet!AK592)</f>
        <v>Speler</v>
      </c>
    </row>
    <row r="593" spans="5:16" x14ac:dyDescent="0.3">
      <c r="E593" s="2"/>
      <c r="J593" t="str">
        <f>Worksheet!C593&amp;" "&amp;Worksheet!B593</f>
        <v>Ella Van de zande</v>
      </c>
      <c r="K593" t="str">
        <f>Worksheet!AM593</f>
        <v>piekske007@yahoo.com</v>
      </c>
      <c r="L593" t="str">
        <f>Worksheet!AN593</f>
        <v>+32486372617</v>
      </c>
      <c r="M593" t="str">
        <f>IF(Worksheet!AE593="","",Worksheet!AE593)</f>
        <v>https://app.twizzit.com/public/photos/7665003/s/5ed58413208ebbb451d8f9179fc6141b44a190fa.png</v>
      </c>
      <c r="N593" t="str">
        <f>IF(Worksheet!AG593="","",Worksheet!AG593)</f>
        <v/>
      </c>
      <c r="O593" t="str">
        <f>IF(Worksheet!AJ593="","",Worksheet!AJ593)</f>
        <v>M10 HAANTJES CERTIFISC OUDENAARDE</v>
      </c>
      <c r="P593" t="str">
        <f>IF(Worksheet!AK593="","",Worksheet!AK593)</f>
        <v>Speler</v>
      </c>
    </row>
    <row r="594" spans="5:16" x14ac:dyDescent="0.3">
      <c r="E594" s="2"/>
      <c r="J594" t="str">
        <f>Worksheet!C594&amp;" "&amp;Worksheet!B594</f>
        <v>Ella Van de zande</v>
      </c>
      <c r="K594" t="str">
        <f>Worksheet!AM594</f>
        <v>piekske007@yahoo.com</v>
      </c>
      <c r="L594" t="str">
        <f>Worksheet!AN594</f>
        <v>+32486372617</v>
      </c>
      <c r="M594" t="str">
        <f>IF(Worksheet!AE594="","",Worksheet!AE594)</f>
        <v>https://app.twizzit.com/public/photos/7665003/s/5ed58413208ebbb451d8f9179fc6141b44a190fa.png</v>
      </c>
      <c r="N594" t="str">
        <f>IF(Worksheet!AG594="","",Worksheet!AG594)</f>
        <v/>
      </c>
      <c r="O594" t="str">
        <f>IF(Worksheet!AJ594="","",Worksheet!AJ594)</f>
        <v>Zomerstage 2026 U10 &amp; U12 (Oudenaarde)</v>
      </c>
      <c r="P594" t="str">
        <f>IF(Worksheet!AK594="","",Worksheet!AK594)</f>
        <v>Speler</v>
      </c>
    </row>
    <row r="595" spans="5:16" x14ac:dyDescent="0.3">
      <c r="E595" s="2"/>
      <c r="J595" t="str">
        <f>Worksheet!C595&amp;" "&amp;Worksheet!B595</f>
        <v>Axel Van den Abeele</v>
      </c>
      <c r="K595" t="str">
        <f>Worksheet!AM595</f>
        <v/>
      </c>
      <c r="L595" t="str">
        <f>Worksheet!AN595</f>
        <v>+32479667279</v>
      </c>
      <c r="M595" t="str">
        <f>IF(Worksheet!AE595="","",Worksheet!AE595)</f>
        <v/>
      </c>
      <c r="N595" t="str">
        <f>IF(Worksheet!AG595="","",Worksheet!AG595)</f>
        <v/>
      </c>
      <c r="O595" t="str">
        <f>IF(Worksheet!AJ595="","",Worksheet!AJ595)</f>
        <v/>
      </c>
      <c r="P595" t="str">
        <f>IF(Worksheet!AK595="","",Worksheet!AK595)</f>
        <v/>
      </c>
    </row>
    <row r="596" spans="5:16" x14ac:dyDescent="0.3">
      <c r="E596" s="2"/>
      <c r="J596" t="str">
        <f>Worksheet!C596&amp;" "&amp;Worksheet!B596</f>
        <v>Gust Van Den Abeele</v>
      </c>
      <c r="K596" t="str">
        <f>Worksheet!AM596</f>
        <v/>
      </c>
      <c r="L596" t="str">
        <f>Worksheet!AN596</f>
        <v>+32479682464</v>
      </c>
      <c r="M596" t="str">
        <f>IF(Worksheet!AE596="","",Worksheet!AE596)</f>
        <v/>
      </c>
      <c r="N596">
        <f>IF(Worksheet!AG596="","",Worksheet!AG596)</f>
        <v>742328</v>
      </c>
      <c r="O596" t="str">
        <f>IF(Worksheet!AJ596="","",Worksheet!AJ596)</f>
        <v/>
      </c>
      <c r="P596" t="str">
        <f>IF(Worksheet!AK596="","",Worksheet!AK596)</f>
        <v/>
      </c>
    </row>
    <row r="597" spans="5:16" x14ac:dyDescent="0.3">
      <c r="E597" s="2"/>
      <c r="J597" t="str">
        <f>Worksheet!C597&amp;" "&amp;Worksheet!B597</f>
        <v>Jolan Van den Meersschaut</v>
      </c>
      <c r="K597" t="str">
        <f>Worksheet!AM597</f>
        <v/>
      </c>
      <c r="L597" t="str">
        <f>Worksheet!AN597</f>
        <v>+32473374934</v>
      </c>
      <c r="M597" t="str">
        <f>IF(Worksheet!AE597="","",Worksheet!AE597)</f>
        <v/>
      </c>
      <c r="N597">
        <f>IF(Worksheet!AG597="","",Worksheet!AG597)</f>
        <v>623703</v>
      </c>
      <c r="O597" t="str">
        <f>IF(Worksheet!AJ597="","",Worksheet!AJ597)</f>
        <v/>
      </c>
      <c r="P597" t="str">
        <f>IF(Worksheet!AK597="","",Worksheet!AK597)</f>
        <v/>
      </c>
    </row>
    <row r="598" spans="5:16" x14ac:dyDescent="0.3">
      <c r="E598" s="2"/>
      <c r="J598" t="str">
        <f>Worksheet!C598&amp;" "&amp;Worksheet!B598</f>
        <v>Kim Van der Elstraeten</v>
      </c>
      <c r="K598" t="str">
        <f>Worksheet!AM598</f>
        <v/>
      </c>
      <c r="L598" t="str">
        <f>Worksheet!AN598</f>
        <v/>
      </c>
      <c r="M598" t="str">
        <f>IF(Worksheet!AE598="","",Worksheet!AE598)</f>
        <v/>
      </c>
      <c r="N598" t="str">
        <f>IF(Worksheet!AG598="","",Worksheet!AG598)</f>
        <v/>
      </c>
      <c r="O598" t="str">
        <f>IF(Worksheet!AJ598="","",Worksheet!AJ598)</f>
        <v/>
      </c>
      <c r="P598" t="str">
        <f>IF(Worksheet!AK598="","",Worksheet!AK598)</f>
        <v/>
      </c>
    </row>
    <row r="599" spans="5:16" x14ac:dyDescent="0.3">
      <c r="E599" s="2"/>
      <c r="J599" t="str">
        <f>Worksheet!C599&amp;" "&amp;Worksheet!B599</f>
        <v>Guillaume Van der Jeught</v>
      </c>
      <c r="K599" t="str">
        <f>Worksheet!AM599</f>
        <v>Kristof_vdj@hotmail.com</v>
      </c>
      <c r="L599" t="str">
        <f>Worksheet!AN599</f>
        <v>+32471773213</v>
      </c>
      <c r="M599" t="str">
        <f>IF(Worksheet!AE599="","",Worksheet!AE599)</f>
        <v/>
      </c>
      <c r="N599" t="str">
        <f>IF(Worksheet!AG599="","",Worksheet!AG599)</f>
        <v/>
      </c>
      <c r="O599" t="str">
        <f>IF(Worksheet!AJ599="","",Worksheet!AJ599)</f>
        <v/>
      </c>
      <c r="P599" t="str">
        <f>IF(Worksheet!AK599="","",Worksheet!AK599)</f>
        <v/>
      </c>
    </row>
    <row r="600" spans="5:16" x14ac:dyDescent="0.3">
      <c r="E600" s="2"/>
      <c r="J600" t="str">
        <f>Worksheet!C600&amp;" "&amp;Worksheet!B600</f>
        <v>Ken Van Dorpe</v>
      </c>
      <c r="K600" t="str">
        <f>Worksheet!AM600</f>
        <v/>
      </c>
      <c r="L600" t="str">
        <f>Worksheet!AN600</f>
        <v/>
      </c>
      <c r="M600" t="str">
        <f>IF(Worksheet!AE600="","",Worksheet!AE600)</f>
        <v/>
      </c>
      <c r="N600" t="str">
        <f>IF(Worksheet!AG600="","",Worksheet!AG600)</f>
        <v/>
      </c>
      <c r="O600" t="str">
        <f>IF(Worksheet!AJ600="","",Worksheet!AJ600)</f>
        <v/>
      </c>
      <c r="P600" t="str">
        <f>IF(Worksheet!AK600="","",Worksheet!AK600)</f>
        <v/>
      </c>
    </row>
    <row r="601" spans="5:16" x14ac:dyDescent="0.3">
      <c r="E601" s="2"/>
      <c r="J601" t="str">
        <f>Worksheet!C601&amp;" "&amp;Worksheet!B601</f>
        <v>Kyan Van Dorpe</v>
      </c>
      <c r="K601" t="str">
        <f>Worksheet!AM601</f>
        <v/>
      </c>
      <c r="L601" t="str">
        <f>Worksheet!AN601</f>
        <v>+32479271390</v>
      </c>
      <c r="M601" t="str">
        <f>IF(Worksheet!AE601="","",Worksheet!AE601)</f>
        <v/>
      </c>
      <c r="N601" t="str">
        <f>IF(Worksheet!AG601="","",Worksheet!AG601)</f>
        <v/>
      </c>
      <c r="O601" t="str">
        <f>IF(Worksheet!AJ601="","",Worksheet!AJ601)</f>
        <v/>
      </c>
      <c r="P601" t="str">
        <f>IF(Worksheet!AK601="","",Worksheet!AK601)</f>
        <v/>
      </c>
    </row>
    <row r="602" spans="5:16" x14ac:dyDescent="0.3">
      <c r="E602" s="2"/>
      <c r="J602" t="str">
        <f>Worksheet!C602&amp;" "&amp;Worksheet!B602</f>
        <v>Mali-June Van Dorpe</v>
      </c>
      <c r="K602" t="str">
        <f>Worksheet!AM602</f>
        <v>tracy.desmet@hotmail.com</v>
      </c>
      <c r="L602" t="str">
        <f>Worksheet!AN602</f>
        <v>+32485650671</v>
      </c>
      <c r="M602" t="str">
        <f>IF(Worksheet!AE602="","",Worksheet!AE602)</f>
        <v/>
      </c>
      <c r="N602" t="str">
        <f>IF(Worksheet!AG602="","",Worksheet!AG602)</f>
        <v/>
      </c>
      <c r="O602" t="str">
        <f>IF(Worksheet!AJ602="","",Worksheet!AJ602)</f>
        <v>G08 Groen HAANTJES CERTIFISC OUDENAARDE</v>
      </c>
      <c r="P602" t="str">
        <f>IF(Worksheet!AK602="","",Worksheet!AK602)</f>
        <v>Speler</v>
      </c>
    </row>
    <row r="603" spans="5:16" x14ac:dyDescent="0.3">
      <c r="E603" s="2"/>
      <c r="J603" t="str">
        <f>Worksheet!C603&amp;" "&amp;Worksheet!B603</f>
        <v>Mali-June Van Dorpe</v>
      </c>
      <c r="K603" t="str">
        <f>Worksheet!AM603</f>
        <v>tracy.desmet@hotmail.com</v>
      </c>
      <c r="L603" t="str">
        <f>Worksheet!AN603</f>
        <v>+32485650671</v>
      </c>
      <c r="M603" t="str">
        <f>IF(Worksheet!AE603="","",Worksheet!AE603)</f>
        <v/>
      </c>
      <c r="N603" t="str">
        <f>IF(Worksheet!AG603="","",Worksheet!AG603)</f>
        <v/>
      </c>
      <c r="O603" t="str">
        <f>IF(Worksheet!AJ603="","",Worksheet!AJ603)</f>
        <v>Zomerstage 2026 U8 (Oudenaarde)</v>
      </c>
      <c r="P603" t="str">
        <f>IF(Worksheet!AK603="","",Worksheet!AK603)</f>
        <v>Speler</v>
      </c>
    </row>
    <row r="604" spans="5:16" x14ac:dyDescent="0.3">
      <c r="E604" s="2"/>
      <c r="J604" t="str">
        <f>Worksheet!C604&amp;" "&amp;Worksheet!B604</f>
        <v>Seppe Van Dorpe</v>
      </c>
      <c r="K604" t="str">
        <f>Worksheet!AM604</f>
        <v>angelovandorpe@msn.com</v>
      </c>
      <c r="L604" t="str">
        <f>Worksheet!AN604</f>
        <v>+32499368402</v>
      </c>
      <c r="M604" t="str">
        <f>IF(Worksheet!AE604="","",Worksheet!AE604)</f>
        <v/>
      </c>
      <c r="N604" t="str">
        <f>IF(Worksheet!AG604="","",Worksheet!AG604)</f>
        <v/>
      </c>
      <c r="O604" t="str">
        <f>IF(Worksheet!AJ604="","",Worksheet!AJ604)</f>
        <v/>
      </c>
      <c r="P604" t="str">
        <f>IF(Worksheet!AK604="","",Worksheet!AK604)</f>
        <v/>
      </c>
    </row>
    <row r="605" spans="5:16" x14ac:dyDescent="0.3">
      <c r="E605" s="2"/>
      <c r="J605" t="str">
        <f>Worksheet!C605&amp;" "&amp;Worksheet!B605</f>
        <v>Brecht Van Glabeke</v>
      </c>
      <c r="K605" t="str">
        <f>Worksheet!AM605</f>
        <v/>
      </c>
      <c r="L605" t="str">
        <f>Worksheet!AN605</f>
        <v>+32470671727</v>
      </c>
      <c r="M605" t="str">
        <f>IF(Worksheet!AE605="","",Worksheet!AE605)</f>
        <v/>
      </c>
      <c r="N605" t="str">
        <f>IF(Worksheet!AG605="","",Worksheet!AG605)</f>
        <v/>
      </c>
      <c r="O605" t="str">
        <f>IF(Worksheet!AJ605="","",Worksheet!AJ605)</f>
        <v>J18 A Haantjes CERTIFISC Oudenaarde</v>
      </c>
      <c r="P605" t="str">
        <f>IF(Worksheet!AK605="","",Worksheet!AK605)</f>
        <v>Speler</v>
      </c>
    </row>
    <row r="606" spans="5:16" x14ac:dyDescent="0.3">
      <c r="E606" s="2"/>
      <c r="J606" t="str">
        <f>Worksheet!C606&amp;" "&amp;Worksheet!B606</f>
        <v>Brecht Van Glabeke</v>
      </c>
      <c r="K606" t="str">
        <f>Worksheet!AM606</f>
        <v/>
      </c>
      <c r="L606" t="str">
        <f>Worksheet!AN606</f>
        <v>+32470671727</v>
      </c>
      <c r="M606" t="str">
        <f>IF(Worksheet!AE606="","",Worksheet!AE606)</f>
        <v/>
      </c>
      <c r="N606" t="str">
        <f>IF(Worksheet!AG606="","",Worksheet!AG606)</f>
        <v/>
      </c>
      <c r="O606" t="str">
        <f>IF(Worksheet!AJ606="","",Worksheet!AJ606)</f>
        <v>Zomerstage 2026 (Blankenberge)</v>
      </c>
      <c r="P606" t="str">
        <f>IF(Worksheet!AK606="","",Worksheet!AK606)</f>
        <v>Speler</v>
      </c>
    </row>
    <row r="607" spans="5:16" x14ac:dyDescent="0.3">
      <c r="E607" s="2"/>
      <c r="J607" t="str">
        <f>Worksheet!C607&amp;" "&amp;Worksheet!B607</f>
        <v>Brecht Van Glabeke</v>
      </c>
      <c r="K607" t="str">
        <f>Worksheet!AM607</f>
        <v/>
      </c>
      <c r="L607" t="str">
        <f>Worksheet!AN607</f>
        <v>+32470671727</v>
      </c>
      <c r="M607" t="str">
        <f>IF(Worksheet!AE607="","",Worksheet!AE607)</f>
        <v/>
      </c>
      <c r="N607" t="str">
        <f>IF(Worksheet!AG607="","",Worksheet!AG607)</f>
        <v/>
      </c>
      <c r="O607" t="str">
        <f>IF(Worksheet!AJ607="","",Worksheet!AJ607)</f>
        <v>HSE B Haantjes Certifisc Oudenaarde</v>
      </c>
      <c r="P607" t="str">
        <f>IF(Worksheet!AK607="","",Worksheet!AK607)</f>
        <v>Speler</v>
      </c>
    </row>
    <row r="608" spans="5:16" x14ac:dyDescent="0.3">
      <c r="E608" s="2"/>
      <c r="J608" t="str">
        <f>Worksheet!C608&amp;" "&amp;Worksheet!B608</f>
        <v>Jaden James Van Handenhoven</v>
      </c>
      <c r="K608" t="str">
        <f>Worksheet!AM608</f>
        <v>wendydv@telenet.be</v>
      </c>
      <c r="L608" t="str">
        <f>Worksheet!AN608</f>
        <v>+32484050702</v>
      </c>
      <c r="M608" t="str">
        <f>IF(Worksheet!AE608="","",Worksheet!AE608)</f>
        <v/>
      </c>
      <c r="N608" t="str">
        <f>IF(Worksheet!AG608="","",Worksheet!AG608)</f>
        <v/>
      </c>
      <c r="O608" t="str">
        <f>IF(Worksheet!AJ608="","",Worksheet!AJ608)</f>
        <v/>
      </c>
      <c r="P608" t="str">
        <f>IF(Worksheet!AK608="","",Worksheet!AK608)</f>
        <v/>
      </c>
    </row>
    <row r="609" spans="5:16" x14ac:dyDescent="0.3">
      <c r="E609" s="2"/>
      <c r="J609" t="str">
        <f>Worksheet!C609&amp;" "&amp;Worksheet!B609</f>
        <v>Maxime Van Herpe</v>
      </c>
      <c r="K609" t="str">
        <f>Worksheet!AM609</f>
        <v/>
      </c>
      <c r="L609" t="str">
        <f>Worksheet!AN609</f>
        <v>+32479775361</v>
      </c>
      <c r="M609" t="str">
        <f>IF(Worksheet!AE609="","",Worksheet!AE609)</f>
        <v/>
      </c>
      <c r="N609" t="str">
        <f>IF(Worksheet!AG609="","",Worksheet!AG609)</f>
        <v/>
      </c>
      <c r="O609" t="str">
        <f>IF(Worksheet!AJ609="","",Worksheet!AJ609)</f>
        <v>G12 Blauw HAANTJES CERTIFISC OUDENAARDE</v>
      </c>
      <c r="P609" t="str">
        <f>IF(Worksheet!AK609="","",Worksheet!AK609)</f>
        <v>Speler</v>
      </c>
    </row>
    <row r="610" spans="5:16" x14ac:dyDescent="0.3">
      <c r="E610" s="2"/>
      <c r="J610" t="str">
        <f>Worksheet!C610&amp;" "&amp;Worksheet!B610</f>
        <v>Maxime Van Herpe</v>
      </c>
      <c r="K610" t="str">
        <f>Worksheet!AM610</f>
        <v/>
      </c>
      <c r="L610" t="str">
        <f>Worksheet!AN610</f>
        <v>+32479775361</v>
      </c>
      <c r="M610" t="str">
        <f>IF(Worksheet!AE610="","",Worksheet!AE610)</f>
        <v/>
      </c>
      <c r="N610" t="str">
        <f>IF(Worksheet!AG610="","",Worksheet!AG610)</f>
        <v/>
      </c>
      <c r="O610" t="str">
        <f>IF(Worksheet!AJ610="","",Worksheet!AJ610)</f>
        <v>Zomerstage 2026 (Blankenberge)</v>
      </c>
      <c r="P610" t="str">
        <f>IF(Worksheet!AK610="","",Worksheet!AK610)</f>
        <v>Speler</v>
      </c>
    </row>
    <row r="611" spans="5:16" x14ac:dyDescent="0.3">
      <c r="E611" s="2"/>
      <c r="J611" t="str">
        <f>Worksheet!C611&amp;" "&amp;Worksheet!B611</f>
        <v>Jessyca Van Herreweghe</v>
      </c>
      <c r="K611" t="str">
        <f>Worksheet!AM611</f>
        <v/>
      </c>
      <c r="L611" t="str">
        <f>Worksheet!AN611</f>
        <v/>
      </c>
      <c r="M611" t="str">
        <f>IF(Worksheet!AE611="","",Worksheet!AE611)</f>
        <v/>
      </c>
      <c r="N611">
        <f>IF(Worksheet!AG611="","",Worksheet!AG611)</f>
        <v>242295</v>
      </c>
      <c r="O611" t="str">
        <f>IF(Worksheet!AJ611="","",Worksheet!AJ611)</f>
        <v/>
      </c>
      <c r="P611" t="str">
        <f>IF(Worksheet!AK611="","",Worksheet!AK611)</f>
        <v/>
      </c>
    </row>
    <row r="612" spans="5:16" x14ac:dyDescent="0.3">
      <c r="E612" s="2"/>
      <c r="J612" t="str">
        <f>Worksheet!C612&amp;" "&amp;Worksheet!B612</f>
        <v>Sam Van hooland</v>
      </c>
      <c r="K612" t="str">
        <f>Worksheet!AM612</f>
        <v/>
      </c>
      <c r="L612" t="str">
        <f>Worksheet!AN612</f>
        <v>+32499215817</v>
      </c>
      <c r="M612" t="str">
        <f>IF(Worksheet!AE612="","",Worksheet!AE612)</f>
        <v>https://app.twizzit.com/public/photos/6094381/s/b596c752f25fd4d7188aa68de92c84f3998ed8c5.png</v>
      </c>
      <c r="N612" t="str">
        <f>IF(Worksheet!AG612="","",Worksheet!AG612)</f>
        <v/>
      </c>
      <c r="O612" t="str">
        <f>IF(Worksheet!AJ612="","",Worksheet!AJ612)</f>
        <v/>
      </c>
      <c r="P612" t="str">
        <f>IF(Worksheet!AK612="","",Worksheet!AK612)</f>
        <v/>
      </c>
    </row>
    <row r="613" spans="5:16" x14ac:dyDescent="0.3">
      <c r="E613" s="2"/>
      <c r="J613" t="str">
        <f>Worksheet!C613&amp;" "&amp;Worksheet!B613</f>
        <v>Heleen Van Hove</v>
      </c>
      <c r="K613" t="str">
        <f>Worksheet!AM613</f>
        <v/>
      </c>
      <c r="L613" t="str">
        <f>Worksheet!AN613</f>
        <v/>
      </c>
      <c r="M613" t="str">
        <f>IF(Worksheet!AE613="","",Worksheet!AE613)</f>
        <v>https://app.twizzit.com/public/photos/2655220/s/4f0cc0d0b4cada8fea0db6865926f5a1bbd5a209.png</v>
      </c>
      <c r="N613">
        <f>IF(Worksheet!AG613="","",Worksheet!AG613)</f>
        <v>644354</v>
      </c>
      <c r="O613" t="str">
        <f>IF(Worksheet!AJ613="","",Worksheet!AJ613)</f>
        <v/>
      </c>
      <c r="P613" t="str">
        <f>IF(Worksheet!AK613="","",Worksheet!AK613)</f>
        <v/>
      </c>
    </row>
    <row r="614" spans="5:16" x14ac:dyDescent="0.3">
      <c r="E614" s="2"/>
      <c r="J614" t="str">
        <f>Worksheet!C614&amp;" "&amp;Worksheet!B614</f>
        <v>Liesbeth Van Hove</v>
      </c>
      <c r="K614" t="str">
        <f>Worksheet!AM614</f>
        <v/>
      </c>
      <c r="L614" t="str">
        <f>Worksheet!AN614</f>
        <v/>
      </c>
      <c r="M614" t="str">
        <f>IF(Worksheet!AE614="","",Worksheet!AE614)</f>
        <v/>
      </c>
      <c r="N614">
        <f>IF(Worksheet!AG614="","",Worksheet!AG614)</f>
        <v>617084</v>
      </c>
      <c r="O614" t="str">
        <f>IF(Worksheet!AJ614="","",Worksheet!AJ614)</f>
        <v/>
      </c>
      <c r="P614" t="str">
        <f>IF(Worksheet!AK614="","",Worksheet!AK614)</f>
        <v/>
      </c>
    </row>
    <row r="615" spans="5:16" x14ac:dyDescent="0.3">
      <c r="E615" s="2"/>
      <c r="J615" t="str">
        <f>Worksheet!C615&amp;" "&amp;Worksheet!B615</f>
        <v>Jaimie Van Marcke</v>
      </c>
      <c r="K615" t="str">
        <f>Worksheet!AM615</f>
        <v/>
      </c>
      <c r="L615" t="str">
        <f>Worksheet!AN615</f>
        <v>+32472516116</v>
      </c>
      <c r="M615" t="str">
        <f>IF(Worksheet!AE615="","",Worksheet!AE615)</f>
        <v>https://app.twizzit.com/public/photos/4080394/s/a0a6f7a1f3c9650e7b60b7c90fcc741fdb018fb0.png</v>
      </c>
      <c r="N615" t="str">
        <f>IF(Worksheet!AG615="","",Worksheet!AG615)</f>
        <v/>
      </c>
      <c r="O615" t="str">
        <f>IF(Worksheet!AJ615="","",Worksheet!AJ615)</f>
        <v>J18 B Haantjes CERTIFISC Oudenaarde</v>
      </c>
      <c r="P615" t="str">
        <f>IF(Worksheet!AK615="","",Worksheet!AK615)</f>
        <v>Speler</v>
      </c>
    </row>
    <row r="616" spans="5:16" x14ac:dyDescent="0.3">
      <c r="E616" s="2"/>
      <c r="J616" t="str">
        <f>Worksheet!C616&amp;" "&amp;Worksheet!B616</f>
        <v>Jaimie Van Marcke</v>
      </c>
      <c r="K616" t="str">
        <f>Worksheet!AM616</f>
        <v/>
      </c>
      <c r="L616" t="str">
        <f>Worksheet!AN616</f>
        <v>+32472516116</v>
      </c>
      <c r="M616" t="str">
        <f>IF(Worksheet!AE616="","",Worksheet!AE616)</f>
        <v>https://app.twizzit.com/public/photos/4080394/s/a0a6f7a1f3c9650e7b60b7c90fcc741fdb018fb0.png</v>
      </c>
      <c r="N616" t="str">
        <f>IF(Worksheet!AG616="","",Worksheet!AG616)</f>
        <v/>
      </c>
      <c r="O616" t="str">
        <f>IF(Worksheet!AJ616="","",Worksheet!AJ616)</f>
        <v/>
      </c>
      <c r="P616" t="str">
        <f>IF(Worksheet!AK616="","",Worksheet!AK616)</f>
        <v/>
      </c>
    </row>
    <row r="617" spans="5:16" x14ac:dyDescent="0.3">
      <c r="E617" s="2"/>
      <c r="J617" t="str">
        <f>Worksheet!C617&amp;" "&amp;Worksheet!B617</f>
        <v>Jaimie Van Marcke</v>
      </c>
      <c r="K617" t="str">
        <f>Worksheet!AM617</f>
        <v/>
      </c>
      <c r="L617" t="str">
        <f>Worksheet!AN617</f>
        <v>+32472516116</v>
      </c>
      <c r="M617" t="str">
        <f>IF(Worksheet!AE617="","",Worksheet!AE617)</f>
        <v>https://app.twizzit.com/public/photos/4080394/s/a0a6f7a1f3c9650e7b60b7c90fcc741fdb018fb0.png</v>
      </c>
      <c r="N617" t="str">
        <f>IF(Worksheet!AG617="","",Worksheet!AG617)</f>
        <v/>
      </c>
      <c r="O617" t="str">
        <f>IF(Worksheet!AJ617="","",Worksheet!AJ617)</f>
        <v/>
      </c>
      <c r="P617" t="str">
        <f>IF(Worksheet!AK617="","",Worksheet!AK617)</f>
        <v/>
      </c>
    </row>
    <row r="618" spans="5:16" x14ac:dyDescent="0.3">
      <c r="E618" s="2"/>
      <c r="J618" t="str">
        <f>Worksheet!C618&amp;" "&amp;Worksheet!B618</f>
        <v>Tristan Van Meenen</v>
      </c>
      <c r="K618" t="str">
        <f>Worksheet!AM618</f>
        <v>jzvanmeenen@telenet.be</v>
      </c>
      <c r="L618" t="str">
        <f>Worksheet!AN618</f>
        <v>+32468153046</v>
      </c>
      <c r="M618" t="str">
        <f>IF(Worksheet!AE618="","",Worksheet!AE618)</f>
        <v/>
      </c>
      <c r="N618" t="str">
        <f>IF(Worksheet!AG618="","",Worksheet!AG618)</f>
        <v/>
      </c>
      <c r="O618" t="str">
        <f>IF(Worksheet!AJ618="","",Worksheet!AJ618)</f>
        <v>HSE  C Haantjes Certifisc Oudenaarde</v>
      </c>
      <c r="P618" t="str">
        <f>IF(Worksheet!AK618="","",Worksheet!AK618)</f>
        <v>Speler</v>
      </c>
    </row>
    <row r="619" spans="5:16" x14ac:dyDescent="0.3">
      <c r="E619" s="2"/>
      <c r="J619" t="str">
        <f>Worksheet!C619&amp;" "&amp;Worksheet!B619</f>
        <v>Zara Van Meenen</v>
      </c>
      <c r="K619" t="str">
        <f>Worksheet!AM619</f>
        <v>jzvanmeenen@telenet.be</v>
      </c>
      <c r="L619" t="str">
        <f>Worksheet!AN619</f>
        <v/>
      </c>
      <c r="M619" t="str">
        <f>IF(Worksheet!AE619="","",Worksheet!AE619)</f>
        <v/>
      </c>
      <c r="N619">
        <f>IF(Worksheet!AG619="","",Worksheet!AG619)</f>
        <v>658412</v>
      </c>
      <c r="O619" t="str">
        <f>IF(Worksheet!AJ619="","",Worksheet!AJ619)</f>
        <v/>
      </c>
      <c r="P619" t="str">
        <f>IF(Worksheet!AK619="","",Worksheet!AK619)</f>
        <v/>
      </c>
    </row>
    <row r="620" spans="5:16" x14ac:dyDescent="0.3">
      <c r="E620" s="2"/>
      <c r="J620" t="str">
        <f>Worksheet!C620&amp;" "&amp;Worksheet!B620</f>
        <v>Giles Van Merhaeghe</v>
      </c>
      <c r="K620" t="str">
        <f>Worksheet!AM620</f>
        <v/>
      </c>
      <c r="L620" t="str">
        <f>Worksheet!AN620</f>
        <v/>
      </c>
      <c r="M620" t="str">
        <f>IF(Worksheet!AE620="","",Worksheet!AE620)</f>
        <v/>
      </c>
      <c r="N620">
        <f>IF(Worksheet!AG620="","",Worksheet!AG620)</f>
        <v>663125</v>
      </c>
      <c r="O620" t="str">
        <f>IF(Worksheet!AJ620="","",Worksheet!AJ620)</f>
        <v>HSE  C Haantjes Certifisc Oudenaarde</v>
      </c>
      <c r="P620" t="str">
        <f>IF(Worksheet!AK620="","",Worksheet!AK620)</f>
        <v>Speler</v>
      </c>
    </row>
    <row r="621" spans="5:16" x14ac:dyDescent="0.3">
      <c r="E621" s="2"/>
      <c r="J621" t="str">
        <f>Worksheet!C621&amp;" "&amp;Worksheet!B621</f>
        <v>Charlotte Van Moorleghem</v>
      </c>
      <c r="K621" t="str">
        <f>Worksheet!AM621</f>
        <v>charlotte.vanmoorleghem1@gmail.com</v>
      </c>
      <c r="L621" t="str">
        <f>Worksheet!AN621</f>
        <v/>
      </c>
      <c r="M621" t="str">
        <f>IF(Worksheet!AE621="","",Worksheet!AE621)</f>
        <v/>
      </c>
      <c r="N621">
        <f>IF(Worksheet!AG621="","",Worksheet!AG621)</f>
        <v>201618</v>
      </c>
      <c r="O621" t="str">
        <f>IF(Worksheet!AJ621="","",Worksheet!AJ621)</f>
        <v xml:space="preserve">Trainerspoule </v>
      </c>
      <c r="P621" t="str">
        <f>IF(Worksheet!AK621="","",Worksheet!AK621)</f>
        <v>Coach</v>
      </c>
    </row>
    <row r="622" spans="5:16" x14ac:dyDescent="0.3">
      <c r="E622" s="2"/>
      <c r="J622" t="str">
        <f>Worksheet!C622&amp;" "&amp;Worksheet!B622</f>
        <v>Emma Van Nieuwenhuyze</v>
      </c>
      <c r="K622" t="str">
        <f>Worksheet!AM622</f>
        <v>maaikeschiettecatte@gmail.com</v>
      </c>
      <c r="L622" t="str">
        <f>Worksheet!AN622</f>
        <v>+32477259667</v>
      </c>
      <c r="M622" t="str">
        <f>IF(Worksheet!AE622="","",Worksheet!AE622)</f>
        <v/>
      </c>
      <c r="N622" t="str">
        <f>IF(Worksheet!AG622="","",Worksheet!AG622)</f>
        <v/>
      </c>
      <c r="O622" t="str">
        <f>IF(Worksheet!AJ622="","",Worksheet!AJ622)</f>
        <v>M12 A HAANTJES CERTIFISC OUDENAARDE</v>
      </c>
      <c r="P622" t="str">
        <f>IF(Worksheet!AK622="","",Worksheet!AK622)</f>
        <v>Speler</v>
      </c>
    </row>
    <row r="623" spans="5:16" x14ac:dyDescent="0.3">
      <c r="E623" s="2"/>
      <c r="J623" t="str">
        <f>Worksheet!C623&amp;" "&amp;Worksheet!B623</f>
        <v>Emma Van Nieuwenhuyze</v>
      </c>
      <c r="K623" t="str">
        <f>Worksheet!AM623</f>
        <v>maaikeschiettecatte@gmail.com</v>
      </c>
      <c r="L623" t="str">
        <f>Worksheet!AN623</f>
        <v>+32477259667</v>
      </c>
      <c r="M623" t="str">
        <f>IF(Worksheet!AE623="","",Worksheet!AE623)</f>
        <v/>
      </c>
      <c r="N623" t="str">
        <f>IF(Worksheet!AG623="","",Worksheet!AG623)</f>
        <v/>
      </c>
      <c r="O623" t="str">
        <f>IF(Worksheet!AJ623="","",Worksheet!AJ623)</f>
        <v>Zomerstage 2026 U10 &amp; U12 (Oudenaarde)</v>
      </c>
      <c r="P623" t="str">
        <f>IF(Worksheet!AK623="","",Worksheet!AK623)</f>
        <v>Speler</v>
      </c>
    </row>
    <row r="624" spans="5:16" x14ac:dyDescent="0.3">
      <c r="E624" s="2"/>
      <c r="J624" t="str">
        <f>Worksheet!C624&amp;" "&amp;Worksheet!B624</f>
        <v>Lowie Van Nieuwenhuyze</v>
      </c>
      <c r="K624" t="str">
        <f>Worksheet!AM624</f>
        <v>pietervannieuwenhuyze1984@gmail.com</v>
      </c>
      <c r="L624" t="str">
        <f>Worksheet!AN624</f>
        <v>+32477259667</v>
      </c>
      <c r="M624" t="str">
        <f>IF(Worksheet!AE624="","",Worksheet!AE624)</f>
        <v/>
      </c>
      <c r="N624" t="str">
        <f>IF(Worksheet!AG624="","",Worksheet!AG624)</f>
        <v/>
      </c>
      <c r="O624" t="str">
        <f>IF(Worksheet!AJ624="","",Worksheet!AJ624)</f>
        <v>G08 Geel HAANTJES CERTIFISC OUDENAARDE</v>
      </c>
      <c r="P624" t="str">
        <f>IF(Worksheet!AK624="","",Worksheet!AK624)</f>
        <v>Speler</v>
      </c>
    </row>
    <row r="625" spans="5:16" x14ac:dyDescent="0.3">
      <c r="E625" s="2"/>
      <c r="J625" t="str">
        <f>Worksheet!C625&amp;" "&amp;Worksheet!B625</f>
        <v>Lowie Van Nieuwenhuyze</v>
      </c>
      <c r="K625" t="str">
        <f>Worksheet!AM625</f>
        <v>pietervannieuwenhuyze1984@gmail.com</v>
      </c>
      <c r="L625" t="str">
        <f>Worksheet!AN625</f>
        <v>+32477259667</v>
      </c>
      <c r="M625" t="str">
        <f>IF(Worksheet!AE625="","",Worksheet!AE625)</f>
        <v/>
      </c>
      <c r="N625" t="str">
        <f>IF(Worksheet!AG625="","",Worksheet!AG625)</f>
        <v/>
      </c>
      <c r="O625" t="str">
        <f>IF(Worksheet!AJ625="","",Worksheet!AJ625)</f>
        <v>Zomerstage 2026 U8 (Oudenaarde)</v>
      </c>
      <c r="P625" t="str">
        <f>IF(Worksheet!AK625="","",Worksheet!AK625)</f>
        <v>Speler</v>
      </c>
    </row>
    <row r="626" spans="5:16" x14ac:dyDescent="0.3">
      <c r="E626" s="2"/>
      <c r="J626" t="str">
        <f>Worksheet!C626&amp;" "&amp;Worksheet!B626</f>
        <v>Werner Van Nimmen</v>
      </c>
      <c r="K626" t="str">
        <f>Worksheet!AM626</f>
        <v/>
      </c>
      <c r="L626" t="str">
        <f>Worksheet!AN626</f>
        <v>+32486024513</v>
      </c>
      <c r="M626" t="str">
        <f>IF(Worksheet!AE626="","",Worksheet!AE626)</f>
        <v/>
      </c>
      <c r="N626">
        <f>IF(Worksheet!AG626="","",Worksheet!AG626)</f>
        <v>156447</v>
      </c>
      <c r="O626" t="str">
        <f>IF(Worksheet!AJ626="","",Worksheet!AJ626)</f>
        <v/>
      </c>
      <c r="P626" t="str">
        <f>IF(Worksheet!AK626="","",Worksheet!AK626)</f>
        <v/>
      </c>
    </row>
    <row r="627" spans="5:16" x14ac:dyDescent="0.3">
      <c r="E627" s="2"/>
      <c r="J627" t="str">
        <f>Worksheet!C627&amp;" "&amp;Worksheet!B627</f>
        <v>Benoit Van Ongevalle</v>
      </c>
      <c r="K627" t="str">
        <f>Worksheet!AM627</f>
        <v>elke.de.boever@telenet.be</v>
      </c>
      <c r="L627" t="str">
        <f>Worksheet!AN627</f>
        <v/>
      </c>
      <c r="M627" t="str">
        <f>IF(Worksheet!AE627="","",Worksheet!AE627)</f>
        <v/>
      </c>
      <c r="N627">
        <f>IF(Worksheet!AG627="","",Worksheet!AG627)</f>
        <v>712723</v>
      </c>
      <c r="O627" t="str">
        <f>IF(Worksheet!AJ627="","",Worksheet!AJ627)</f>
        <v/>
      </c>
      <c r="P627" t="str">
        <f>IF(Worksheet!AK627="","",Worksheet!AK627)</f>
        <v/>
      </c>
    </row>
    <row r="628" spans="5:16" x14ac:dyDescent="0.3">
      <c r="E628" s="2"/>
      <c r="J628" t="str">
        <f>Worksheet!C628&amp;" "&amp;Worksheet!B628</f>
        <v>Henri Van Ongevalle</v>
      </c>
      <c r="K628" t="str">
        <f>Worksheet!AM628</f>
        <v>elke.de.boever@telenet.be</v>
      </c>
      <c r="L628" t="str">
        <f>Worksheet!AN628</f>
        <v>+32478999985</v>
      </c>
      <c r="M628" t="str">
        <f>IF(Worksheet!AE628="","",Worksheet!AE628)</f>
        <v>https://app.twizzit.com/public/photos/2183322/s/9038b0da9e8a70a8b8e43647825a4e12c779a62c.png</v>
      </c>
      <c r="N628">
        <f>IF(Worksheet!AG628="","",Worksheet!AG628)</f>
        <v>703874</v>
      </c>
      <c r="O628" t="str">
        <f>IF(Worksheet!AJ628="","",Worksheet!AJ628)</f>
        <v/>
      </c>
      <c r="P628" t="str">
        <f>IF(Worksheet!AK628="","",Worksheet!AK628)</f>
        <v/>
      </c>
    </row>
    <row r="629" spans="5:16" x14ac:dyDescent="0.3">
      <c r="E629" s="2"/>
      <c r="J629" t="str">
        <f>Worksheet!C629&amp;" "&amp;Worksheet!B629</f>
        <v>Wout Van Overmeire</v>
      </c>
      <c r="K629" t="str">
        <f>Worksheet!AM629</f>
        <v>wout.vanovermeire@hotmail.com</v>
      </c>
      <c r="L629" t="str">
        <f>Worksheet!AN629</f>
        <v>+32491640325</v>
      </c>
      <c r="M629" t="str">
        <f>IF(Worksheet!AE629="","",Worksheet!AE629)</f>
        <v>https://app.twizzit.com/public/photos/2183327/s/c4bd2eb95cc81839b2acbb82001ab5c02815b510.png</v>
      </c>
      <c r="N629">
        <f>IF(Worksheet!AG629="","",Worksheet!AG629)</f>
        <v>642983</v>
      </c>
      <c r="O629" t="str">
        <f>IF(Worksheet!AJ629="","",Worksheet!AJ629)</f>
        <v/>
      </c>
      <c r="P629" t="str">
        <f>IF(Worksheet!AK629="","",Worksheet!AK629)</f>
        <v/>
      </c>
    </row>
    <row r="630" spans="5:16" x14ac:dyDescent="0.3">
      <c r="E630" s="2"/>
      <c r="J630" t="str">
        <f>Worksheet!C630&amp;" "&amp;Worksheet!B630</f>
        <v>Karsten Van Rechem</v>
      </c>
      <c r="K630" t="str">
        <f>Worksheet!AM630</f>
        <v/>
      </c>
      <c r="L630" t="str">
        <f>Worksheet!AN630</f>
        <v>+32468241830</v>
      </c>
      <c r="M630" t="str">
        <f>IF(Worksheet!AE630="","",Worksheet!AE630)</f>
        <v>https://app.twizzit.com/public/photos/2183332/s/d6be3669617c8e0b5c9fa9c565fc0f52e9a1b458.png</v>
      </c>
      <c r="N630">
        <f>IF(Worksheet!AG630="","",Worksheet!AG630)</f>
        <v>647819</v>
      </c>
      <c r="O630" t="str">
        <f>IF(Worksheet!AJ630="","",Worksheet!AJ630)</f>
        <v/>
      </c>
      <c r="P630" t="str">
        <f>IF(Worksheet!AK630="","",Worksheet!AK630)</f>
        <v/>
      </c>
    </row>
    <row r="631" spans="5:16" x14ac:dyDescent="0.3">
      <c r="E631" s="2"/>
      <c r="J631" t="str">
        <f>Worksheet!C631&amp;" "&amp;Worksheet!B631</f>
        <v>Mauro Van Sande</v>
      </c>
      <c r="K631" t="str">
        <f>Worksheet!AM631</f>
        <v>Sylvie.mincke@outlook.com</v>
      </c>
      <c r="L631" t="str">
        <f>Worksheet!AN631</f>
        <v>+32494744847</v>
      </c>
      <c r="M631" t="str">
        <f>IF(Worksheet!AE631="","",Worksheet!AE631)</f>
        <v>https://app.twizzit.com/public/photos/2650608/s/9cebeb89f0d68fff18c1faf3be6be5621d757adb.png</v>
      </c>
      <c r="N631">
        <f>IF(Worksheet!AG631="","",Worksheet!AG631)</f>
        <v>742367</v>
      </c>
      <c r="O631" t="str">
        <f>IF(Worksheet!AJ631="","",Worksheet!AJ631)</f>
        <v>G14 B Haantjes CERTIFISC Oudenaarde</v>
      </c>
      <c r="P631" t="str">
        <f>IF(Worksheet!AK631="","",Worksheet!AK631)</f>
        <v>Speler</v>
      </c>
    </row>
    <row r="632" spans="5:16" x14ac:dyDescent="0.3">
      <c r="E632" s="2"/>
      <c r="J632" t="str">
        <f>Worksheet!C632&amp;" "&amp;Worksheet!B632</f>
        <v>Miro Van Schoorisse</v>
      </c>
      <c r="K632" t="str">
        <f>Worksheet!AM632</f>
        <v>mirovanschoorisse@gmail.com</v>
      </c>
      <c r="L632" t="str">
        <f>Worksheet!AN632</f>
        <v>+32496771030</v>
      </c>
      <c r="M632" t="str">
        <f>IF(Worksheet!AE632="","",Worksheet!AE632)</f>
        <v/>
      </c>
      <c r="N632">
        <f>IF(Worksheet!AG632="","",Worksheet!AG632)</f>
        <v>709427</v>
      </c>
      <c r="O632" t="str">
        <f>IF(Worksheet!AJ632="","",Worksheet!AJ632)</f>
        <v>J18 A Haantjes CERTIFISC Oudenaarde</v>
      </c>
      <c r="P632" t="str">
        <f>IF(Worksheet!AK632="","",Worksheet!AK632)</f>
        <v>Speler</v>
      </c>
    </row>
    <row r="633" spans="5:16" x14ac:dyDescent="0.3">
      <c r="E633" s="2"/>
      <c r="J633" t="str">
        <f>Worksheet!C633&amp;" "&amp;Worksheet!B633</f>
        <v>Kobe Van Snick</v>
      </c>
      <c r="K633" t="str">
        <f>Worksheet!AM633</f>
        <v/>
      </c>
      <c r="L633" t="str">
        <f>Worksheet!AN633</f>
        <v/>
      </c>
      <c r="M633" t="str">
        <f>IF(Worksheet!AE633="","",Worksheet!AE633)</f>
        <v/>
      </c>
      <c r="N633" t="str">
        <f>IF(Worksheet!AG633="","",Worksheet!AG633)</f>
        <v/>
      </c>
      <c r="O633" t="str">
        <f>IF(Worksheet!AJ633="","",Worksheet!AJ633)</f>
        <v/>
      </c>
      <c r="P633" t="str">
        <f>IF(Worksheet!AK633="","",Worksheet!AK633)</f>
        <v/>
      </c>
    </row>
    <row r="634" spans="5:16" x14ac:dyDescent="0.3">
      <c r="E634" s="2"/>
      <c r="J634" t="str">
        <f>Worksheet!C634&amp;" "&amp;Worksheet!B634</f>
        <v>Gilles Van Welden</v>
      </c>
      <c r="K634" t="str">
        <f>Worksheet!AM634</f>
        <v/>
      </c>
      <c r="L634" t="str">
        <f>Worksheet!AN634</f>
        <v/>
      </c>
      <c r="M634" t="str">
        <f>IF(Worksheet!AE634="","",Worksheet!AE634)</f>
        <v/>
      </c>
      <c r="N634">
        <f>IF(Worksheet!AG634="","",Worksheet!AG634)</f>
        <v>214873</v>
      </c>
      <c r="O634" t="str">
        <f>IF(Worksheet!AJ634="","",Worksheet!AJ634)</f>
        <v/>
      </c>
      <c r="P634" t="str">
        <f>IF(Worksheet!AK634="","",Worksheet!AK634)</f>
        <v/>
      </c>
    </row>
    <row r="635" spans="5:16" x14ac:dyDescent="0.3">
      <c r="E635" s="2"/>
      <c r="J635" t="str">
        <f>Worksheet!C635&amp;" "&amp;Worksheet!B635</f>
        <v>Bram Van Wyngene</v>
      </c>
      <c r="K635" t="str">
        <f>Worksheet!AM635</f>
        <v/>
      </c>
      <c r="L635" t="str">
        <f>Worksheet!AN635</f>
        <v>+32477349575</v>
      </c>
      <c r="M635" t="str">
        <f>IF(Worksheet!AE635="","",Worksheet!AE635)</f>
        <v/>
      </c>
      <c r="N635" t="str">
        <f>IF(Worksheet!AG635="","",Worksheet!AG635)</f>
        <v/>
      </c>
      <c r="O635" t="str">
        <f>IF(Worksheet!AJ635="","",Worksheet!AJ635)</f>
        <v>HSE A Haantjes Certifisc Oudenaarde</v>
      </c>
      <c r="P635" t="str">
        <f>IF(Worksheet!AK635="","",Worksheet!AK635)</f>
        <v>Coach</v>
      </c>
    </row>
    <row r="636" spans="5:16" x14ac:dyDescent="0.3">
      <c r="E636" s="2"/>
      <c r="J636" t="str">
        <f>Worksheet!C636&amp;" "&amp;Worksheet!B636</f>
        <v>Bram Van Wyngene</v>
      </c>
      <c r="K636" t="str">
        <f>Worksheet!AM636</f>
        <v/>
      </c>
      <c r="L636" t="str">
        <f>Worksheet!AN636</f>
        <v>+32477349575</v>
      </c>
      <c r="M636" t="str">
        <f>IF(Worksheet!AE636="","",Worksheet!AE636)</f>
        <v/>
      </c>
      <c r="N636" t="str">
        <f>IF(Worksheet!AG636="","",Worksheet!AG636)</f>
        <v/>
      </c>
      <c r="O636" t="str">
        <f>IF(Worksheet!AJ636="","",Worksheet!AJ636)</f>
        <v>J18 A Haantjes CERTIFISC Oudenaarde</v>
      </c>
      <c r="P636" t="str">
        <f>IF(Worksheet!AK636="","",Worksheet!AK636)</f>
        <v>Coach</v>
      </c>
    </row>
    <row r="637" spans="5:16" x14ac:dyDescent="0.3">
      <c r="E637" s="2"/>
      <c r="J637" t="str">
        <f>Worksheet!C637&amp;" "&amp;Worksheet!B637</f>
        <v>Olivia Vanbutsele</v>
      </c>
      <c r="K637" t="str">
        <f>Worksheet!AM637</f>
        <v>Mike.vb@telenet.be</v>
      </c>
      <c r="L637" t="str">
        <f>Worksheet!AN637</f>
        <v>+32483081624</v>
      </c>
      <c r="M637" t="str">
        <f>IF(Worksheet!AE637="","",Worksheet!AE637)</f>
        <v>https://app.twizzit.com/public/photos/4292310/s/063d2ce017539cf8df316f28e3a639739d1c1148.jpeg</v>
      </c>
      <c r="N637" t="str">
        <f>IF(Worksheet!AG637="","",Worksheet!AG637)</f>
        <v/>
      </c>
      <c r="O637" t="str">
        <f>IF(Worksheet!AJ637="","",Worksheet!AJ637)</f>
        <v>Zomerstage 2026 (Blankenberge)</v>
      </c>
      <c r="P637" t="str">
        <f>IF(Worksheet!AK637="","",Worksheet!AK637)</f>
        <v>Speler</v>
      </c>
    </row>
    <row r="638" spans="5:16" x14ac:dyDescent="0.3">
      <c r="E638" s="2"/>
      <c r="J638" t="str">
        <f>Worksheet!C638&amp;" "&amp;Worksheet!B638</f>
        <v>Olivia Vanbutsele</v>
      </c>
      <c r="K638" t="str">
        <f>Worksheet!AM638</f>
        <v>Mike.vb@telenet.be</v>
      </c>
      <c r="L638" t="str">
        <f>Worksheet!AN638</f>
        <v>+32483081624</v>
      </c>
      <c r="M638" t="str">
        <f>IF(Worksheet!AE638="","",Worksheet!AE638)</f>
        <v>https://app.twizzit.com/public/photos/4292310/s/063d2ce017539cf8df316f28e3a639739d1c1148.jpeg</v>
      </c>
      <c r="N638" t="str">
        <f>IF(Worksheet!AG638="","",Worksheet!AG638)</f>
        <v/>
      </c>
      <c r="O638" t="str">
        <f>IF(Worksheet!AJ638="","",Worksheet!AJ638)</f>
        <v>M14 A Haantjes CERTIFISC  Oudenaarde</v>
      </c>
      <c r="P638" t="str">
        <f>IF(Worksheet!AK638="","",Worksheet!AK638)</f>
        <v>Speler</v>
      </c>
    </row>
    <row r="639" spans="5:16" x14ac:dyDescent="0.3">
      <c r="E639" s="2"/>
      <c r="J639" t="str">
        <f>Worksheet!C639&amp;" "&amp;Worksheet!B639</f>
        <v>Kobe Vandaele</v>
      </c>
      <c r="K639" t="str">
        <f>Worksheet!AM639</f>
        <v/>
      </c>
      <c r="L639" t="str">
        <f>Worksheet!AN639</f>
        <v>+32478439213</v>
      </c>
      <c r="M639" t="str">
        <f>IF(Worksheet!AE639="","",Worksheet!AE639)</f>
        <v/>
      </c>
      <c r="N639">
        <f>IF(Worksheet!AG639="","",Worksheet!AG639)</f>
        <v>739424</v>
      </c>
      <c r="O639" t="str">
        <f>IF(Worksheet!AJ639="","",Worksheet!AJ639)</f>
        <v>J16 B Haantjes CERTIFISC Oudenaarde</v>
      </c>
      <c r="P639" t="str">
        <f>IF(Worksheet!AK639="","",Worksheet!AK639)</f>
        <v>Speler</v>
      </c>
    </row>
    <row r="640" spans="5:16" x14ac:dyDescent="0.3">
      <c r="E640" s="2"/>
      <c r="J640" t="str">
        <f>Worksheet!C640&amp;" "&amp;Worksheet!B640</f>
        <v>Lowie Vande Kerckhove</v>
      </c>
      <c r="K640" t="str">
        <f>Worksheet!AM640</f>
        <v/>
      </c>
      <c r="L640" t="str">
        <f>Worksheet!AN640</f>
        <v>+32498621224</v>
      </c>
      <c r="M640" t="str">
        <f>IF(Worksheet!AE640="","",Worksheet!AE640)</f>
        <v/>
      </c>
      <c r="N640">
        <f>IF(Worksheet!AG640="","",Worksheet!AG640)</f>
        <v>705824</v>
      </c>
      <c r="O640" t="str">
        <f>IF(Worksheet!AJ640="","",Worksheet!AJ640)</f>
        <v>J18 A Haantjes CERTIFISC Oudenaarde</v>
      </c>
      <c r="P640" t="str">
        <f>IF(Worksheet!AK640="","",Worksheet!AK640)</f>
        <v>Speler</v>
      </c>
    </row>
    <row r="641" spans="5:16" x14ac:dyDescent="0.3">
      <c r="E641" s="2"/>
      <c r="J641" t="str">
        <f>Worksheet!C641&amp;" "&amp;Worksheet!B641</f>
        <v>Lowie Vande Kerckhove</v>
      </c>
      <c r="K641" t="str">
        <f>Worksheet!AM641</f>
        <v/>
      </c>
      <c r="L641" t="str">
        <f>Worksheet!AN641</f>
        <v>+32498621224</v>
      </c>
      <c r="M641" t="str">
        <f>IF(Worksheet!AE641="","",Worksheet!AE641)</f>
        <v/>
      </c>
      <c r="N641">
        <f>IF(Worksheet!AG641="","",Worksheet!AG641)</f>
        <v>705824</v>
      </c>
      <c r="O641" t="str">
        <f>IF(Worksheet!AJ641="","",Worksheet!AJ641)</f>
        <v>Zomerstage 2026 (Blankenberge)</v>
      </c>
      <c r="P641" t="str">
        <f>IF(Worksheet!AK641="","",Worksheet!AK641)</f>
        <v>Speler</v>
      </c>
    </row>
    <row r="642" spans="5:16" x14ac:dyDescent="0.3">
      <c r="E642" s="2"/>
      <c r="J642" t="str">
        <f>Worksheet!C642&amp;" "&amp;Worksheet!B642</f>
        <v>Sander Vande Walle</v>
      </c>
      <c r="K642" t="str">
        <f>Worksheet!AM642</f>
        <v/>
      </c>
      <c r="L642" t="str">
        <f>Worksheet!AN642</f>
        <v>+32477310473</v>
      </c>
      <c r="M642" t="str">
        <f>IF(Worksheet!AE642="","",Worksheet!AE642)</f>
        <v/>
      </c>
      <c r="N642">
        <f>IF(Worksheet!AG642="","",Worksheet!AG642)</f>
        <v>192768</v>
      </c>
      <c r="O642" t="str">
        <f>IF(Worksheet!AJ642="","",Worksheet!AJ642)</f>
        <v/>
      </c>
      <c r="P642" t="str">
        <f>IF(Worksheet!AK642="","",Worksheet!AK642)</f>
        <v/>
      </c>
    </row>
    <row r="643" spans="5:16" x14ac:dyDescent="0.3">
      <c r="E643" s="2"/>
      <c r="J643" t="str">
        <f>Worksheet!C643&amp;" "&amp;Worksheet!B643</f>
        <v>Ilona Vandecappelle</v>
      </c>
      <c r="K643" t="str">
        <f>Worksheet!AM643</f>
        <v/>
      </c>
      <c r="L643" t="str">
        <f>Worksheet!AN643</f>
        <v/>
      </c>
      <c r="M643" t="str">
        <f>IF(Worksheet!AE643="","",Worksheet!AE643)</f>
        <v/>
      </c>
      <c r="N643" t="str">
        <f>IF(Worksheet!AG643="","",Worksheet!AG643)</f>
        <v/>
      </c>
      <c r="O643" t="str">
        <f>IF(Worksheet!AJ643="","",Worksheet!AJ643)</f>
        <v/>
      </c>
      <c r="P643" t="str">
        <f>IF(Worksheet!AK643="","",Worksheet!AK643)</f>
        <v/>
      </c>
    </row>
    <row r="644" spans="5:16" x14ac:dyDescent="0.3">
      <c r="E644" s="2"/>
      <c r="J644" t="str">
        <f>Worksheet!C644&amp;" "&amp;Worksheet!B644</f>
        <v>Lukas Vandemaele</v>
      </c>
      <c r="K644" t="str">
        <f>Worksheet!AM644</f>
        <v>Wimvandemaele@hotmail.com</v>
      </c>
      <c r="L644" t="str">
        <f>Worksheet!AN644</f>
        <v>+32491941753</v>
      </c>
      <c r="M644" t="str">
        <f>IF(Worksheet!AE644="","",Worksheet!AE644)</f>
        <v/>
      </c>
      <c r="N644">
        <f>IF(Worksheet!AG644="","",Worksheet!AG644)</f>
        <v>735083</v>
      </c>
      <c r="O644" t="str">
        <f>IF(Worksheet!AJ644="","",Worksheet!AJ644)</f>
        <v>J16 B Haantjes CERTIFISC Oudenaarde</v>
      </c>
      <c r="P644" t="str">
        <f>IF(Worksheet!AK644="","",Worksheet!AK644)</f>
        <v>Speler</v>
      </c>
    </row>
    <row r="645" spans="5:16" x14ac:dyDescent="0.3">
      <c r="E645" s="2"/>
      <c r="J645" t="str">
        <f>Worksheet!C645&amp;" "&amp;Worksheet!B645</f>
        <v>Lukas Vandemaele</v>
      </c>
      <c r="K645" t="str">
        <f>Worksheet!AM645</f>
        <v>Wimvandemaele@hotmail.com</v>
      </c>
      <c r="L645" t="str">
        <f>Worksheet!AN645</f>
        <v>+32491941753</v>
      </c>
      <c r="M645" t="str">
        <f>IF(Worksheet!AE645="","",Worksheet!AE645)</f>
        <v/>
      </c>
      <c r="N645">
        <f>IF(Worksheet!AG645="","",Worksheet!AG645)</f>
        <v>735083</v>
      </c>
      <c r="O645" t="str">
        <f>IF(Worksheet!AJ645="","",Worksheet!AJ645)</f>
        <v/>
      </c>
      <c r="P645" t="str">
        <f>IF(Worksheet!AK645="","",Worksheet!AK645)</f>
        <v/>
      </c>
    </row>
    <row r="646" spans="5:16" x14ac:dyDescent="0.3">
      <c r="E646" s="2"/>
      <c r="J646" t="str">
        <f>Worksheet!C646&amp;" "&amp;Worksheet!B646</f>
        <v>Wim Vandemaele</v>
      </c>
      <c r="K646" t="str">
        <f>Worksheet!AM646</f>
        <v/>
      </c>
      <c r="L646" t="str">
        <f>Worksheet!AN646</f>
        <v/>
      </c>
      <c r="M646" t="str">
        <f>IF(Worksheet!AE646="","",Worksheet!AE646)</f>
        <v/>
      </c>
      <c r="N646">
        <f>IF(Worksheet!AG646="","",Worksheet!AG646)</f>
        <v>737366</v>
      </c>
      <c r="O646" t="str">
        <f>IF(Worksheet!AJ646="","",Worksheet!AJ646)</f>
        <v/>
      </c>
      <c r="P646" t="str">
        <f>IF(Worksheet!AK646="","",Worksheet!AK646)</f>
        <v/>
      </c>
    </row>
    <row r="647" spans="5:16" x14ac:dyDescent="0.3">
      <c r="E647" s="2"/>
      <c r="J647" t="str">
        <f>Worksheet!C647&amp;" "&amp;Worksheet!B647</f>
        <v>Guus Vanden abeele</v>
      </c>
      <c r="K647" t="str">
        <f>Worksheet!AM647</f>
        <v>vdbkatrien@gmail.com</v>
      </c>
      <c r="L647" t="str">
        <f>Worksheet!AN647</f>
        <v>+32468328900</v>
      </c>
      <c r="M647" t="str">
        <f>IF(Worksheet!AE647="","",Worksheet!AE647)</f>
        <v>https://app.twizzit.com/public/photos/4421928/s/e58d0247e8e789285dd7b82c95b7f26988445978.png</v>
      </c>
      <c r="N647" t="str">
        <f>IF(Worksheet!AG647="","",Worksheet!AG647)</f>
        <v/>
      </c>
      <c r="O647" t="str">
        <f>IF(Worksheet!AJ647="","",Worksheet!AJ647)</f>
        <v/>
      </c>
      <c r="P647" t="str">
        <f>IF(Worksheet!AK647="","",Worksheet!AK647)</f>
        <v/>
      </c>
    </row>
    <row r="648" spans="5:16" x14ac:dyDescent="0.3">
      <c r="E648" s="2"/>
      <c r="J648" t="str">
        <f>Worksheet!C648&amp;" "&amp;Worksheet!B648</f>
        <v>Vic Vanden Hautte</v>
      </c>
      <c r="K648" t="str">
        <f>Worksheet!AM648</f>
        <v>Kevin.vdh@gmail.com</v>
      </c>
      <c r="L648" t="str">
        <f>Worksheet!AN648</f>
        <v>+32473448896</v>
      </c>
      <c r="M648" t="str">
        <f>IF(Worksheet!AE648="","",Worksheet!AE648)</f>
        <v>https://app.twizzit.com/public/photos/10733442/s/de71a0feaf3ea4a6afe343b706af319962bb20c0.jpeg</v>
      </c>
      <c r="N648" t="str">
        <f>IF(Worksheet!AG648="","",Worksheet!AG648)</f>
        <v/>
      </c>
      <c r="O648" t="str">
        <f>IF(Worksheet!AJ648="","",Worksheet!AJ648)</f>
        <v>G10 Blauw HAANTJES CERTIFISC OUDENAARDE</v>
      </c>
      <c r="P648" t="str">
        <f>IF(Worksheet!AK648="","",Worksheet!AK648)</f>
        <v>Speler</v>
      </c>
    </row>
    <row r="649" spans="5:16" x14ac:dyDescent="0.3">
      <c r="E649" s="2"/>
      <c r="J649" t="str">
        <f>Worksheet!C649&amp;" "&amp;Worksheet!B649</f>
        <v>Mattia Vandenbergh</v>
      </c>
      <c r="K649" t="str">
        <f>Worksheet!AM649</f>
        <v>wouter_vandenbergh@hotmail.com</v>
      </c>
      <c r="L649" t="str">
        <f>Worksheet!AN649</f>
        <v>+32472445676</v>
      </c>
      <c r="M649" t="str">
        <f>IF(Worksheet!AE649="","",Worksheet!AE649)</f>
        <v>https://app.twizzit.com/public/photos/4776399/s/74c8a08bc217c9da0cda8a4efd0768e59f31490f.png</v>
      </c>
      <c r="N649" t="str">
        <f>IF(Worksheet!AG649="","",Worksheet!AG649)</f>
        <v/>
      </c>
      <c r="O649" t="str">
        <f>IF(Worksheet!AJ649="","",Worksheet!AJ649)</f>
        <v/>
      </c>
      <c r="P649" t="str">
        <f>IF(Worksheet!AK649="","",Worksheet!AK649)</f>
        <v/>
      </c>
    </row>
    <row r="650" spans="5:16" x14ac:dyDescent="0.3">
      <c r="E650" s="2"/>
      <c r="J650" t="str">
        <f>Worksheet!C650&amp;" "&amp;Worksheet!B650</f>
        <v>Evelyne Vandenbossche</v>
      </c>
      <c r="K650" t="str">
        <f>Worksheet!AM650</f>
        <v/>
      </c>
      <c r="L650" t="str">
        <f>Worksheet!AN650</f>
        <v/>
      </c>
      <c r="M650" t="str">
        <f>IF(Worksheet!AE650="","",Worksheet!AE650)</f>
        <v/>
      </c>
      <c r="N650">
        <f>IF(Worksheet!AG650="","",Worksheet!AG650)</f>
        <v>725138</v>
      </c>
      <c r="O650" t="str">
        <f>IF(Worksheet!AJ650="","",Worksheet!AJ650)</f>
        <v/>
      </c>
      <c r="P650" t="str">
        <f>IF(Worksheet!AK650="","",Worksheet!AK650)</f>
        <v/>
      </c>
    </row>
    <row r="651" spans="5:16" x14ac:dyDescent="0.3">
      <c r="E651" s="2"/>
      <c r="J651" t="str">
        <f>Worksheet!C651&amp;" "&amp;Worksheet!B651</f>
        <v xml:space="preserve">Katrien Vandenbroucke </v>
      </c>
      <c r="K651" t="str">
        <f>Worksheet!AM651</f>
        <v/>
      </c>
      <c r="L651" t="str">
        <f>Worksheet!AN651</f>
        <v/>
      </c>
      <c r="M651" t="str">
        <f>IF(Worksheet!AE651="","",Worksheet!AE651)</f>
        <v/>
      </c>
      <c r="N651" t="str">
        <f>IF(Worksheet!AG651="","",Worksheet!AG651)</f>
        <v/>
      </c>
      <c r="O651" t="str">
        <f>IF(Worksheet!AJ651="","",Worksheet!AJ651)</f>
        <v/>
      </c>
      <c r="P651" t="str">
        <f>IF(Worksheet!AK651="","",Worksheet!AK651)</f>
        <v/>
      </c>
    </row>
    <row r="652" spans="5:16" x14ac:dyDescent="0.3">
      <c r="E652" s="2"/>
      <c r="J652" t="str">
        <f>Worksheet!C652&amp;" "&amp;Worksheet!B652</f>
        <v>Vic Vandendaele</v>
      </c>
      <c r="K652" t="str">
        <f>Worksheet!AM652</f>
        <v/>
      </c>
      <c r="L652" t="str">
        <f>Worksheet!AN652</f>
        <v>+32474061517</v>
      </c>
      <c r="M652" t="str">
        <f>IF(Worksheet!AE652="","",Worksheet!AE652)</f>
        <v/>
      </c>
      <c r="N652" t="str">
        <f>IF(Worksheet!AG652="","",Worksheet!AG652)</f>
        <v/>
      </c>
      <c r="O652" t="str">
        <f>IF(Worksheet!AJ652="","",Worksheet!AJ652)</f>
        <v/>
      </c>
      <c r="P652" t="str">
        <f>IF(Worksheet!AK652="","",Worksheet!AK652)</f>
        <v/>
      </c>
    </row>
    <row r="653" spans="5:16" x14ac:dyDescent="0.3">
      <c r="E653" s="2"/>
      <c r="J653" t="str">
        <f>Worksheet!C653&amp;" "&amp;Worksheet!B653</f>
        <v>Ona Vandendriessche</v>
      </c>
      <c r="K653" t="str">
        <f>Worksheet!AM653</f>
        <v>wovanden@microsoft.com</v>
      </c>
      <c r="L653" t="str">
        <f>Worksheet!AN653</f>
        <v>+32475594603</v>
      </c>
      <c r="M653" t="str">
        <f>IF(Worksheet!AE653="","",Worksheet!AE653)</f>
        <v/>
      </c>
      <c r="N653" t="str">
        <f>IF(Worksheet!AG653="","",Worksheet!AG653)</f>
        <v/>
      </c>
      <c r="O653" t="str">
        <f>IF(Worksheet!AJ653="","",Worksheet!AJ653)</f>
        <v/>
      </c>
      <c r="P653" t="str">
        <f>IF(Worksheet!AK653="","",Worksheet!AK653)</f>
        <v/>
      </c>
    </row>
    <row r="654" spans="5:16" x14ac:dyDescent="0.3">
      <c r="E654" s="2"/>
      <c r="J654" t="str">
        <f>Worksheet!C654&amp;" "&amp;Worksheet!B654</f>
        <v>Arnaud Vandenhecke</v>
      </c>
      <c r="K654" t="str">
        <f>Worksheet!AM654</f>
        <v/>
      </c>
      <c r="L654" t="str">
        <f>Worksheet!AN654</f>
        <v/>
      </c>
      <c r="M654" t="str">
        <f>IF(Worksheet!AE654="","",Worksheet!AE654)</f>
        <v/>
      </c>
      <c r="N654" t="str">
        <f>IF(Worksheet!AG654="","",Worksheet!AG654)</f>
        <v/>
      </c>
      <c r="O654" t="str">
        <f>IF(Worksheet!AJ654="","",Worksheet!AJ654)</f>
        <v/>
      </c>
      <c r="P654" t="str">
        <f>IF(Worksheet!AK654="","",Worksheet!AK654)</f>
        <v/>
      </c>
    </row>
    <row r="655" spans="5:16" x14ac:dyDescent="0.3">
      <c r="E655" s="2"/>
      <c r="J655" t="str">
        <f>Worksheet!C655&amp;" "&amp;Worksheet!B655</f>
        <v>Ilias Vander Beken</v>
      </c>
      <c r="K655" t="str">
        <f>Worksheet!AM655</f>
        <v>tine_de_smet90@hotmail.com</v>
      </c>
      <c r="L655" t="str">
        <f>Worksheet!AN655</f>
        <v>+32468142508</v>
      </c>
      <c r="M655" t="str">
        <f>IF(Worksheet!AE655="","",Worksheet!AE655)</f>
        <v>https://app.twizzit.com/public/photos/9469457/s/eb40348dfb8a2c0c9b13e74dd04369019dbd2f32.jpeg</v>
      </c>
      <c r="N655" t="str">
        <f>IF(Worksheet!AG655="","",Worksheet!AG655)</f>
        <v/>
      </c>
      <c r="O655" t="str">
        <f>IF(Worksheet!AJ655="","",Worksheet!AJ655)</f>
        <v>Zomerstage 2026 (Blankenberge)</v>
      </c>
      <c r="P655" t="str">
        <f>IF(Worksheet!AK655="","",Worksheet!AK655)</f>
        <v>Speler</v>
      </c>
    </row>
    <row r="656" spans="5:16" x14ac:dyDescent="0.3">
      <c r="E656" s="2"/>
      <c r="J656" t="str">
        <f>Worksheet!C656&amp;" "&amp;Worksheet!B656</f>
        <v>Ilias Vander Beken</v>
      </c>
      <c r="K656" t="str">
        <f>Worksheet!AM656</f>
        <v>tine_de_smet90@hotmail.com</v>
      </c>
      <c r="L656" t="str">
        <f>Worksheet!AN656</f>
        <v>+32468142508</v>
      </c>
      <c r="M656" t="str">
        <f>IF(Worksheet!AE656="","",Worksheet!AE656)</f>
        <v>https://app.twizzit.com/public/photos/9469457/s/eb40348dfb8a2c0c9b13e74dd04369019dbd2f32.jpeg</v>
      </c>
      <c r="N656" t="str">
        <f>IF(Worksheet!AG656="","",Worksheet!AG656)</f>
        <v/>
      </c>
      <c r="O656" t="str">
        <f>IF(Worksheet!AJ656="","",Worksheet!AJ656)</f>
        <v>G12 Geel HAANTJES CERTIFISC OUDENAARDE</v>
      </c>
      <c r="P656" t="str">
        <f>IF(Worksheet!AK656="","",Worksheet!AK656)</f>
        <v>Speler</v>
      </c>
    </row>
    <row r="657" spans="5:16" x14ac:dyDescent="0.3">
      <c r="E657" s="2"/>
      <c r="J657" t="str">
        <f>Worksheet!C657&amp;" "&amp;Worksheet!B657</f>
        <v>Joshua Vander Beken</v>
      </c>
      <c r="K657" t="str">
        <f>Worksheet!AM657</f>
        <v/>
      </c>
      <c r="L657" t="str">
        <f>Worksheet!AN657</f>
        <v>+32468142508</v>
      </c>
      <c r="M657" t="str">
        <f>IF(Worksheet!AE657="","",Worksheet!AE657)</f>
        <v/>
      </c>
      <c r="N657" t="str">
        <f>IF(Worksheet!AG657="","",Worksheet!AG657)</f>
        <v/>
      </c>
      <c r="O657" t="str">
        <f>IF(Worksheet!AJ657="","",Worksheet!AJ657)</f>
        <v/>
      </c>
      <c r="P657" t="str">
        <f>IF(Worksheet!AK657="","",Worksheet!AK657)</f>
        <v/>
      </c>
    </row>
    <row r="658" spans="5:16" x14ac:dyDescent="0.3">
      <c r="E658" s="2"/>
      <c r="J658" t="str">
        <f>Worksheet!C658&amp;" "&amp;Worksheet!B658</f>
        <v>Tiesj Vander Beken</v>
      </c>
      <c r="K658" t="str">
        <f>Worksheet!AM658</f>
        <v>joshua.vander.beken@gmail.com</v>
      </c>
      <c r="L658" t="str">
        <f>Worksheet!AN658</f>
        <v>+32496404704</v>
      </c>
      <c r="M658" t="str">
        <f>IF(Worksheet!AE658="","",Worksheet!AE658)</f>
        <v/>
      </c>
      <c r="N658" t="str">
        <f>IF(Worksheet!AG658="","",Worksheet!AG658)</f>
        <v/>
      </c>
      <c r="O658" t="str">
        <f>IF(Worksheet!AJ658="","",Worksheet!AJ658)</f>
        <v/>
      </c>
      <c r="P658" t="str">
        <f>IF(Worksheet!AK658="","",Worksheet!AK658)</f>
        <v/>
      </c>
    </row>
    <row r="659" spans="5:16" x14ac:dyDescent="0.3">
      <c r="E659" s="2"/>
      <c r="J659" t="str">
        <f>Worksheet!C659&amp;" "&amp;Worksheet!B659</f>
        <v>Ellis Vanderhaeghen</v>
      </c>
      <c r="K659" t="str">
        <f>Worksheet!AM659</f>
        <v>tim.vanderhaeghen@gmail.com</v>
      </c>
      <c r="L659" t="str">
        <f>Worksheet!AN659</f>
        <v>+32477797513</v>
      </c>
      <c r="M659" t="str">
        <f>IF(Worksheet!AE659="","",Worksheet!AE659)</f>
        <v>https://app.twizzit.com/public/photos/2183362/s/b5eb277d00bfbe6732a1eb3ede2622df0624e276.png</v>
      </c>
      <c r="N659">
        <f>IF(Worksheet!AG659="","",Worksheet!AG659)</f>
        <v>733969</v>
      </c>
      <c r="O659" t="str">
        <f>IF(Worksheet!AJ659="","",Worksheet!AJ659)</f>
        <v/>
      </c>
      <c r="P659" t="str">
        <f>IF(Worksheet!AK659="","",Worksheet!AK659)</f>
        <v/>
      </c>
    </row>
    <row r="660" spans="5:16" x14ac:dyDescent="0.3">
      <c r="E660" s="2"/>
      <c r="J660" t="str">
        <f>Worksheet!C660&amp;" "&amp;Worksheet!B660</f>
        <v>Tim Vanderhaeghen</v>
      </c>
      <c r="K660" t="str">
        <f>Worksheet!AM660</f>
        <v/>
      </c>
      <c r="L660" t="str">
        <f>Worksheet!AN660</f>
        <v>+32477797513</v>
      </c>
      <c r="M660" t="str">
        <f>IF(Worksheet!AE660="","",Worksheet!AE660)</f>
        <v/>
      </c>
      <c r="N660" t="str">
        <f>IF(Worksheet!AG660="","",Worksheet!AG660)</f>
        <v/>
      </c>
      <c r="O660" t="str">
        <f>IF(Worksheet!AJ660="","",Worksheet!AJ660)</f>
        <v/>
      </c>
      <c r="P660" t="str">
        <f>IF(Worksheet!AK660="","",Worksheet!AK660)</f>
        <v/>
      </c>
    </row>
    <row r="661" spans="5:16" x14ac:dyDescent="0.3">
      <c r="E661" s="2"/>
      <c r="J661" t="str">
        <f>Worksheet!C661&amp;" "&amp;Worksheet!B661</f>
        <v>Emiel Vanderhelstraeten</v>
      </c>
      <c r="K661" t="str">
        <f>Worksheet!AM661</f>
        <v>anneleendesmet1978@outlook.com</v>
      </c>
      <c r="L661" t="str">
        <f>Worksheet!AN661</f>
        <v/>
      </c>
      <c r="M661" t="str">
        <f>IF(Worksheet!AE661="","",Worksheet!AE661)</f>
        <v/>
      </c>
      <c r="N661">
        <f>IF(Worksheet!AG661="","",Worksheet!AG661)</f>
        <v>666306</v>
      </c>
      <c r="O661" t="str">
        <f>IF(Worksheet!AJ661="","",Worksheet!AJ661)</f>
        <v>J21 A HAANTJES CERTIFISC OUDENAARDE</v>
      </c>
      <c r="P661" t="str">
        <f>IF(Worksheet!AK661="","",Worksheet!AK661)</f>
        <v>Speler</v>
      </c>
    </row>
    <row r="662" spans="5:16" x14ac:dyDescent="0.3">
      <c r="E662" s="2"/>
      <c r="J662" t="str">
        <f>Worksheet!C662&amp;" "&amp;Worksheet!B662</f>
        <v>Auguste Vanderschueren</v>
      </c>
      <c r="K662" t="str">
        <f>Worksheet!AM662</f>
        <v>olivier.vanderschueren@safetyjogger.com</v>
      </c>
      <c r="L662" t="str">
        <f>Worksheet!AN662</f>
        <v/>
      </c>
      <c r="M662" t="str">
        <f>IF(Worksheet!AE662="","",Worksheet!AE662)</f>
        <v/>
      </c>
      <c r="N662" t="str">
        <f>IF(Worksheet!AG662="","",Worksheet!AG662)</f>
        <v/>
      </c>
      <c r="O662" t="str">
        <f>IF(Worksheet!AJ662="","",Worksheet!AJ662)</f>
        <v>G08 Geel HAANTJES CERTIFISC OUDENAARDE</v>
      </c>
      <c r="P662" t="str">
        <f>IF(Worksheet!AK662="","",Worksheet!AK662)</f>
        <v>Speler</v>
      </c>
    </row>
    <row r="663" spans="5:16" x14ac:dyDescent="0.3">
      <c r="E663" s="2"/>
      <c r="J663" t="str">
        <f>Worksheet!C663&amp;" "&amp;Worksheet!B663</f>
        <v>Elize Vanderstraeten</v>
      </c>
      <c r="K663" t="str">
        <f>Worksheet!AM663</f>
        <v/>
      </c>
      <c r="L663" t="str">
        <f>Worksheet!AN663</f>
        <v>+32496654860</v>
      </c>
      <c r="M663" t="str">
        <f>IF(Worksheet!AE663="","",Worksheet!AE663)</f>
        <v/>
      </c>
      <c r="N663" t="str">
        <f>IF(Worksheet!AG663="","",Worksheet!AG663)</f>
        <v/>
      </c>
      <c r="O663" t="str">
        <f>IF(Worksheet!AJ663="","",Worksheet!AJ663)</f>
        <v/>
      </c>
      <c r="P663" t="str">
        <f>IF(Worksheet!AK663="","",Worksheet!AK663)</f>
        <v/>
      </c>
    </row>
    <row r="664" spans="5:16" x14ac:dyDescent="0.3">
      <c r="E664" s="2"/>
      <c r="J664" t="str">
        <f>Worksheet!C664&amp;" "&amp;Worksheet!B664</f>
        <v>Lucas Vanderstraeten</v>
      </c>
      <c r="K664" t="str">
        <f>Worksheet!AM664</f>
        <v/>
      </c>
      <c r="L664" t="str">
        <f>Worksheet!AN664</f>
        <v>+32496654860</v>
      </c>
      <c r="M664" t="str">
        <f>IF(Worksheet!AE664="","",Worksheet!AE664)</f>
        <v>https://app.twizzit.com/public/photos/3447788/s/a21b510884c5e068d9fd07894f967e10ecef7568.png</v>
      </c>
      <c r="N664" t="str">
        <f>IF(Worksheet!AG664="","",Worksheet!AG664)</f>
        <v/>
      </c>
      <c r="O664" t="str">
        <f>IF(Worksheet!AJ664="","",Worksheet!AJ664)</f>
        <v>G12 Blauw HAANTJES CERTIFISC OUDENAARDE</v>
      </c>
      <c r="P664" t="str">
        <f>IF(Worksheet!AK664="","",Worksheet!AK664)</f>
        <v>Speler</v>
      </c>
    </row>
    <row r="665" spans="5:16" x14ac:dyDescent="0.3">
      <c r="E665" s="2"/>
      <c r="J665" t="str">
        <f>Worksheet!C665&amp;" "&amp;Worksheet!B665</f>
        <v>Lucas Vanderstraeten</v>
      </c>
      <c r="K665" t="str">
        <f>Worksheet!AM665</f>
        <v/>
      </c>
      <c r="L665" t="str">
        <f>Worksheet!AN665</f>
        <v>+32496654860</v>
      </c>
      <c r="M665" t="str">
        <f>IF(Worksheet!AE665="","",Worksheet!AE665)</f>
        <v>https://app.twizzit.com/public/photos/3447788/s/a21b510884c5e068d9fd07894f967e10ecef7568.png</v>
      </c>
      <c r="N665" t="str">
        <f>IF(Worksheet!AG665="","",Worksheet!AG665)</f>
        <v/>
      </c>
      <c r="O665" t="str">
        <f>IF(Worksheet!AJ665="","",Worksheet!AJ665)</f>
        <v>Zomerstage 2026 (Blankenberge)</v>
      </c>
      <c r="P665" t="str">
        <f>IF(Worksheet!AK665="","",Worksheet!AK665)</f>
        <v>Speler</v>
      </c>
    </row>
    <row r="666" spans="5:16" x14ac:dyDescent="0.3">
      <c r="E666" s="2"/>
      <c r="J666" t="str">
        <f>Worksheet!C666&amp;" "&amp;Worksheet!B666</f>
        <v>Lucas Vanderstraeten</v>
      </c>
      <c r="K666" t="str">
        <f>Worksheet!AM666</f>
        <v/>
      </c>
      <c r="L666" t="str">
        <f>Worksheet!AN666</f>
        <v>+32496654860</v>
      </c>
      <c r="M666" t="str">
        <f>IF(Worksheet!AE666="","",Worksheet!AE666)</f>
        <v>https://app.twizzit.com/public/photos/3447788/s/a21b510884c5e068d9fd07894f967e10ecef7568.png</v>
      </c>
      <c r="N666" t="str">
        <f>IF(Worksheet!AG666="","",Worksheet!AG666)</f>
        <v/>
      </c>
      <c r="O666" t="str">
        <f>IF(Worksheet!AJ666="","",Worksheet!AJ666)</f>
        <v>Zomerstage 2026 U10 &amp; U12 (Oudenaarde)</v>
      </c>
      <c r="P666" t="str">
        <f>IF(Worksheet!AK666="","",Worksheet!AK666)</f>
        <v>Speler</v>
      </c>
    </row>
    <row r="667" spans="5:16" x14ac:dyDescent="0.3">
      <c r="E667" s="2"/>
      <c r="J667" t="str">
        <f>Worksheet!C667&amp;" "&amp;Worksheet!B667</f>
        <v>Wout Vandervoort</v>
      </c>
      <c r="K667" t="str">
        <f>Worksheet!AM667</f>
        <v/>
      </c>
      <c r="L667" t="str">
        <f>Worksheet!AN667</f>
        <v/>
      </c>
      <c r="M667" t="str">
        <f>IF(Worksheet!AE667="","",Worksheet!AE667)</f>
        <v/>
      </c>
      <c r="N667" t="str">
        <f>IF(Worksheet!AG667="","",Worksheet!AG667)</f>
        <v/>
      </c>
      <c r="O667" t="str">
        <f>IF(Worksheet!AJ667="","",Worksheet!AJ667)</f>
        <v/>
      </c>
      <c r="P667" t="str">
        <f>IF(Worksheet!AK667="","",Worksheet!AK667)</f>
        <v/>
      </c>
    </row>
    <row r="668" spans="5:16" x14ac:dyDescent="0.3">
      <c r="E668" s="2"/>
      <c r="J668" t="str">
        <f>Worksheet!C668&amp;" "&amp;Worksheet!B668</f>
        <v>Marthe Vandevelde</v>
      </c>
      <c r="K668" t="str">
        <f>Worksheet!AM668</f>
        <v/>
      </c>
      <c r="L668" t="str">
        <f>Worksheet!AN668</f>
        <v>+3249664.27.78</v>
      </c>
      <c r="M668" t="str">
        <f>IF(Worksheet!AE668="","",Worksheet!AE668)</f>
        <v/>
      </c>
      <c r="N668">
        <f>IF(Worksheet!AG668="","",Worksheet!AG668)</f>
        <v>150148</v>
      </c>
      <c r="O668" t="str">
        <f>IF(Worksheet!AJ668="","",Worksheet!AJ668)</f>
        <v/>
      </c>
      <c r="P668" t="str">
        <f>IF(Worksheet!AK668="","",Worksheet!AK668)</f>
        <v/>
      </c>
    </row>
    <row r="669" spans="5:16" x14ac:dyDescent="0.3">
      <c r="E669" s="2"/>
      <c r="J669" t="str">
        <f>Worksheet!C669&amp;" "&amp;Worksheet!B669</f>
        <v>Flo Vandewege</v>
      </c>
      <c r="K669" t="str">
        <f>Worksheet!AM669</f>
        <v>diedev@hotmail.com</v>
      </c>
      <c r="L669" t="str">
        <f>Worksheet!AN669</f>
        <v>+32497914889</v>
      </c>
      <c r="M669" t="str">
        <f>IF(Worksheet!AE669="","",Worksheet!AE669)</f>
        <v>https://app.twizzit.com/public/photos/10452584/s/5f2777167147a40d5e0cdf16d10044b2680e0e8c.png</v>
      </c>
      <c r="N669" t="str">
        <f>IF(Worksheet!AG669="","",Worksheet!AG669)</f>
        <v/>
      </c>
      <c r="O669" t="str">
        <f>IF(Worksheet!AJ669="","",Worksheet!AJ669)</f>
        <v>G08 Groen HAANTJES CERTIFISC OUDENAARDE</v>
      </c>
      <c r="P669" t="str">
        <f>IF(Worksheet!AK669="","",Worksheet!AK669)</f>
        <v>Speler</v>
      </c>
    </row>
    <row r="670" spans="5:16" x14ac:dyDescent="0.3">
      <c r="E670" s="2"/>
      <c r="J670" t="str">
        <f>Worksheet!C670&amp;" "&amp;Worksheet!B670</f>
        <v>Janne Vandriessche</v>
      </c>
      <c r="K670" t="str">
        <f>Worksheet!AM670</f>
        <v>wout.vandriessche@telenet.be</v>
      </c>
      <c r="L670" t="str">
        <f>Worksheet!AN670</f>
        <v>+32474875556</v>
      </c>
      <c r="M670" t="str">
        <f>IF(Worksheet!AE670="","",Worksheet!AE670)</f>
        <v/>
      </c>
      <c r="N670">
        <f>IF(Worksheet!AG670="","",Worksheet!AG670)</f>
        <v>703875</v>
      </c>
      <c r="O670" t="str">
        <f>IF(Worksheet!AJ670="","",Worksheet!AJ670)</f>
        <v>M19 A Haantjes CERTIFISC Oudenaarde</v>
      </c>
      <c r="P670" t="str">
        <f>IF(Worksheet!AK670="","",Worksheet!AK670)</f>
        <v>Speler</v>
      </c>
    </row>
    <row r="671" spans="5:16" x14ac:dyDescent="0.3">
      <c r="E671" s="2"/>
      <c r="J671" t="str">
        <f>Worksheet!C671&amp;" "&amp;Worksheet!B671</f>
        <v>Max Vandriessche</v>
      </c>
      <c r="K671" t="str">
        <f>Worksheet!AM671</f>
        <v>wout.vandriessche@telenet.be</v>
      </c>
      <c r="L671" t="str">
        <f>Worksheet!AN671</f>
        <v/>
      </c>
      <c r="M671" t="str">
        <f>IF(Worksheet!AE671="","",Worksheet!AE671)</f>
        <v/>
      </c>
      <c r="N671" t="str">
        <f>IF(Worksheet!AG671="","",Worksheet!AG671)</f>
        <v/>
      </c>
      <c r="O671" t="str">
        <f>IF(Worksheet!AJ671="","",Worksheet!AJ671)</f>
        <v/>
      </c>
      <c r="P671" t="str">
        <f>IF(Worksheet!AK671="","",Worksheet!AK671)</f>
        <v/>
      </c>
    </row>
    <row r="672" spans="5:16" x14ac:dyDescent="0.3">
      <c r="E672" s="2"/>
      <c r="J672" t="str">
        <f>Worksheet!C672&amp;" "&amp;Worksheet!B672</f>
        <v>Anaïs Vanhessche</v>
      </c>
      <c r="K672" t="str">
        <f>Worksheet!AM672</f>
        <v>miekevanderhaeghen@gmail.com</v>
      </c>
      <c r="L672" t="str">
        <f>Worksheet!AN672</f>
        <v>+32477741955</v>
      </c>
      <c r="M672" t="str">
        <f>IF(Worksheet!AE672="","",Worksheet!AE672)</f>
        <v>https://app.twizzit.com/public/photos/2183392/s/3035381a43296f702255c02c3c99c4303bd9ab17.png</v>
      </c>
      <c r="N672">
        <f>IF(Worksheet!AG672="","",Worksheet!AG672)</f>
        <v>730033</v>
      </c>
      <c r="O672" t="str">
        <f>IF(Worksheet!AJ672="","",Worksheet!AJ672)</f>
        <v>M16 A Haantjes CERTIFISC  Oudenaarde</v>
      </c>
      <c r="P672" t="str">
        <f>IF(Worksheet!AK672="","",Worksheet!AK672)</f>
        <v>Speler</v>
      </c>
    </row>
    <row r="673" spans="5:16" x14ac:dyDescent="0.3">
      <c r="E673" s="2"/>
      <c r="J673" t="str">
        <f>Worksheet!C673&amp;" "&amp;Worksheet!B673</f>
        <v>Anaïs Vanhessche</v>
      </c>
      <c r="K673" t="str">
        <f>Worksheet!AM673</f>
        <v>miekevanderhaeghen@gmail.com</v>
      </c>
      <c r="L673" t="str">
        <f>Worksheet!AN673</f>
        <v>+32477741955</v>
      </c>
      <c r="M673" t="str">
        <f>IF(Worksheet!AE673="","",Worksheet!AE673)</f>
        <v>https://app.twizzit.com/public/photos/2183392/s/3035381a43296f702255c02c3c99c4303bd9ab17.png</v>
      </c>
      <c r="N673">
        <f>IF(Worksheet!AG673="","",Worksheet!AG673)</f>
        <v>730033</v>
      </c>
      <c r="O673" t="str">
        <f>IF(Worksheet!AJ673="","",Worksheet!AJ673)</f>
        <v>Zomerstage 2026 (Blankenberge)</v>
      </c>
      <c r="P673" t="str">
        <f>IF(Worksheet!AK673="","",Worksheet!AK673)</f>
        <v>Speler</v>
      </c>
    </row>
    <row r="674" spans="5:16" x14ac:dyDescent="0.3">
      <c r="E674" s="2"/>
      <c r="J674" t="str">
        <f>Worksheet!C674&amp;" "&amp;Worksheet!B674</f>
        <v>Césa Vanhessche</v>
      </c>
      <c r="K674" t="str">
        <f>Worksheet!AM674</f>
        <v>miekevanderhaeghen@gmail.com</v>
      </c>
      <c r="L674" t="str">
        <f>Worksheet!AN674</f>
        <v>+32477741955</v>
      </c>
      <c r="M674" t="str">
        <f>IF(Worksheet!AE674="","",Worksheet!AE674)</f>
        <v>https://app.twizzit.com/public/photos/2650948/s/a23afe337ad3bd9422eefdb4bcdf28808a36cbc4.png</v>
      </c>
      <c r="N674">
        <f>IF(Worksheet!AG674="","",Worksheet!AG674)</f>
        <v>742178</v>
      </c>
      <c r="O674" t="str">
        <f>IF(Worksheet!AJ674="","",Worksheet!AJ674)</f>
        <v/>
      </c>
      <c r="P674" t="str">
        <f>IF(Worksheet!AK674="","",Worksheet!AK674)</f>
        <v/>
      </c>
    </row>
    <row r="675" spans="5:16" x14ac:dyDescent="0.3">
      <c r="E675" s="2"/>
      <c r="J675" t="str">
        <f>Worksheet!C675&amp;" "&amp;Worksheet!B675</f>
        <v>Pieter Vanhessche</v>
      </c>
      <c r="K675" t="str">
        <f>Worksheet!AM675</f>
        <v/>
      </c>
      <c r="L675" t="str">
        <f>Worksheet!AN675</f>
        <v>+32477741955</v>
      </c>
      <c r="M675" t="str">
        <f>IF(Worksheet!AE675="","",Worksheet!AE675)</f>
        <v>https://app.twizzit.com/public/photos/2655206/s/490553b505800ebdfa046bd5141a728af15526f1.jpeg</v>
      </c>
      <c r="N675">
        <f>IF(Worksheet!AG675="","",Worksheet!AG675)</f>
        <v>742179</v>
      </c>
      <c r="O675" t="str">
        <f>IF(Worksheet!AJ675="","",Worksheet!AJ675)</f>
        <v/>
      </c>
      <c r="P675" t="str">
        <f>IF(Worksheet!AK675="","",Worksheet!AK675)</f>
        <v/>
      </c>
    </row>
    <row r="676" spans="5:16" x14ac:dyDescent="0.3">
      <c r="E676" s="2"/>
      <c r="J676" t="str">
        <f>Worksheet!C676&amp;" "&amp;Worksheet!B676</f>
        <v>Alek Vanhoutte</v>
      </c>
      <c r="K676" t="str">
        <f>Worksheet!AM676</f>
        <v/>
      </c>
      <c r="L676" t="str">
        <f>Worksheet!AN676</f>
        <v>+32477684192</v>
      </c>
      <c r="M676" t="str">
        <f>IF(Worksheet!AE676="","",Worksheet!AE676)</f>
        <v>https://app.twizzit.com/public/photos/2183397/s/f8b8f62887383271a37c0f5f75612b98208e8772.jpeg</v>
      </c>
      <c r="N676">
        <f>IF(Worksheet!AG676="","",Worksheet!AG676)</f>
        <v>717354</v>
      </c>
      <c r="O676" t="str">
        <f>IF(Worksheet!AJ676="","",Worksheet!AJ676)</f>
        <v/>
      </c>
      <c r="P676" t="str">
        <f>IF(Worksheet!AK676="","",Worksheet!AK676)</f>
        <v/>
      </c>
    </row>
    <row r="677" spans="5:16" x14ac:dyDescent="0.3">
      <c r="E677" s="2"/>
      <c r="J677" t="str">
        <f>Worksheet!C677&amp;" "&amp;Worksheet!B677</f>
        <v>Lieve Vanhoutte</v>
      </c>
      <c r="K677" t="str">
        <f>Worksheet!AM677</f>
        <v>jeugdcoordinator@haantjesoudenaarde.be</v>
      </c>
      <c r="L677" t="str">
        <f>Worksheet!AN677</f>
        <v>+32472774656</v>
      </c>
      <c r="M677" t="str">
        <f>IF(Worksheet!AE677="","",Worksheet!AE677)</f>
        <v/>
      </c>
      <c r="N677">
        <f>IF(Worksheet!AG677="","",Worksheet!AG677)</f>
        <v>154095</v>
      </c>
      <c r="O677" t="str">
        <f>IF(Worksheet!AJ677="","",Worksheet!AJ677)</f>
        <v/>
      </c>
      <c r="P677" t="str">
        <f>IF(Worksheet!AK677="","",Worksheet!AK677)</f>
        <v/>
      </c>
    </row>
    <row r="678" spans="5:16" x14ac:dyDescent="0.3">
      <c r="E678" s="2"/>
      <c r="J678" t="str">
        <f>Worksheet!C678&amp;" "&amp;Worksheet!B678</f>
        <v>Piet Vanhoutte</v>
      </c>
      <c r="K678" t="str">
        <f>Worksheet!AM678</f>
        <v/>
      </c>
      <c r="L678" t="str">
        <f>Worksheet!AN678</f>
        <v/>
      </c>
      <c r="M678" t="str">
        <f>IF(Worksheet!AE678="","",Worksheet!AE678)</f>
        <v/>
      </c>
      <c r="N678">
        <f>IF(Worksheet!AG678="","",Worksheet!AG678)</f>
        <v>727381</v>
      </c>
      <c r="O678" t="str">
        <f>IF(Worksheet!AJ678="","",Worksheet!AJ678)</f>
        <v/>
      </c>
      <c r="P678" t="str">
        <f>IF(Worksheet!AK678="","",Worksheet!AK678)</f>
        <v/>
      </c>
    </row>
    <row r="679" spans="5:16" x14ac:dyDescent="0.3">
      <c r="E679" s="2"/>
      <c r="J679" t="str">
        <f>Worksheet!C679&amp;" "&amp;Worksheet!B679</f>
        <v>Ronan Vanneste</v>
      </c>
      <c r="K679" t="str">
        <f>Worksheet!AM679</f>
        <v>Koen.vanneste.k@gmail.com</v>
      </c>
      <c r="L679" t="str">
        <f>Worksheet!AN679</f>
        <v>+32472817695</v>
      </c>
      <c r="M679" t="str">
        <f>IF(Worksheet!AE679="","",Worksheet!AE679)</f>
        <v>https://app.twizzit.com/public/photos/7992424/s/7741759047d554aed7aaac84a694a4ea4a62b085.jpeg</v>
      </c>
      <c r="N679" t="str">
        <f>IF(Worksheet!AG679="","",Worksheet!AG679)</f>
        <v/>
      </c>
      <c r="O679" t="str">
        <f>IF(Worksheet!AJ679="","",Worksheet!AJ679)</f>
        <v>G08 Blauw HAANTJES CERTIFISC OUDENAARDE</v>
      </c>
      <c r="P679" t="str">
        <f>IF(Worksheet!AK679="","",Worksheet!AK679)</f>
        <v>Speler</v>
      </c>
    </row>
    <row r="680" spans="5:16" x14ac:dyDescent="0.3">
      <c r="E680" s="2"/>
      <c r="J680" t="str">
        <f>Worksheet!C680&amp;" "&amp;Worksheet!B680</f>
        <v>Ronan Vanneste</v>
      </c>
      <c r="K680" t="str">
        <f>Worksheet!AM680</f>
        <v>Koen.vanneste.k@gmail.com</v>
      </c>
      <c r="L680" t="str">
        <f>Worksheet!AN680</f>
        <v>+32472817695</v>
      </c>
      <c r="M680" t="str">
        <f>IF(Worksheet!AE680="","",Worksheet!AE680)</f>
        <v>https://app.twizzit.com/public/photos/7992424/s/7741759047d554aed7aaac84a694a4ea4a62b085.jpeg</v>
      </c>
      <c r="N680" t="str">
        <f>IF(Worksheet!AG680="","",Worksheet!AG680)</f>
        <v/>
      </c>
      <c r="O680" t="str">
        <f>IF(Worksheet!AJ680="","",Worksheet!AJ680)</f>
        <v>Zomerstage 2026 U8 (Oudenaarde)</v>
      </c>
      <c r="P680" t="str">
        <f>IF(Worksheet!AK680="","",Worksheet!AK680)</f>
        <v>Speler</v>
      </c>
    </row>
    <row r="681" spans="5:16" x14ac:dyDescent="0.3">
      <c r="E681" s="2"/>
      <c r="J681" t="str">
        <f>Worksheet!C681&amp;" "&amp;Worksheet!B681</f>
        <v>Joselien Vannieuwenhuyze</v>
      </c>
      <c r="K681" t="str">
        <f>Worksheet!AM681</f>
        <v>elisabeth.vercammen@outlook.com</v>
      </c>
      <c r="L681" t="str">
        <f>Worksheet!AN681</f>
        <v>+32494645568</v>
      </c>
      <c r="M681" t="str">
        <f>IF(Worksheet!AE681="","",Worksheet!AE681)</f>
        <v>https://app.twizzit.com/public/photos/7500726/s/2eff7ed0f6739149e998067c7d82dda70894fc63.png</v>
      </c>
      <c r="N681" t="str">
        <f>IF(Worksheet!AG681="","",Worksheet!AG681)</f>
        <v/>
      </c>
      <c r="O681" t="str">
        <f>IF(Worksheet!AJ681="","",Worksheet!AJ681)</f>
        <v>M12 A HAANTJES CERTIFISC OUDENAARDE</v>
      </c>
      <c r="P681" t="str">
        <f>IF(Worksheet!AK681="","",Worksheet!AK681)</f>
        <v>Speler</v>
      </c>
    </row>
    <row r="682" spans="5:16" x14ac:dyDescent="0.3">
      <c r="E682" s="2"/>
      <c r="J682" t="str">
        <f>Worksheet!C682&amp;" "&amp;Worksheet!B682</f>
        <v>Tim Vansteenbrugge</v>
      </c>
      <c r="K682" t="str">
        <f>Worksheet!AM682</f>
        <v/>
      </c>
      <c r="L682" t="str">
        <f>Worksheet!AN682</f>
        <v/>
      </c>
      <c r="M682" t="str">
        <f>IF(Worksheet!AE682="","",Worksheet!AE682)</f>
        <v/>
      </c>
      <c r="N682" t="str">
        <f>IF(Worksheet!AG682="","",Worksheet!AG682)</f>
        <v/>
      </c>
      <c r="O682" t="str">
        <f>IF(Worksheet!AJ682="","",Worksheet!AJ682)</f>
        <v/>
      </c>
      <c r="P682" t="str">
        <f>IF(Worksheet!AK682="","",Worksheet!AK682)</f>
        <v/>
      </c>
    </row>
    <row r="683" spans="5:16" x14ac:dyDescent="0.3">
      <c r="E683" s="2"/>
      <c r="J683" t="str">
        <f>Worksheet!C683&amp;" "&amp;Worksheet!B683</f>
        <v>Aline Vanwynsberghe</v>
      </c>
      <c r="K683" t="str">
        <f>Worksheet!AM683</f>
        <v/>
      </c>
      <c r="L683" t="str">
        <f>Worksheet!AN683</f>
        <v/>
      </c>
      <c r="M683" t="str">
        <f>IF(Worksheet!AE683="","",Worksheet!AE683)</f>
        <v/>
      </c>
      <c r="N683">
        <f>IF(Worksheet!AG683="","",Worksheet!AG683)</f>
        <v>705268</v>
      </c>
      <c r="O683" t="str">
        <f>IF(Worksheet!AJ683="","",Worksheet!AJ683)</f>
        <v/>
      </c>
      <c r="P683" t="str">
        <f>IF(Worksheet!AK683="","",Worksheet!AK683)</f>
        <v/>
      </c>
    </row>
    <row r="684" spans="5:16" x14ac:dyDescent="0.3">
      <c r="E684" s="2"/>
      <c r="J684" t="str">
        <f>Worksheet!C684&amp;" "&amp;Worksheet!B684</f>
        <v>Lias Velghe</v>
      </c>
      <c r="K684" t="str">
        <f>Worksheet!AM684</f>
        <v>natacham_davidv@hotmail.be</v>
      </c>
      <c r="L684" t="str">
        <f>Worksheet!AN684</f>
        <v>+32498593233</v>
      </c>
      <c r="M684" t="str">
        <f>IF(Worksheet!AE684="","",Worksheet!AE684)</f>
        <v>https://app.twizzit.com/public/photos/3445768/s/4c884b157432a6deaaa18542df061bd432646fa3.png</v>
      </c>
      <c r="N684" t="str">
        <f>IF(Worksheet!AG684="","",Worksheet!AG684)</f>
        <v/>
      </c>
      <c r="O684" t="str">
        <f>IF(Worksheet!AJ684="","",Worksheet!AJ684)</f>
        <v>G10 Geel HAANTJES CERTIFISC OUDENAARDE</v>
      </c>
      <c r="P684" t="str">
        <f>IF(Worksheet!AK684="","",Worksheet!AK684)</f>
        <v>Speler</v>
      </c>
    </row>
    <row r="685" spans="5:16" x14ac:dyDescent="0.3">
      <c r="E685" s="2"/>
      <c r="J685" t="str">
        <f>Worksheet!C685&amp;" "&amp;Worksheet!B685</f>
        <v>Ona Velghe</v>
      </c>
      <c r="K685" t="str">
        <f>Worksheet!AM685</f>
        <v/>
      </c>
      <c r="L685" t="str">
        <f>Worksheet!AN685</f>
        <v/>
      </c>
      <c r="M685" t="str">
        <f>IF(Worksheet!AE685="","",Worksheet!AE685)</f>
        <v/>
      </c>
      <c r="N685" t="str">
        <f>IF(Worksheet!AG685="","",Worksheet!AG685)</f>
        <v/>
      </c>
      <c r="O685" t="str">
        <f>IF(Worksheet!AJ685="","",Worksheet!AJ685)</f>
        <v/>
      </c>
      <c r="P685" t="str">
        <f>IF(Worksheet!AK685="","",Worksheet!AK685)</f>
        <v/>
      </c>
    </row>
    <row r="686" spans="5:16" x14ac:dyDescent="0.3">
      <c r="E686" s="2"/>
      <c r="J686" t="str">
        <f>Worksheet!C686&amp;" "&amp;Worksheet!B686</f>
        <v>Robin Verbruggen</v>
      </c>
      <c r="K686" t="str">
        <f>Worksheet!AM686</f>
        <v>antonyv@gmail.com</v>
      </c>
      <c r="L686" t="str">
        <f>Worksheet!AN686</f>
        <v>+32470404300</v>
      </c>
      <c r="M686" t="str">
        <f>IF(Worksheet!AE686="","",Worksheet!AE686)</f>
        <v/>
      </c>
      <c r="N686" t="str">
        <f>IF(Worksheet!AG686="","",Worksheet!AG686)</f>
        <v/>
      </c>
      <c r="O686" t="str">
        <f>IF(Worksheet!AJ686="","",Worksheet!AJ686)</f>
        <v/>
      </c>
      <c r="P686" t="str">
        <f>IF(Worksheet!AK686="","",Worksheet!AK686)</f>
        <v/>
      </c>
    </row>
    <row r="687" spans="5:16" x14ac:dyDescent="0.3">
      <c r="E687" s="2"/>
      <c r="J687" t="str">
        <f>Worksheet!C687&amp;" "&amp;Worksheet!B687</f>
        <v>Basile Verbrugghe</v>
      </c>
      <c r="K687" t="str">
        <f>Worksheet!AM687</f>
        <v>Chrisverbrugghe@hotmail.com</v>
      </c>
      <c r="L687" t="str">
        <f>Worksheet!AN687</f>
        <v>+32479311550</v>
      </c>
      <c r="M687" t="str">
        <f>IF(Worksheet!AE687="","",Worksheet!AE687)</f>
        <v/>
      </c>
      <c r="N687" t="str">
        <f>IF(Worksheet!AG687="","",Worksheet!AG687)</f>
        <v/>
      </c>
      <c r="O687" t="str">
        <f>IF(Worksheet!AJ687="","",Worksheet!AJ687)</f>
        <v>G10 Geel HAANTJES CERTIFISC OUDENAARDE</v>
      </c>
      <c r="P687" t="str">
        <f>IF(Worksheet!AK687="","",Worksheet!AK687)</f>
        <v>Speler</v>
      </c>
    </row>
    <row r="688" spans="5:16" x14ac:dyDescent="0.3">
      <c r="E688" s="2"/>
      <c r="J688" t="str">
        <f>Worksheet!C688&amp;" "&amp;Worksheet!B688</f>
        <v>Hera Verbrugghe</v>
      </c>
      <c r="K688" t="str">
        <f>Worksheet!AM688</f>
        <v/>
      </c>
      <c r="L688" t="str">
        <f>Worksheet!AN688</f>
        <v/>
      </c>
      <c r="M688" t="str">
        <f>IF(Worksheet!AE688="","",Worksheet!AE688)</f>
        <v/>
      </c>
      <c r="N688" t="str">
        <f>IF(Worksheet!AG688="","",Worksheet!AG688)</f>
        <v/>
      </c>
      <c r="O688" t="str">
        <f>IF(Worksheet!AJ688="","",Worksheet!AJ688)</f>
        <v/>
      </c>
      <c r="P688" t="str">
        <f>IF(Worksheet!AK688="","",Worksheet!AK688)</f>
        <v/>
      </c>
    </row>
    <row r="689" spans="5:16" x14ac:dyDescent="0.3">
      <c r="E689" s="2"/>
      <c r="J689" t="str">
        <f>Worksheet!C689&amp;" "&amp;Worksheet!B689</f>
        <v>Eva Verbuecken</v>
      </c>
      <c r="K689" t="str">
        <f>Worksheet!AM689</f>
        <v/>
      </c>
      <c r="L689" t="str">
        <f>Worksheet!AN689</f>
        <v/>
      </c>
      <c r="M689" t="str">
        <f>IF(Worksheet!AE689="","",Worksheet!AE689)</f>
        <v>https://app.twizzit.com/public/photos/4361675/s/a08074a8bbefa3a9e8675dc3435d5d8820bbaa97.png</v>
      </c>
      <c r="N689">
        <f>IF(Worksheet!AG689="","",Worksheet!AG689)</f>
        <v>222635</v>
      </c>
      <c r="O689" t="str">
        <f>IF(Worksheet!AJ689="","",Worksheet!AJ689)</f>
        <v/>
      </c>
      <c r="P689" t="str">
        <f>IF(Worksheet!AK689="","",Worksheet!AK689)</f>
        <v/>
      </c>
    </row>
    <row r="690" spans="5:16" x14ac:dyDescent="0.3">
      <c r="E690" s="2"/>
      <c r="J690" t="str">
        <f>Worksheet!C690&amp;" "&amp;Worksheet!B690</f>
        <v>Elisabeth Vercammen</v>
      </c>
      <c r="K690" t="str">
        <f>Worksheet!AM690</f>
        <v/>
      </c>
      <c r="L690" t="str">
        <f>Worksheet!AN690</f>
        <v/>
      </c>
      <c r="M690" t="str">
        <f>IF(Worksheet!AE690="","",Worksheet!AE690)</f>
        <v>https://app.twizzit.com/public/photos/7664134/s/e9cbd90d99267ce3a10b22cc957c02f11dc088ed.png</v>
      </c>
      <c r="N690" t="str">
        <f>IF(Worksheet!AG690="","",Worksheet!AG690)</f>
        <v/>
      </c>
      <c r="O690" t="str">
        <f>IF(Worksheet!AJ690="","",Worksheet!AJ690)</f>
        <v/>
      </c>
      <c r="P690" t="str">
        <f>IF(Worksheet!AK690="","",Worksheet!AK690)</f>
        <v/>
      </c>
    </row>
    <row r="691" spans="5:16" x14ac:dyDescent="0.3">
      <c r="E691" s="2"/>
      <c r="J691" t="str">
        <f>Worksheet!C691&amp;" "&amp;Worksheet!B691</f>
        <v>Fynn Vercauteren Ackerman</v>
      </c>
      <c r="K691" t="str">
        <f>Worksheet!AM691</f>
        <v/>
      </c>
      <c r="L691" t="str">
        <f>Worksheet!AN691</f>
        <v>+32484692806</v>
      </c>
      <c r="M691" t="str">
        <f>IF(Worksheet!AE691="","",Worksheet!AE691)</f>
        <v/>
      </c>
      <c r="N691" t="str">
        <f>IF(Worksheet!AG691="","",Worksheet!AG691)</f>
        <v/>
      </c>
      <c r="O691" t="str">
        <f>IF(Worksheet!AJ691="","",Worksheet!AJ691)</f>
        <v/>
      </c>
      <c r="P691" t="str">
        <f>IF(Worksheet!AK691="","",Worksheet!AK691)</f>
        <v/>
      </c>
    </row>
    <row r="692" spans="5:16" x14ac:dyDescent="0.3">
      <c r="E692" s="2"/>
      <c r="J692" t="str">
        <f>Worksheet!C692&amp;" "&amp;Worksheet!B692</f>
        <v>Lente Verhaeghe</v>
      </c>
      <c r="K692" t="str">
        <f>Worksheet!AM692</f>
        <v>verhaeghelente@gmail.com</v>
      </c>
      <c r="L692" t="str">
        <f>Worksheet!AN692</f>
        <v/>
      </c>
      <c r="M692" t="str">
        <f>IF(Worksheet!AE692="","",Worksheet!AE692)</f>
        <v>https://app.twizzit.com/public/photos/3706826/s/7283d518f82547e0fb530790cddedb0edf0a5785.jpeg</v>
      </c>
      <c r="N692" t="str">
        <f>IF(Worksheet!AG692="","",Worksheet!AG692)</f>
        <v/>
      </c>
      <c r="O692" t="str">
        <f>IF(Worksheet!AJ692="","",Worksheet!AJ692)</f>
        <v>DSE A Haantjes Certifisc Oudenaarde</v>
      </c>
      <c r="P692" t="str">
        <f>IF(Worksheet!AK692="","",Worksheet!AK692)</f>
        <v>Speler</v>
      </c>
    </row>
    <row r="693" spans="5:16" x14ac:dyDescent="0.3">
      <c r="E693" s="2"/>
      <c r="J693" t="str">
        <f>Worksheet!C693&amp;" "&amp;Worksheet!B693</f>
        <v>Lente Verhaeghe</v>
      </c>
      <c r="K693" t="str">
        <f>Worksheet!AM693</f>
        <v>verhaeghelente@gmail.com</v>
      </c>
      <c r="L693" t="str">
        <f>Worksheet!AN693</f>
        <v/>
      </c>
      <c r="M693" t="str">
        <f>IF(Worksheet!AE693="","",Worksheet!AE693)</f>
        <v>https://app.twizzit.com/public/photos/3706826/s/7283d518f82547e0fb530790cddedb0edf0a5785.jpeg</v>
      </c>
      <c r="N693" t="str">
        <f>IF(Worksheet!AG693="","",Worksheet!AG693)</f>
        <v/>
      </c>
      <c r="O693" t="str">
        <f>IF(Worksheet!AJ693="","",Worksheet!AJ693)</f>
        <v>Zomerstage 2026 (Blankenberge)</v>
      </c>
      <c r="P693" t="str">
        <f>IF(Worksheet!AK693="","",Worksheet!AK693)</f>
        <v>Speler</v>
      </c>
    </row>
    <row r="694" spans="5:16" x14ac:dyDescent="0.3">
      <c r="E694" s="2"/>
      <c r="J694" t="str">
        <f>Worksheet!C694&amp;" "&amp;Worksheet!B694</f>
        <v>Lente Verhaeghe</v>
      </c>
      <c r="K694" t="str">
        <f>Worksheet!AM694</f>
        <v>verhaeghelente@gmail.com</v>
      </c>
      <c r="L694" t="str">
        <f>Worksheet!AN694</f>
        <v/>
      </c>
      <c r="M694" t="str">
        <f>IF(Worksheet!AE694="","",Worksheet!AE694)</f>
        <v>https://app.twizzit.com/public/photos/3706826/s/7283d518f82547e0fb530790cddedb0edf0a5785.jpeg</v>
      </c>
      <c r="N694" t="str">
        <f>IF(Worksheet!AG694="","",Worksheet!AG694)</f>
        <v/>
      </c>
      <c r="O694" t="str">
        <f>IF(Worksheet!AJ694="","",Worksheet!AJ694)</f>
        <v>M19 A Haantjes CERTIFISC Oudenaarde</v>
      </c>
      <c r="P694" t="str">
        <f>IF(Worksheet!AK694="","",Worksheet!AK694)</f>
        <v>Speler</v>
      </c>
    </row>
    <row r="695" spans="5:16" x14ac:dyDescent="0.3">
      <c r="E695" s="2"/>
      <c r="J695" t="str">
        <f>Worksheet!C695&amp;" "&amp;Worksheet!B695</f>
        <v>Debbie Verhelst</v>
      </c>
      <c r="K695" t="str">
        <f>Worksheet!AM695</f>
        <v/>
      </c>
      <c r="L695" t="str">
        <f>Worksheet!AN695</f>
        <v/>
      </c>
      <c r="M695" t="str">
        <f>IF(Worksheet!AE695="","",Worksheet!AE695)</f>
        <v/>
      </c>
      <c r="N695">
        <f>IF(Worksheet!AG695="","",Worksheet!AG695)</f>
        <v>181550</v>
      </c>
      <c r="O695" t="str">
        <f>IF(Worksheet!AJ695="","",Worksheet!AJ695)</f>
        <v>G08 Geel HAANTJES CERTIFISC OUDENAARDE</v>
      </c>
      <c r="P695" t="str">
        <f>IF(Worksheet!AK695="","",Worksheet!AK695)</f>
        <v>Coach</v>
      </c>
    </row>
    <row r="696" spans="5:16" x14ac:dyDescent="0.3">
      <c r="E696" s="2"/>
      <c r="J696" t="str">
        <f>Worksheet!C696&amp;" "&amp;Worksheet!B696</f>
        <v>Thys Verhoeyen</v>
      </c>
      <c r="K696" t="str">
        <f>Worksheet!AM696</f>
        <v/>
      </c>
      <c r="L696" t="str">
        <f>Worksheet!AN696</f>
        <v/>
      </c>
      <c r="M696" t="str">
        <f>IF(Worksheet!AE696="","",Worksheet!AE696)</f>
        <v/>
      </c>
      <c r="N696" t="str">
        <f>IF(Worksheet!AG696="","",Worksheet!AG696)</f>
        <v/>
      </c>
      <c r="O696" t="str">
        <f>IF(Worksheet!AJ696="","",Worksheet!AJ696)</f>
        <v/>
      </c>
      <c r="P696" t="str">
        <f>IF(Worksheet!AK696="","",Worksheet!AK696)</f>
        <v/>
      </c>
    </row>
    <row r="697" spans="5:16" x14ac:dyDescent="0.3">
      <c r="E697" s="2"/>
      <c r="J697" t="str">
        <f>Worksheet!C697&amp;" "&amp;Worksheet!B697</f>
        <v>Viek Verhoeyen</v>
      </c>
      <c r="K697" t="str">
        <f>Worksheet!AM697</f>
        <v/>
      </c>
      <c r="L697" t="str">
        <f>Worksheet!AN697</f>
        <v>+32470229908</v>
      </c>
      <c r="M697" t="str">
        <f>IF(Worksheet!AE697="","",Worksheet!AE697)</f>
        <v/>
      </c>
      <c r="N697" t="str">
        <f>IF(Worksheet!AG697="","",Worksheet!AG697)</f>
        <v/>
      </c>
      <c r="O697" t="str">
        <f>IF(Worksheet!AJ697="","",Worksheet!AJ697)</f>
        <v>G14 B Haantjes CERTIFISC Oudenaarde</v>
      </c>
      <c r="P697" t="str">
        <f>IF(Worksheet!AK697="","",Worksheet!AK697)</f>
        <v>Speler</v>
      </c>
    </row>
    <row r="698" spans="5:16" x14ac:dyDescent="0.3">
      <c r="E698" s="2"/>
      <c r="J698" t="str">
        <f>Worksheet!C698&amp;" "&amp;Worksheet!B698</f>
        <v>Thibo Verkest</v>
      </c>
      <c r="K698" t="str">
        <f>Worksheet!AM698</f>
        <v/>
      </c>
      <c r="L698" t="str">
        <f>Worksheet!AN698</f>
        <v/>
      </c>
      <c r="M698" t="str">
        <f>IF(Worksheet!AE698="","",Worksheet!AE698)</f>
        <v/>
      </c>
      <c r="N698" t="str">
        <f>IF(Worksheet!AG698="","",Worksheet!AG698)</f>
        <v/>
      </c>
      <c r="O698" t="str">
        <f>IF(Worksheet!AJ698="","",Worksheet!AJ698)</f>
        <v/>
      </c>
      <c r="P698" t="str">
        <f>IF(Worksheet!AK698="","",Worksheet!AK698)</f>
        <v/>
      </c>
    </row>
    <row r="699" spans="5:16" x14ac:dyDescent="0.3">
      <c r="E699" s="2"/>
      <c r="J699" t="str">
        <f>Worksheet!C699&amp;" "&amp;Worksheet!B699</f>
        <v>Emma Verleyen</v>
      </c>
      <c r="K699" t="str">
        <f>Worksheet!AM699</f>
        <v>emma.verleyen094@gmail.com</v>
      </c>
      <c r="L699" t="str">
        <f>Worksheet!AN699</f>
        <v>+32496129595</v>
      </c>
      <c r="M699" t="str">
        <f>IF(Worksheet!AE699="","",Worksheet!AE699)</f>
        <v/>
      </c>
      <c r="N699" t="str">
        <f>IF(Worksheet!AG699="","",Worksheet!AG699)</f>
        <v/>
      </c>
      <c r="O699" t="str">
        <f>IF(Worksheet!AJ699="","",Worksheet!AJ699)</f>
        <v>M16 A Haantjes CERTIFISC  Oudenaarde</v>
      </c>
      <c r="P699" t="str">
        <f>IF(Worksheet!AK699="","",Worksheet!AK699)</f>
        <v>Speler</v>
      </c>
    </row>
    <row r="700" spans="5:16" x14ac:dyDescent="0.3">
      <c r="E700" s="2"/>
      <c r="J700" t="str">
        <f>Worksheet!C700&amp;" "&amp;Worksheet!B700</f>
        <v>Emma Verleyen</v>
      </c>
      <c r="K700" t="str">
        <f>Worksheet!AM700</f>
        <v>emma.verleyen094@gmail.com</v>
      </c>
      <c r="L700" t="str">
        <f>Worksheet!AN700</f>
        <v>+32496129595</v>
      </c>
      <c r="M700" t="str">
        <f>IF(Worksheet!AE700="","",Worksheet!AE700)</f>
        <v/>
      </c>
      <c r="N700" t="str">
        <f>IF(Worksheet!AG700="","",Worksheet!AG700)</f>
        <v/>
      </c>
      <c r="O700" t="str">
        <f>IF(Worksheet!AJ700="","",Worksheet!AJ700)</f>
        <v>Zomerstage 2026 (Blankenberge)</v>
      </c>
      <c r="P700" t="str">
        <f>IF(Worksheet!AK700="","",Worksheet!AK700)</f>
        <v>Speler</v>
      </c>
    </row>
    <row r="701" spans="5:16" x14ac:dyDescent="0.3">
      <c r="E701" s="2"/>
      <c r="J701" t="str">
        <f>Worksheet!C701&amp;" "&amp;Worksheet!B701</f>
        <v>Emiel Verlinden</v>
      </c>
      <c r="K701" t="str">
        <f>Worksheet!AM701</f>
        <v/>
      </c>
      <c r="L701" t="str">
        <f>Worksheet!AN701</f>
        <v>+32478376691</v>
      </c>
      <c r="M701" t="str">
        <f>IF(Worksheet!AE701="","",Worksheet!AE701)</f>
        <v/>
      </c>
      <c r="N701">
        <f>IF(Worksheet!AG701="","",Worksheet!AG701)</f>
        <v>733989</v>
      </c>
      <c r="O701" t="str">
        <f>IF(Worksheet!AJ701="","",Worksheet!AJ701)</f>
        <v>J18 B Haantjes CERTIFISC Oudenaarde</v>
      </c>
      <c r="P701" t="str">
        <f>IF(Worksheet!AK701="","",Worksheet!AK701)</f>
        <v>Speler</v>
      </c>
    </row>
    <row r="702" spans="5:16" x14ac:dyDescent="0.3">
      <c r="E702" s="2"/>
      <c r="J702" t="str">
        <f>Worksheet!C702&amp;" "&amp;Worksheet!B702</f>
        <v>Jelle Verlinden</v>
      </c>
      <c r="K702" t="str">
        <f>Worksheet!AM702</f>
        <v/>
      </c>
      <c r="L702" t="str">
        <f>Worksheet!AN702</f>
        <v/>
      </c>
      <c r="M702" t="str">
        <f>IF(Worksheet!AE702="","",Worksheet!AE702)</f>
        <v/>
      </c>
      <c r="N702" t="str">
        <f>IF(Worksheet!AG702="","",Worksheet!AG702)</f>
        <v/>
      </c>
      <c r="O702" t="str">
        <f>IF(Worksheet!AJ702="","",Worksheet!AJ702)</f>
        <v/>
      </c>
      <c r="P702" t="str">
        <f>IF(Worksheet!AK702="","",Worksheet!AK702)</f>
        <v/>
      </c>
    </row>
    <row r="703" spans="5:16" x14ac:dyDescent="0.3">
      <c r="E703" s="2"/>
      <c r="J703" t="str">
        <f>Worksheet!C703&amp;" "&amp;Worksheet!B703</f>
        <v>Lucas Verlinden</v>
      </c>
      <c r="K703" t="str">
        <f>Worksheet!AM703</f>
        <v/>
      </c>
      <c r="L703" t="str">
        <f>Worksheet!AN703</f>
        <v>+32486682066</v>
      </c>
      <c r="M703" t="str">
        <f>IF(Worksheet!AE703="","",Worksheet!AE703)</f>
        <v/>
      </c>
      <c r="N703" t="str">
        <f>IF(Worksheet!AG703="","",Worksheet!AG703)</f>
        <v/>
      </c>
      <c r="O703" t="str">
        <f>IF(Worksheet!AJ703="","",Worksheet!AJ703)</f>
        <v>Zomerstage 2026 (Blankenberge)</v>
      </c>
      <c r="P703" t="str">
        <f>IF(Worksheet!AK703="","",Worksheet!AK703)</f>
        <v>Speler</v>
      </c>
    </row>
    <row r="704" spans="5:16" x14ac:dyDescent="0.3">
      <c r="E704" s="2"/>
      <c r="J704" t="str">
        <f>Worksheet!C704&amp;" "&amp;Worksheet!B704</f>
        <v>Lucas Verlinden</v>
      </c>
      <c r="K704" t="str">
        <f>Worksheet!AM704</f>
        <v/>
      </c>
      <c r="L704" t="str">
        <f>Worksheet!AN704</f>
        <v>+32486682066</v>
      </c>
      <c r="M704" t="str">
        <f>IF(Worksheet!AE704="","",Worksheet!AE704)</f>
        <v/>
      </c>
      <c r="N704" t="str">
        <f>IF(Worksheet!AG704="","",Worksheet!AG704)</f>
        <v/>
      </c>
      <c r="O704" t="str">
        <f>IF(Worksheet!AJ704="","",Worksheet!AJ704)</f>
        <v>G12 Geel HAANTJES CERTIFISC OUDENAARDE</v>
      </c>
      <c r="P704" t="str">
        <f>IF(Worksheet!AK704="","",Worksheet!AK704)</f>
        <v>Speler</v>
      </c>
    </row>
    <row r="705" spans="5:16" x14ac:dyDescent="0.3">
      <c r="E705" s="2"/>
      <c r="J705" t="str">
        <f>Worksheet!C705&amp;" "&amp;Worksheet!B705</f>
        <v>Mauro Vermassen</v>
      </c>
      <c r="K705" t="str">
        <f>Worksheet!AM705</f>
        <v>twizzit@kevinvermassen.be</v>
      </c>
      <c r="L705" t="str">
        <f>Worksheet!AN705</f>
        <v>+32497427216</v>
      </c>
      <c r="M705" t="str">
        <f>IF(Worksheet!AE705="","",Worksheet!AE705)</f>
        <v/>
      </c>
      <c r="N705" t="str">
        <f>IF(Worksheet!AG705="","",Worksheet!AG705)</f>
        <v/>
      </c>
      <c r="O705" t="str">
        <f>IF(Worksheet!AJ705="","",Worksheet!AJ705)</f>
        <v>G14 B Haantjes CERTIFISC Oudenaarde</v>
      </c>
      <c r="P705" t="str">
        <f>IF(Worksheet!AK705="","",Worksheet!AK705)</f>
        <v>Speler</v>
      </c>
    </row>
    <row r="706" spans="5:16" x14ac:dyDescent="0.3">
      <c r="E706" s="2"/>
      <c r="J706" t="str">
        <f>Worksheet!C706&amp;" "&amp;Worksheet!B706</f>
        <v>Nathan Vermassen</v>
      </c>
      <c r="K706" t="str">
        <f>Worksheet!AM706</f>
        <v/>
      </c>
      <c r="L706" t="str">
        <f>Worksheet!AN706</f>
        <v>+32498493330</v>
      </c>
      <c r="M706" t="str">
        <f>IF(Worksheet!AE706="","",Worksheet!AE706)</f>
        <v/>
      </c>
      <c r="N706" t="str">
        <f>IF(Worksheet!AG706="","",Worksheet!AG706)</f>
        <v/>
      </c>
      <c r="O706" t="str">
        <f>IF(Worksheet!AJ706="","",Worksheet!AJ706)</f>
        <v>Zomerstage 2026 (Blankenberge)</v>
      </c>
      <c r="P706" t="str">
        <f>IF(Worksheet!AK706="","",Worksheet!AK706)</f>
        <v>Speler</v>
      </c>
    </row>
    <row r="707" spans="5:16" x14ac:dyDescent="0.3">
      <c r="E707" s="2"/>
      <c r="J707" t="str">
        <f>Worksheet!C707&amp;" "&amp;Worksheet!B707</f>
        <v>Nathan Vermassen</v>
      </c>
      <c r="K707" t="str">
        <f>Worksheet!AM707</f>
        <v/>
      </c>
      <c r="L707" t="str">
        <f>Worksheet!AN707</f>
        <v>+32498493330</v>
      </c>
      <c r="M707" t="str">
        <f>IF(Worksheet!AE707="","",Worksheet!AE707)</f>
        <v/>
      </c>
      <c r="N707" t="str">
        <f>IF(Worksheet!AG707="","",Worksheet!AG707)</f>
        <v/>
      </c>
      <c r="O707" t="str">
        <f>IF(Worksheet!AJ707="","",Worksheet!AJ707)</f>
        <v>G12 Blauw HAANTJES CERTIFISC OUDENAARDE</v>
      </c>
      <c r="P707" t="str">
        <f>IF(Worksheet!AK707="","",Worksheet!AK707)</f>
        <v>Speler</v>
      </c>
    </row>
    <row r="708" spans="5:16" x14ac:dyDescent="0.3">
      <c r="E708" s="2"/>
      <c r="J708" t="str">
        <f>Worksheet!C708&amp;" "&amp;Worksheet!B708</f>
        <v>Matz Vermeerschen</v>
      </c>
      <c r="K708" t="str">
        <f>Worksheet!AM708</f>
        <v>charlotte.vanmoorleghem1@gmail.com</v>
      </c>
      <c r="L708" t="str">
        <f>Worksheet!AN708</f>
        <v/>
      </c>
      <c r="M708" t="str">
        <f>IF(Worksheet!AE708="","",Worksheet!AE708)</f>
        <v/>
      </c>
      <c r="N708">
        <f>IF(Worksheet!AG708="","",Worksheet!AG708)</f>
        <v>729844</v>
      </c>
      <c r="O708" t="str">
        <f>IF(Worksheet!AJ708="","",Worksheet!AJ708)</f>
        <v>G14 A Haantjes CERTIFISC Oudenaarde</v>
      </c>
      <c r="P708" t="str">
        <f>IF(Worksheet!AK708="","",Worksheet!AK708)</f>
        <v>Speler</v>
      </c>
    </row>
    <row r="709" spans="5:16" x14ac:dyDescent="0.3">
      <c r="E709" s="2"/>
      <c r="J709" t="str">
        <f>Worksheet!C709&amp;" "&amp;Worksheet!B709</f>
        <v>Matz Vermeerschen</v>
      </c>
      <c r="K709" t="str">
        <f>Worksheet!AM709</f>
        <v>charlotte.vanmoorleghem1@gmail.com</v>
      </c>
      <c r="L709" t="str">
        <f>Worksheet!AN709</f>
        <v/>
      </c>
      <c r="M709" t="str">
        <f>IF(Worksheet!AE709="","",Worksheet!AE709)</f>
        <v/>
      </c>
      <c r="N709">
        <f>IF(Worksheet!AG709="","",Worksheet!AG709)</f>
        <v>729844</v>
      </c>
      <c r="O709" t="str">
        <f>IF(Worksheet!AJ709="","",Worksheet!AJ709)</f>
        <v>Zomerstage 2026 (Blankenberge)</v>
      </c>
      <c r="P709" t="str">
        <f>IF(Worksheet!AK709="","",Worksheet!AK709)</f>
        <v>Speler</v>
      </c>
    </row>
    <row r="710" spans="5:16" x14ac:dyDescent="0.3">
      <c r="E710" s="2"/>
      <c r="J710" t="str">
        <f>Worksheet!C710&amp;" "&amp;Worksheet!B710</f>
        <v>Lander Verschatse</v>
      </c>
      <c r="K710" t="str">
        <f>Worksheet!AM710</f>
        <v/>
      </c>
      <c r="L710" t="str">
        <f>Worksheet!AN710</f>
        <v>+32468516883</v>
      </c>
      <c r="M710" t="str">
        <f>IF(Worksheet!AE710="","",Worksheet!AE710)</f>
        <v>https://app.twizzit.com/public/photos/3557796/s/59f2bc8b383bb3e65d902c435f70a74103c4138d.png</v>
      </c>
      <c r="N710" t="str">
        <f>IF(Worksheet!AG710="","",Worksheet!AG710)</f>
        <v/>
      </c>
      <c r="O710" t="str">
        <f>IF(Worksheet!AJ710="","",Worksheet!AJ710)</f>
        <v>G12 Geel HAANTJES CERTIFISC OUDENAARDE</v>
      </c>
      <c r="P710" t="str">
        <f>IF(Worksheet!AK710="","",Worksheet!AK710)</f>
        <v>Speler</v>
      </c>
    </row>
    <row r="711" spans="5:16" x14ac:dyDescent="0.3">
      <c r="E711" s="2"/>
      <c r="J711" t="str">
        <f>Worksheet!C711&amp;" "&amp;Worksheet!B711</f>
        <v>Lena Verschatse</v>
      </c>
      <c r="K711" t="str">
        <f>Worksheet!AM711</f>
        <v/>
      </c>
      <c r="L711" t="str">
        <f>Worksheet!AN711</f>
        <v>+32468516883</v>
      </c>
      <c r="M711" t="str">
        <f>IF(Worksheet!AE711="","",Worksheet!AE711)</f>
        <v/>
      </c>
      <c r="N711">
        <f>IF(Worksheet!AG711="","",Worksheet!AG711)</f>
        <v>735282</v>
      </c>
      <c r="O711" t="str">
        <f>IF(Worksheet!AJ711="","",Worksheet!AJ711)</f>
        <v>Zomerstage 2026 (Blankenberge)</v>
      </c>
      <c r="P711" t="str">
        <f>IF(Worksheet!AK711="","",Worksheet!AK711)</f>
        <v>Speler</v>
      </c>
    </row>
    <row r="712" spans="5:16" x14ac:dyDescent="0.3">
      <c r="E712" s="2"/>
      <c r="J712" t="str">
        <f>Worksheet!C712&amp;" "&amp;Worksheet!B712</f>
        <v>Lena Verschatse</v>
      </c>
      <c r="K712" t="str">
        <f>Worksheet!AM712</f>
        <v/>
      </c>
      <c r="L712" t="str">
        <f>Worksheet!AN712</f>
        <v>+32468516883</v>
      </c>
      <c r="M712" t="str">
        <f>IF(Worksheet!AE712="","",Worksheet!AE712)</f>
        <v/>
      </c>
      <c r="N712">
        <f>IF(Worksheet!AG712="","",Worksheet!AG712)</f>
        <v>735282</v>
      </c>
      <c r="O712" t="str">
        <f>IF(Worksheet!AJ712="","",Worksheet!AJ712)</f>
        <v>M19 A Haantjes CERTIFISC Oudenaarde</v>
      </c>
      <c r="P712" t="str">
        <f>IF(Worksheet!AK712="","",Worksheet!AK712)</f>
        <v>Speler</v>
      </c>
    </row>
    <row r="713" spans="5:16" x14ac:dyDescent="0.3">
      <c r="E713" s="2"/>
      <c r="J713" t="str">
        <f>Worksheet!C713&amp;" "&amp;Worksheet!B713</f>
        <v>Charlotte Verschueren</v>
      </c>
      <c r="K713" t="str">
        <f>Worksheet!AM713</f>
        <v/>
      </c>
      <c r="L713" t="str">
        <f>Worksheet!AN713</f>
        <v>+32474278078</v>
      </c>
      <c r="M713" t="str">
        <f>IF(Worksheet!AE713="","",Worksheet!AE713)</f>
        <v>https://app.twizzit.com/public/photos/2183447/s/1f201bfdf86762e0642c70c1aa487baf5ab852bb.png</v>
      </c>
      <c r="N713">
        <f>IF(Worksheet!AG713="","",Worksheet!AG713)</f>
        <v>241914</v>
      </c>
      <c r="O713" t="str">
        <f>IF(Worksheet!AJ713="","",Worksheet!AJ713)</f>
        <v>G08 Groen HAANTJES CERTIFISC OUDENAARDE</v>
      </c>
      <c r="P713" t="str">
        <f>IF(Worksheet!AK713="","",Worksheet!AK713)</f>
        <v>Coach</v>
      </c>
    </row>
    <row r="714" spans="5:16" x14ac:dyDescent="0.3">
      <c r="E714" s="2"/>
      <c r="J714" t="str">
        <f>Worksheet!C714&amp;" "&amp;Worksheet!B714</f>
        <v>Nand Versmessen</v>
      </c>
      <c r="K714" t="str">
        <f>Worksheet!AM714</f>
        <v>veerle_coussement@hotmail.com</v>
      </c>
      <c r="L714" t="str">
        <f>Worksheet!AN714</f>
        <v>+32499030802</v>
      </c>
      <c r="M714" t="str">
        <f>IF(Worksheet!AE714="","",Worksheet!AE714)</f>
        <v>https://app.twizzit.com/public/photos/3447367/s/f6e635bb7022dfc6607d762d0f4b7b25a59a85c4.png</v>
      </c>
      <c r="N714" t="str">
        <f>IF(Worksheet!AG714="","",Worksheet!AG714)</f>
        <v/>
      </c>
      <c r="O714" t="str">
        <f>IF(Worksheet!AJ714="","",Worksheet!AJ714)</f>
        <v>G10 Blauw HAANTJES CERTIFISC OUDENAARDE</v>
      </c>
      <c r="P714" t="str">
        <f>IF(Worksheet!AK714="","",Worksheet!AK714)</f>
        <v>Speler</v>
      </c>
    </row>
    <row r="715" spans="5:16" x14ac:dyDescent="0.3">
      <c r="E715" s="2"/>
      <c r="J715" t="str">
        <f>Worksheet!C715&amp;" "&amp;Worksheet!B715</f>
        <v>Nand Versmessen</v>
      </c>
      <c r="K715" t="str">
        <f>Worksheet!AM715</f>
        <v>veerle_coussement@hotmail.com</v>
      </c>
      <c r="L715" t="str">
        <f>Worksheet!AN715</f>
        <v>+32499030802</v>
      </c>
      <c r="M715" t="str">
        <f>IF(Worksheet!AE715="","",Worksheet!AE715)</f>
        <v>https://app.twizzit.com/public/photos/3447367/s/f6e635bb7022dfc6607d762d0f4b7b25a59a85c4.png</v>
      </c>
      <c r="N715" t="str">
        <f>IF(Worksheet!AG715="","",Worksheet!AG715)</f>
        <v/>
      </c>
      <c r="O715" t="str">
        <f>IF(Worksheet!AJ715="","",Worksheet!AJ715)</f>
        <v>Zomerstage 2026 U10 &amp; U12 (Oudenaarde)</v>
      </c>
      <c r="P715" t="str">
        <f>IF(Worksheet!AK715="","",Worksheet!AK715)</f>
        <v>Speler</v>
      </c>
    </row>
    <row r="716" spans="5:16" x14ac:dyDescent="0.3">
      <c r="E716" s="2"/>
      <c r="J716" t="str">
        <f>Worksheet!C716&amp;" "&amp;Worksheet!B716</f>
        <v>Bogdan Verstraete</v>
      </c>
      <c r="K716" t="str">
        <f>Worksheet!AM716</f>
        <v>wtbi.verstraete@gmail.com</v>
      </c>
      <c r="L716" t="str">
        <f>Worksheet!AN716</f>
        <v>+32468305290</v>
      </c>
      <c r="M716" t="str">
        <f>IF(Worksheet!AE716="","",Worksheet!AE716)</f>
        <v/>
      </c>
      <c r="N716">
        <f>IF(Worksheet!AG716="","",Worksheet!AG716)</f>
        <v>705479</v>
      </c>
      <c r="O716" t="str">
        <f>IF(Worksheet!AJ716="","",Worksheet!AJ716)</f>
        <v>J21 A HAANTJES CERTIFISC OUDENAARDE</v>
      </c>
      <c r="P716" t="str">
        <f>IF(Worksheet!AK716="","",Worksheet!AK716)</f>
        <v>Speler</v>
      </c>
    </row>
    <row r="717" spans="5:16" x14ac:dyDescent="0.3">
      <c r="E717" s="2"/>
      <c r="J717" t="str">
        <f>Worksheet!C717&amp;" "&amp;Worksheet!B717</f>
        <v>Mats Verstraeten</v>
      </c>
      <c r="K717" t="str">
        <f>Worksheet!AM717</f>
        <v/>
      </c>
      <c r="L717" t="str">
        <f>Worksheet!AN717</f>
        <v>+32497152857</v>
      </c>
      <c r="M717" t="str">
        <f>IF(Worksheet!AE717="","",Worksheet!AE717)</f>
        <v/>
      </c>
      <c r="N717" t="str">
        <f>IF(Worksheet!AG717="","",Worksheet!AG717)</f>
        <v/>
      </c>
      <c r="O717" t="str">
        <f>IF(Worksheet!AJ717="","",Worksheet!AJ717)</f>
        <v>J16 B Haantjes CERTIFISC Oudenaarde</v>
      </c>
      <c r="P717" t="str">
        <f>IF(Worksheet!AK717="","",Worksheet!AK717)</f>
        <v>Speler</v>
      </c>
    </row>
    <row r="718" spans="5:16" x14ac:dyDescent="0.3">
      <c r="E718" s="2"/>
      <c r="J718" t="str">
        <f>Worksheet!C718&amp;" "&amp;Worksheet!B718</f>
        <v>Rens Verstraeten</v>
      </c>
      <c r="K718" t="str">
        <f>Worksheet!AM718</f>
        <v/>
      </c>
      <c r="L718" t="str">
        <f>Worksheet!AN718</f>
        <v>+32497152857</v>
      </c>
      <c r="M718" t="str">
        <f>IF(Worksheet!AE718="","",Worksheet!AE718)</f>
        <v/>
      </c>
      <c r="N718">
        <f>IF(Worksheet!AG718="","",Worksheet!AG718)</f>
        <v>742359</v>
      </c>
      <c r="O718" t="str">
        <f>IF(Worksheet!AJ718="","",Worksheet!AJ718)</f>
        <v/>
      </c>
      <c r="P718" t="str">
        <f>IF(Worksheet!AK718="","",Worksheet!AK718)</f>
        <v/>
      </c>
    </row>
    <row r="719" spans="5:16" x14ac:dyDescent="0.3">
      <c r="E719" s="2"/>
      <c r="J719" t="str">
        <f>Worksheet!C719&amp;" "&amp;Worksheet!B719</f>
        <v>Baptiste Vervaeck</v>
      </c>
      <c r="K719" t="str">
        <f>Worksheet!AM719</f>
        <v>Dries.vervaeck@gmail.com</v>
      </c>
      <c r="L719" t="str">
        <f>Worksheet!AN719</f>
        <v>+32479970549</v>
      </c>
      <c r="M719" t="str">
        <f>IF(Worksheet!AE719="","",Worksheet!AE719)</f>
        <v/>
      </c>
      <c r="N719">
        <f>IF(Worksheet!AG719="","",Worksheet!AG719)</f>
        <v>706697</v>
      </c>
      <c r="O719" t="str">
        <f>IF(Worksheet!AJ719="","",Worksheet!AJ719)</f>
        <v/>
      </c>
      <c r="P719" t="str">
        <f>IF(Worksheet!AK719="","",Worksheet!AK719)</f>
        <v/>
      </c>
    </row>
    <row r="720" spans="5:16" x14ac:dyDescent="0.3">
      <c r="E720" s="2"/>
      <c r="J720" t="str">
        <f>Worksheet!C720&amp;" "&amp;Worksheet!B720</f>
        <v>Dries Vervaeck</v>
      </c>
      <c r="K720" t="str">
        <f>Worksheet!AM720</f>
        <v/>
      </c>
      <c r="L720" t="str">
        <f>Worksheet!AN720</f>
        <v>+32479970549</v>
      </c>
      <c r="M720" t="str">
        <f>IF(Worksheet!AE720="","",Worksheet!AE720)</f>
        <v/>
      </c>
      <c r="N720" t="str">
        <f>IF(Worksheet!AG720="","",Worksheet!AG720)</f>
        <v/>
      </c>
      <c r="O720" t="str">
        <f>IF(Worksheet!AJ720="","",Worksheet!AJ720)</f>
        <v/>
      </c>
      <c r="P720" t="str">
        <f>IF(Worksheet!AK720="","",Worksheet!AK720)</f>
        <v/>
      </c>
    </row>
    <row r="721" spans="5:16" x14ac:dyDescent="0.3">
      <c r="E721" s="2"/>
      <c r="J721" t="str">
        <f>Worksheet!C721&amp;" "&amp;Worksheet!B721</f>
        <v>Ineke Vervaeck</v>
      </c>
      <c r="K721" t="str">
        <f>Worksheet!AM721</f>
        <v/>
      </c>
      <c r="L721" t="str">
        <f>Worksheet!AN721</f>
        <v/>
      </c>
      <c r="M721" t="str">
        <f>IF(Worksheet!AE721="","",Worksheet!AE721)</f>
        <v/>
      </c>
      <c r="N721">
        <f>IF(Worksheet!AG721="","",Worksheet!AG721)</f>
        <v>164058</v>
      </c>
      <c r="O721" t="str">
        <f>IF(Worksheet!AJ721="","",Worksheet!AJ721)</f>
        <v/>
      </c>
      <c r="P721" t="str">
        <f>IF(Worksheet!AK721="","",Worksheet!AK721)</f>
        <v/>
      </c>
    </row>
    <row r="722" spans="5:16" x14ac:dyDescent="0.3">
      <c r="E722" s="2"/>
      <c r="J722" t="str">
        <f>Worksheet!C722&amp;" "&amp;Worksheet!B722</f>
        <v>Thomas Viaene</v>
      </c>
      <c r="K722" t="str">
        <f>Worksheet!AM722</f>
        <v/>
      </c>
      <c r="L722" t="str">
        <f>Worksheet!AN722</f>
        <v>+32497313727</v>
      </c>
      <c r="M722" t="str">
        <f>IF(Worksheet!AE722="","",Worksheet!AE722)</f>
        <v/>
      </c>
      <c r="N722">
        <f>IF(Worksheet!AG722="","",Worksheet!AG722)</f>
        <v>739602</v>
      </c>
      <c r="O722" t="str">
        <f>IF(Worksheet!AJ722="","",Worksheet!AJ722)</f>
        <v>J18 A Haantjes CERTIFISC Oudenaarde</v>
      </c>
      <c r="P722" t="str">
        <f>IF(Worksheet!AK722="","",Worksheet!AK722)</f>
        <v>Speler</v>
      </c>
    </row>
    <row r="723" spans="5:16" x14ac:dyDescent="0.3">
      <c r="E723" s="2"/>
      <c r="J723" t="str">
        <f>Worksheet!C723&amp;" "&amp;Worksheet!B723</f>
        <v>Thomas Viaene</v>
      </c>
      <c r="K723" t="str">
        <f>Worksheet!AM723</f>
        <v/>
      </c>
      <c r="L723" t="str">
        <f>Worksheet!AN723</f>
        <v>+32497313727</v>
      </c>
      <c r="M723" t="str">
        <f>IF(Worksheet!AE723="","",Worksheet!AE723)</f>
        <v/>
      </c>
      <c r="N723">
        <f>IF(Worksheet!AG723="","",Worksheet!AG723)</f>
        <v>739602</v>
      </c>
      <c r="O723" t="str">
        <f>IF(Worksheet!AJ723="","",Worksheet!AJ723)</f>
        <v>Zomerstage 2026 (Blankenberge)</v>
      </c>
      <c r="P723" t="str">
        <f>IF(Worksheet!AK723="","",Worksheet!AK723)</f>
        <v>Speler</v>
      </c>
    </row>
    <row r="724" spans="5:16" x14ac:dyDescent="0.3">
      <c r="E724" s="2"/>
      <c r="J724" t="str">
        <f>Worksheet!C724&amp;" "&amp;Worksheet!B724</f>
        <v>Thomas Viaene</v>
      </c>
      <c r="K724" t="str">
        <f>Worksheet!AM724</f>
        <v/>
      </c>
      <c r="L724" t="str">
        <f>Worksheet!AN724</f>
        <v>+32497313727</v>
      </c>
      <c r="M724" t="str">
        <f>IF(Worksheet!AE724="","",Worksheet!AE724)</f>
        <v/>
      </c>
      <c r="N724">
        <f>IF(Worksheet!AG724="","",Worksheet!AG724)</f>
        <v>739602</v>
      </c>
      <c r="O724" t="str">
        <f>IF(Worksheet!AJ724="","",Worksheet!AJ724)</f>
        <v>HSE B Haantjes Certifisc Oudenaarde</v>
      </c>
      <c r="P724" t="str">
        <f>IF(Worksheet!AK724="","",Worksheet!AK724)</f>
        <v>Speler</v>
      </c>
    </row>
    <row r="725" spans="5:16" x14ac:dyDescent="0.3">
      <c r="E725" s="2"/>
      <c r="J725" t="str">
        <f>Worksheet!C725&amp;" "&amp;Worksheet!B725</f>
        <v>Christine Vindevogel</v>
      </c>
      <c r="K725" t="str">
        <f>Worksheet!AM725</f>
        <v/>
      </c>
      <c r="L725" t="str">
        <f>Worksheet!AN725</f>
        <v>+3248686.86.51</v>
      </c>
      <c r="M725" t="str">
        <f>IF(Worksheet!AE725="","",Worksheet!AE725)</f>
        <v/>
      </c>
      <c r="N725">
        <f>IF(Worksheet!AG725="","",Worksheet!AG725)</f>
        <v>207756</v>
      </c>
      <c r="O725" t="str">
        <f>IF(Worksheet!AJ725="","",Worksheet!AJ725)</f>
        <v/>
      </c>
      <c r="P725" t="str">
        <f>IF(Worksheet!AK725="","",Worksheet!AK725)</f>
        <v/>
      </c>
    </row>
    <row r="726" spans="5:16" x14ac:dyDescent="0.3">
      <c r="E726" s="2"/>
      <c r="J726" t="str">
        <f>Worksheet!C726&amp;" "&amp;Worksheet!B726</f>
        <v>Guy Vleurinck</v>
      </c>
      <c r="K726" t="str">
        <f>Worksheet!AM726</f>
        <v/>
      </c>
      <c r="L726" t="str">
        <f>Worksheet!AN726</f>
        <v>+32475584066</v>
      </c>
      <c r="M726" t="str">
        <f>IF(Worksheet!AE726="","",Worksheet!AE726)</f>
        <v/>
      </c>
      <c r="N726" t="str">
        <f>IF(Worksheet!AG726="","",Worksheet!AG726)</f>
        <v/>
      </c>
      <c r="O726" t="str">
        <f>IF(Worksheet!AJ726="","",Worksheet!AJ726)</f>
        <v/>
      </c>
      <c r="P726" t="str">
        <f>IF(Worksheet!AK726="","",Worksheet!AK726)</f>
        <v/>
      </c>
    </row>
    <row r="727" spans="5:16" x14ac:dyDescent="0.3">
      <c r="E727" s="2"/>
      <c r="J727" t="str">
        <f>Worksheet!C727&amp;" "&amp;Worksheet!B727</f>
        <v>Kenny Volkaert</v>
      </c>
      <c r="K727" t="str">
        <f>Worksheet!AM727</f>
        <v/>
      </c>
      <c r="L727" t="str">
        <f>Worksheet!AN727</f>
        <v>+32483038837</v>
      </c>
      <c r="M727" t="str">
        <f>IF(Worksheet!AE727="","",Worksheet!AE727)</f>
        <v/>
      </c>
      <c r="N727">
        <f>IF(Worksheet!AG727="","",Worksheet!AG727)</f>
        <v>644848</v>
      </c>
      <c r="O727" t="str">
        <f>IF(Worksheet!AJ727="","",Worksheet!AJ727)</f>
        <v>HSE  C Haantjes Certifisc Oudenaarde</v>
      </c>
      <c r="P727" t="str">
        <f>IF(Worksheet!AK727="","",Worksheet!AK727)</f>
        <v>Speler</v>
      </c>
    </row>
    <row r="728" spans="5:16" x14ac:dyDescent="0.3">
      <c r="E728" s="2"/>
      <c r="J728" t="str">
        <f>Worksheet!C728&amp;" "&amp;Worksheet!B728</f>
        <v>Basiel Vossen</v>
      </c>
      <c r="K728" t="str">
        <f>Worksheet!AM728</f>
        <v>pieterpaulvossen@hotmail.com</v>
      </c>
      <c r="L728" t="str">
        <f>Worksheet!AN728</f>
        <v>+32472546513</v>
      </c>
      <c r="M728" t="str">
        <f>IF(Worksheet!AE728="","",Worksheet!AE728)</f>
        <v/>
      </c>
      <c r="N728" t="str">
        <f>IF(Worksheet!AG728="","",Worksheet!AG728)</f>
        <v/>
      </c>
      <c r="O728" t="str">
        <f>IF(Worksheet!AJ728="","",Worksheet!AJ728)</f>
        <v>G08 Geel HAANTJES CERTIFISC OUDENAARDE</v>
      </c>
      <c r="P728" t="str">
        <f>IF(Worksheet!AK728="","",Worksheet!AK728)</f>
        <v>Speler</v>
      </c>
    </row>
    <row r="729" spans="5:16" x14ac:dyDescent="0.3">
      <c r="E729" s="2"/>
      <c r="J729" t="str">
        <f>Worksheet!C729&amp;" "&amp;Worksheet!B729</f>
        <v>Mathis Vrijens</v>
      </c>
      <c r="K729" t="str">
        <f>Worksheet!AM729</f>
        <v>mathis.vrijens@outlook.com</v>
      </c>
      <c r="L729" t="str">
        <f>Worksheet!AN729</f>
        <v>+32468043576</v>
      </c>
      <c r="M729" t="str">
        <f>IF(Worksheet!AE729="","",Worksheet!AE729)</f>
        <v/>
      </c>
      <c r="N729">
        <f>IF(Worksheet!AG729="","",Worksheet!AG729)</f>
        <v>744638</v>
      </c>
      <c r="O729" t="str">
        <f>IF(Worksheet!AJ729="","",Worksheet!AJ729)</f>
        <v/>
      </c>
      <c r="P729" t="str">
        <f>IF(Worksheet!AK729="","",Worksheet!AK729)</f>
        <v/>
      </c>
    </row>
    <row r="730" spans="5:16" x14ac:dyDescent="0.3">
      <c r="E730" s="2"/>
      <c r="J730" t="str">
        <f>Worksheet!C730&amp;" "&amp;Worksheet!B730</f>
        <v>Matteo Vunck</v>
      </c>
      <c r="K730" t="str">
        <f>Worksheet!AM730</f>
        <v>fam.vunck.demoor@outlook.com</v>
      </c>
      <c r="L730" t="str">
        <f>Worksheet!AN730</f>
        <v>+32473356747</v>
      </c>
      <c r="M730" t="str">
        <f>IF(Worksheet!AE730="","",Worksheet!AE730)</f>
        <v>https://app.twizzit.com/public/photos/8418462/s/4cd851c617ea9849ca7ba85a62a0807b8b769b48.jpeg</v>
      </c>
      <c r="N730" t="str">
        <f>IF(Worksheet!AG730="","",Worksheet!AG730)</f>
        <v/>
      </c>
      <c r="O730" t="str">
        <f>IF(Worksheet!AJ730="","",Worksheet!AJ730)</f>
        <v>G10 Blauw HAANTJES CERTIFISC OUDENAARDE</v>
      </c>
      <c r="P730" t="str">
        <f>IF(Worksheet!AK730="","",Worksheet!AK730)</f>
        <v>Speler</v>
      </c>
    </row>
    <row r="731" spans="5:16" x14ac:dyDescent="0.3">
      <c r="E731" s="2"/>
      <c r="J731" t="str">
        <f>Worksheet!C731&amp;" "&amp;Worksheet!B731</f>
        <v>Steven Vunck</v>
      </c>
      <c r="K731" t="str">
        <f>Worksheet!AM731</f>
        <v/>
      </c>
      <c r="L731" t="str">
        <f>Worksheet!AN731</f>
        <v>+32473356747</v>
      </c>
      <c r="M731" t="str">
        <f>IF(Worksheet!AE731="","",Worksheet!AE731)</f>
        <v/>
      </c>
      <c r="N731" t="str">
        <f>IF(Worksheet!AG731="","",Worksheet!AG731)</f>
        <v/>
      </c>
      <c r="O731" t="str">
        <f>IF(Worksheet!AJ731="","",Worksheet!AJ731)</f>
        <v/>
      </c>
      <c r="P731" t="str">
        <f>IF(Worksheet!AK731="","",Worksheet!AK731)</f>
        <v/>
      </c>
    </row>
    <row r="732" spans="5:16" x14ac:dyDescent="0.3">
      <c r="E732" s="2"/>
      <c r="J732" t="str">
        <f>Worksheet!C732&amp;" "&amp;Worksheet!B732</f>
        <v>Frank Waeghe</v>
      </c>
      <c r="K732" t="str">
        <f>Worksheet!AM732</f>
        <v/>
      </c>
      <c r="L732" t="str">
        <f>Worksheet!AN732</f>
        <v/>
      </c>
      <c r="M732" t="str">
        <f>IF(Worksheet!AE732="","",Worksheet!AE732)</f>
        <v/>
      </c>
      <c r="N732">
        <f>IF(Worksheet!AG732="","",Worksheet!AG732)</f>
        <v>708693</v>
      </c>
      <c r="O732" t="str">
        <f>IF(Worksheet!AJ732="","",Worksheet!AJ732)</f>
        <v/>
      </c>
      <c r="P732" t="str">
        <f>IF(Worksheet!AK732="","",Worksheet!AK732)</f>
        <v/>
      </c>
    </row>
    <row r="733" spans="5:16" x14ac:dyDescent="0.3">
      <c r="E733" s="2"/>
      <c r="J733" t="str">
        <f>Worksheet!C733&amp;" "&amp;Worksheet!B733</f>
        <v>Xander Waeghe</v>
      </c>
      <c r="K733" t="str">
        <f>Worksheet!AM733</f>
        <v>frank.waeghe@telenet.be</v>
      </c>
      <c r="L733" t="str">
        <f>Worksheet!AN733</f>
        <v/>
      </c>
      <c r="M733" t="str">
        <f>IF(Worksheet!AE733="","",Worksheet!AE733)</f>
        <v/>
      </c>
      <c r="N733">
        <f>IF(Worksheet!AG733="","",Worksheet!AG733)</f>
        <v>665985</v>
      </c>
      <c r="O733" t="str">
        <f>IF(Worksheet!AJ733="","",Worksheet!AJ733)</f>
        <v/>
      </c>
      <c r="P733" t="str">
        <f>IF(Worksheet!AK733="","",Worksheet!AK733)</f>
        <v/>
      </c>
    </row>
    <row r="734" spans="5:16" x14ac:dyDescent="0.3">
      <c r="E734" s="2"/>
      <c r="J734" t="str">
        <f>Worksheet!C734&amp;" "&amp;Worksheet!B734</f>
        <v>Gaston Waelkens</v>
      </c>
      <c r="K734" t="str">
        <f>Worksheet!AM734</f>
        <v/>
      </c>
      <c r="L734" t="str">
        <f>Worksheet!AN734</f>
        <v>+32486694007</v>
      </c>
      <c r="M734" t="str">
        <f>IF(Worksheet!AE734="","",Worksheet!AE734)</f>
        <v>https://app.twizzit.com/public/photos/3437289/s/570cbbb3ba40336fabf43491384c678cfbbf4db4.png</v>
      </c>
      <c r="N734" t="str">
        <f>IF(Worksheet!AG734="","",Worksheet!AG734)</f>
        <v/>
      </c>
      <c r="O734" t="str">
        <f>IF(Worksheet!AJ734="","",Worksheet!AJ734)</f>
        <v>G10 Geel HAANTJES CERTIFISC OUDENAARDE</v>
      </c>
      <c r="P734" t="str">
        <f>IF(Worksheet!AK734="","",Worksheet!AK734)</f>
        <v>Speler</v>
      </c>
    </row>
    <row r="735" spans="5:16" x14ac:dyDescent="0.3">
      <c r="E735" s="2"/>
      <c r="J735" t="str">
        <f>Worksheet!C735&amp;" "&amp;Worksheet!B735</f>
        <v>Jeanne Waelkens</v>
      </c>
      <c r="K735" t="str">
        <f>Worksheet!AM735</f>
        <v/>
      </c>
      <c r="L735" t="str">
        <f>Worksheet!AN735</f>
        <v>+32495460727</v>
      </c>
      <c r="M735" t="str">
        <f>IF(Worksheet!AE735="","",Worksheet!AE735)</f>
        <v>https://app.twizzit.com/public/photos/3437291/s/f3577d619164c0e4ca4ac15321e6e9e51e00ea9d.png</v>
      </c>
      <c r="N735" t="str">
        <f>IF(Worksheet!AG735="","",Worksheet!AG735)</f>
        <v/>
      </c>
      <c r="O735" t="str">
        <f>IF(Worksheet!AJ735="","",Worksheet!AJ735)</f>
        <v>M10 HAANTJES CERTIFISC OUDENAARDE</v>
      </c>
      <c r="P735" t="str">
        <f>IF(Worksheet!AK735="","",Worksheet!AK735)</f>
        <v>Speler</v>
      </c>
    </row>
    <row r="736" spans="5:16" x14ac:dyDescent="0.3">
      <c r="E736" s="2"/>
      <c r="J736" t="str">
        <f>Worksheet!C736&amp;" "&amp;Worksheet!B736</f>
        <v>Owen Waterschoot</v>
      </c>
      <c r="K736" t="str">
        <f>Worksheet!AM736</f>
        <v/>
      </c>
      <c r="L736" t="str">
        <f>Worksheet!AN736</f>
        <v>+32470821235</v>
      </c>
      <c r="M736" t="str">
        <f>IF(Worksheet!AE736="","",Worksheet!AE736)</f>
        <v/>
      </c>
      <c r="N736">
        <f>IF(Worksheet!AG736="","",Worksheet!AG736)</f>
        <v>631034</v>
      </c>
      <c r="O736" t="str">
        <f>IF(Worksheet!AJ736="","",Worksheet!AJ736)</f>
        <v/>
      </c>
      <c r="P736" t="str">
        <f>IF(Worksheet!AK736="","",Worksheet!AK736)</f>
        <v/>
      </c>
    </row>
    <row r="737" spans="5:16" x14ac:dyDescent="0.3">
      <c r="E737" s="2"/>
      <c r="J737" t="str">
        <f>Worksheet!C737&amp;" "&amp;Worksheet!B737</f>
        <v>Elio Wattenberghe</v>
      </c>
      <c r="K737" t="str">
        <f>Worksheet!AM737</f>
        <v/>
      </c>
      <c r="L737" t="str">
        <f>Worksheet!AN737</f>
        <v>+32476325338</v>
      </c>
      <c r="M737" t="str">
        <f>IF(Worksheet!AE737="","",Worksheet!AE737)</f>
        <v/>
      </c>
      <c r="N737" t="str">
        <f>IF(Worksheet!AG737="","",Worksheet!AG737)</f>
        <v/>
      </c>
      <c r="O737" t="str">
        <f>IF(Worksheet!AJ737="","",Worksheet!AJ737)</f>
        <v/>
      </c>
      <c r="P737" t="str">
        <f>IF(Worksheet!AK737="","",Worksheet!AK737)</f>
        <v/>
      </c>
    </row>
    <row r="738" spans="5:16" x14ac:dyDescent="0.3">
      <c r="E738" s="2"/>
      <c r="J738" t="str">
        <f>Worksheet!C738&amp;" "&amp;Worksheet!B738</f>
        <v>Cedric Watteyn</v>
      </c>
      <c r="K738" t="str">
        <f>Worksheet!AM738</f>
        <v/>
      </c>
      <c r="L738" t="str">
        <f>Worksheet!AN738</f>
        <v>+32471244684</v>
      </c>
      <c r="M738" t="str">
        <f>IF(Worksheet!AE738="","",Worksheet!AE738)</f>
        <v/>
      </c>
      <c r="N738">
        <f>IF(Worksheet!AG738="","",Worksheet!AG738)</f>
        <v>644411</v>
      </c>
      <c r="O738" t="str">
        <f>IF(Worksheet!AJ738="","",Worksheet!AJ738)</f>
        <v>HSE A Haantjes Certifisc Oudenaarde</v>
      </c>
      <c r="P738" t="str">
        <f>IF(Worksheet!AK738="","",Worksheet!AK738)</f>
        <v>Speler</v>
      </c>
    </row>
    <row r="739" spans="5:16" x14ac:dyDescent="0.3">
      <c r="E739" s="2"/>
      <c r="J739" t="str">
        <f>Worksheet!C739&amp;" "&amp;Worksheet!B739</f>
        <v>Mathijs Werbrouck</v>
      </c>
      <c r="K739" t="str">
        <f>Worksheet!AM739</f>
        <v/>
      </c>
      <c r="L739" t="str">
        <f>Worksheet!AN739</f>
        <v/>
      </c>
      <c r="M739" t="str">
        <f>IF(Worksheet!AE739="","",Worksheet!AE739)</f>
        <v/>
      </c>
      <c r="N739" t="str">
        <f>IF(Worksheet!AG739="","",Worksheet!AG739)</f>
        <v/>
      </c>
      <c r="O739" t="str">
        <f>IF(Worksheet!AJ739="","",Worksheet!AJ739)</f>
        <v/>
      </c>
      <c r="P739" t="str">
        <f>IF(Worksheet!AK739="","",Worksheet!AK739)</f>
        <v/>
      </c>
    </row>
    <row r="740" spans="5:16" x14ac:dyDescent="0.3">
      <c r="E740" s="2"/>
      <c r="J740" t="str">
        <f>Worksheet!C740&amp;" "&amp;Worksheet!B740</f>
        <v>Keandro Wieme</v>
      </c>
      <c r="K740" t="str">
        <f>Worksheet!AM740</f>
        <v>eddy.wieme@hotmail.com</v>
      </c>
      <c r="L740" t="str">
        <f>Worksheet!AN740</f>
        <v>+324920764742</v>
      </c>
      <c r="M740" t="str">
        <f>IF(Worksheet!AE740="","",Worksheet!AE740)</f>
        <v/>
      </c>
      <c r="N740" t="str">
        <f>IF(Worksheet!AG740="","",Worksheet!AG740)</f>
        <v/>
      </c>
      <c r="O740" t="str">
        <f>IF(Worksheet!AJ740="","",Worksheet!AJ740)</f>
        <v/>
      </c>
      <c r="P740" t="str">
        <f>IF(Worksheet!AK740="","",Worksheet!AK740)</f>
        <v/>
      </c>
    </row>
    <row r="741" spans="5:16" x14ac:dyDescent="0.3">
      <c r="E741" s="2"/>
      <c r="J741" t="str">
        <f>Worksheet!C741&amp;" "&amp;Worksheet!B741</f>
        <v>Océane Wisbecq</v>
      </c>
      <c r="K741" t="str">
        <f>Worksheet!AM741</f>
        <v>jasper.wisbecq@hotmail.com</v>
      </c>
      <c r="L741" t="str">
        <f>Worksheet!AN741</f>
        <v>+32472459757</v>
      </c>
      <c r="M741" t="str">
        <f>IF(Worksheet!AE741="","",Worksheet!AE741)</f>
        <v/>
      </c>
      <c r="N741" t="str">
        <f>IF(Worksheet!AG741="","",Worksheet!AG741)</f>
        <v/>
      </c>
      <c r="O741" t="str">
        <f>IF(Worksheet!AJ741="","",Worksheet!AJ741)</f>
        <v>G08 Blauw HAANTJES CERTIFISC OUDENAARDE</v>
      </c>
      <c r="P741" t="str">
        <f>IF(Worksheet!AK741="","",Worksheet!AK741)</f>
        <v>Speler</v>
      </c>
    </row>
    <row r="742" spans="5:16" x14ac:dyDescent="0.3">
      <c r="E742" s="2"/>
      <c r="J742" t="str">
        <f>Worksheet!C742&amp;" "&amp;Worksheet!B742</f>
        <v>Louis Woestenborghs</v>
      </c>
      <c r="K742" t="str">
        <f>Worksheet!AM742</f>
        <v/>
      </c>
      <c r="L742" t="str">
        <f>Worksheet!AN742</f>
        <v>+32475466618</v>
      </c>
      <c r="M742" t="str">
        <f>IF(Worksheet!AE742="","",Worksheet!AE742)</f>
        <v/>
      </c>
      <c r="N742" t="str">
        <f>IF(Worksheet!AG742="","",Worksheet!AG742)</f>
        <v/>
      </c>
      <c r="O742" t="str">
        <f>IF(Worksheet!AJ742="","",Worksheet!AJ742)</f>
        <v/>
      </c>
      <c r="P742" t="str">
        <f>IF(Worksheet!AK742="","",Worksheet!AK742)</f>
        <v/>
      </c>
    </row>
    <row r="743" spans="5:16" x14ac:dyDescent="0.3">
      <c r="E743" s="2"/>
      <c r="J743" t="str">
        <f>Worksheet!C743&amp;" "&amp;Worksheet!B743</f>
        <v>Yasin Yurtay</v>
      </c>
      <c r="K743" t="str">
        <f>Worksheet!AM743</f>
        <v/>
      </c>
      <c r="L743" t="str">
        <f>Worksheet!AN743</f>
        <v>+32473610262</v>
      </c>
      <c r="M743" t="str">
        <f>IF(Worksheet!AE743="","",Worksheet!AE743)</f>
        <v/>
      </c>
      <c r="N743" t="str">
        <f>IF(Worksheet!AG743="","",Worksheet!AG743)</f>
        <v/>
      </c>
      <c r="O743" t="str">
        <f>IF(Worksheet!AJ743="","",Worksheet!AJ743)</f>
        <v/>
      </c>
      <c r="P743" t="str">
        <f>IF(Worksheet!AK743="","",Worksheet!AK743)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900E-8167-442A-A02B-227848DCE330}">
  <dimension ref="A1:G394"/>
  <sheetViews>
    <sheetView workbookViewId="0">
      <pane ySplit="1" topLeftCell="A35" activePane="bottomLeft" state="frozen"/>
      <selection pane="bottomLeft" sqref="A1:A1048576"/>
    </sheetView>
  </sheetViews>
  <sheetFormatPr defaultRowHeight="14.4" x14ac:dyDescent="0.3"/>
  <cols>
    <col min="1" max="1" width="29.6640625" customWidth="1"/>
    <col min="2" max="2" width="37" customWidth="1"/>
    <col min="3" max="3" width="20.33203125" customWidth="1"/>
    <col min="4" max="4" width="46.33203125" customWidth="1"/>
    <col min="5" max="5" width="16.6640625" customWidth="1"/>
    <col min="6" max="6" width="40.6640625" customWidth="1"/>
    <col min="7" max="7" width="16.6640625" customWidth="1"/>
  </cols>
  <sheetData>
    <row r="1" spans="1:7" x14ac:dyDescent="0.3">
      <c r="A1" s="1" t="s">
        <v>1</v>
      </c>
      <c r="B1" s="1" t="s">
        <v>2880</v>
      </c>
      <c r="C1" s="1" t="s">
        <v>2881</v>
      </c>
      <c r="D1" s="1" t="s">
        <v>29</v>
      </c>
      <c r="E1" s="1" t="s">
        <v>2882</v>
      </c>
      <c r="F1" s="1" t="s">
        <v>34</v>
      </c>
      <c r="G1" s="1" t="s">
        <v>2883</v>
      </c>
    </row>
    <row r="2" spans="1:7" x14ac:dyDescent="0.3">
      <c r="A2" t="str" cm="1">
        <f t="array" ref="A2:G394">_xlfn._xlws.SORT('Speler-Coach'!A2:G394,6,1)</f>
        <v>Odet Castelain</v>
      </c>
      <c r="B2" t="str">
        <v>evelyn.demesel@hotmail.be</v>
      </c>
      <c r="C2" t="str">
        <v>+32495228616</v>
      </c>
      <c r="D2" t="str">
        <v/>
      </c>
      <c r="E2" s="2" t="str">
        <v/>
      </c>
      <c r="F2" t="str">
        <v>Balschool U6</v>
      </c>
      <c r="G2" t="str">
        <v>Speler</v>
      </c>
    </row>
    <row r="3" spans="1:7" x14ac:dyDescent="0.3">
      <c r="A3" t="str">
        <v>Cécile De Groote Hoebeke</v>
      </c>
      <c r="B3" t="str">
        <v>hoebekehanne@gmail.com</v>
      </c>
      <c r="C3" t="str">
        <v>+32473630733</v>
      </c>
      <c r="D3" t="str">
        <v/>
      </c>
      <c r="E3" s="2" t="str">
        <v/>
      </c>
      <c r="F3" t="str">
        <v>Balschool U6</v>
      </c>
      <c r="G3" t="str">
        <v>Speler</v>
      </c>
    </row>
    <row r="4" spans="1:7" x14ac:dyDescent="0.3">
      <c r="A4" t="str">
        <v>Mauro De Leersnyder</v>
      </c>
      <c r="B4" t="str">
        <v>joke.toye@gmail.com</v>
      </c>
      <c r="C4" t="str">
        <v>+32475403946</v>
      </c>
      <c r="D4" t="str">
        <v/>
      </c>
      <c r="E4" s="2" t="str">
        <v/>
      </c>
      <c r="F4" t="str">
        <v>Balschool U6</v>
      </c>
      <c r="G4" t="str">
        <v>Speler</v>
      </c>
    </row>
    <row r="5" spans="1:7" x14ac:dyDescent="0.3">
      <c r="A5" t="str">
        <v>Rami Decock</v>
      </c>
      <c r="B5" t="str">
        <v>decock.anthony07@gmail.com</v>
      </c>
      <c r="C5" t="str">
        <v>+3249819525</v>
      </c>
      <c r="D5" t="str">
        <v/>
      </c>
      <c r="E5" s="2" t="str">
        <v/>
      </c>
      <c r="F5" t="str">
        <v>Balschool U6</v>
      </c>
      <c r="G5" t="str">
        <v>Speler</v>
      </c>
    </row>
    <row r="6" spans="1:7" x14ac:dyDescent="0.3">
      <c r="A6" t="str">
        <v>Jakob Delbaere</v>
      </c>
      <c r="B6" t="str">
        <v/>
      </c>
      <c r="C6" t="str">
        <v>+32474233989</v>
      </c>
      <c r="D6" t="str">
        <v/>
      </c>
      <c r="E6" s="2" t="str">
        <v/>
      </c>
      <c r="F6" t="str">
        <v>Balschool U6</v>
      </c>
      <c r="G6" t="str">
        <v>Speler</v>
      </c>
    </row>
    <row r="7" spans="1:7" x14ac:dyDescent="0.3">
      <c r="A7" t="str">
        <v>Cérile Doublet</v>
      </c>
      <c r="B7" t="str">
        <v>doubletbenoit@msn.com</v>
      </c>
      <c r="C7" t="str">
        <v>+32472578222</v>
      </c>
      <c r="D7" t="str">
        <v/>
      </c>
      <c r="E7" s="2" t="str">
        <v/>
      </c>
      <c r="F7" t="str">
        <v>Balschool U6</v>
      </c>
      <c r="G7" t="str">
        <v>Speler</v>
      </c>
    </row>
    <row r="8" spans="1:7" x14ac:dyDescent="0.3">
      <c r="A8" t="str">
        <v>Cas Elyn</v>
      </c>
      <c r="B8" t="str">
        <v>lievemoyaert@icloud.com</v>
      </c>
      <c r="C8" t="str">
        <v>+32495653737</v>
      </c>
      <c r="D8" t="str">
        <v/>
      </c>
      <c r="E8" s="2" t="str">
        <v/>
      </c>
      <c r="F8" t="str">
        <v>Balschool U6</v>
      </c>
      <c r="G8" t="str">
        <v>Speler</v>
      </c>
    </row>
    <row r="9" spans="1:7" x14ac:dyDescent="0.3">
      <c r="A9" t="str">
        <v>Tiaz Molly</v>
      </c>
      <c r="B9" t="str">
        <v>Molly.diederick@gmail.com</v>
      </c>
      <c r="C9" t="str">
        <v>+32494605068</v>
      </c>
      <c r="D9" t="str">
        <v/>
      </c>
      <c r="E9" s="2" t="str">
        <v/>
      </c>
      <c r="F9" t="str">
        <v>Balschool U6</v>
      </c>
      <c r="G9" t="str">
        <v>Speler</v>
      </c>
    </row>
    <row r="10" spans="1:7" x14ac:dyDescent="0.3">
      <c r="A10" t="str">
        <v>Alba Slembrouck</v>
      </c>
      <c r="B10" t="str">
        <v>alexandra-kemp@hotmail.com</v>
      </c>
      <c r="C10" t="str">
        <v>+32472902002</v>
      </c>
      <c r="D10" t="str">
        <v/>
      </c>
      <c r="E10" s="2" t="str">
        <v/>
      </c>
      <c r="F10" t="str">
        <v>Balschool U6</v>
      </c>
      <c r="G10" t="str">
        <v>Speler</v>
      </c>
    </row>
    <row r="11" spans="1:7" x14ac:dyDescent="0.3">
      <c r="A11" t="str">
        <v>Lily Adam</v>
      </c>
      <c r="B11" t="str">
        <v>Koenadam78@gmail.com</v>
      </c>
      <c r="C11" t="str">
        <v>+32456558867</v>
      </c>
      <c r="D11" t="str">
        <v>https://app.twizzit.com/public/photos/2182441/s/eec7946e1a9e80461f26752840c4aedc7d235bab.jpeg</v>
      </c>
      <c r="E11" s="2">
        <v>728412</v>
      </c>
      <c r="F11" t="str">
        <v>DSE A Haantjes Certifisc Oudenaarde</v>
      </c>
      <c r="G11" t="str">
        <v>Speler</v>
      </c>
    </row>
    <row r="12" spans="1:7" x14ac:dyDescent="0.3">
      <c r="A12" t="str">
        <v>Janna Bauters</v>
      </c>
      <c r="B12" t="str">
        <v/>
      </c>
      <c r="C12" t="str">
        <v>+32474344132</v>
      </c>
      <c r="D12" t="str">
        <v>https://app.twizzit.com/public/photos/2182476/s/d120dcfc0ec82f0d803829f917b4287681f3dd01.png</v>
      </c>
      <c r="E12" s="2">
        <v>280371</v>
      </c>
      <c r="F12" t="str">
        <v>DSE A Haantjes Certifisc Oudenaarde</v>
      </c>
      <c r="G12" t="str">
        <v>Speler</v>
      </c>
    </row>
    <row r="13" spans="1:7" x14ac:dyDescent="0.3">
      <c r="A13" t="str">
        <v>Marie Bourdeaud'hui</v>
      </c>
      <c r="B13" t="str">
        <v/>
      </c>
      <c r="C13" t="str">
        <v>+32572791</v>
      </c>
      <c r="D13" t="str">
        <v>https://app.twizzit.com/public/photos/2182516/s/0d7291570c9e5cf142cd892c8fd7ace8c517270a.png</v>
      </c>
      <c r="E13" s="2">
        <v>714083</v>
      </c>
      <c r="F13" t="str">
        <v>DSE A Haantjes Certifisc Oudenaarde</v>
      </c>
      <c r="G13" t="str">
        <v>Speler</v>
      </c>
    </row>
    <row r="14" spans="1:7" x14ac:dyDescent="0.3">
      <c r="A14" t="str">
        <v>Aishatu Lieve Buadee</v>
      </c>
      <c r="B14" t="str">
        <v/>
      </c>
      <c r="C14" t="str">
        <v>+32496745543</v>
      </c>
      <c r="D14" t="str">
        <v/>
      </c>
      <c r="E14" s="2" t="str">
        <v/>
      </c>
      <c r="F14" t="str">
        <v>DSE A Haantjes Certifisc Oudenaarde</v>
      </c>
      <c r="G14" t="str">
        <v>Speler</v>
      </c>
    </row>
    <row r="15" spans="1:7" x14ac:dyDescent="0.3">
      <c r="A15" t="str">
        <v>Iris Calewaert</v>
      </c>
      <c r="B15" t="str">
        <v/>
      </c>
      <c r="C15" t="str">
        <v>+32479373164</v>
      </c>
      <c r="D15" t="str">
        <v/>
      </c>
      <c r="E15" s="2">
        <v>622248</v>
      </c>
      <c r="F15" t="str">
        <v>DSE A Haantjes Certifisc Oudenaarde</v>
      </c>
      <c r="G15" t="str">
        <v>Speler</v>
      </c>
    </row>
    <row r="16" spans="1:7" x14ac:dyDescent="0.3">
      <c r="A16" t="str">
        <v>Bart Cattoir</v>
      </c>
      <c r="B16" t="str">
        <v/>
      </c>
      <c r="C16" t="str">
        <v>+32499214775</v>
      </c>
      <c r="D16" t="str">
        <v/>
      </c>
      <c r="E16" s="2">
        <v>20854</v>
      </c>
      <c r="F16" t="str">
        <v>DSE A Haantjes Certifisc Oudenaarde</v>
      </c>
      <c r="G16" t="str">
        <v>Coach</v>
      </c>
    </row>
    <row r="17" spans="1:7" x14ac:dyDescent="0.3">
      <c r="A17" t="str">
        <v>Alice Cokelaere</v>
      </c>
      <c r="B17" t="str">
        <v>sofie.pattyn@telenet.be</v>
      </c>
      <c r="C17" t="str">
        <v>+32477681738</v>
      </c>
      <c r="D17" t="str">
        <v/>
      </c>
      <c r="E17" s="2">
        <v>669074</v>
      </c>
      <c r="F17" t="str">
        <v>DSE A Haantjes Certifisc Oudenaarde</v>
      </c>
      <c r="G17" t="str">
        <v>Speler</v>
      </c>
    </row>
    <row r="18" spans="1:7" x14ac:dyDescent="0.3">
      <c r="A18" t="str">
        <v>Karen Dans</v>
      </c>
      <c r="B18" t="str">
        <v/>
      </c>
      <c r="C18" t="str">
        <v>+32494698322</v>
      </c>
      <c r="D18" t="str">
        <v>https://app.twizzit.com/public/photos/2182586/s/3c061ecaa7eb60b4e8b27f2490fa3fff24778b0c.png</v>
      </c>
      <c r="E18" s="2">
        <v>220520</v>
      </c>
      <c r="F18" t="str">
        <v>DSE A Haantjes Certifisc Oudenaarde</v>
      </c>
      <c r="G18" t="str">
        <v>Speler</v>
      </c>
    </row>
    <row r="19" spans="1:7" x14ac:dyDescent="0.3">
      <c r="A19" t="str">
        <v>Kimberley De Smet</v>
      </c>
      <c r="B19" t="str">
        <v/>
      </c>
      <c r="C19" t="str">
        <v/>
      </c>
      <c r="D19" t="str">
        <v>https://app.twizzit.com/public/photos/2182696/s/b3404003062e85e1b45f5fca9b0565fe70029286.png</v>
      </c>
      <c r="E19" s="2">
        <v>266618</v>
      </c>
      <c r="F19" t="str">
        <v>DSE A Haantjes Certifisc Oudenaarde</v>
      </c>
      <c r="G19" t="str">
        <v>Speler</v>
      </c>
    </row>
    <row r="20" spans="1:7" x14ac:dyDescent="0.3">
      <c r="A20" t="str">
        <v>Heike Guenter</v>
      </c>
      <c r="B20" t="str">
        <v>Heike.guenter@telenet.be</v>
      </c>
      <c r="C20" t="str">
        <v>+32456085054</v>
      </c>
      <c r="D20" t="str">
        <v/>
      </c>
      <c r="E20" s="2">
        <v>727038</v>
      </c>
      <c r="F20" t="str">
        <v>DSE A Haantjes Certifisc Oudenaarde</v>
      </c>
      <c r="G20" t="str">
        <v>Speler</v>
      </c>
    </row>
    <row r="21" spans="1:7" x14ac:dyDescent="0.3">
      <c r="A21" t="str">
        <v>Lente Verhaeghe</v>
      </c>
      <c r="B21" t="str">
        <v>verhaeghelente@gmail.com</v>
      </c>
      <c r="C21" t="str">
        <v/>
      </c>
      <c r="D21" t="str">
        <v>https://app.twizzit.com/public/photos/3706826/s/7283d518f82547e0fb530790cddedb0edf0a5785.jpeg</v>
      </c>
      <c r="E21" s="2" t="str">
        <v/>
      </c>
      <c r="F21" t="str">
        <v>DSE A Haantjes Certifisc Oudenaarde</v>
      </c>
      <c r="G21" t="str">
        <v>Speler</v>
      </c>
    </row>
    <row r="22" spans="1:7" x14ac:dyDescent="0.3">
      <c r="A22" t="str">
        <v>Tybe De Clercq</v>
      </c>
      <c r="B22" t="str">
        <v>freyadesmet@hotmail.com</v>
      </c>
      <c r="C22" t="str">
        <v>+32476214551</v>
      </c>
      <c r="D22" t="str">
        <v/>
      </c>
      <c r="E22" s="2" t="str">
        <v/>
      </c>
      <c r="F22" t="str">
        <v>G08 Blauw HAANTJES CERTIFISC OUDENAARDE</v>
      </c>
      <c r="G22" t="str">
        <v>Speler</v>
      </c>
    </row>
    <row r="23" spans="1:7" x14ac:dyDescent="0.3">
      <c r="A23" t="str">
        <v>Jef Lauwereins</v>
      </c>
      <c r="B23" t="str">
        <v>lauwereins.steven@gmail.com</v>
      </c>
      <c r="C23" t="str">
        <v>+32474317844</v>
      </c>
      <c r="D23" t="str">
        <v/>
      </c>
      <c r="E23" s="2" t="str">
        <v/>
      </c>
      <c r="F23" t="str">
        <v>G08 Blauw HAANTJES CERTIFISC OUDENAARDE</v>
      </c>
      <c r="G23" t="str">
        <v>Speler</v>
      </c>
    </row>
    <row r="24" spans="1:7" x14ac:dyDescent="0.3">
      <c r="A24" t="str">
        <v>Juul Messeeuw</v>
      </c>
      <c r="B24" t="str">
        <v>lynnvdwiele@hotmail.com</v>
      </c>
      <c r="C24" t="str">
        <v>+32486610793</v>
      </c>
      <c r="D24" t="str">
        <v/>
      </c>
      <c r="E24" s="2" t="str">
        <v/>
      </c>
      <c r="F24" t="str">
        <v>G08 Blauw HAANTJES CERTIFISC OUDENAARDE</v>
      </c>
      <c r="G24" t="str">
        <v>Speler</v>
      </c>
    </row>
    <row r="25" spans="1:7" x14ac:dyDescent="0.3">
      <c r="A25" t="str">
        <v>Rover Naessens</v>
      </c>
      <c r="B25" t="str">
        <v>deesnaessens@hotmail.com</v>
      </c>
      <c r="C25" t="str">
        <v>+32495844733</v>
      </c>
      <c r="D25" t="str">
        <v>https://app.twizzit.com/public/photos/7328405/s/a238a3bac0fa83cb173f769b5ce64dd7bdebab6d.jpeg</v>
      </c>
      <c r="E25" s="2" t="str">
        <v/>
      </c>
      <c r="F25" t="str">
        <v>G08 Blauw HAANTJES CERTIFISC OUDENAARDE</v>
      </c>
      <c r="G25" t="str">
        <v>Speler</v>
      </c>
    </row>
    <row r="26" spans="1:7" x14ac:dyDescent="0.3">
      <c r="A26" t="str">
        <v>Théo Parmentier</v>
      </c>
      <c r="B26" t="str">
        <v>jensparmentier@gmail.com</v>
      </c>
      <c r="C26" t="str">
        <v>+32498076133</v>
      </c>
      <c r="D26" t="str">
        <v/>
      </c>
      <c r="E26" s="2" t="str">
        <v/>
      </c>
      <c r="F26" t="str">
        <v>G08 Blauw HAANTJES CERTIFISC OUDENAARDE</v>
      </c>
      <c r="G26" t="str">
        <v>Speler</v>
      </c>
    </row>
    <row r="27" spans="1:7" x14ac:dyDescent="0.3">
      <c r="A27" t="str">
        <v>Thibaut Sadaune</v>
      </c>
      <c r="B27" t="str">
        <v>bartsadaune@hotmail.com</v>
      </c>
      <c r="C27" t="str">
        <v>+32485494075</v>
      </c>
      <c r="D27" t="str">
        <v>https://app.twizzit.com/public/photos/8418475/s/c44854e7fe4ecdd14617bb0fe2e99a30f0cedc15.jpeg</v>
      </c>
      <c r="E27" s="2" t="str">
        <v/>
      </c>
      <c r="F27" t="str">
        <v>G08 Blauw HAANTJES CERTIFISC OUDENAARDE</v>
      </c>
      <c r="G27" t="str">
        <v>Speler</v>
      </c>
    </row>
    <row r="28" spans="1:7" x14ac:dyDescent="0.3">
      <c r="A28" t="str">
        <v>Aster Van Cauwenberghe</v>
      </c>
      <c r="B28" t="str">
        <v/>
      </c>
      <c r="C28" t="str">
        <v>+32476529185</v>
      </c>
      <c r="D28" t="str">
        <v>https://app.twizzit.com/public/photos/6080950/s/e37d4499e2422d263ca72ca5adc1adb614aa1f40.jpeg</v>
      </c>
      <c r="E28" s="2">
        <v>768928</v>
      </c>
      <c r="F28" t="str">
        <v>G08 Blauw HAANTJES CERTIFISC OUDENAARDE</v>
      </c>
      <c r="G28" t="str">
        <v>Speler</v>
      </c>
    </row>
    <row r="29" spans="1:7" x14ac:dyDescent="0.3">
      <c r="A29" t="str">
        <v>Lander Van De Maele</v>
      </c>
      <c r="B29" t="str">
        <v>jensvdmaele@gmail.com</v>
      </c>
      <c r="C29" t="str">
        <v>+32479246218</v>
      </c>
      <c r="D29" t="str">
        <v>https://app.twizzit.com/public/photos/10715682/s/9ac40a7d3bcb76b36d9290dcb9c3bcdc167e2add.jpeg</v>
      </c>
      <c r="E29" s="2" t="str">
        <v/>
      </c>
      <c r="F29" t="str">
        <v>G08 Blauw HAANTJES CERTIFISC OUDENAARDE</v>
      </c>
      <c r="G29" t="str">
        <v>Speler</v>
      </c>
    </row>
    <row r="30" spans="1:7" x14ac:dyDescent="0.3">
      <c r="A30" t="str">
        <v>Ronan Vanneste</v>
      </c>
      <c r="B30" t="str">
        <v>Koen.vanneste.k@gmail.com</v>
      </c>
      <c r="C30" t="str">
        <v>+32472817695</v>
      </c>
      <c r="D30" t="str">
        <v>https://app.twizzit.com/public/photos/7992424/s/7741759047d554aed7aaac84a694a4ea4a62b085.jpeg</v>
      </c>
      <c r="E30" s="2" t="str">
        <v/>
      </c>
      <c r="F30" t="str">
        <v>G08 Blauw HAANTJES CERTIFISC OUDENAARDE</v>
      </c>
      <c r="G30" t="str">
        <v>Speler</v>
      </c>
    </row>
    <row r="31" spans="1:7" x14ac:dyDescent="0.3">
      <c r="A31" t="str">
        <v>Océane Wisbecq</v>
      </c>
      <c r="B31" t="str">
        <v>jasper.wisbecq@hotmail.com</v>
      </c>
      <c r="C31" t="str">
        <v>+32472459757</v>
      </c>
      <c r="D31" t="str">
        <v/>
      </c>
      <c r="E31" s="2" t="str">
        <v/>
      </c>
      <c r="F31" t="str">
        <v>G08 Blauw HAANTJES CERTIFISC OUDENAARDE</v>
      </c>
      <c r="G31" t="str">
        <v>Speler</v>
      </c>
    </row>
    <row r="32" spans="1:7" x14ac:dyDescent="0.3">
      <c r="A32" t="str">
        <v>Joppe Beeckman</v>
      </c>
      <c r="B32" t="str">
        <v>ppoitiez@hotmail.com</v>
      </c>
      <c r="C32" t="str">
        <v>+32486440775</v>
      </c>
      <c r="D32" t="str">
        <v>https://app.twizzit.com/public/photos/7329719/s/3900de37cfdf557a3c2ce4dcb1b36ecfefd6df85.png</v>
      </c>
      <c r="E32" s="2" t="str">
        <v/>
      </c>
      <c r="F32" t="str">
        <v>G08 Geel HAANTJES CERTIFISC OUDENAARDE</v>
      </c>
      <c r="G32" t="str">
        <v>Speler</v>
      </c>
    </row>
    <row r="33" spans="1:7" x14ac:dyDescent="0.3">
      <c r="A33" t="str">
        <v>Leon Boone</v>
      </c>
      <c r="B33" t="str">
        <v>dieter.boone@telenet.be</v>
      </c>
      <c r="C33" t="str">
        <v>+32496024078</v>
      </c>
      <c r="D33" t="str">
        <v/>
      </c>
      <c r="E33" s="2" t="str">
        <v/>
      </c>
      <c r="F33" t="str">
        <v>G08 Geel HAANTJES CERTIFISC OUDENAARDE</v>
      </c>
      <c r="G33" t="str">
        <v>Speler</v>
      </c>
    </row>
    <row r="34" spans="1:7" x14ac:dyDescent="0.3">
      <c r="A34" t="str">
        <v>Jonah Cattoir</v>
      </c>
      <c r="B34" t="str">
        <v/>
      </c>
      <c r="C34" t="str">
        <v/>
      </c>
      <c r="D34" t="str">
        <v/>
      </c>
      <c r="E34" s="2" t="str">
        <v/>
      </c>
      <c r="F34" t="str">
        <v>G08 Geel HAANTJES CERTIFISC OUDENAARDE</v>
      </c>
      <c r="G34" t="str">
        <v>Coach</v>
      </c>
    </row>
    <row r="35" spans="1:7" x14ac:dyDescent="0.3">
      <c r="A35" t="str">
        <v>Lasse Cattoir</v>
      </c>
      <c r="B35" t="str">
        <v/>
      </c>
      <c r="C35" t="str">
        <v/>
      </c>
      <c r="D35" t="str">
        <v>https://app.twizzit.com/public/photos/9522553/s/70d508b65eaba88af49f20bd545e119d36420c07.png</v>
      </c>
      <c r="E35" s="2" t="str">
        <v/>
      </c>
      <c r="F35" t="str">
        <v>G08 Geel HAANTJES CERTIFISC OUDENAARDE</v>
      </c>
      <c r="G35" t="str">
        <v>Speler</v>
      </c>
    </row>
    <row r="36" spans="1:7" x14ac:dyDescent="0.3">
      <c r="A36" t="str">
        <v>Madelein De Groote Hoebeke</v>
      </c>
      <c r="B36" t="str">
        <v>hoebekehanne@gmail.com</v>
      </c>
      <c r="C36" t="str">
        <v>+32473630733</v>
      </c>
      <c r="D36" t="str">
        <v>https://app.twizzit.com/public/photos/7992432/s/9093b3c321ebca1981daea541211e5a7f8dcd3e7.png</v>
      </c>
      <c r="E36" s="2" t="str">
        <v/>
      </c>
      <c r="F36" t="str">
        <v>G08 Geel HAANTJES CERTIFISC OUDENAARDE</v>
      </c>
      <c r="G36" t="str">
        <v>Speler</v>
      </c>
    </row>
    <row r="37" spans="1:7" x14ac:dyDescent="0.3">
      <c r="A37" t="str">
        <v>Elli De Zitter</v>
      </c>
      <c r="B37" t="str">
        <v>de.zitter.steve@gmail.com</v>
      </c>
      <c r="C37" t="str">
        <v>+32473423222</v>
      </c>
      <c r="D37" t="str">
        <v/>
      </c>
      <c r="E37" s="2" t="str">
        <v/>
      </c>
      <c r="F37" t="str">
        <v>G08 Geel HAANTJES CERTIFISC OUDENAARDE</v>
      </c>
      <c r="G37" t="str">
        <v>Speler</v>
      </c>
    </row>
    <row r="38" spans="1:7" x14ac:dyDescent="0.3">
      <c r="A38" t="str">
        <v>Gust Dupont</v>
      </c>
      <c r="B38" t="str">
        <v>sarah.verhellen@hotmail.com</v>
      </c>
      <c r="C38" t="str">
        <v>+32470112368</v>
      </c>
      <c r="D38" t="str">
        <v/>
      </c>
      <c r="E38" s="2" t="str">
        <v/>
      </c>
      <c r="F38" t="str">
        <v>G08 Geel HAANTJES CERTIFISC OUDENAARDE</v>
      </c>
      <c r="G38" t="str">
        <v>Speler</v>
      </c>
    </row>
    <row r="39" spans="1:7" x14ac:dyDescent="0.3">
      <c r="A39" t="str">
        <v>Robin Elyn</v>
      </c>
      <c r="B39" t="str">
        <v>lievemoyaert@icloud.com</v>
      </c>
      <c r="C39" t="str">
        <v>+32495653737</v>
      </c>
      <c r="D39" t="str">
        <v/>
      </c>
      <c r="E39" s="2" t="str">
        <v/>
      </c>
      <c r="F39" t="str">
        <v>G08 Geel HAANTJES CERTIFISC OUDENAARDE</v>
      </c>
      <c r="G39" t="str">
        <v>Speler</v>
      </c>
    </row>
    <row r="40" spans="1:7" x14ac:dyDescent="0.3">
      <c r="A40" t="str">
        <v>Oskar Luyten</v>
      </c>
      <c r="B40" t="str">
        <v>liesbeth_boudrez@hotmail.be</v>
      </c>
      <c r="C40" t="str">
        <v>+32499650150</v>
      </c>
      <c r="D40" t="str">
        <v>https://app.twizzit.com/public/photos/6067218/s/05d3b6d34153ded2c11249ae66f232311ce5df9d.jpeg</v>
      </c>
      <c r="E40" s="2" t="str">
        <v/>
      </c>
      <c r="F40" t="str">
        <v>G08 Geel HAANTJES CERTIFISC OUDENAARDE</v>
      </c>
      <c r="G40" t="str">
        <v>Speler</v>
      </c>
    </row>
    <row r="41" spans="1:7" x14ac:dyDescent="0.3">
      <c r="A41" t="str">
        <v>Ilaï Van De Walle</v>
      </c>
      <c r="B41" t="str">
        <v/>
      </c>
      <c r="C41" t="str">
        <v>+32474818195</v>
      </c>
      <c r="D41" t="str">
        <v/>
      </c>
      <c r="E41" s="2" t="str">
        <v/>
      </c>
      <c r="F41" t="str">
        <v>G08 Geel HAANTJES CERTIFISC OUDENAARDE</v>
      </c>
      <c r="G41" t="str">
        <v>Speler</v>
      </c>
    </row>
    <row r="42" spans="1:7" x14ac:dyDescent="0.3">
      <c r="A42" t="str">
        <v>Lowie Van Nieuwenhuyze</v>
      </c>
      <c r="B42" t="str">
        <v>pietervannieuwenhuyze1984@gmail.com</v>
      </c>
      <c r="C42" t="str">
        <v>+32477259667</v>
      </c>
      <c r="D42" t="str">
        <v/>
      </c>
      <c r="E42" s="2" t="str">
        <v/>
      </c>
      <c r="F42" t="str">
        <v>G08 Geel HAANTJES CERTIFISC OUDENAARDE</v>
      </c>
      <c r="G42" t="str">
        <v>Speler</v>
      </c>
    </row>
    <row r="43" spans="1:7" x14ac:dyDescent="0.3">
      <c r="A43" t="str">
        <v>Auguste Vanderschueren</v>
      </c>
      <c r="B43" t="str">
        <v>olivier.vanderschueren@safetyjogger.com</v>
      </c>
      <c r="C43" t="str">
        <v/>
      </c>
      <c r="D43" t="str">
        <v/>
      </c>
      <c r="E43" s="2" t="str">
        <v/>
      </c>
      <c r="F43" t="str">
        <v>G08 Geel HAANTJES CERTIFISC OUDENAARDE</v>
      </c>
      <c r="G43" t="str">
        <v>Speler</v>
      </c>
    </row>
    <row r="44" spans="1:7" x14ac:dyDescent="0.3">
      <c r="A44" t="str">
        <v>Debbie Verhelst</v>
      </c>
      <c r="B44" t="str">
        <v/>
      </c>
      <c r="C44" t="str">
        <v/>
      </c>
      <c r="D44" t="str">
        <v/>
      </c>
      <c r="E44" s="2">
        <v>181550</v>
      </c>
      <c r="F44" t="str">
        <v>G08 Geel HAANTJES CERTIFISC OUDENAARDE</v>
      </c>
      <c r="G44" t="str">
        <v>Coach</v>
      </c>
    </row>
    <row r="45" spans="1:7" x14ac:dyDescent="0.3">
      <c r="A45" t="str">
        <v>Basiel Vossen</v>
      </c>
      <c r="B45" t="str">
        <v>pieterpaulvossen@hotmail.com</v>
      </c>
      <c r="C45" t="str">
        <v>+32472546513</v>
      </c>
      <c r="D45" t="str">
        <v/>
      </c>
      <c r="E45" s="2" t="str">
        <v/>
      </c>
      <c r="F45" t="str">
        <v>G08 Geel HAANTJES CERTIFISC OUDENAARDE</v>
      </c>
      <c r="G45" t="str">
        <v>Speler</v>
      </c>
    </row>
    <row r="46" spans="1:7" x14ac:dyDescent="0.3">
      <c r="A46" t="str">
        <v>Maurice Boonaert</v>
      </c>
      <c r="B46" t="str">
        <v>reggyboonaert@outlook.be</v>
      </c>
      <c r="C46" t="str">
        <v>+32478731137</v>
      </c>
      <c r="D46" t="str">
        <v/>
      </c>
      <c r="E46" s="2" t="str">
        <v/>
      </c>
      <c r="F46" t="str">
        <v>G08 Groen HAANTJES CERTIFISC OUDENAARDE</v>
      </c>
      <c r="G46" t="str">
        <v>Speler</v>
      </c>
    </row>
    <row r="47" spans="1:7" x14ac:dyDescent="0.3">
      <c r="A47" t="str">
        <v>Tille Debouverie</v>
      </c>
      <c r="B47" t="str">
        <v>debouverieryan@gmail.com</v>
      </c>
      <c r="C47" t="str">
        <v>+32474278078</v>
      </c>
      <c r="D47" t="str">
        <v>https://app.twizzit.com/public/photos/10452578/s/292aacecec7d92bf38572d240646cc8a5ea5dc01.png</v>
      </c>
      <c r="E47" s="2" t="str">
        <v/>
      </c>
      <c r="F47" t="str">
        <v>G08 Groen HAANTJES CERTIFISC OUDENAARDE</v>
      </c>
      <c r="G47" t="str">
        <v>Speler</v>
      </c>
    </row>
    <row r="48" spans="1:7" x14ac:dyDescent="0.3">
      <c r="A48" t="str">
        <v>Julian Moerman</v>
      </c>
      <c r="B48" t="str">
        <v>mirkomoerman@hotmail.com</v>
      </c>
      <c r="C48" t="str">
        <v>+32495423490</v>
      </c>
      <c r="D48" t="str">
        <v/>
      </c>
      <c r="E48" s="2" t="str">
        <v/>
      </c>
      <c r="F48" t="str">
        <v>G08 Groen HAANTJES CERTIFISC OUDENAARDE</v>
      </c>
      <c r="G48" t="str">
        <v>Speler</v>
      </c>
    </row>
    <row r="49" spans="1:7" x14ac:dyDescent="0.3">
      <c r="A49" t="str">
        <v>George O'Reilly</v>
      </c>
      <c r="B49" t="str">
        <v>danieloreilly22@yahoo.ie</v>
      </c>
      <c r="C49" t="str">
        <v>+32494886713</v>
      </c>
      <c r="D49" t="str">
        <v/>
      </c>
      <c r="E49" s="2" t="str">
        <v/>
      </c>
      <c r="F49" t="str">
        <v>G08 Groen HAANTJES CERTIFISC OUDENAARDE</v>
      </c>
      <c r="G49" t="str">
        <v>Speler</v>
      </c>
    </row>
    <row r="50" spans="1:7" x14ac:dyDescent="0.3">
      <c r="A50" t="str">
        <v>Romée Slembrouck</v>
      </c>
      <c r="B50" t="str">
        <v>alexandra-kemp@hotmail.com</v>
      </c>
      <c r="C50" t="str">
        <v>+32472902002</v>
      </c>
      <c r="D50" t="str">
        <v>https://app.twizzit.com/public/photos/7328316/s/d832d97a4d222f65f11eb5051494f0f7bb0f899d.png</v>
      </c>
      <c r="E50" s="2" t="str">
        <v/>
      </c>
      <c r="F50" t="str">
        <v>G08 Groen HAANTJES CERTIFISC OUDENAARDE</v>
      </c>
      <c r="G50" t="str">
        <v>Speler</v>
      </c>
    </row>
    <row r="51" spans="1:7" x14ac:dyDescent="0.3">
      <c r="A51" t="str">
        <v>Juul Torrekens</v>
      </c>
      <c r="B51" t="str">
        <v/>
      </c>
      <c r="C51" t="str">
        <v>+32491736700</v>
      </c>
      <c r="D51" t="str">
        <v>https://app.twizzit.com/public/photos/10452742/s/6c5cf54cdc2121df9ea81aa430b2b5f8abe2c81a.jpeg</v>
      </c>
      <c r="E51" s="2" t="str">
        <v/>
      </c>
      <c r="F51" t="str">
        <v>G08 Groen HAANTJES CERTIFISC OUDENAARDE</v>
      </c>
      <c r="G51" t="str">
        <v>Speler</v>
      </c>
    </row>
    <row r="52" spans="1:7" x14ac:dyDescent="0.3">
      <c r="A52" t="str">
        <v>Mali-June Van Dorpe</v>
      </c>
      <c r="B52" t="str">
        <v>tracy.desmet@hotmail.com</v>
      </c>
      <c r="C52" t="str">
        <v>+32485650671</v>
      </c>
      <c r="D52" t="str">
        <v/>
      </c>
      <c r="E52" s="2" t="str">
        <v/>
      </c>
      <c r="F52" t="str">
        <v>G08 Groen HAANTJES CERTIFISC OUDENAARDE</v>
      </c>
      <c r="G52" t="str">
        <v>Speler</v>
      </c>
    </row>
    <row r="53" spans="1:7" x14ac:dyDescent="0.3">
      <c r="A53" t="str">
        <v>Flo Vandewege</v>
      </c>
      <c r="B53" t="str">
        <v>diedev@hotmail.com</v>
      </c>
      <c r="C53" t="str">
        <v>+32497914889</v>
      </c>
      <c r="D53" t="str">
        <v>https://app.twizzit.com/public/photos/10452584/s/5f2777167147a40d5e0cdf16d10044b2680e0e8c.png</v>
      </c>
      <c r="E53" s="2" t="str">
        <v/>
      </c>
      <c r="F53" t="str">
        <v>G08 Groen HAANTJES CERTIFISC OUDENAARDE</v>
      </c>
      <c r="G53" t="str">
        <v>Speler</v>
      </c>
    </row>
    <row r="54" spans="1:7" x14ac:dyDescent="0.3">
      <c r="A54" t="str">
        <v>Charlotte Verschueren</v>
      </c>
      <c r="B54" t="str">
        <v/>
      </c>
      <c r="C54" t="str">
        <v>+32474278078</v>
      </c>
      <c r="D54" t="str">
        <v>https://app.twizzit.com/public/photos/2183447/s/1f201bfdf86762e0642c70c1aa487baf5ab852bb.png</v>
      </c>
      <c r="E54" s="2">
        <v>241914</v>
      </c>
      <c r="F54" t="str">
        <v>G08 Groen HAANTJES CERTIFISC OUDENAARDE</v>
      </c>
      <c r="G54" t="str">
        <v>Coach</v>
      </c>
    </row>
    <row r="55" spans="1:7" x14ac:dyDescent="0.3">
      <c r="A55" t="str">
        <v>Senn Anseeuw</v>
      </c>
      <c r="B55" t="str">
        <v>matthias.anseeuw@telenet.be</v>
      </c>
      <c r="C55" t="str">
        <v>+32497023380</v>
      </c>
      <c r="D55" t="str">
        <v>https://app.twizzit.com/public/photos/4421954/s/39c1d6c08bc84b336f4c340a175719810e926066.png</v>
      </c>
      <c r="E55" s="2" t="str">
        <v/>
      </c>
      <c r="F55" t="str">
        <v>G10 Blauw HAANTJES CERTIFISC OUDENAARDE</v>
      </c>
      <c r="G55" t="str">
        <v>Speler</v>
      </c>
    </row>
    <row r="56" spans="1:7" x14ac:dyDescent="0.3">
      <c r="A56" t="str">
        <v>Arthur Crombez</v>
      </c>
      <c r="B56" t="str">
        <v/>
      </c>
      <c r="C56" t="str">
        <v>+32478792675</v>
      </c>
      <c r="D56" t="str">
        <v>https://app.twizzit.com/public/photos/7501921/s/cda3c2c21188914d3908db110c011be3c8f5a13d.png</v>
      </c>
      <c r="E56" s="2" t="str">
        <v/>
      </c>
      <c r="F56" t="str">
        <v>G10 Blauw HAANTJES CERTIFISC OUDENAARDE</v>
      </c>
      <c r="G56" t="str">
        <v>Speler</v>
      </c>
    </row>
    <row r="57" spans="1:7" x14ac:dyDescent="0.3">
      <c r="A57" t="str">
        <v>Maurice Debels</v>
      </c>
      <c r="B57" t="str">
        <v/>
      </c>
      <c r="C57" t="str">
        <v>+32476521616</v>
      </c>
      <c r="D57" t="str">
        <v>https://app.twizzit.com/public/photos/7307064/s/62a20fb436e1f6920a77ad9e4cd715a7e88bd1d1.png</v>
      </c>
      <c r="E57" s="2" t="str">
        <v/>
      </c>
      <c r="F57" t="str">
        <v>G10 Blauw HAANTJES CERTIFISC OUDENAARDE</v>
      </c>
      <c r="G57" t="str">
        <v>Speler</v>
      </c>
    </row>
    <row r="58" spans="1:7" x14ac:dyDescent="0.3">
      <c r="A58" t="str">
        <v>Egemen Durhan</v>
      </c>
      <c r="B58" t="str">
        <v>ibosabrie06@gmail.com</v>
      </c>
      <c r="C58" t="str">
        <v>+32491630885</v>
      </c>
      <c r="D58" t="str">
        <v>https://app.twizzit.com/public/photos/5748750/s/6a03612f72e189fb2a542ac535552aede78aad3f.png</v>
      </c>
      <c r="E58" s="2" t="str">
        <v/>
      </c>
      <c r="F58" t="str">
        <v>G10 Blauw HAANTJES CERTIFISC OUDENAARDE</v>
      </c>
      <c r="G58" t="str">
        <v>Speler</v>
      </c>
    </row>
    <row r="59" spans="1:7" x14ac:dyDescent="0.3">
      <c r="A59" t="str">
        <v>Viktor Guillaume</v>
      </c>
      <c r="B59" t="str">
        <v>Dieter.Guillaume@gmail.com</v>
      </c>
      <c r="C59" t="str">
        <v>+32486392021</v>
      </c>
      <c r="D59" t="str">
        <v/>
      </c>
      <c r="E59" s="2" t="str">
        <v/>
      </c>
      <c r="F59" t="str">
        <v>G10 Blauw HAANTJES CERTIFISC OUDENAARDE</v>
      </c>
      <c r="G59" t="str">
        <v>Speler</v>
      </c>
    </row>
    <row r="60" spans="1:7" x14ac:dyDescent="0.3">
      <c r="A60" t="str">
        <v>Lothar Lemaire</v>
      </c>
      <c r="B60" t="str">
        <v>huglemaire@hotmail.com</v>
      </c>
      <c r="C60" t="str">
        <v>+32485677282</v>
      </c>
      <c r="D60" t="str">
        <v>https://app.twizzit.com/public/photos/9680220/s/630006e9802fd7af81a6784302b397c8d31a519e.jpeg</v>
      </c>
      <c r="E60" s="2" t="str">
        <v/>
      </c>
      <c r="F60" t="str">
        <v>G10 Blauw HAANTJES CERTIFISC OUDENAARDE</v>
      </c>
      <c r="G60" t="str">
        <v>Speler</v>
      </c>
    </row>
    <row r="61" spans="1:7" x14ac:dyDescent="0.3">
      <c r="A61" t="str">
        <v>Victor Libert</v>
      </c>
      <c r="B61" t="str">
        <v/>
      </c>
      <c r="C61" t="str">
        <v>+32473780275</v>
      </c>
      <c r="D61" t="str">
        <v>https://app.twizzit.com/public/photos/7493172/s/6235261693b78c2a6b1d4ecbb92a61770437eca9.jpeg</v>
      </c>
      <c r="E61" s="2" t="str">
        <v/>
      </c>
      <c r="F61" t="str">
        <v>G10 Blauw HAANTJES CERTIFISC OUDENAARDE</v>
      </c>
      <c r="G61" t="str">
        <v>Speler</v>
      </c>
    </row>
    <row r="62" spans="1:7" x14ac:dyDescent="0.3">
      <c r="A62" t="str">
        <v>Marte Mechant</v>
      </c>
      <c r="B62" t="str">
        <v>jme.basket@telenet.be</v>
      </c>
      <c r="C62" t="str">
        <v>+32470449365</v>
      </c>
      <c r="D62" t="str">
        <v/>
      </c>
      <c r="E62" s="2">
        <v>665060</v>
      </c>
      <c r="F62" t="str">
        <v>G10 Blauw HAANTJES CERTIFISC OUDENAARDE</v>
      </c>
      <c r="G62" t="str">
        <v>Coach</v>
      </c>
    </row>
    <row r="63" spans="1:7" x14ac:dyDescent="0.3">
      <c r="A63" t="str">
        <v>Lucas Molly</v>
      </c>
      <c r="B63" t="str">
        <v>Molly.diederick@gmail.com</v>
      </c>
      <c r="C63" t="str">
        <v>+32478510919</v>
      </c>
      <c r="D63" t="str">
        <v>https://app.twizzit.com/public/photos/3485821/s/5f632eac97edae595ea1c86f4260b88c5b95d8cd.jpeg</v>
      </c>
      <c r="E63" s="2" t="str">
        <v/>
      </c>
      <c r="F63" t="str">
        <v>G10 Blauw HAANTJES CERTIFISC OUDENAARDE</v>
      </c>
      <c r="G63" t="str">
        <v>Speler</v>
      </c>
    </row>
    <row r="64" spans="1:7" x14ac:dyDescent="0.3">
      <c r="A64" t="str">
        <v>Manu Van de Casteele</v>
      </c>
      <c r="B64" t="str">
        <v>pietervdc@gmail.com</v>
      </c>
      <c r="C64" t="str">
        <v>+32472846382</v>
      </c>
      <c r="D64" t="str">
        <v/>
      </c>
      <c r="E64" s="2" t="str">
        <v/>
      </c>
      <c r="F64" t="str">
        <v>G10 Blauw HAANTJES CERTIFISC OUDENAARDE</v>
      </c>
      <c r="G64" t="str">
        <v>Speler</v>
      </c>
    </row>
    <row r="65" spans="1:7" x14ac:dyDescent="0.3">
      <c r="A65" t="str">
        <v>Vic Vanden Hautte</v>
      </c>
      <c r="B65" t="str">
        <v>Kevin.vdh@gmail.com</v>
      </c>
      <c r="C65" t="str">
        <v>+32473448896</v>
      </c>
      <c r="D65" t="str">
        <v>https://app.twizzit.com/public/photos/10733442/s/de71a0feaf3ea4a6afe343b706af319962bb20c0.jpeg</v>
      </c>
      <c r="E65" s="2" t="str">
        <v/>
      </c>
      <c r="F65" t="str">
        <v>G10 Blauw HAANTJES CERTIFISC OUDENAARDE</v>
      </c>
      <c r="G65" t="str">
        <v>Speler</v>
      </c>
    </row>
    <row r="66" spans="1:7" x14ac:dyDescent="0.3">
      <c r="A66" t="str">
        <v>Nand Versmessen</v>
      </c>
      <c r="B66" t="str">
        <v>veerle_coussement@hotmail.com</v>
      </c>
      <c r="C66" t="str">
        <v>+32499030802</v>
      </c>
      <c r="D66" t="str">
        <v>https://app.twizzit.com/public/photos/3447367/s/f6e635bb7022dfc6607d762d0f4b7b25a59a85c4.png</v>
      </c>
      <c r="E66" s="2" t="str">
        <v/>
      </c>
      <c r="F66" t="str">
        <v>G10 Blauw HAANTJES CERTIFISC OUDENAARDE</v>
      </c>
      <c r="G66" t="str">
        <v>Speler</v>
      </c>
    </row>
    <row r="67" spans="1:7" x14ac:dyDescent="0.3">
      <c r="A67" t="str">
        <v>Matteo Vunck</v>
      </c>
      <c r="B67" t="str">
        <v>fam.vunck.demoor@outlook.com</v>
      </c>
      <c r="C67" t="str">
        <v>+32473356747</v>
      </c>
      <c r="D67" t="str">
        <v>https://app.twizzit.com/public/photos/8418462/s/4cd851c617ea9849ca7ba85a62a0807b8b769b48.jpeg</v>
      </c>
      <c r="E67" s="2" t="str">
        <v/>
      </c>
      <c r="F67" t="str">
        <v>G10 Blauw HAANTJES CERTIFISC OUDENAARDE</v>
      </c>
      <c r="G67" t="str">
        <v>Speler</v>
      </c>
    </row>
    <row r="68" spans="1:7" x14ac:dyDescent="0.3">
      <c r="A68" t="str">
        <v>Lenn Altruy</v>
      </c>
      <c r="B68" t="str">
        <v>David.altruy@outlook.be</v>
      </c>
      <c r="C68" t="str">
        <v>+32475950308</v>
      </c>
      <c r="D68" t="str">
        <v/>
      </c>
      <c r="E68" s="2" t="str">
        <v/>
      </c>
      <c r="F68" t="str">
        <v>G10 Geel HAANTJES CERTIFISC OUDENAARDE</v>
      </c>
      <c r="G68" t="str">
        <v>Speler</v>
      </c>
    </row>
    <row r="69" spans="1:7" x14ac:dyDescent="0.3">
      <c r="A69" t="str">
        <v>Vic Blommaert</v>
      </c>
      <c r="B69" t="str">
        <v>jeroen.blommaert@gmail.com</v>
      </c>
      <c r="C69" t="str">
        <v>+32470067360</v>
      </c>
      <c r="D69" t="str">
        <v>https://app.twizzit.com/public/photos/7328384/s/880c055e18cd3fa9e57719da7306434e04eaf905.png</v>
      </c>
      <c r="E69" s="2" t="str">
        <v/>
      </c>
      <c r="F69" t="str">
        <v>G10 Geel HAANTJES CERTIFISC OUDENAARDE</v>
      </c>
      <c r="G69" t="str">
        <v>Speler</v>
      </c>
    </row>
    <row r="70" spans="1:7" x14ac:dyDescent="0.3">
      <c r="A70" t="str">
        <v>Leon Castelain</v>
      </c>
      <c r="B70" t="str">
        <v/>
      </c>
      <c r="C70" t="str">
        <v>+32495228616</v>
      </c>
      <c r="D70" t="str">
        <v>https://app.twizzit.com/public/photos/3486565/s/dbc5287e080bfa9acd16205b0ef6339800e0ffb6.png</v>
      </c>
      <c r="E70" s="2" t="str">
        <v xml:space="preserve">762623 </v>
      </c>
      <c r="F70" t="str">
        <v>G10 Geel HAANTJES CERTIFISC OUDENAARDE</v>
      </c>
      <c r="G70" t="str">
        <v>Speler</v>
      </c>
    </row>
    <row r="71" spans="1:7" x14ac:dyDescent="0.3">
      <c r="A71" t="str">
        <v>Nand Colpaert</v>
      </c>
      <c r="B71" t="str">
        <v>stijn.colpaert@telenet.be</v>
      </c>
      <c r="C71" t="str">
        <v>+32497216213</v>
      </c>
      <c r="D71" t="str">
        <v/>
      </c>
      <c r="E71" s="2" t="str">
        <v/>
      </c>
      <c r="F71" t="str">
        <v>G10 Geel HAANTJES CERTIFISC OUDENAARDE</v>
      </c>
      <c r="G71" t="str">
        <v>Speler</v>
      </c>
    </row>
    <row r="72" spans="1:7" x14ac:dyDescent="0.3">
      <c r="A72" t="str">
        <v>Ryan Debouverie</v>
      </c>
      <c r="B72" t="str">
        <v/>
      </c>
      <c r="C72" t="str">
        <v>+32496247133</v>
      </c>
      <c r="D72" t="str">
        <v/>
      </c>
      <c r="E72" s="2">
        <v>271615</v>
      </c>
      <c r="F72" t="str">
        <v>G10 Geel HAANTJES CERTIFISC OUDENAARDE</v>
      </c>
      <c r="G72" t="str">
        <v>Coach</v>
      </c>
    </row>
    <row r="73" spans="1:7" x14ac:dyDescent="0.3">
      <c r="A73" t="str">
        <v>Seb Debouverie</v>
      </c>
      <c r="B73" t="str">
        <v/>
      </c>
      <c r="C73" t="str">
        <v>+32474278078</v>
      </c>
      <c r="D73" t="str">
        <v>https://app.twizzit.com/public/photos/3470113/s/d4f4d56826c6eb1d41480a49a2f8240682b337d2.png</v>
      </c>
      <c r="E73" s="2" t="str">
        <v/>
      </c>
      <c r="F73" t="str">
        <v>G10 Geel HAANTJES CERTIFISC OUDENAARDE</v>
      </c>
      <c r="G73" t="str">
        <v>Speler</v>
      </c>
    </row>
    <row r="74" spans="1:7" x14ac:dyDescent="0.3">
      <c r="A74" t="str">
        <v>Miel Elyn</v>
      </c>
      <c r="B74" t="str">
        <v>Lievemoyaert@icloud.com</v>
      </c>
      <c r="C74" t="str">
        <v/>
      </c>
      <c r="D74" t="str">
        <v/>
      </c>
      <c r="E74" s="2" t="str">
        <v/>
      </c>
      <c r="F74" t="str">
        <v>G10 Geel HAANTJES CERTIFISC OUDENAARDE</v>
      </c>
      <c r="G74" t="str">
        <v>Speler</v>
      </c>
    </row>
    <row r="75" spans="1:7" x14ac:dyDescent="0.3">
      <c r="A75" t="str">
        <v>Wolf Lessenne</v>
      </c>
      <c r="B75" t="str">
        <v/>
      </c>
      <c r="C75" t="str">
        <v>+32494240195</v>
      </c>
      <c r="D75" t="str">
        <v>https://app.twizzit.com/public/photos/3580747/s/157853967ede68629434e8db7d36b6d860f7ea97.jpeg</v>
      </c>
      <c r="E75" s="2" t="str">
        <v/>
      </c>
      <c r="F75" t="str">
        <v>G10 Geel HAANTJES CERTIFISC OUDENAARDE</v>
      </c>
      <c r="G75" t="str">
        <v>Speler</v>
      </c>
    </row>
    <row r="76" spans="1:7" x14ac:dyDescent="0.3">
      <c r="A76" t="str">
        <v>Boris Luyten</v>
      </c>
      <c r="B76" t="str">
        <v>liesbeth_boudrez@hotmail.be</v>
      </c>
      <c r="C76" t="str">
        <v>+32499650150</v>
      </c>
      <c r="D76" t="str">
        <v>https://app.twizzit.com/public/photos/3437308/s/ee02af9294d7823dae37d6eb7126b435ef764909.png</v>
      </c>
      <c r="E76" s="2" t="str">
        <v/>
      </c>
      <c r="F76" t="str">
        <v>G10 Geel HAANTJES CERTIFISC OUDENAARDE</v>
      </c>
      <c r="G76" t="str">
        <v>Speler</v>
      </c>
    </row>
    <row r="77" spans="1:7" x14ac:dyDescent="0.3">
      <c r="A77" t="str">
        <v>Jack Saerens</v>
      </c>
      <c r="B77" t="str">
        <v/>
      </c>
      <c r="C77" t="str">
        <v>+32498690042</v>
      </c>
      <c r="D77" t="str">
        <v>https://app.twizzit.com/public/photos/3475134/s/78bd944a9e8b36fe65d592312d1522f18bbf3e32.png</v>
      </c>
      <c r="E77" s="2" t="str">
        <v/>
      </c>
      <c r="F77" t="str">
        <v>G10 Geel HAANTJES CERTIFISC OUDENAARDE</v>
      </c>
      <c r="G77" t="str">
        <v>Speler</v>
      </c>
    </row>
    <row r="78" spans="1:7" x14ac:dyDescent="0.3">
      <c r="A78" t="str">
        <v>Lias Velghe</v>
      </c>
      <c r="B78" t="str">
        <v>natacham_davidv@hotmail.be</v>
      </c>
      <c r="C78" t="str">
        <v>+32498593233</v>
      </c>
      <c r="D78" t="str">
        <v>https://app.twizzit.com/public/photos/3445768/s/4c884b157432a6deaaa18542df061bd432646fa3.png</v>
      </c>
      <c r="E78" s="2" t="str">
        <v/>
      </c>
      <c r="F78" t="str">
        <v>G10 Geel HAANTJES CERTIFISC OUDENAARDE</v>
      </c>
      <c r="G78" t="str">
        <v>Speler</v>
      </c>
    </row>
    <row r="79" spans="1:7" x14ac:dyDescent="0.3">
      <c r="A79" t="str">
        <v>Basile Verbrugghe</v>
      </c>
      <c r="B79" t="str">
        <v>Chrisverbrugghe@hotmail.com</v>
      </c>
      <c r="C79" t="str">
        <v>+32479311550</v>
      </c>
      <c r="D79" t="str">
        <v/>
      </c>
      <c r="E79" s="2" t="str">
        <v/>
      </c>
      <c r="F79" t="str">
        <v>G10 Geel HAANTJES CERTIFISC OUDENAARDE</v>
      </c>
      <c r="G79" t="str">
        <v>Speler</v>
      </c>
    </row>
    <row r="80" spans="1:7" x14ac:dyDescent="0.3">
      <c r="A80" t="str">
        <v>Gaston Waelkens</v>
      </c>
      <c r="B80" t="str">
        <v/>
      </c>
      <c r="C80" t="str">
        <v>+32486694007</v>
      </c>
      <c r="D80" t="str">
        <v>https://app.twizzit.com/public/photos/3437289/s/570cbbb3ba40336fabf43491384c678cfbbf4db4.png</v>
      </c>
      <c r="E80" s="2" t="str">
        <v/>
      </c>
      <c r="F80" t="str">
        <v>G10 Geel HAANTJES CERTIFISC OUDENAARDE</v>
      </c>
      <c r="G80" t="str">
        <v>Speler</v>
      </c>
    </row>
    <row r="81" spans="1:7" x14ac:dyDescent="0.3">
      <c r="A81" t="str">
        <v>Arsen Anar</v>
      </c>
      <c r="B81" t="str">
        <v/>
      </c>
      <c r="C81" t="str">
        <v/>
      </c>
      <c r="D81" t="str">
        <v>https://app.twizzit.com/public/photos/11272034/s/339c8f61eeb207a0a7ef82edab3f88fc90d76b77.jpeg</v>
      </c>
      <c r="E81" s="2" t="str">
        <v/>
      </c>
      <c r="F81" t="str">
        <v>G12 Blauw HAANTJES CERTIFISC OUDENAARDE</v>
      </c>
      <c r="G81" t="str">
        <v>Speler</v>
      </c>
    </row>
    <row r="82" spans="1:7" x14ac:dyDescent="0.3">
      <c r="A82" t="str">
        <v>Mark Anar</v>
      </c>
      <c r="B82" t="str">
        <v/>
      </c>
      <c r="C82" t="str">
        <v/>
      </c>
      <c r="D82" t="str">
        <v>https://app.twizzit.com/public/photos/11272030/s/d97169c55e4278dd5f5452138091d993430ca8ab.jpeg</v>
      </c>
      <c r="E82" s="2" t="str">
        <v/>
      </c>
      <c r="F82" t="str">
        <v>G12 Blauw HAANTJES CERTIFISC OUDENAARDE</v>
      </c>
      <c r="G82" t="str">
        <v>Speler</v>
      </c>
    </row>
    <row r="83" spans="1:7" x14ac:dyDescent="0.3">
      <c r="A83" t="str">
        <v>Marsel Anar</v>
      </c>
      <c r="B83" t="str">
        <v/>
      </c>
      <c r="C83" t="str">
        <v/>
      </c>
      <c r="D83" t="str">
        <v>https://app.twizzit.com/public/photos/11272039/s/667db68e153309a064042452d0f619e8acb011fa.jpeg</v>
      </c>
      <c r="E83" s="2" t="str">
        <v/>
      </c>
      <c r="F83" t="str">
        <v>G12 Blauw HAANTJES CERTIFISC OUDENAARDE</v>
      </c>
      <c r="G83" t="str">
        <v>Speler</v>
      </c>
    </row>
    <row r="84" spans="1:7" x14ac:dyDescent="0.3">
      <c r="A84" t="str">
        <v>Mathias Delcroix</v>
      </c>
      <c r="B84" t="str">
        <v>Delcroix.dieter@hotmail.com</v>
      </c>
      <c r="C84" t="str">
        <v>+32487106040</v>
      </c>
      <c r="D84" t="str">
        <v/>
      </c>
      <c r="E84" s="2" t="str">
        <v/>
      </c>
      <c r="F84" t="str">
        <v>G12 Blauw HAANTJES CERTIFISC OUDENAARDE</v>
      </c>
      <c r="G84" t="str">
        <v>Speler</v>
      </c>
    </row>
    <row r="85" spans="1:7" x14ac:dyDescent="0.3">
      <c r="A85" t="str">
        <v>Kenneth Dhont</v>
      </c>
      <c r="B85" t="str">
        <v/>
      </c>
      <c r="C85" t="str">
        <v>+32477485789</v>
      </c>
      <c r="D85" t="str">
        <v/>
      </c>
      <c r="E85" s="2">
        <v>50455</v>
      </c>
      <c r="F85" t="str">
        <v>G12 Blauw HAANTJES CERTIFISC OUDENAARDE</v>
      </c>
      <c r="G85" t="str">
        <v>Coach</v>
      </c>
    </row>
    <row r="86" spans="1:7" x14ac:dyDescent="0.3">
      <c r="A86" t="str">
        <v>Lou Geenens</v>
      </c>
      <c r="B86" t="str">
        <v/>
      </c>
      <c r="C86" t="str">
        <v>+32479858482</v>
      </c>
      <c r="D86" t="str">
        <v>https://app.twizzit.com/public/photos/10377574/s/62e9c970b54f4ce753f6fe1b02a81459ce0f4576.png</v>
      </c>
      <c r="E86" s="2" t="str">
        <v/>
      </c>
      <c r="F86" t="str">
        <v>G12 Blauw HAANTJES CERTIFISC OUDENAARDE</v>
      </c>
      <c r="G86" t="str">
        <v>Speler</v>
      </c>
    </row>
    <row r="87" spans="1:7" x14ac:dyDescent="0.3">
      <c r="A87" t="str">
        <v>Lowie Malfait</v>
      </c>
      <c r="B87" t="str">
        <v>Hoekman.annelies1@gmail.com</v>
      </c>
      <c r="C87" t="str">
        <v>+32478836273</v>
      </c>
      <c r="D87" t="str">
        <v/>
      </c>
      <c r="E87" s="2" t="str">
        <v/>
      </c>
      <c r="F87" t="str">
        <v>G12 Blauw HAANTJES CERTIFISC OUDENAARDE</v>
      </c>
      <c r="G87" t="str">
        <v>Speler</v>
      </c>
    </row>
    <row r="88" spans="1:7" x14ac:dyDescent="0.3">
      <c r="A88" t="str">
        <v>Omer Nachtergaele</v>
      </c>
      <c r="B88" t="str">
        <v/>
      </c>
      <c r="C88" t="str">
        <v>+32486032155</v>
      </c>
      <c r="D88" t="str">
        <v>https://app.twizzit.com/public/photos/3526587/s/d9cd2de281e5d48997de87a634d3e25b996ae478.png</v>
      </c>
      <c r="E88" s="2" t="str">
        <v/>
      </c>
      <c r="F88" t="str">
        <v>G12 Blauw HAANTJES CERTIFISC OUDENAARDE</v>
      </c>
      <c r="G88" t="str">
        <v>Speler</v>
      </c>
    </row>
    <row r="89" spans="1:7" x14ac:dyDescent="0.3">
      <c r="A89" t="str">
        <v>Maxime Van Herpe</v>
      </c>
      <c r="B89" t="str">
        <v/>
      </c>
      <c r="C89" t="str">
        <v>+32479775361</v>
      </c>
      <c r="D89" t="str">
        <v/>
      </c>
      <c r="E89" s="2" t="str">
        <v/>
      </c>
      <c r="F89" t="str">
        <v>G12 Blauw HAANTJES CERTIFISC OUDENAARDE</v>
      </c>
      <c r="G89" t="str">
        <v>Speler</v>
      </c>
    </row>
    <row r="90" spans="1:7" x14ac:dyDescent="0.3">
      <c r="A90" t="str">
        <v>Lucas Vanderstraeten</v>
      </c>
      <c r="B90" t="str">
        <v/>
      </c>
      <c r="C90" t="str">
        <v>+32496654860</v>
      </c>
      <c r="D90" t="str">
        <v>https://app.twizzit.com/public/photos/3447788/s/a21b510884c5e068d9fd07894f967e10ecef7568.png</v>
      </c>
      <c r="E90" s="2" t="str">
        <v/>
      </c>
      <c r="F90" t="str">
        <v>G12 Blauw HAANTJES CERTIFISC OUDENAARDE</v>
      </c>
      <c r="G90" t="str">
        <v>Speler</v>
      </c>
    </row>
    <row r="91" spans="1:7" x14ac:dyDescent="0.3">
      <c r="A91" t="str">
        <v>Nathan Vermassen</v>
      </c>
      <c r="B91" t="str">
        <v/>
      </c>
      <c r="C91" t="str">
        <v>+32498493330</v>
      </c>
      <c r="D91" t="str">
        <v/>
      </c>
      <c r="E91" s="2" t="str">
        <v/>
      </c>
      <c r="F91" t="str">
        <v>G12 Blauw HAANTJES CERTIFISC OUDENAARDE</v>
      </c>
      <c r="G91" t="str">
        <v>Speler</v>
      </c>
    </row>
    <row r="92" spans="1:7" x14ac:dyDescent="0.3">
      <c r="A92" t="str">
        <v>Niels De Lepeleire</v>
      </c>
      <c r="B92" t="str">
        <v/>
      </c>
      <c r="C92" t="str">
        <v>+32470775058</v>
      </c>
      <c r="D92" t="str">
        <v/>
      </c>
      <c r="E92" s="2">
        <v>213745</v>
      </c>
      <c r="F92" t="str">
        <v>G12 Geel HAANTJES CERTIFISC OUDENAARDE</v>
      </c>
      <c r="G92" t="str">
        <v>Coach</v>
      </c>
    </row>
    <row r="93" spans="1:7" x14ac:dyDescent="0.3">
      <c r="A93" t="str">
        <v>Omer Demets</v>
      </c>
      <c r="B93" t="str">
        <v>Lowie.demets@telenet.be</v>
      </c>
      <c r="C93" t="str">
        <v>+32474450168</v>
      </c>
      <c r="D93" t="str">
        <v/>
      </c>
      <c r="E93" s="2" t="str">
        <v/>
      </c>
      <c r="F93" t="str">
        <v>G12 Geel HAANTJES CERTIFISC OUDENAARDE</v>
      </c>
      <c r="G93" t="str">
        <v>Speler</v>
      </c>
    </row>
    <row r="94" spans="1:7" x14ac:dyDescent="0.3">
      <c r="A94" t="str">
        <v>Vinke Derycke</v>
      </c>
      <c r="B94" t="str">
        <v>stevenderycke244@gmail.com</v>
      </c>
      <c r="C94" t="str">
        <v>+32496478968</v>
      </c>
      <c r="D94" t="str">
        <v/>
      </c>
      <c r="E94" s="2" t="str">
        <v/>
      </c>
      <c r="F94" t="str">
        <v>G12 Geel HAANTJES CERTIFISC OUDENAARDE</v>
      </c>
      <c r="G94" t="str">
        <v>Speler</v>
      </c>
    </row>
    <row r="95" spans="1:7" x14ac:dyDescent="0.3">
      <c r="A95" t="str">
        <v>Thor Lessenne</v>
      </c>
      <c r="B95" t="str">
        <v>lessenne_frederic@yahoo.com</v>
      </c>
      <c r="C95" t="str">
        <v>+32477650341</v>
      </c>
      <c r="D95" t="str">
        <v>https://app.twizzit.com/public/photos/4393791/s/f227f8ddb169feb6dded4f508fa8f0a8d6bc3bc4.jpeg</v>
      </c>
      <c r="E95" s="2">
        <v>758517</v>
      </c>
      <c r="F95" t="str">
        <v>G12 Geel HAANTJES CERTIFISC OUDENAARDE</v>
      </c>
      <c r="G95" t="str">
        <v>Speler</v>
      </c>
    </row>
    <row r="96" spans="1:7" x14ac:dyDescent="0.3">
      <c r="A96" t="str">
        <v>Mathieu Libert</v>
      </c>
      <c r="B96" t="str">
        <v>s_ardenois@hotmail.com</v>
      </c>
      <c r="C96" t="str">
        <v>+32479788543</v>
      </c>
      <c r="D96" t="str">
        <v/>
      </c>
      <c r="E96" s="2" t="str">
        <v/>
      </c>
      <c r="F96" t="str">
        <v>G12 Geel HAANTJES CERTIFISC OUDENAARDE</v>
      </c>
      <c r="G96" t="str">
        <v>Speler</v>
      </c>
    </row>
    <row r="97" spans="1:7" x14ac:dyDescent="0.3">
      <c r="A97" t="str">
        <v>Emiel Opsomer</v>
      </c>
      <c r="B97" t="str">
        <v>meirlaen.evelien@gmail.com</v>
      </c>
      <c r="C97" t="str">
        <v>+32478767261</v>
      </c>
      <c r="D97" t="str">
        <v/>
      </c>
      <c r="E97" s="2">
        <v>757869</v>
      </c>
      <c r="F97" t="str">
        <v>G12 Geel HAANTJES CERTIFISC OUDENAARDE</v>
      </c>
      <c r="G97" t="str">
        <v>Speler</v>
      </c>
    </row>
    <row r="98" spans="1:7" x14ac:dyDescent="0.3">
      <c r="A98" t="str">
        <v>Brent Pollet</v>
      </c>
      <c r="B98" t="str">
        <v>pollet.jelle@gmail.com</v>
      </c>
      <c r="C98" t="str">
        <v>+32474223155</v>
      </c>
      <c r="D98" t="str">
        <v>https://app.twizzit.com/public/photos/3454870/s/e7fdcf5140d5e910d15662f873e9aafb78eb7d4f.jpeg</v>
      </c>
      <c r="E98" s="2">
        <v>756320</v>
      </c>
      <c r="F98" t="str">
        <v>G12 Geel HAANTJES CERTIFISC OUDENAARDE</v>
      </c>
      <c r="G98" t="str">
        <v>Speler</v>
      </c>
    </row>
    <row r="99" spans="1:7" x14ac:dyDescent="0.3">
      <c r="A99" t="str">
        <v>Jerome Van de Weghe</v>
      </c>
      <c r="B99" t="str">
        <v>pieter@combus.be</v>
      </c>
      <c r="C99" t="str">
        <v>+32477473741</v>
      </c>
      <c r="D99" t="str">
        <v/>
      </c>
      <c r="E99" s="2">
        <v>758509</v>
      </c>
      <c r="F99" t="str">
        <v>G12 Geel HAANTJES CERTIFISC OUDENAARDE</v>
      </c>
      <c r="G99" t="str">
        <v>Speler</v>
      </c>
    </row>
    <row r="100" spans="1:7" x14ac:dyDescent="0.3">
      <c r="A100" t="str">
        <v>Ilias Vander Beken</v>
      </c>
      <c r="B100" t="str">
        <v>tine_de_smet90@hotmail.com</v>
      </c>
      <c r="C100" t="str">
        <v>+32468142508</v>
      </c>
      <c r="D100" t="str">
        <v>https://app.twizzit.com/public/photos/9469457/s/eb40348dfb8a2c0c9b13e74dd04369019dbd2f32.jpeg</v>
      </c>
      <c r="E100" s="2" t="str">
        <v/>
      </c>
      <c r="F100" t="str">
        <v>G12 Geel HAANTJES CERTIFISC OUDENAARDE</v>
      </c>
      <c r="G100" t="str">
        <v>Speler</v>
      </c>
    </row>
    <row r="101" spans="1:7" x14ac:dyDescent="0.3">
      <c r="A101" t="str">
        <v>Lucas Verlinden</v>
      </c>
      <c r="B101" t="str">
        <v/>
      </c>
      <c r="C101" t="str">
        <v>+32486682066</v>
      </c>
      <c r="D101" t="str">
        <v/>
      </c>
      <c r="E101" s="2" t="str">
        <v/>
      </c>
      <c r="F101" t="str">
        <v>G12 Geel HAANTJES CERTIFISC OUDENAARDE</v>
      </c>
      <c r="G101" t="str">
        <v>Speler</v>
      </c>
    </row>
    <row r="102" spans="1:7" x14ac:dyDescent="0.3">
      <c r="A102" t="str">
        <v>Lander Verschatse</v>
      </c>
      <c r="B102" t="str">
        <v/>
      </c>
      <c r="C102" t="str">
        <v>+32468516883</v>
      </c>
      <c r="D102" t="str">
        <v>https://app.twizzit.com/public/photos/3557796/s/59f2bc8b383bb3e65d902c435f70a74103c4138d.png</v>
      </c>
      <c r="E102" s="2" t="str">
        <v/>
      </c>
      <c r="F102" t="str">
        <v>G12 Geel HAANTJES CERTIFISC OUDENAARDE</v>
      </c>
      <c r="G102" t="str">
        <v>Speler</v>
      </c>
    </row>
    <row r="103" spans="1:7" x14ac:dyDescent="0.3">
      <c r="A103" t="str">
        <v>Kledion Alia</v>
      </c>
      <c r="B103" t="str">
        <v/>
      </c>
      <c r="C103" t="str">
        <v>+32499284650</v>
      </c>
      <c r="D103" t="str">
        <v>https://app.twizzit.com/public/photos/2650601/s/f885f644ea63bcfe0579c08cf537df8dcbb43ecc.png</v>
      </c>
      <c r="E103" s="2">
        <v>742334</v>
      </c>
      <c r="F103" t="str">
        <v>G14 A Haantjes CERTIFISC Oudenaarde</v>
      </c>
      <c r="G103" t="str">
        <v>Speler</v>
      </c>
    </row>
    <row r="104" spans="1:7" x14ac:dyDescent="0.3">
      <c r="A104" t="str">
        <v>Jules Dekkar</v>
      </c>
      <c r="B104" t="str">
        <v>hakim.dekkar@icloud.com</v>
      </c>
      <c r="C104" t="str">
        <v>+32476488212</v>
      </c>
      <c r="D104" t="str">
        <v>https://app.twizzit.com/public/photos/3451601/s/35fd5f537189934e8013cbeb18029ae3e97fcdcc.jpeg</v>
      </c>
      <c r="E104" s="2">
        <v>747253</v>
      </c>
      <c r="F104" t="str">
        <v>G14 A Haantjes CERTIFISC Oudenaarde</v>
      </c>
      <c r="G104" t="str">
        <v>Speler</v>
      </c>
    </row>
    <row r="105" spans="1:7" x14ac:dyDescent="0.3">
      <c r="A105" t="str">
        <v>Jules Dewilde</v>
      </c>
      <c r="B105" t="str">
        <v>niekdewilde@hotmail.be</v>
      </c>
      <c r="C105" t="str">
        <v>+32474562569</v>
      </c>
      <c r="D105" t="str">
        <v/>
      </c>
      <c r="E105" s="2" t="str">
        <v/>
      </c>
      <c r="F105" t="str">
        <v>G14 A Haantjes CERTIFISC Oudenaarde</v>
      </c>
      <c r="G105" t="str">
        <v>Speler</v>
      </c>
    </row>
    <row r="106" spans="1:7" x14ac:dyDescent="0.3">
      <c r="A106" t="str">
        <v>Kobe Espeel</v>
      </c>
      <c r="B106" t="str">
        <v/>
      </c>
      <c r="C106" t="str">
        <v>+32485070328</v>
      </c>
      <c r="D106" t="str">
        <v/>
      </c>
      <c r="E106" s="2" t="str">
        <v/>
      </c>
      <c r="F106" t="str">
        <v>G14 A Haantjes CERTIFISC Oudenaarde</v>
      </c>
      <c r="G106" t="str">
        <v>Speler</v>
      </c>
    </row>
    <row r="107" spans="1:7" x14ac:dyDescent="0.3">
      <c r="A107" t="str">
        <v>Lennert Huys</v>
      </c>
      <c r="B107" t="str">
        <v/>
      </c>
      <c r="C107" t="str">
        <v>+32498103578</v>
      </c>
      <c r="D107" t="str">
        <v/>
      </c>
      <c r="E107" s="2">
        <v>735041</v>
      </c>
      <c r="F107" t="str">
        <v>G14 A Haantjes CERTIFISC Oudenaarde</v>
      </c>
      <c r="G107" t="str">
        <v>Speler</v>
      </c>
    </row>
    <row r="108" spans="1:7" x14ac:dyDescent="0.3">
      <c r="A108" t="str">
        <v>Filip L'Hommelet</v>
      </c>
      <c r="B108" t="str">
        <v>filip.lhommelet@myweb4u.be</v>
      </c>
      <c r="C108" t="str">
        <v>+32479376759</v>
      </c>
      <c r="D108" t="str">
        <v/>
      </c>
      <c r="E108" s="2">
        <v>92637</v>
      </c>
      <c r="F108" t="str">
        <v>G14 A Haantjes CERTIFISC Oudenaarde</v>
      </c>
      <c r="G108" t="str">
        <v>Coach</v>
      </c>
    </row>
    <row r="109" spans="1:7" x14ac:dyDescent="0.3">
      <c r="A109" t="str">
        <v>Leon L'Hommelet</v>
      </c>
      <c r="B109" t="str">
        <v>els.bourgois@gmail.com</v>
      </c>
      <c r="C109" t="str">
        <v>+32479376759</v>
      </c>
      <c r="D109" t="str">
        <v/>
      </c>
      <c r="E109" s="2">
        <v>733228</v>
      </c>
      <c r="F109" t="str">
        <v>G14 A Haantjes CERTIFISC Oudenaarde</v>
      </c>
      <c r="G109" t="str">
        <v>Speler</v>
      </c>
    </row>
    <row r="110" spans="1:7" x14ac:dyDescent="0.3">
      <c r="A110" t="str">
        <v>Ruube Lagae</v>
      </c>
      <c r="B110" t="str">
        <v>Ruubelagae@gmail.com</v>
      </c>
      <c r="C110" t="str">
        <v>+32471247514</v>
      </c>
      <c r="D110" t="str">
        <v/>
      </c>
      <c r="E110" s="2" t="str">
        <v/>
      </c>
      <c r="F110" t="str">
        <v>G14 A Haantjes CERTIFISC Oudenaarde</v>
      </c>
      <c r="G110" t="str">
        <v>Speler</v>
      </c>
    </row>
    <row r="111" spans="1:7" x14ac:dyDescent="0.3">
      <c r="A111" t="str">
        <v>Nathan Maenhout</v>
      </c>
      <c r="B111" t="str">
        <v>jokespies@hotmail.com</v>
      </c>
      <c r="C111" t="str">
        <v>+32489178706</v>
      </c>
      <c r="D111" t="str">
        <v>https://app.twizzit.com/public/photos/9359547/s/0986374ba59a462685344af411da25079641e82d.jpeg</v>
      </c>
      <c r="E111" s="2" t="str">
        <v/>
      </c>
      <c r="F111" t="str">
        <v>G14 A Haantjes CERTIFISC Oudenaarde</v>
      </c>
      <c r="G111" t="str">
        <v>Speler</v>
      </c>
    </row>
    <row r="112" spans="1:7" x14ac:dyDescent="0.3">
      <c r="A112" t="str">
        <v>Jules Ternoot</v>
      </c>
      <c r="B112" t="str">
        <v/>
      </c>
      <c r="C112" t="str">
        <v>+32468539021</v>
      </c>
      <c r="D112" t="str">
        <v>https://app.twizzit.com/public/photos/9499964/s/ff5f984b647838e4bd7563b356e5c206230b1763.jpeg</v>
      </c>
      <c r="E112" s="2">
        <v>743553</v>
      </c>
      <c r="F112" t="str">
        <v>G14 A Haantjes CERTIFISC Oudenaarde</v>
      </c>
      <c r="G112" t="str">
        <v>Speler</v>
      </c>
    </row>
    <row r="113" spans="1:7" x14ac:dyDescent="0.3">
      <c r="A113" t="str">
        <v>Mattis Van Assche</v>
      </c>
      <c r="B113" t="str">
        <v/>
      </c>
      <c r="C113" t="str">
        <v>+32451022949</v>
      </c>
      <c r="D113" t="str">
        <v>https://app.twizzit.com/public/photos/2183242/s/024b94ee0589d7797c4da7bd2e98266bcdb2677a.png</v>
      </c>
      <c r="E113" s="2">
        <v>729846</v>
      </c>
      <c r="F113" t="str">
        <v>G14 A Haantjes CERTIFISC Oudenaarde</v>
      </c>
      <c r="G113" t="str">
        <v>Speler</v>
      </c>
    </row>
    <row r="114" spans="1:7" x14ac:dyDescent="0.3">
      <c r="A114" t="str">
        <v>Edouard Van de Weghe</v>
      </c>
      <c r="B114" t="str">
        <v/>
      </c>
      <c r="C114" t="str">
        <v>+32479793011</v>
      </c>
      <c r="D114" t="str">
        <v/>
      </c>
      <c r="E114" s="2">
        <v>735070</v>
      </c>
      <c r="F114" t="str">
        <v>G14 A Haantjes CERTIFISC Oudenaarde</v>
      </c>
      <c r="G114" t="str">
        <v>Speler</v>
      </c>
    </row>
    <row r="115" spans="1:7" x14ac:dyDescent="0.3">
      <c r="A115" t="str">
        <v>Matz Vermeerschen</v>
      </c>
      <c r="B115" t="str">
        <v>charlotte.vanmoorleghem1@gmail.com</v>
      </c>
      <c r="C115" t="str">
        <v/>
      </c>
      <c r="D115" t="str">
        <v/>
      </c>
      <c r="E115" s="2">
        <v>729844</v>
      </c>
      <c r="F115" t="str">
        <v>G14 A Haantjes CERTIFISC Oudenaarde</v>
      </c>
      <c r="G115" t="str">
        <v>Speler</v>
      </c>
    </row>
    <row r="116" spans="1:7" x14ac:dyDescent="0.3">
      <c r="A116" t="str">
        <v>Kors Altruy</v>
      </c>
      <c r="B116" t="str">
        <v>David.altruy@outlook.be</v>
      </c>
      <c r="C116" t="str">
        <v>+32475950308</v>
      </c>
      <c r="D116" t="str">
        <v/>
      </c>
      <c r="E116" s="2" t="str">
        <v/>
      </c>
      <c r="F116" t="str">
        <v>G14 B Haantjes CERTIFISC Oudenaarde</v>
      </c>
      <c r="G116" t="str">
        <v>Speler</v>
      </c>
    </row>
    <row r="117" spans="1:7" x14ac:dyDescent="0.3">
      <c r="A117" t="str">
        <v>Matisse Buda Meirlaen</v>
      </c>
      <c r="B117" t="str">
        <v/>
      </c>
      <c r="C117" t="str">
        <v>+32490467800</v>
      </c>
      <c r="D117" t="str">
        <v>https://app.twizzit.com/public/photos/7666112/s/28beee7a2b02560648d49ec2140a1cc079666b2a.png</v>
      </c>
      <c r="E117" s="2" t="str">
        <v/>
      </c>
      <c r="F117" t="str">
        <v>G14 B Haantjes CERTIFISC Oudenaarde</v>
      </c>
      <c r="G117" t="str">
        <v>Speler</v>
      </c>
    </row>
    <row r="118" spans="1:7" x14ac:dyDescent="0.3">
      <c r="A118" t="str">
        <v>Niklas Creteur</v>
      </c>
      <c r="B118" t="str">
        <v/>
      </c>
      <c r="C118" t="str">
        <v>+32496211659</v>
      </c>
      <c r="D118" t="str">
        <v/>
      </c>
      <c r="E118" s="2">
        <v>734418</v>
      </c>
      <c r="F118" t="str">
        <v>G14 B Haantjes CERTIFISC Oudenaarde</v>
      </c>
      <c r="G118" t="str">
        <v>Speler</v>
      </c>
    </row>
    <row r="119" spans="1:7" x14ac:dyDescent="0.3">
      <c r="A119" t="str">
        <v>Mauro Darragas</v>
      </c>
      <c r="B119" t="str">
        <v>Ben_darragas@hotmail.com</v>
      </c>
      <c r="C119" t="str">
        <v>+32473628241</v>
      </c>
      <c r="D119" t="str">
        <v/>
      </c>
      <c r="E119" s="2" t="str">
        <v/>
      </c>
      <c r="F119" t="str">
        <v>G14 B Haantjes CERTIFISC Oudenaarde</v>
      </c>
      <c r="G119" t="str">
        <v>Speler</v>
      </c>
    </row>
    <row r="120" spans="1:7" x14ac:dyDescent="0.3">
      <c r="A120" t="str">
        <v>Arthur Debisschop</v>
      </c>
      <c r="B120" t="str">
        <v/>
      </c>
      <c r="C120" t="str">
        <v>+32486445874</v>
      </c>
      <c r="D120" t="str">
        <v/>
      </c>
      <c r="E120" s="2" t="str">
        <v/>
      </c>
      <c r="F120" t="str">
        <v>G14 B Haantjes CERTIFISC Oudenaarde</v>
      </c>
      <c r="G120" t="str">
        <v>Speler</v>
      </c>
    </row>
    <row r="121" spans="1:7" x14ac:dyDescent="0.3">
      <c r="A121" t="str">
        <v>Alexis Devos</v>
      </c>
      <c r="B121" t="str">
        <v/>
      </c>
      <c r="C121" t="str">
        <v>+32495886987</v>
      </c>
      <c r="D121" t="str">
        <v>https://app.twizzit.com/public/photos/6106676/s/2ae43246aa8142b23f5743a7efbb9e280e512170.png</v>
      </c>
      <c r="E121" s="2">
        <v>763877</v>
      </c>
      <c r="F121" t="str">
        <v>G14 B Haantjes CERTIFISC Oudenaarde</v>
      </c>
      <c r="G121" t="str">
        <v>Speler</v>
      </c>
    </row>
    <row r="122" spans="1:7" x14ac:dyDescent="0.3">
      <c r="A122" t="str">
        <v>Oben Godpower</v>
      </c>
      <c r="B122" t="str">
        <v/>
      </c>
      <c r="C122" t="str">
        <v>+32497885450</v>
      </c>
      <c r="D122" t="str">
        <v/>
      </c>
      <c r="E122" s="2" t="str">
        <v/>
      </c>
      <c r="F122" t="str">
        <v>G14 B Haantjes CERTIFISC Oudenaarde</v>
      </c>
      <c r="G122" t="str">
        <v>Speler</v>
      </c>
    </row>
    <row r="123" spans="1:7" x14ac:dyDescent="0.3">
      <c r="A123" t="str">
        <v>Tuur Goossens</v>
      </c>
      <c r="B123" t="str">
        <v>vrolijke.tuur@gmail.com</v>
      </c>
      <c r="C123" t="str">
        <v>+32478766076</v>
      </c>
      <c r="D123" t="str">
        <v/>
      </c>
      <c r="E123" s="2">
        <v>735148</v>
      </c>
      <c r="F123" t="str">
        <v>G14 B Haantjes CERTIFISC Oudenaarde</v>
      </c>
      <c r="G123" t="str">
        <v>Speler</v>
      </c>
    </row>
    <row r="124" spans="1:7" x14ac:dyDescent="0.3">
      <c r="A124" t="str">
        <v>Steppe Matthys</v>
      </c>
      <c r="B124" t="str">
        <v/>
      </c>
      <c r="C124" t="str">
        <v>+32468429871</v>
      </c>
      <c r="D124" t="str">
        <v>https://app.twizzit.com/public/photos/10488364/s/177c95b9932dcdda23e09eda7b0298c34ca94551.jpeg</v>
      </c>
      <c r="E124" s="2" t="str">
        <v/>
      </c>
      <c r="F124" t="str">
        <v>G14 B Haantjes CERTIFISC Oudenaarde</v>
      </c>
      <c r="G124" t="str">
        <v>Speler</v>
      </c>
    </row>
    <row r="125" spans="1:7" x14ac:dyDescent="0.3">
      <c r="A125" t="str">
        <v>Mauro Van Sande</v>
      </c>
      <c r="B125" t="str">
        <v>Sylvie.mincke@outlook.com</v>
      </c>
      <c r="C125" t="str">
        <v>+32494744847</v>
      </c>
      <c r="D125" t="str">
        <v>https://app.twizzit.com/public/photos/2650608/s/9cebeb89f0d68fff18c1faf3be6be5621d757adb.png</v>
      </c>
      <c r="E125" s="2">
        <v>742367</v>
      </c>
      <c r="F125" t="str">
        <v>G14 B Haantjes CERTIFISC Oudenaarde</v>
      </c>
      <c r="G125" t="str">
        <v>Speler</v>
      </c>
    </row>
    <row r="126" spans="1:7" x14ac:dyDescent="0.3">
      <c r="A126" t="str">
        <v>Viek Verhoeyen</v>
      </c>
      <c r="B126" t="str">
        <v/>
      </c>
      <c r="C126" t="str">
        <v>+32470229908</v>
      </c>
      <c r="D126" t="str">
        <v/>
      </c>
      <c r="E126" s="2" t="str">
        <v/>
      </c>
      <c r="F126" t="str">
        <v>G14 B Haantjes CERTIFISC Oudenaarde</v>
      </c>
      <c r="G126" t="str">
        <v>Speler</v>
      </c>
    </row>
    <row r="127" spans="1:7" x14ac:dyDescent="0.3">
      <c r="A127" t="str">
        <v>Mauro Vermassen</v>
      </c>
      <c r="B127" t="str">
        <v>twizzit@kevinvermassen.be</v>
      </c>
      <c r="C127" t="str">
        <v>+32497427216</v>
      </c>
      <c r="D127" t="str">
        <v/>
      </c>
      <c r="E127" s="2" t="str">
        <v/>
      </c>
      <c r="F127" t="str">
        <v>G14 B Haantjes CERTIFISC Oudenaarde</v>
      </c>
      <c r="G127" t="str">
        <v>Speler</v>
      </c>
    </row>
    <row r="128" spans="1:7" x14ac:dyDescent="0.3">
      <c r="A128" t="str">
        <v>Jules Cokelaere</v>
      </c>
      <c r="B128" t="str">
        <v/>
      </c>
      <c r="C128" t="str">
        <v>+32477681738</v>
      </c>
      <c r="D128" t="str">
        <v/>
      </c>
      <c r="E128" s="2" t="str">
        <v/>
      </c>
      <c r="F128" t="str">
        <v>HSE  C Haantjes Certifisc Oudenaarde</v>
      </c>
      <c r="G128" t="str">
        <v>Speler</v>
      </c>
    </row>
    <row r="129" spans="1:7" x14ac:dyDescent="0.3">
      <c r="A129" t="str">
        <v>Louis De Baere</v>
      </c>
      <c r="B129" t="str">
        <v/>
      </c>
      <c r="C129" t="str">
        <v>+32491029558</v>
      </c>
      <c r="D129" t="str">
        <v/>
      </c>
      <c r="E129" s="2" t="str">
        <v/>
      </c>
      <c r="F129" t="str">
        <v>HSE  C Haantjes Certifisc Oudenaarde</v>
      </c>
      <c r="G129" t="str">
        <v>Speler</v>
      </c>
    </row>
    <row r="130" spans="1:7" x14ac:dyDescent="0.3">
      <c r="A130" t="str">
        <v xml:space="preserve">Camiel De Clercq </v>
      </c>
      <c r="B130" t="str">
        <v/>
      </c>
      <c r="C130" t="str">
        <v>+32499129081</v>
      </c>
      <c r="D130" t="str">
        <v/>
      </c>
      <c r="E130" s="2" t="str">
        <v/>
      </c>
      <c r="F130" t="str">
        <v>HSE  C Haantjes Certifisc Oudenaarde</v>
      </c>
      <c r="G130" t="str">
        <v>Speler</v>
      </c>
    </row>
    <row r="131" spans="1:7" x14ac:dyDescent="0.3">
      <c r="A131" t="str">
        <v>Robbe De Clercq</v>
      </c>
      <c r="B131" t="str">
        <v/>
      </c>
      <c r="C131" t="str">
        <v/>
      </c>
      <c r="D131" t="str">
        <v/>
      </c>
      <c r="E131" s="2">
        <v>631328</v>
      </c>
      <c r="F131" t="str">
        <v>HSE  C Haantjes Certifisc Oudenaarde</v>
      </c>
      <c r="G131" t="str">
        <v>Speler</v>
      </c>
    </row>
    <row r="132" spans="1:7" x14ac:dyDescent="0.3">
      <c r="A132" t="str">
        <v>Siebe De Meyer</v>
      </c>
      <c r="B132" t="str">
        <v/>
      </c>
      <c r="C132" t="str">
        <v/>
      </c>
      <c r="D132" t="str">
        <v/>
      </c>
      <c r="E132" s="2">
        <v>655853</v>
      </c>
      <c r="F132" t="str">
        <v>HSE  C Haantjes Certifisc Oudenaarde</v>
      </c>
      <c r="G132" t="str">
        <v>Speler</v>
      </c>
    </row>
    <row r="133" spans="1:7" x14ac:dyDescent="0.3">
      <c r="A133" t="str">
        <v>Ryan Debouverie</v>
      </c>
      <c r="B133" t="str">
        <v/>
      </c>
      <c r="C133" t="str">
        <v>+32496247133</v>
      </c>
      <c r="D133" t="str">
        <v/>
      </c>
      <c r="E133" s="2">
        <v>271615</v>
      </c>
      <c r="F133" t="str">
        <v>HSE  C Haantjes Certifisc Oudenaarde</v>
      </c>
      <c r="G133" t="str">
        <v>Coach</v>
      </c>
    </row>
    <row r="134" spans="1:7" x14ac:dyDescent="0.3">
      <c r="A134" t="str">
        <v>Quentin Debruyne</v>
      </c>
      <c r="B134" t="str">
        <v/>
      </c>
      <c r="C134" t="str">
        <v>+32471753995</v>
      </c>
      <c r="D134" t="str">
        <v/>
      </c>
      <c r="E134" s="2" t="str">
        <v/>
      </c>
      <c r="F134" t="str">
        <v>HSE  C Haantjes Certifisc Oudenaarde</v>
      </c>
      <c r="G134" t="str">
        <v>Speler</v>
      </c>
    </row>
    <row r="135" spans="1:7" x14ac:dyDescent="0.3">
      <c r="A135" t="str">
        <v>Jarno Dhont</v>
      </c>
      <c r="B135" t="str">
        <v>dhont.lieven1@gmail.com</v>
      </c>
      <c r="C135" t="str">
        <v>+32468292174</v>
      </c>
      <c r="D135" t="str">
        <v/>
      </c>
      <c r="E135" s="2">
        <v>658022</v>
      </c>
      <c r="F135" t="str">
        <v>HSE  C Haantjes Certifisc Oudenaarde</v>
      </c>
      <c r="G135" t="str">
        <v>Speler</v>
      </c>
    </row>
    <row r="136" spans="1:7" x14ac:dyDescent="0.3">
      <c r="A136" t="str">
        <v>Mathis Dhont</v>
      </c>
      <c r="B136" t="str">
        <v/>
      </c>
      <c r="C136" t="str">
        <v/>
      </c>
      <c r="D136" t="str">
        <v/>
      </c>
      <c r="E136" s="2">
        <v>660481</v>
      </c>
      <c r="F136" t="str">
        <v>HSE  C Haantjes Certifisc Oudenaarde</v>
      </c>
      <c r="G136" t="str">
        <v>Speler</v>
      </c>
    </row>
    <row r="137" spans="1:7" x14ac:dyDescent="0.3">
      <c r="A137" t="str">
        <v>Joël Peeters</v>
      </c>
      <c r="B137" t="str">
        <v/>
      </c>
      <c r="C137" t="str">
        <v/>
      </c>
      <c r="D137" t="str">
        <v/>
      </c>
      <c r="E137" s="2" t="str">
        <v/>
      </c>
      <c r="F137" t="str">
        <v>HSE  C Haantjes Certifisc Oudenaarde</v>
      </c>
      <c r="G137" t="str">
        <v>Speler</v>
      </c>
    </row>
    <row r="138" spans="1:7" x14ac:dyDescent="0.3">
      <c r="A138" t="str">
        <v>Tristan Van Meenen</v>
      </c>
      <c r="B138" t="str">
        <v>jzvanmeenen@telenet.be</v>
      </c>
      <c r="C138" t="str">
        <v>+32468153046</v>
      </c>
      <c r="D138" t="str">
        <v/>
      </c>
      <c r="E138" s="2" t="str">
        <v/>
      </c>
      <c r="F138" t="str">
        <v>HSE  C Haantjes Certifisc Oudenaarde</v>
      </c>
      <c r="G138" t="str">
        <v>Speler</v>
      </c>
    </row>
    <row r="139" spans="1:7" x14ac:dyDescent="0.3">
      <c r="A139" t="str">
        <v>Giles Van Merhaeghe</v>
      </c>
      <c r="B139" t="str">
        <v/>
      </c>
      <c r="C139" t="str">
        <v/>
      </c>
      <c r="D139" t="str">
        <v/>
      </c>
      <c r="E139" s="2">
        <v>663125</v>
      </c>
      <c r="F139" t="str">
        <v>HSE  C Haantjes Certifisc Oudenaarde</v>
      </c>
      <c r="G139" t="str">
        <v>Speler</v>
      </c>
    </row>
    <row r="140" spans="1:7" x14ac:dyDescent="0.3">
      <c r="A140" t="str">
        <v>Kenny Volkaert</v>
      </c>
      <c r="B140" t="str">
        <v/>
      </c>
      <c r="C140" t="str">
        <v>+32483038837</v>
      </c>
      <c r="D140" t="str">
        <v/>
      </c>
      <c r="E140" s="2">
        <v>644848</v>
      </c>
      <c r="F140" t="str">
        <v>HSE  C Haantjes Certifisc Oudenaarde</v>
      </c>
      <c r="G140" t="str">
        <v>Speler</v>
      </c>
    </row>
    <row r="141" spans="1:7" x14ac:dyDescent="0.3">
      <c r="A141" t="str">
        <v>Niels De Lepeleire</v>
      </c>
      <c r="B141" t="str">
        <v/>
      </c>
      <c r="C141" t="str">
        <v>+32470775058</v>
      </c>
      <c r="D141" t="str">
        <v/>
      </c>
      <c r="E141" s="2">
        <v>213745</v>
      </c>
      <c r="F141" t="str">
        <v>HSE A Haantjes Certifisc Oudenaarde</v>
      </c>
      <c r="G141" t="str">
        <v>Speler</v>
      </c>
    </row>
    <row r="142" spans="1:7" x14ac:dyDescent="0.3">
      <c r="A142" t="str">
        <v>Quinten Derous</v>
      </c>
      <c r="B142" t="str">
        <v/>
      </c>
      <c r="C142" t="str">
        <v>+32468258571</v>
      </c>
      <c r="D142" t="str">
        <v/>
      </c>
      <c r="E142" s="2">
        <v>624753</v>
      </c>
      <c r="F142" t="str">
        <v>HSE A Haantjes Certifisc Oudenaarde</v>
      </c>
      <c r="G142" t="str">
        <v>Speler</v>
      </c>
    </row>
    <row r="143" spans="1:7" x14ac:dyDescent="0.3">
      <c r="A143" t="str">
        <v>Marco Dick</v>
      </c>
      <c r="B143" t="str">
        <v/>
      </c>
      <c r="C143" t="str">
        <v>+32499754251</v>
      </c>
      <c r="D143" t="str">
        <v/>
      </c>
      <c r="E143" s="2">
        <v>633923</v>
      </c>
      <c r="F143" t="str">
        <v>HSE A Haantjes Certifisc Oudenaarde</v>
      </c>
      <c r="G143" t="str">
        <v>Speler</v>
      </c>
    </row>
    <row r="144" spans="1:7" x14ac:dyDescent="0.3">
      <c r="A144" t="str">
        <v>Ukeme Essien</v>
      </c>
      <c r="B144" t="str">
        <v/>
      </c>
      <c r="C144" t="str">
        <v>+32493339044</v>
      </c>
      <c r="D144" t="str">
        <v/>
      </c>
      <c r="E144" s="2">
        <v>648536</v>
      </c>
      <c r="F144" t="str">
        <v>HSE A Haantjes Certifisc Oudenaarde</v>
      </c>
      <c r="G144" t="str">
        <v>Speler</v>
      </c>
    </row>
    <row r="145" spans="1:7" x14ac:dyDescent="0.3">
      <c r="A145" t="str">
        <v>Andreas Lippens</v>
      </c>
      <c r="B145" t="str">
        <v/>
      </c>
      <c r="C145" t="str">
        <v>+32492223206</v>
      </c>
      <c r="D145" t="str">
        <v/>
      </c>
      <c r="E145" s="2">
        <v>287179</v>
      </c>
      <c r="F145" t="str">
        <v>HSE A Haantjes Certifisc Oudenaarde</v>
      </c>
      <c r="G145" t="str">
        <v>Speler</v>
      </c>
    </row>
    <row r="146" spans="1:7" x14ac:dyDescent="0.3">
      <c r="A146" t="str">
        <v>Jakob Marcou</v>
      </c>
      <c r="B146" t="str">
        <v/>
      </c>
      <c r="C146" t="str">
        <v>+32474234134</v>
      </c>
      <c r="D146" t="str">
        <v/>
      </c>
      <c r="E146" s="2">
        <v>608268</v>
      </c>
      <c r="F146" t="str">
        <v>HSE A Haantjes Certifisc Oudenaarde</v>
      </c>
      <c r="G146" t="str">
        <v>Speler</v>
      </c>
    </row>
    <row r="147" spans="1:7" x14ac:dyDescent="0.3">
      <c r="A147" t="str">
        <v>Bleys Maxime</v>
      </c>
      <c r="B147" t="str">
        <v/>
      </c>
      <c r="C147" t="str">
        <v>+32495940240</v>
      </c>
      <c r="D147" t="str">
        <v/>
      </c>
      <c r="E147" s="2">
        <v>661314</v>
      </c>
      <c r="F147" t="str">
        <v>HSE A Haantjes Certifisc Oudenaarde</v>
      </c>
      <c r="G147" t="str">
        <v>Speler</v>
      </c>
    </row>
    <row r="148" spans="1:7" x14ac:dyDescent="0.3">
      <c r="A148" t="str">
        <v>Robin Spaens</v>
      </c>
      <c r="B148" t="str">
        <v/>
      </c>
      <c r="C148" t="str">
        <v>+32476359988</v>
      </c>
      <c r="D148" t="str">
        <v/>
      </c>
      <c r="E148" s="2">
        <v>234515</v>
      </c>
      <c r="F148" t="str">
        <v>HSE A Haantjes Certifisc Oudenaarde</v>
      </c>
      <c r="G148" t="str">
        <v>Speler</v>
      </c>
    </row>
    <row r="149" spans="1:7" x14ac:dyDescent="0.3">
      <c r="A149" t="str">
        <v>Bram Van Wyngene</v>
      </c>
      <c r="B149" t="str">
        <v/>
      </c>
      <c r="C149" t="str">
        <v>+32477349575</v>
      </c>
      <c r="D149" t="str">
        <v/>
      </c>
      <c r="E149" s="2" t="str">
        <v/>
      </c>
      <c r="F149" t="str">
        <v>HSE A Haantjes Certifisc Oudenaarde</v>
      </c>
      <c r="G149" t="str">
        <v>Coach</v>
      </c>
    </row>
    <row r="150" spans="1:7" x14ac:dyDescent="0.3">
      <c r="A150" t="str">
        <v>Cedric Watteyn</v>
      </c>
      <c r="B150" t="str">
        <v/>
      </c>
      <c r="C150" t="str">
        <v>+32471244684</v>
      </c>
      <c r="D150" t="str">
        <v/>
      </c>
      <c r="E150" s="2">
        <v>644411</v>
      </c>
      <c r="F150" t="str">
        <v>HSE A Haantjes Certifisc Oudenaarde</v>
      </c>
      <c r="G150" t="str">
        <v>Speler</v>
      </c>
    </row>
    <row r="151" spans="1:7" x14ac:dyDescent="0.3">
      <c r="A151" t="str">
        <v>Rémi Bauters</v>
      </c>
      <c r="B151" t="str">
        <v/>
      </c>
      <c r="C151" t="str">
        <v>+32497078444</v>
      </c>
      <c r="D151" t="str">
        <v/>
      </c>
      <c r="E151" s="2" t="str">
        <v/>
      </c>
      <c r="F151" t="str">
        <v>HSE B Haantjes Certifisc Oudenaarde</v>
      </c>
      <c r="G151" t="str">
        <v>Speler</v>
      </c>
    </row>
    <row r="152" spans="1:7" x14ac:dyDescent="0.3">
      <c r="A152" t="str">
        <v>Matti Bogaert</v>
      </c>
      <c r="B152" t="str">
        <v>mboogie800@hotmail.com</v>
      </c>
      <c r="C152" t="str">
        <v>+32465007097</v>
      </c>
      <c r="D152" t="str">
        <v/>
      </c>
      <c r="E152" s="2">
        <v>737616</v>
      </c>
      <c r="F152" t="str">
        <v>HSE B Haantjes Certifisc Oudenaarde</v>
      </c>
      <c r="G152" t="str">
        <v>Speler</v>
      </c>
    </row>
    <row r="153" spans="1:7" x14ac:dyDescent="0.3">
      <c r="A153" t="str">
        <v>Dylann Bufkens</v>
      </c>
      <c r="B153" t="str">
        <v/>
      </c>
      <c r="C153" t="str">
        <v>+32493561486</v>
      </c>
      <c r="D153" t="str">
        <v/>
      </c>
      <c r="E153" s="2">
        <v>638804</v>
      </c>
      <c r="F153" t="str">
        <v>HSE B Haantjes Certifisc Oudenaarde</v>
      </c>
      <c r="G153" t="str">
        <v>Speler</v>
      </c>
    </row>
    <row r="154" spans="1:7" x14ac:dyDescent="0.3">
      <c r="A154" t="str">
        <v>Sofian D'Haenen</v>
      </c>
      <c r="B154" t="str">
        <v/>
      </c>
      <c r="C154" t="str">
        <v/>
      </c>
      <c r="D154" t="str">
        <v/>
      </c>
      <c r="E154" s="2" t="str">
        <v/>
      </c>
      <c r="F154" t="str">
        <v>HSE B Haantjes Certifisc Oudenaarde</v>
      </c>
      <c r="G154" t="str">
        <v>Speler</v>
      </c>
    </row>
    <row r="155" spans="1:7" x14ac:dyDescent="0.3">
      <c r="A155" t="str">
        <v>David De Brabander</v>
      </c>
      <c r="B155" t="str">
        <v/>
      </c>
      <c r="C155" t="str">
        <v>+32478251758</v>
      </c>
      <c r="D155" t="str">
        <v>https://app.twizzit.com/public/photos/4024795/s/7af12ff114d5d53515b4f220ddc6cdb6ff121519.png</v>
      </c>
      <c r="E155" s="2">
        <v>32746</v>
      </c>
      <c r="F155" t="str">
        <v>HSE B Haantjes Certifisc Oudenaarde</v>
      </c>
      <c r="G155" t="str">
        <v>Coach</v>
      </c>
    </row>
    <row r="156" spans="1:7" x14ac:dyDescent="0.3">
      <c r="A156" t="str">
        <v>Milan De Brabander</v>
      </c>
      <c r="B156" t="str">
        <v>de.brabander.david@telenet.be</v>
      </c>
      <c r="C156" t="str">
        <v>+32468348603</v>
      </c>
      <c r="D156" t="str">
        <v>https://app.twizzit.com/public/photos/3519915/s/cb4bbdba90c700302dcd9548901e284ce021df92.jpeg</v>
      </c>
      <c r="E156" s="2">
        <v>748910</v>
      </c>
      <c r="F156" t="str">
        <v>HSE B Haantjes Certifisc Oudenaarde</v>
      </c>
      <c r="G156" t="str">
        <v>Speler</v>
      </c>
    </row>
    <row r="157" spans="1:7" x14ac:dyDescent="0.3">
      <c r="A157" t="str">
        <v>Mathieu De Clercq</v>
      </c>
      <c r="B157" t="str">
        <v/>
      </c>
      <c r="C157" t="str">
        <v>+32495786491</v>
      </c>
      <c r="D157" t="str">
        <v/>
      </c>
      <c r="E157" s="2">
        <v>600191</v>
      </c>
      <c r="F157" t="str">
        <v>HSE B Haantjes Certifisc Oudenaarde</v>
      </c>
      <c r="G157" t="str">
        <v>Speler</v>
      </c>
    </row>
    <row r="158" spans="1:7" x14ac:dyDescent="0.3">
      <c r="A158" t="str">
        <v>Ryan Debouverie</v>
      </c>
      <c r="B158" t="str">
        <v/>
      </c>
      <c r="C158" t="str">
        <v>+32496247133</v>
      </c>
      <c r="D158" t="str">
        <v/>
      </c>
      <c r="E158" s="2">
        <v>271615</v>
      </c>
      <c r="F158" t="str">
        <v>HSE B Haantjes Certifisc Oudenaarde</v>
      </c>
      <c r="G158" t="str">
        <v>Speler</v>
      </c>
    </row>
    <row r="159" spans="1:7" x14ac:dyDescent="0.3">
      <c r="A159" t="str">
        <v>Yves Bellard Giriteka</v>
      </c>
      <c r="B159" t="str">
        <v/>
      </c>
      <c r="C159" t="str">
        <v>+32466419783</v>
      </c>
      <c r="D159" t="str">
        <v/>
      </c>
      <c r="E159" s="2" t="str">
        <v/>
      </c>
      <c r="F159" t="str">
        <v>HSE B Haantjes Certifisc Oudenaarde</v>
      </c>
      <c r="G159" t="str">
        <v>Speler</v>
      </c>
    </row>
    <row r="160" spans="1:7" x14ac:dyDescent="0.3">
      <c r="A160" t="str">
        <v>Thomas Goossens</v>
      </c>
      <c r="B160" t="str">
        <v/>
      </c>
      <c r="C160" t="str">
        <v>+32477281468</v>
      </c>
      <c r="D160" t="str">
        <v>https://app.twizzit.com/public/photos/2182921/s/d5ec4bbccbaf575bfa3a597df60827a1e6809d4b.png</v>
      </c>
      <c r="E160" s="2">
        <v>708299</v>
      </c>
      <c r="F160" t="str">
        <v>HSE B Haantjes Certifisc Oudenaarde</v>
      </c>
      <c r="G160" t="str">
        <v>Speler</v>
      </c>
    </row>
    <row r="161" spans="1:7" x14ac:dyDescent="0.3">
      <c r="A161" t="str">
        <v>Sander Hakuzimana</v>
      </c>
      <c r="B161" t="str">
        <v/>
      </c>
      <c r="C161" t="str">
        <v>+32467059655</v>
      </c>
      <c r="D161" t="str">
        <v/>
      </c>
      <c r="E161" s="2" t="str">
        <v/>
      </c>
      <c r="F161" t="str">
        <v>HSE B Haantjes Certifisc Oudenaarde</v>
      </c>
      <c r="G161" t="str">
        <v>Speler</v>
      </c>
    </row>
    <row r="162" spans="1:7" x14ac:dyDescent="0.3">
      <c r="A162" t="str">
        <v>Arno Heyerick</v>
      </c>
      <c r="B162" t="str">
        <v/>
      </c>
      <c r="C162" t="str">
        <v>+32479480500</v>
      </c>
      <c r="D162" t="str">
        <v/>
      </c>
      <c r="E162" s="2">
        <v>665927</v>
      </c>
      <c r="F162" t="str">
        <v>HSE B Haantjes Certifisc Oudenaarde</v>
      </c>
      <c r="G162" t="str">
        <v>Speler</v>
      </c>
    </row>
    <row r="163" spans="1:7" x14ac:dyDescent="0.3">
      <c r="A163" t="str">
        <v>Vic Huysman</v>
      </c>
      <c r="B163" t="str">
        <v/>
      </c>
      <c r="C163" t="str">
        <v>+32474884540</v>
      </c>
      <c r="D163" t="str">
        <v>https://app.twizzit.com/public/photos/2936186/s/c4015a6cfb380c1e7090d66488ca6326fa9caa7a.png</v>
      </c>
      <c r="E163" s="2">
        <v>744354</v>
      </c>
      <c r="F163" t="str">
        <v>HSE B Haantjes Certifisc Oudenaarde</v>
      </c>
      <c r="G163" t="str">
        <v>Speler</v>
      </c>
    </row>
    <row r="164" spans="1:7" x14ac:dyDescent="0.3">
      <c r="A164" t="str">
        <v>Aleksandr Kazmenko</v>
      </c>
      <c r="B164" t="str">
        <v>alex@inolel.com</v>
      </c>
      <c r="C164" t="str">
        <v/>
      </c>
      <c r="D164" t="str">
        <v/>
      </c>
      <c r="E164" s="2">
        <v>280658</v>
      </c>
      <c r="F164" t="str">
        <v>HSE B Haantjes Certifisc Oudenaarde</v>
      </c>
      <c r="G164" t="str">
        <v>Speler</v>
      </c>
    </row>
    <row r="165" spans="1:7" x14ac:dyDescent="0.3">
      <c r="A165" t="str">
        <v>Brecht Van Glabeke</v>
      </c>
      <c r="B165" t="str">
        <v/>
      </c>
      <c r="C165" t="str">
        <v>+32470671727</v>
      </c>
      <c r="D165" t="str">
        <v/>
      </c>
      <c r="E165" s="2" t="str">
        <v/>
      </c>
      <c r="F165" t="str">
        <v>HSE B Haantjes Certifisc Oudenaarde</v>
      </c>
      <c r="G165" t="str">
        <v>Speler</v>
      </c>
    </row>
    <row r="166" spans="1:7" x14ac:dyDescent="0.3">
      <c r="A166" t="str">
        <v>Thomas Viaene</v>
      </c>
      <c r="B166" t="str">
        <v/>
      </c>
      <c r="C166" t="str">
        <v>+32497313727</v>
      </c>
      <c r="D166" t="str">
        <v/>
      </c>
      <c r="E166" s="2">
        <v>739602</v>
      </c>
      <c r="F166" t="str">
        <v>HSE B Haantjes Certifisc Oudenaarde</v>
      </c>
      <c r="G166" t="str">
        <v>Speler</v>
      </c>
    </row>
    <row r="167" spans="1:7" x14ac:dyDescent="0.3">
      <c r="A167" t="str">
        <v>Torre Beeckman</v>
      </c>
      <c r="B167" t="str">
        <v/>
      </c>
      <c r="C167" t="str">
        <v>+32486440775</v>
      </c>
      <c r="D167" t="str">
        <v>https://app.twizzit.com/public/photos/2182491/s/9cf26edd91096e59f19c665e2f0a4528adc17aa7.png</v>
      </c>
      <c r="E167" s="2">
        <v>720212</v>
      </c>
      <c r="F167" t="str">
        <v>J16 A Haantjes CERTIFISC Oudenaarde</v>
      </c>
      <c r="G167" t="str">
        <v>Speler</v>
      </c>
    </row>
    <row r="168" spans="1:7" x14ac:dyDescent="0.3">
      <c r="A168" t="str">
        <v>Liam Bufkens</v>
      </c>
      <c r="B168" t="str">
        <v>vanbael_ijlie@hotmail.com</v>
      </c>
      <c r="C168" t="str">
        <v/>
      </c>
      <c r="D168" t="str">
        <v/>
      </c>
      <c r="E168" s="2">
        <v>740183</v>
      </c>
      <c r="F168" t="str">
        <v>J16 A Haantjes CERTIFISC Oudenaarde</v>
      </c>
      <c r="G168" t="str">
        <v>Speler</v>
      </c>
    </row>
    <row r="169" spans="1:7" x14ac:dyDescent="0.3">
      <c r="A169" t="str">
        <v>Jonah Cattoir</v>
      </c>
      <c r="B169" t="str">
        <v/>
      </c>
      <c r="C169" t="str">
        <v/>
      </c>
      <c r="D169" t="str">
        <v/>
      </c>
      <c r="E169" s="2" t="str">
        <v/>
      </c>
      <c r="F169" t="str">
        <v>J16 A Haantjes CERTIFISC Oudenaarde</v>
      </c>
      <c r="G169" t="str">
        <v>Speler</v>
      </c>
    </row>
    <row r="170" spans="1:7" x14ac:dyDescent="0.3">
      <c r="A170" t="str">
        <v>Tibo Despriet</v>
      </c>
      <c r="B170" t="str">
        <v>Tibo.despriet@gmail.com</v>
      </c>
      <c r="C170" t="str">
        <v/>
      </c>
      <c r="D170" t="str">
        <v>https://app.twizzit.com/public/photos/3884890/s/99828396af5826db82003655528894a4f299045f.jpeg</v>
      </c>
      <c r="E170" s="2" t="str">
        <v/>
      </c>
      <c r="F170" t="str">
        <v>J16 A Haantjes CERTIFISC Oudenaarde</v>
      </c>
      <c r="G170" t="str">
        <v>Speler</v>
      </c>
    </row>
    <row r="171" spans="1:7" x14ac:dyDescent="0.3">
      <c r="A171" t="str">
        <v>Nathan Dewaele</v>
      </c>
      <c r="B171" t="str">
        <v>wesleydewaele@yahoo.co.uk</v>
      </c>
      <c r="C171" t="str">
        <v>+32470540240</v>
      </c>
      <c r="D171" t="str">
        <v>https://app.twizzit.com/public/photos/2182816/s/c00a73a61de05b1991d5eac8f8ad498e97a90e40.png</v>
      </c>
      <c r="E171" s="2">
        <v>718781</v>
      </c>
      <c r="F171" t="str">
        <v>J16 A Haantjes CERTIFISC Oudenaarde</v>
      </c>
      <c r="G171" t="str">
        <v>Speler</v>
      </c>
    </row>
    <row r="172" spans="1:7" x14ac:dyDescent="0.3">
      <c r="A172" t="str">
        <v>Basiel Genbrugge</v>
      </c>
      <c r="B172" t="str">
        <v>basiel.genbrugge@gmail.com</v>
      </c>
      <c r="C172" t="str">
        <v>+32486314030</v>
      </c>
      <c r="D172" t="str">
        <v>https://app.twizzit.com/public/photos/8579142/s/db8d4000b96831e0c69a1f9ee9bb0955ce673dba.png</v>
      </c>
      <c r="E172" s="2" t="str">
        <v/>
      </c>
      <c r="F172" t="str">
        <v>J16 A Haantjes CERTIFISC Oudenaarde</v>
      </c>
      <c r="G172" t="str">
        <v>Speler</v>
      </c>
    </row>
    <row r="173" spans="1:7" x14ac:dyDescent="0.3">
      <c r="A173" t="str">
        <v>Briek Goossens</v>
      </c>
      <c r="B173" t="str">
        <v>slimmerik.briek@gmail.com</v>
      </c>
      <c r="C173" t="str">
        <v>+32495362023</v>
      </c>
      <c r="D173" t="str">
        <v/>
      </c>
      <c r="E173" s="2">
        <v>735147</v>
      </c>
      <c r="F173" t="str">
        <v>J16 A Haantjes CERTIFISC Oudenaarde</v>
      </c>
      <c r="G173" t="str">
        <v>Speler</v>
      </c>
    </row>
    <row r="174" spans="1:7" x14ac:dyDescent="0.3">
      <c r="A174" t="str">
        <v>Viktor L’Hommelet</v>
      </c>
      <c r="B174" t="str">
        <v>els.bourgois@gmail.com</v>
      </c>
      <c r="C174" t="str">
        <v>+32479376759</v>
      </c>
      <c r="D174" t="str">
        <v/>
      </c>
      <c r="E174" s="2">
        <v>714059</v>
      </c>
      <c r="F174" t="str">
        <v>J16 A Haantjes CERTIFISC Oudenaarde</v>
      </c>
      <c r="G174" t="str">
        <v>Speler</v>
      </c>
    </row>
    <row r="175" spans="1:7" x14ac:dyDescent="0.3">
      <c r="A175" t="str">
        <v>Kasper Mees</v>
      </c>
      <c r="B175" t="str">
        <v/>
      </c>
      <c r="C175" t="str">
        <v>+32474721420</v>
      </c>
      <c r="D175" t="str">
        <v>https://app.twizzit.com/public/photos/2183112/s/07942e4161d7a20864d1fbcf54b9a6dda331637e.png</v>
      </c>
      <c r="E175" s="2">
        <v>732219</v>
      </c>
      <c r="F175" t="str">
        <v>J16 A Haantjes CERTIFISC Oudenaarde</v>
      </c>
      <c r="G175" t="str">
        <v>Speler</v>
      </c>
    </row>
    <row r="176" spans="1:7" x14ac:dyDescent="0.3">
      <c r="A176" t="str">
        <v>Gust Ottevaere</v>
      </c>
      <c r="B176" t="str">
        <v>gust.ottevaere@telenet.be</v>
      </c>
      <c r="C176" t="str">
        <v>+32467011927</v>
      </c>
      <c r="D176" t="str">
        <v/>
      </c>
      <c r="E176" s="2" t="str">
        <v/>
      </c>
      <c r="F176" t="str">
        <v>J16 A Haantjes CERTIFISC Oudenaarde</v>
      </c>
      <c r="G176" t="str">
        <v>Speler</v>
      </c>
    </row>
    <row r="177" spans="1:7" x14ac:dyDescent="0.3">
      <c r="A177" t="str">
        <v>Anoek Van Caeneghem</v>
      </c>
      <c r="B177" t="str">
        <v/>
      </c>
      <c r="C177" t="str">
        <v>+32498086024</v>
      </c>
      <c r="D177" t="str">
        <v>https://app.twizzit.com/public/photos/11917018/s/e098521fbafba2a80a9ddb8d7c06f83cdbae52a9.png</v>
      </c>
      <c r="E177" s="2" t="str">
        <v/>
      </c>
      <c r="F177" t="str">
        <v>J16 A Haantjes CERTIFISC Oudenaarde</v>
      </c>
      <c r="G177" t="str">
        <v>Coach</v>
      </c>
    </row>
    <row r="178" spans="1:7" x14ac:dyDescent="0.3">
      <c r="A178" t="str">
        <v>Joao Arickx</v>
      </c>
      <c r="B178" t="str">
        <v/>
      </c>
      <c r="C178" t="str">
        <v>+32489669827</v>
      </c>
      <c r="D178" t="str">
        <v/>
      </c>
      <c r="E178" s="2">
        <v>730038</v>
      </c>
      <c r="F178" t="str">
        <v>J16 B Haantjes CERTIFISC Oudenaarde</v>
      </c>
      <c r="G178" t="str">
        <v>Speler</v>
      </c>
    </row>
    <row r="179" spans="1:7" x14ac:dyDescent="0.3">
      <c r="A179" t="str">
        <v>Jasper Baert</v>
      </c>
      <c r="B179" t="str">
        <v>baert_stijn@hotmail.com</v>
      </c>
      <c r="C179" t="str">
        <v>+32485376691</v>
      </c>
      <c r="D179" t="str">
        <v>https://app.twizzit.com/public/photos/2650780/s/77c3f1ac992ce48307c6c7ab431ab89e2bd37774.png</v>
      </c>
      <c r="E179" s="2">
        <v>736579</v>
      </c>
      <c r="F179" t="str">
        <v>J16 B Haantjes CERTIFISC Oudenaarde</v>
      </c>
      <c r="G179" t="str">
        <v>Speler</v>
      </c>
    </row>
    <row r="180" spans="1:7" x14ac:dyDescent="0.3">
      <c r="A180" t="str">
        <v>Emile Berkvens</v>
      </c>
      <c r="B180" t="str">
        <v/>
      </c>
      <c r="C180" t="str">
        <v>+32474613344</v>
      </c>
      <c r="D180" t="str">
        <v>https://app.twizzit.com/public/photos/2650778/s/15d2f475817dbbc2474d7d1a8b8b6a06ed3f6c72.png</v>
      </c>
      <c r="E180" s="2">
        <v>739383</v>
      </c>
      <c r="F180" t="str">
        <v>J16 B Haantjes CERTIFISC Oudenaarde</v>
      </c>
      <c r="G180" t="str">
        <v>Speler</v>
      </c>
    </row>
    <row r="181" spans="1:7" x14ac:dyDescent="0.3">
      <c r="A181" t="str">
        <v>Len De Coussemaker</v>
      </c>
      <c r="B181" t="str">
        <v>kristien.vdv@telenet.be</v>
      </c>
      <c r="C181" t="str">
        <v>+32468280854</v>
      </c>
      <c r="D181" t="str">
        <v>https://app.twizzit.com/public/photos/2182636/s/ac8133dfa6021f95e4cb86240c3d9e68218f8a83.png</v>
      </c>
      <c r="E181" s="2">
        <v>717356</v>
      </c>
      <c r="F181" t="str">
        <v>J16 B Haantjes CERTIFISC Oudenaarde</v>
      </c>
      <c r="G181" t="str">
        <v>Speler</v>
      </c>
    </row>
    <row r="182" spans="1:7" x14ac:dyDescent="0.3">
      <c r="A182" t="str">
        <v>Niels De Lepeleire</v>
      </c>
      <c r="B182" t="str">
        <v/>
      </c>
      <c r="C182" t="str">
        <v>+32470775058</v>
      </c>
      <c r="D182" t="str">
        <v/>
      </c>
      <c r="E182" s="2">
        <v>213745</v>
      </c>
      <c r="F182" t="str">
        <v>J16 B Haantjes CERTIFISC Oudenaarde</v>
      </c>
      <c r="G182" t="str">
        <v>Coach</v>
      </c>
    </row>
    <row r="183" spans="1:7" x14ac:dyDescent="0.3">
      <c r="A183" t="str">
        <v>Emmanuel Dull</v>
      </c>
      <c r="B183" t="str">
        <v/>
      </c>
      <c r="C183" t="str">
        <v>+32472172783</v>
      </c>
      <c r="D183" t="str">
        <v/>
      </c>
      <c r="E183" s="2" t="str">
        <v/>
      </c>
      <c r="F183" t="str">
        <v>J16 B Haantjes CERTIFISC Oudenaarde</v>
      </c>
      <c r="G183" t="str">
        <v>Speler</v>
      </c>
    </row>
    <row r="184" spans="1:7" x14ac:dyDescent="0.3">
      <c r="A184" t="str">
        <v>Victor Geiregat</v>
      </c>
      <c r="B184" t="str">
        <v>victorgeiregat@gmail.com</v>
      </c>
      <c r="C184" t="str">
        <v>+32467007382</v>
      </c>
      <c r="D184" t="str">
        <v/>
      </c>
      <c r="E184" s="2" t="str">
        <v/>
      </c>
      <c r="F184" t="str">
        <v>J16 B Haantjes CERTIFISC Oudenaarde</v>
      </c>
      <c r="G184" t="str">
        <v>Speler</v>
      </c>
    </row>
    <row r="185" spans="1:7" x14ac:dyDescent="0.3">
      <c r="A185" t="str">
        <v>Alexander Libert</v>
      </c>
      <c r="B185" t="str">
        <v>s_ardenois@hotmail.com</v>
      </c>
      <c r="C185" t="str">
        <v>+32471396733</v>
      </c>
      <c r="D185" t="str">
        <v/>
      </c>
      <c r="E185" s="2">
        <v>723668</v>
      </c>
      <c r="F185" t="str">
        <v>J16 B Haantjes CERTIFISC Oudenaarde</v>
      </c>
      <c r="G185" t="str">
        <v>Speler</v>
      </c>
    </row>
    <row r="186" spans="1:7" x14ac:dyDescent="0.3">
      <c r="A186" t="str">
        <v>Jean-Reno Neyrinck</v>
      </c>
      <c r="B186" t="str">
        <v/>
      </c>
      <c r="C186" t="str">
        <v>+32474078109</v>
      </c>
      <c r="D186" t="str">
        <v>https://app.twizzit.com/public/photos/3543437/s/4b4d34aba7c38171a5f39885d89d2a702bb4c5c8.jpeg</v>
      </c>
      <c r="E186" s="2" t="str">
        <v/>
      </c>
      <c r="F186" t="str">
        <v>J16 B Haantjes CERTIFISC Oudenaarde</v>
      </c>
      <c r="G186" t="str">
        <v>Speler</v>
      </c>
    </row>
    <row r="187" spans="1:7" x14ac:dyDescent="0.3">
      <c r="A187" t="str">
        <v>Maro Thas</v>
      </c>
      <c r="B187" t="str">
        <v/>
      </c>
      <c r="C187" t="str">
        <v>+32472433051</v>
      </c>
      <c r="D187" t="str">
        <v>https://app.twizzit.com/public/photos/3451572/s/f7bd7e0dc5dd014e64108bf9fe43059bbb6a9a41.png</v>
      </c>
      <c r="E187" s="2" t="str">
        <v/>
      </c>
      <c r="F187" t="str">
        <v>J16 B Haantjes CERTIFISC Oudenaarde</v>
      </c>
      <c r="G187" t="str">
        <v>Speler</v>
      </c>
    </row>
    <row r="188" spans="1:7" x14ac:dyDescent="0.3">
      <c r="A188" t="str">
        <v>Kobe Vandaele</v>
      </c>
      <c r="B188" t="str">
        <v/>
      </c>
      <c r="C188" t="str">
        <v>+32478439213</v>
      </c>
      <c r="D188" t="str">
        <v/>
      </c>
      <c r="E188" s="2">
        <v>739424</v>
      </c>
      <c r="F188" t="str">
        <v>J16 B Haantjes CERTIFISC Oudenaarde</v>
      </c>
      <c r="G188" t="str">
        <v>Speler</v>
      </c>
    </row>
    <row r="189" spans="1:7" x14ac:dyDescent="0.3">
      <c r="A189" t="str">
        <v>Lukas Vandemaele</v>
      </c>
      <c r="B189" t="str">
        <v>Wimvandemaele@hotmail.com</v>
      </c>
      <c r="C189" t="str">
        <v>+32491941753</v>
      </c>
      <c r="D189" t="str">
        <v/>
      </c>
      <c r="E189" s="2">
        <v>735083</v>
      </c>
      <c r="F189" t="str">
        <v>J16 B Haantjes CERTIFISC Oudenaarde</v>
      </c>
      <c r="G189" t="str">
        <v>Speler</v>
      </c>
    </row>
    <row r="190" spans="1:7" x14ac:dyDescent="0.3">
      <c r="A190" t="str">
        <v>Mats Verstraeten</v>
      </c>
      <c r="B190" t="str">
        <v/>
      </c>
      <c r="C190" t="str">
        <v>+32497152857</v>
      </c>
      <c r="D190" t="str">
        <v/>
      </c>
      <c r="E190" s="2" t="str">
        <v/>
      </c>
      <c r="F190" t="str">
        <v>J16 B Haantjes CERTIFISC Oudenaarde</v>
      </c>
      <c r="G190" t="str">
        <v>Speler</v>
      </c>
    </row>
    <row r="191" spans="1:7" x14ac:dyDescent="0.3">
      <c r="A191" t="str">
        <v>Matti Bogaert</v>
      </c>
      <c r="B191" t="str">
        <v>mboogie800@hotmail.com</v>
      </c>
      <c r="C191" t="str">
        <v>+32465007097</v>
      </c>
      <c r="D191" t="str">
        <v/>
      </c>
      <c r="E191" s="2">
        <v>737616</v>
      </c>
      <c r="F191" t="str">
        <v>J18 A Haantjes CERTIFISC Oudenaarde</v>
      </c>
      <c r="G191" t="str">
        <v>Speler</v>
      </c>
    </row>
    <row r="192" spans="1:7" x14ac:dyDescent="0.3">
      <c r="A192" t="str">
        <v>Sofian D'Haenen</v>
      </c>
      <c r="B192" t="str">
        <v/>
      </c>
      <c r="C192" t="str">
        <v/>
      </c>
      <c r="D192" t="str">
        <v/>
      </c>
      <c r="E192" s="2" t="str">
        <v/>
      </c>
      <c r="F192" t="str">
        <v>J18 A Haantjes CERTIFISC Oudenaarde</v>
      </c>
      <c r="G192" t="str">
        <v>Speler</v>
      </c>
    </row>
    <row r="193" spans="1:7" x14ac:dyDescent="0.3">
      <c r="A193" t="str">
        <v>Yunus D'Haenen</v>
      </c>
      <c r="B193" t="str">
        <v/>
      </c>
      <c r="C193" t="str">
        <v/>
      </c>
      <c r="D193" t="str">
        <v/>
      </c>
      <c r="E193" s="2" t="str">
        <v/>
      </c>
      <c r="F193" t="str">
        <v>J18 A Haantjes CERTIFISC Oudenaarde</v>
      </c>
      <c r="G193" t="str">
        <v>Speler</v>
      </c>
    </row>
    <row r="194" spans="1:7" x14ac:dyDescent="0.3">
      <c r="A194" t="str">
        <v>David De Brabander</v>
      </c>
      <c r="B194" t="str">
        <v/>
      </c>
      <c r="C194" t="str">
        <v>+32478251758</v>
      </c>
      <c r="D194" t="str">
        <v>https://app.twizzit.com/public/photos/4024795/s/7af12ff114d5d53515b4f220ddc6cdb6ff121519.png</v>
      </c>
      <c r="E194" s="2">
        <v>32746</v>
      </c>
      <c r="F194" t="str">
        <v>J18 A Haantjes CERTIFISC Oudenaarde</v>
      </c>
      <c r="G194" t="str">
        <v>Coach</v>
      </c>
    </row>
    <row r="195" spans="1:7" x14ac:dyDescent="0.3">
      <c r="A195" t="str">
        <v>Milan De Brabander</v>
      </c>
      <c r="B195" t="str">
        <v>de.brabander.david@telenet.be</v>
      </c>
      <c r="C195" t="str">
        <v>+32468348603</v>
      </c>
      <c r="D195" t="str">
        <v>https://app.twizzit.com/public/photos/3519915/s/cb4bbdba90c700302dcd9548901e284ce021df92.jpeg</v>
      </c>
      <c r="E195" s="2">
        <v>748910</v>
      </c>
      <c r="F195" t="str">
        <v>J18 A Haantjes CERTIFISC Oudenaarde</v>
      </c>
      <c r="G195" t="str">
        <v>Speler</v>
      </c>
    </row>
    <row r="196" spans="1:7" x14ac:dyDescent="0.3">
      <c r="A196" t="str">
        <v>Emile-Louis De Windt</v>
      </c>
      <c r="B196" t="str">
        <v>dwingrey@gmail.com</v>
      </c>
      <c r="C196" t="str">
        <v>+32485843240</v>
      </c>
      <c r="D196" t="str">
        <v>https://app.twizzit.com/public/photos/3463928/s/65ba284a6aa8f67e5b08f396e397206e4afd6e82.png</v>
      </c>
      <c r="E196" s="2">
        <v>747479</v>
      </c>
      <c r="F196" t="str">
        <v>J18 A Haantjes CERTIFISC Oudenaarde</v>
      </c>
      <c r="G196" t="str">
        <v>Speler</v>
      </c>
    </row>
    <row r="197" spans="1:7" x14ac:dyDescent="0.3">
      <c r="A197" t="str">
        <v>Jasper Espeel</v>
      </c>
      <c r="B197" t="str">
        <v>jasper.espeel@gmail.com</v>
      </c>
      <c r="C197" t="str">
        <v>+32496150874</v>
      </c>
      <c r="D197" t="str">
        <v/>
      </c>
      <c r="E197" s="2">
        <v>749137</v>
      </c>
      <c r="F197" t="str">
        <v>J18 A Haantjes CERTIFISC Oudenaarde</v>
      </c>
      <c r="G197" t="str">
        <v>Speler</v>
      </c>
    </row>
    <row r="198" spans="1:7" x14ac:dyDescent="0.3">
      <c r="A198" t="str">
        <v>Vic Huysman</v>
      </c>
      <c r="B198" t="str">
        <v/>
      </c>
      <c r="C198" t="str">
        <v>+32474884540</v>
      </c>
      <c r="D198" t="str">
        <v>https://app.twizzit.com/public/photos/2936186/s/c4015a6cfb380c1e7090d66488ca6326fa9caa7a.png</v>
      </c>
      <c r="E198" s="2">
        <v>744354</v>
      </c>
      <c r="F198" t="str">
        <v>J18 A Haantjes CERTIFISC Oudenaarde</v>
      </c>
      <c r="G198" t="str">
        <v>Speler</v>
      </c>
    </row>
    <row r="199" spans="1:7" x14ac:dyDescent="0.3">
      <c r="A199" t="str">
        <v>Rayan Lebrouchi Poddubnaya</v>
      </c>
      <c r="B199" t="str">
        <v>marina.pd34@gmail</v>
      </c>
      <c r="C199" t="str">
        <v>+32492948427</v>
      </c>
      <c r="D199" t="str">
        <v/>
      </c>
      <c r="E199" s="2" t="str">
        <v/>
      </c>
      <c r="F199" t="str">
        <v>J18 A Haantjes CERTIFISC Oudenaarde</v>
      </c>
      <c r="G199" t="str">
        <v>Speler</v>
      </c>
    </row>
    <row r="200" spans="1:7" x14ac:dyDescent="0.3">
      <c r="A200" t="str">
        <v>Brecht Van Glabeke</v>
      </c>
      <c r="B200" t="str">
        <v/>
      </c>
      <c r="C200" t="str">
        <v>+32470671727</v>
      </c>
      <c r="D200" t="str">
        <v/>
      </c>
      <c r="E200" s="2" t="str">
        <v/>
      </c>
      <c r="F200" t="str">
        <v>J18 A Haantjes CERTIFISC Oudenaarde</v>
      </c>
      <c r="G200" t="str">
        <v>Speler</v>
      </c>
    </row>
    <row r="201" spans="1:7" x14ac:dyDescent="0.3">
      <c r="A201" t="str">
        <v>Miro Van Schoorisse</v>
      </c>
      <c r="B201" t="str">
        <v>mirovanschoorisse@gmail.com</v>
      </c>
      <c r="C201" t="str">
        <v>+32496771030</v>
      </c>
      <c r="D201" t="str">
        <v/>
      </c>
      <c r="E201" s="2">
        <v>709427</v>
      </c>
      <c r="F201" t="str">
        <v>J18 A Haantjes CERTIFISC Oudenaarde</v>
      </c>
      <c r="G201" t="str">
        <v>Speler</v>
      </c>
    </row>
    <row r="202" spans="1:7" x14ac:dyDescent="0.3">
      <c r="A202" t="str">
        <v>Bram Van Wyngene</v>
      </c>
      <c r="B202" t="str">
        <v/>
      </c>
      <c r="C202" t="str">
        <v>+32477349575</v>
      </c>
      <c r="D202" t="str">
        <v/>
      </c>
      <c r="E202" s="2" t="str">
        <v/>
      </c>
      <c r="F202" t="str">
        <v>J18 A Haantjes CERTIFISC Oudenaarde</v>
      </c>
      <c r="G202" t="str">
        <v>Coach</v>
      </c>
    </row>
    <row r="203" spans="1:7" x14ac:dyDescent="0.3">
      <c r="A203" t="str">
        <v>Lowie Vande Kerckhove</v>
      </c>
      <c r="B203" t="str">
        <v/>
      </c>
      <c r="C203" t="str">
        <v>+32498621224</v>
      </c>
      <c r="D203" t="str">
        <v/>
      </c>
      <c r="E203" s="2">
        <v>705824</v>
      </c>
      <c r="F203" t="str">
        <v>J18 A Haantjes CERTIFISC Oudenaarde</v>
      </c>
      <c r="G203" t="str">
        <v>Speler</v>
      </c>
    </row>
    <row r="204" spans="1:7" x14ac:dyDescent="0.3">
      <c r="A204" t="str">
        <v>Thomas Viaene</v>
      </c>
      <c r="B204" t="str">
        <v/>
      </c>
      <c r="C204" t="str">
        <v>+32497313727</v>
      </c>
      <c r="D204" t="str">
        <v/>
      </c>
      <c r="E204" s="2">
        <v>739602</v>
      </c>
      <c r="F204" t="str">
        <v>J18 A Haantjes CERTIFISC Oudenaarde</v>
      </c>
      <c r="G204" t="str">
        <v>Speler</v>
      </c>
    </row>
    <row r="205" spans="1:7" x14ac:dyDescent="0.3">
      <c r="A205" t="str">
        <v>Bent Anseeuw</v>
      </c>
      <c r="B205" t="str">
        <v>bent.anseeuw@gmail.com</v>
      </c>
      <c r="C205" t="str">
        <v>+32497023380</v>
      </c>
      <c r="D205" t="str">
        <v>https://app.twizzit.com/public/photos/2182451/s/d40702514c4affc118f06eee4555b1ca966c4e65.png</v>
      </c>
      <c r="E205" s="2">
        <v>713666</v>
      </c>
      <c r="F205" t="str">
        <v>J18 B Haantjes CERTIFISC Oudenaarde</v>
      </c>
      <c r="G205" t="str">
        <v>Speler</v>
      </c>
    </row>
    <row r="206" spans="1:7" x14ac:dyDescent="0.3">
      <c r="A206" t="str">
        <v>Vince Beke</v>
      </c>
      <c r="B206" t="str">
        <v>wim.beke@telenet.be</v>
      </c>
      <c r="C206" t="str">
        <v>+32494534565</v>
      </c>
      <c r="D206" t="str">
        <v>https://app.twizzit.com/public/photos/2182501/s/ff9efabb61fd27d35070a050abd98c15c9bfe6c5.png</v>
      </c>
      <c r="E206" s="2">
        <v>715506</v>
      </c>
      <c r="F206" t="str">
        <v>J18 B Haantjes CERTIFISC Oudenaarde</v>
      </c>
      <c r="G206" t="str">
        <v>Speler</v>
      </c>
    </row>
    <row r="207" spans="1:7" x14ac:dyDescent="0.3">
      <c r="A207" t="str">
        <v>Quinten Benoot</v>
      </c>
      <c r="B207" t="str">
        <v>Quintenmaetha@gmail.com</v>
      </c>
      <c r="C207" t="str">
        <v>+32485287357</v>
      </c>
      <c r="D207" t="str">
        <v>https://app.twizzit.com/public/photos/4080393/s/fc77b80b0f519cf2bcaae55fec7f11c92e5c4d9f.jpeg</v>
      </c>
      <c r="E207" s="2">
        <v>753437</v>
      </c>
      <c r="F207" t="str">
        <v>J18 B Haantjes CERTIFISC Oudenaarde</v>
      </c>
      <c r="G207" t="str">
        <v>Speler</v>
      </c>
    </row>
    <row r="208" spans="1:7" x14ac:dyDescent="0.3">
      <c r="A208" t="str">
        <v>Liam Bourgeois</v>
      </c>
      <c r="B208" t="str">
        <v/>
      </c>
      <c r="C208" t="str">
        <v>+32471543824</v>
      </c>
      <c r="D208" t="str">
        <v/>
      </c>
      <c r="E208" s="2" t="str">
        <v/>
      </c>
      <c r="F208" t="str">
        <v>J18 B Haantjes CERTIFISC Oudenaarde</v>
      </c>
      <c r="G208" t="str">
        <v>Speler</v>
      </c>
    </row>
    <row r="209" spans="1:7" x14ac:dyDescent="0.3">
      <c r="A209" t="str">
        <v>Kobe Boutmans</v>
      </c>
      <c r="B209" t="str">
        <v/>
      </c>
      <c r="C209" t="str">
        <v>+32479888902</v>
      </c>
      <c r="D209" t="str">
        <v/>
      </c>
      <c r="E209" s="2">
        <v>731700</v>
      </c>
      <c r="F209" t="str">
        <v>J18 B Haantjes CERTIFISC Oudenaarde</v>
      </c>
      <c r="G209" t="str">
        <v>Speler</v>
      </c>
    </row>
    <row r="210" spans="1:7" x14ac:dyDescent="0.3">
      <c r="A210" t="str">
        <v>Dylann Bufkens</v>
      </c>
      <c r="B210" t="str">
        <v/>
      </c>
      <c r="C210" t="str">
        <v>+32493561486</v>
      </c>
      <c r="D210" t="str">
        <v/>
      </c>
      <c r="E210" s="2">
        <v>638804</v>
      </c>
      <c r="F210" t="str">
        <v>J18 B Haantjes CERTIFISC Oudenaarde</v>
      </c>
      <c r="G210" t="str">
        <v>Coach</v>
      </c>
    </row>
    <row r="211" spans="1:7" x14ac:dyDescent="0.3">
      <c r="A211" t="str">
        <v>Mathis Cromheeke</v>
      </c>
      <c r="B211" t="str">
        <v/>
      </c>
      <c r="C211" t="str">
        <v/>
      </c>
      <c r="D211" t="str">
        <v/>
      </c>
      <c r="E211" s="2">
        <v>715872</v>
      </c>
      <c r="F211" t="str">
        <v>J18 B Haantjes CERTIFISC Oudenaarde</v>
      </c>
      <c r="G211" t="str">
        <v>Speler</v>
      </c>
    </row>
    <row r="212" spans="1:7" x14ac:dyDescent="0.3">
      <c r="A212" t="str">
        <v>Niels De Coussemaker</v>
      </c>
      <c r="B212" t="str">
        <v>kristien@coussies.be</v>
      </c>
      <c r="C212" t="str">
        <v>+32490195438</v>
      </c>
      <c r="D212" t="str">
        <v>https://app.twizzit.com/public/photos/2182641/s/bc2ed87ccb6bf61129b3522eabde4c5cff856719.png</v>
      </c>
      <c r="E212" s="2">
        <v>708695</v>
      </c>
      <c r="F212" t="str">
        <v>J18 B Haantjes CERTIFISC Oudenaarde</v>
      </c>
      <c r="G212" t="str">
        <v>Speler</v>
      </c>
    </row>
    <row r="213" spans="1:7" x14ac:dyDescent="0.3">
      <c r="A213" t="str">
        <v>Sam Liekens</v>
      </c>
      <c r="B213" t="str">
        <v/>
      </c>
      <c r="C213" t="str">
        <v>+32478888243</v>
      </c>
      <c r="D213" t="str">
        <v>https://app.twizzit.com/public/photos/3475283/s/e532263ea43cddb59650656f3777387ca04d2de4.jpeg</v>
      </c>
      <c r="E213" s="2">
        <v>749236</v>
      </c>
      <c r="F213" t="str">
        <v>J18 B Haantjes CERTIFISC Oudenaarde</v>
      </c>
      <c r="G213" t="str">
        <v>Speler</v>
      </c>
    </row>
    <row r="214" spans="1:7" x14ac:dyDescent="0.3">
      <c r="A214" t="str">
        <v>Kamiel Mahieu</v>
      </c>
      <c r="B214" t="str">
        <v/>
      </c>
      <c r="C214" t="str">
        <v>+32473745981</v>
      </c>
      <c r="D214" t="str">
        <v/>
      </c>
      <c r="E214" s="2" t="str">
        <v/>
      </c>
      <c r="F214" t="str">
        <v>J18 B Haantjes CERTIFISC Oudenaarde</v>
      </c>
      <c r="G214" t="str">
        <v>Speler</v>
      </c>
    </row>
    <row r="215" spans="1:7" x14ac:dyDescent="0.3">
      <c r="A215" t="str">
        <v>Ziano Schoenmaekers</v>
      </c>
      <c r="B215" t="str">
        <v>pedro.schoenmaekers@hotmail.com</v>
      </c>
      <c r="C215" t="str">
        <v>+32476935877</v>
      </c>
      <c r="D215" t="str">
        <v>https://app.twizzit.com/public/photos/2650796/s/806ce17769fd3d29fc435d865a5b302b6c25c6ca.png</v>
      </c>
      <c r="E215" s="2">
        <v>743241</v>
      </c>
      <c r="F215" t="str">
        <v>J18 B Haantjes CERTIFISC Oudenaarde</v>
      </c>
      <c r="G215" t="str">
        <v>Speler</v>
      </c>
    </row>
    <row r="216" spans="1:7" x14ac:dyDescent="0.3">
      <c r="A216" t="str">
        <v>Jaimie Van Marcke</v>
      </c>
      <c r="B216" t="str">
        <v/>
      </c>
      <c r="C216" t="str">
        <v>+32472516116</v>
      </c>
      <c r="D216" t="str">
        <v>https://app.twizzit.com/public/photos/4080394/s/a0a6f7a1f3c9650e7b60b7c90fcc741fdb018fb0.png</v>
      </c>
      <c r="E216" s="2" t="str">
        <v/>
      </c>
      <c r="F216" t="str">
        <v>J18 B Haantjes CERTIFISC Oudenaarde</v>
      </c>
      <c r="G216" t="str">
        <v>Speler</v>
      </c>
    </row>
    <row r="217" spans="1:7" x14ac:dyDescent="0.3">
      <c r="A217" t="str">
        <v>Emiel Verlinden</v>
      </c>
      <c r="B217" t="str">
        <v/>
      </c>
      <c r="C217" t="str">
        <v>+32478376691</v>
      </c>
      <c r="D217" t="str">
        <v/>
      </c>
      <c r="E217" s="2">
        <v>733989</v>
      </c>
      <c r="F217" t="str">
        <v>J18 B Haantjes CERTIFISC Oudenaarde</v>
      </c>
      <c r="G217" t="str">
        <v>Speler</v>
      </c>
    </row>
    <row r="218" spans="1:7" x14ac:dyDescent="0.3">
      <c r="A218" t="str">
        <v>Rémi Bauters</v>
      </c>
      <c r="B218" t="str">
        <v/>
      </c>
      <c r="C218" t="str">
        <v>+32497078444</v>
      </c>
      <c r="D218" t="str">
        <v/>
      </c>
      <c r="E218" s="2" t="str">
        <v/>
      </c>
      <c r="F218" t="str">
        <v>J21 A HAANTJES CERTIFISC OUDENAARDE</v>
      </c>
      <c r="G218" t="str">
        <v>Speler</v>
      </c>
    </row>
    <row r="219" spans="1:7" x14ac:dyDescent="0.3">
      <c r="A219" t="str">
        <v>Luka Coryn</v>
      </c>
      <c r="B219" t="str">
        <v>luka.coryn@gmail.com</v>
      </c>
      <c r="C219" t="str">
        <v>+32471737015</v>
      </c>
      <c r="D219" t="str">
        <v/>
      </c>
      <c r="E219" s="2">
        <v>724313</v>
      </c>
      <c r="F219" t="str">
        <v>J21 A HAANTJES CERTIFISC OUDENAARDE</v>
      </c>
      <c r="G219" t="str">
        <v>Speler</v>
      </c>
    </row>
    <row r="220" spans="1:7" x14ac:dyDescent="0.3">
      <c r="A220" t="str">
        <v>Tanguy Creteur</v>
      </c>
      <c r="B220" t="str">
        <v>david@credelec.be</v>
      </c>
      <c r="C220" t="str">
        <v>+32470535338</v>
      </c>
      <c r="D220" t="str">
        <v/>
      </c>
      <c r="E220" s="2">
        <v>737982</v>
      </c>
      <c r="F220" t="str">
        <v>J21 A HAANTJES CERTIFISC OUDENAARDE</v>
      </c>
      <c r="G220" t="str">
        <v>Speler</v>
      </c>
    </row>
    <row r="221" spans="1:7" x14ac:dyDescent="0.3">
      <c r="A221" t="str">
        <v>David De Brabander</v>
      </c>
      <c r="B221" t="str">
        <v/>
      </c>
      <c r="C221" t="str">
        <v>+32478251758</v>
      </c>
      <c r="D221" t="str">
        <v>https://app.twizzit.com/public/photos/4024795/s/7af12ff114d5d53515b4f220ddc6cdb6ff121519.png</v>
      </c>
      <c r="E221" s="2">
        <v>32746</v>
      </c>
      <c r="F221" t="str">
        <v>J21 A HAANTJES CERTIFISC OUDENAARDE</v>
      </c>
      <c r="G221" t="str">
        <v>Coach</v>
      </c>
    </row>
    <row r="222" spans="1:7" x14ac:dyDescent="0.3">
      <c r="A222" t="str">
        <v>Pieter Diependaele</v>
      </c>
      <c r="B222" t="str">
        <v>coachpieter.basket@gmail.com</v>
      </c>
      <c r="C222" t="str">
        <v>+32479044986</v>
      </c>
      <c r="D222" t="str">
        <v>https://app.twizzit.com/public/photos/3239965/s/944ad53074c1441abd98efedc98fef813d2f093f.png</v>
      </c>
      <c r="E222" s="2">
        <v>658023</v>
      </c>
      <c r="F222" t="str">
        <v>J21 A HAANTJES CERTIFISC OUDENAARDE</v>
      </c>
      <c r="G222" t="str">
        <v>Speler</v>
      </c>
    </row>
    <row r="223" spans="1:7" x14ac:dyDescent="0.3">
      <c r="A223" t="str">
        <v>Thomas Goossens</v>
      </c>
      <c r="B223" t="str">
        <v/>
      </c>
      <c r="C223" t="str">
        <v>+32477281468</v>
      </c>
      <c r="D223" t="str">
        <v>https://app.twizzit.com/public/photos/2182921/s/d5ec4bbccbaf575bfa3a597df60827a1e6809d4b.png</v>
      </c>
      <c r="E223" s="2">
        <v>708299</v>
      </c>
      <c r="F223" t="str">
        <v>J21 A HAANTJES CERTIFISC OUDENAARDE</v>
      </c>
      <c r="G223" t="str">
        <v>Speler</v>
      </c>
    </row>
    <row r="224" spans="1:7" x14ac:dyDescent="0.3">
      <c r="A224" t="str">
        <v>Sander Hakuzimana</v>
      </c>
      <c r="B224" t="str">
        <v/>
      </c>
      <c r="C224" t="str">
        <v>+32467059655</v>
      </c>
      <c r="D224" t="str">
        <v/>
      </c>
      <c r="E224" s="2" t="str">
        <v/>
      </c>
      <c r="F224" t="str">
        <v>J21 A HAANTJES CERTIFISC OUDENAARDE</v>
      </c>
      <c r="G224" t="str">
        <v>Speler</v>
      </c>
    </row>
    <row r="225" spans="1:7" x14ac:dyDescent="0.3">
      <c r="A225" t="str">
        <v>Arno Heyerick</v>
      </c>
      <c r="B225" t="str">
        <v/>
      </c>
      <c r="C225" t="str">
        <v>+32479480500</v>
      </c>
      <c r="D225" t="str">
        <v/>
      </c>
      <c r="E225" s="2">
        <v>665927</v>
      </c>
      <c r="F225" t="str">
        <v>J21 A HAANTJES CERTIFISC OUDENAARDE</v>
      </c>
      <c r="G225" t="str">
        <v>Speler</v>
      </c>
    </row>
    <row r="226" spans="1:7" x14ac:dyDescent="0.3">
      <c r="A226" t="str">
        <v>Rayan Lebrouchi Poddubnaya</v>
      </c>
      <c r="B226" t="str">
        <v>marina.pd34@gmail</v>
      </c>
      <c r="C226" t="str">
        <v>+32492948427</v>
      </c>
      <c r="D226" t="str">
        <v/>
      </c>
      <c r="E226" s="2" t="str">
        <v/>
      </c>
      <c r="F226" t="str">
        <v>J21 A HAANTJES CERTIFISC OUDENAARDE</v>
      </c>
      <c r="G226" t="str">
        <v>Speler</v>
      </c>
    </row>
    <row r="227" spans="1:7" x14ac:dyDescent="0.3">
      <c r="A227" t="str">
        <v>Emiel Vanderhelstraeten</v>
      </c>
      <c r="B227" t="str">
        <v>anneleendesmet1978@outlook.com</v>
      </c>
      <c r="C227" t="str">
        <v/>
      </c>
      <c r="D227" t="str">
        <v/>
      </c>
      <c r="E227" s="2">
        <v>666306</v>
      </c>
      <c r="F227" t="str">
        <v>J21 A HAANTJES CERTIFISC OUDENAARDE</v>
      </c>
      <c r="G227" t="str">
        <v>Speler</v>
      </c>
    </row>
    <row r="228" spans="1:7" x14ac:dyDescent="0.3">
      <c r="A228" t="str">
        <v>Bogdan Verstraete</v>
      </c>
      <c r="B228" t="str">
        <v>wtbi.verstraete@gmail.com</v>
      </c>
      <c r="C228" t="str">
        <v>+32468305290</v>
      </c>
      <c r="D228" t="str">
        <v/>
      </c>
      <c r="E228" s="2">
        <v>705479</v>
      </c>
      <c r="F228" t="str">
        <v>J21 A HAANTJES CERTIFISC OUDENAARDE</v>
      </c>
      <c r="G228" t="str">
        <v>Speler</v>
      </c>
    </row>
    <row r="229" spans="1:7" x14ac:dyDescent="0.3">
      <c r="A229" t="str">
        <v>Bo Bauters</v>
      </c>
      <c r="B229" t="str">
        <v>Jurgenbauters@gmail.com</v>
      </c>
      <c r="C229" t="str">
        <v>+32497533520</v>
      </c>
      <c r="D229" t="str">
        <v>https://app.twizzit.com/public/photos/3472864/s/02d5da48533f12868f14fb4b62a0634d769bf8a7.png</v>
      </c>
      <c r="E229" s="2" t="str">
        <v/>
      </c>
      <c r="F229" t="str">
        <v>M10 HAANTJES CERTIFISC OUDENAARDE</v>
      </c>
      <c r="G229" t="str">
        <v>Speler</v>
      </c>
    </row>
    <row r="230" spans="1:7" x14ac:dyDescent="0.3">
      <c r="A230" t="str">
        <v>Karen Dans</v>
      </c>
      <c r="B230" t="str">
        <v/>
      </c>
      <c r="C230" t="str">
        <v>+32494698322</v>
      </c>
      <c r="D230" t="str">
        <v>https://app.twizzit.com/public/photos/2182586/s/3c061ecaa7eb60b4e8b27f2490fa3fff24778b0c.png</v>
      </c>
      <c r="E230" s="2">
        <v>220520</v>
      </c>
      <c r="F230" t="str">
        <v>M10 HAANTJES CERTIFISC OUDENAARDE</v>
      </c>
      <c r="G230" t="str">
        <v>Coach</v>
      </c>
    </row>
    <row r="231" spans="1:7" x14ac:dyDescent="0.3">
      <c r="A231" t="str">
        <v>Camille De vreese</v>
      </c>
      <c r="B231" t="str">
        <v/>
      </c>
      <c r="C231" t="str">
        <v>+32498651266</v>
      </c>
      <c r="D231" t="str">
        <v>https://app.twizzit.com/public/photos/7284534/s/89166ad605bd29d54909fd3e80a34843f88650ec.png</v>
      </c>
      <c r="E231" s="2" t="str">
        <v/>
      </c>
      <c r="F231" t="str">
        <v>M10 HAANTJES CERTIFISC OUDENAARDE</v>
      </c>
      <c r="G231" t="str">
        <v>Speler</v>
      </c>
    </row>
    <row r="232" spans="1:7" x14ac:dyDescent="0.3">
      <c r="A232" t="str">
        <v>Renée Deraedt</v>
      </c>
      <c r="B232" t="str">
        <v/>
      </c>
      <c r="C232" t="str">
        <v>+32477714035</v>
      </c>
      <c r="D232" t="str">
        <v>https://app.twizzit.com/public/photos/7328300/s/7e2d6dfb7100b0ca8feb8f22a68ce2009271348a.png</v>
      </c>
      <c r="E232" s="2" t="str">
        <v/>
      </c>
      <c r="F232" t="str">
        <v>M10 HAANTJES CERTIFISC OUDENAARDE</v>
      </c>
      <c r="G232" t="str">
        <v>Speler</v>
      </c>
    </row>
    <row r="233" spans="1:7" x14ac:dyDescent="0.3">
      <c r="A233" t="str">
        <v>Fadila Ettijrini</v>
      </c>
      <c r="B233" t="str">
        <v/>
      </c>
      <c r="C233" t="str">
        <v>+32470221432</v>
      </c>
      <c r="D233" t="str">
        <v/>
      </c>
      <c r="E233" s="2" t="str">
        <v/>
      </c>
      <c r="F233" t="str">
        <v>M10 HAANTJES CERTIFISC OUDENAARDE</v>
      </c>
      <c r="G233" t="str">
        <v>Speler</v>
      </c>
    </row>
    <row r="234" spans="1:7" x14ac:dyDescent="0.3">
      <c r="A234" t="str">
        <v>Alixe Geenens</v>
      </c>
      <c r="B234" t="str">
        <v>stephengeenens@gmail.com</v>
      </c>
      <c r="C234" t="str">
        <v>+32494195355</v>
      </c>
      <c r="D234" t="str">
        <v/>
      </c>
      <c r="E234" s="2" t="str">
        <v/>
      </c>
      <c r="F234" t="str">
        <v>M10 HAANTJES CERTIFISC OUDENAARDE</v>
      </c>
      <c r="G234" t="str">
        <v>Speler</v>
      </c>
    </row>
    <row r="235" spans="1:7" x14ac:dyDescent="0.3">
      <c r="A235" t="str">
        <v>Dea Gocaj</v>
      </c>
      <c r="B235" t="str">
        <v/>
      </c>
      <c r="C235" t="str">
        <v>+32465136417</v>
      </c>
      <c r="D235" t="str">
        <v/>
      </c>
      <c r="E235" s="2" t="str">
        <v/>
      </c>
      <c r="F235" t="str">
        <v>M10 HAANTJES CERTIFISC OUDENAARDE</v>
      </c>
      <c r="G235" t="str">
        <v>Speler</v>
      </c>
    </row>
    <row r="236" spans="1:7" x14ac:dyDescent="0.3">
      <c r="A236" t="str">
        <v>Magalie Stevens</v>
      </c>
      <c r="B236" t="str">
        <v>safadorote3@gmail.com</v>
      </c>
      <c r="C236" t="str">
        <v>+32477968913</v>
      </c>
      <c r="D236" t="str">
        <v/>
      </c>
      <c r="E236" s="2" t="str">
        <v/>
      </c>
      <c r="F236" t="str">
        <v>M10 HAANTJES CERTIFISC OUDENAARDE</v>
      </c>
      <c r="G236" t="str">
        <v>Speler</v>
      </c>
    </row>
    <row r="237" spans="1:7" x14ac:dyDescent="0.3">
      <c r="A237" t="str">
        <v>Maiga Stevens</v>
      </c>
      <c r="B237" t="str">
        <v>safadorote3@gmail.com</v>
      </c>
      <c r="C237" t="str">
        <v>+32477968913</v>
      </c>
      <c r="D237" t="str">
        <v/>
      </c>
      <c r="E237" s="2" t="str">
        <v/>
      </c>
      <c r="F237" t="str">
        <v>M10 HAANTJES CERTIFISC OUDENAARDE</v>
      </c>
      <c r="G237" t="str">
        <v>Speler</v>
      </c>
    </row>
    <row r="238" spans="1:7" x14ac:dyDescent="0.3">
      <c r="A238" t="str">
        <v>Ella Van de zande</v>
      </c>
      <c r="B238" t="str">
        <v>piekske007@yahoo.com</v>
      </c>
      <c r="C238" t="str">
        <v>+32486372617</v>
      </c>
      <c r="D238" t="str">
        <v>https://app.twizzit.com/public/photos/7665003/s/5ed58413208ebbb451d8f9179fc6141b44a190fa.png</v>
      </c>
      <c r="E238" s="2" t="str">
        <v/>
      </c>
      <c r="F238" t="str">
        <v>M10 HAANTJES CERTIFISC OUDENAARDE</v>
      </c>
      <c r="G238" t="str">
        <v>Speler</v>
      </c>
    </row>
    <row r="239" spans="1:7" x14ac:dyDescent="0.3">
      <c r="A239" t="str">
        <v>Jeanne Waelkens</v>
      </c>
      <c r="B239" t="str">
        <v/>
      </c>
      <c r="C239" t="str">
        <v>+32495460727</v>
      </c>
      <c r="D239" t="str">
        <v>https://app.twizzit.com/public/photos/3437291/s/f3577d619164c0e4ca4ac15321e6e9e51e00ea9d.png</v>
      </c>
      <c r="E239" s="2" t="str">
        <v/>
      </c>
      <c r="F239" t="str">
        <v>M10 HAANTJES CERTIFISC OUDENAARDE</v>
      </c>
      <c r="G239" t="str">
        <v>Speler</v>
      </c>
    </row>
    <row r="240" spans="1:7" x14ac:dyDescent="0.3">
      <c r="A240" t="str">
        <v>Noa Bauters</v>
      </c>
      <c r="B240" t="str">
        <v>Jurgenbauters@gmail.com</v>
      </c>
      <c r="C240" t="str">
        <v>+32497533520</v>
      </c>
      <c r="D240" t="str">
        <v>https://app.twizzit.com/public/photos/11846410/s/0498863fb0a62c783eced92596a817e3339dca11.jpeg</v>
      </c>
      <c r="E240" s="2" t="str">
        <v/>
      </c>
      <c r="F240" t="str">
        <v>M12 A HAANTJES CERTIFISC OUDENAARDE</v>
      </c>
      <c r="G240" t="str">
        <v>Speler</v>
      </c>
    </row>
    <row r="241" spans="1:7" x14ac:dyDescent="0.3">
      <c r="A241" t="str">
        <v>Iris Calewaert</v>
      </c>
      <c r="B241" t="str">
        <v/>
      </c>
      <c r="C241" t="str">
        <v>+32479373164</v>
      </c>
      <c r="D241" t="str">
        <v/>
      </c>
      <c r="E241" s="2">
        <v>622248</v>
      </c>
      <c r="F241" t="str">
        <v>M12 A HAANTJES CERTIFISC OUDENAARDE</v>
      </c>
      <c r="G241" t="str">
        <v>Coach</v>
      </c>
    </row>
    <row r="242" spans="1:7" x14ac:dyDescent="0.3">
      <c r="A242" t="str">
        <v>Minne De Coninck</v>
      </c>
      <c r="B242" t="str">
        <v>joosdeconinck@hotmail.com</v>
      </c>
      <c r="C242" t="str">
        <v>+32479602944</v>
      </c>
      <c r="D242" t="str">
        <v/>
      </c>
      <c r="E242" s="2">
        <v>762628</v>
      </c>
      <c r="F242" t="str">
        <v>M12 A HAANTJES CERTIFISC OUDENAARDE</v>
      </c>
      <c r="G242" t="str">
        <v>Speler</v>
      </c>
    </row>
    <row r="243" spans="1:7" x14ac:dyDescent="0.3">
      <c r="A243" t="str">
        <v>Mary-Lou De Keukeleire</v>
      </c>
      <c r="B243" t="str">
        <v/>
      </c>
      <c r="C243" t="str">
        <v>+32498363470</v>
      </c>
      <c r="D243" t="str">
        <v>https://app.twizzit.com/public/photos/7663442/s/a1e4c1d99d71fda9ac80bca383a3ddb377005195.png</v>
      </c>
      <c r="E243" s="2">
        <v>766478</v>
      </c>
      <c r="F243" t="str">
        <v>M12 A HAANTJES CERTIFISC OUDENAARDE</v>
      </c>
      <c r="G243" t="str">
        <v>Speler</v>
      </c>
    </row>
    <row r="244" spans="1:7" x14ac:dyDescent="0.3">
      <c r="A244" t="str">
        <v>Gaëlle de la Rivière</v>
      </c>
      <c r="B244" t="str">
        <v>dlrgeoffrey@gmail.com</v>
      </c>
      <c r="C244" t="str">
        <v>+32494773553</v>
      </c>
      <c r="D244" t="str">
        <v/>
      </c>
      <c r="E244" s="2" t="str">
        <v/>
      </c>
      <c r="F244" t="str">
        <v>M12 A HAANTJES CERTIFISC OUDENAARDE</v>
      </c>
      <c r="G244" t="str">
        <v>Speler</v>
      </c>
    </row>
    <row r="245" spans="1:7" x14ac:dyDescent="0.3">
      <c r="A245" t="str">
        <v>Emmanuelle Dewaele</v>
      </c>
      <c r="B245" t="str">
        <v/>
      </c>
      <c r="C245" t="str">
        <v>+32498070140</v>
      </c>
      <c r="D245" t="str">
        <v/>
      </c>
      <c r="E245" s="2" t="str">
        <v/>
      </c>
      <c r="F245" t="str">
        <v>M12 A HAANTJES CERTIFISC OUDENAARDE</v>
      </c>
      <c r="G245" t="str">
        <v>Speler</v>
      </c>
    </row>
    <row r="246" spans="1:7" x14ac:dyDescent="0.3">
      <c r="A246" t="str">
        <v>Maud Lacres</v>
      </c>
      <c r="B246" t="str">
        <v>taelman.elke@gmail.com</v>
      </c>
      <c r="C246" t="str">
        <v>+32486264195</v>
      </c>
      <c r="D246" t="str">
        <v>https://app.twizzit.com/public/photos/7284400/s/788dc5308deee743b8d2d9764e0824010b7633fe.png</v>
      </c>
      <c r="E246" s="2">
        <v>764842</v>
      </c>
      <c r="F246" t="str">
        <v>M12 A HAANTJES CERTIFISC OUDENAARDE</v>
      </c>
      <c r="G246" t="str">
        <v>Speler</v>
      </c>
    </row>
    <row r="247" spans="1:7" x14ac:dyDescent="0.3">
      <c r="A247" t="str">
        <v>Babet Laurez</v>
      </c>
      <c r="B247" t="str">
        <v/>
      </c>
      <c r="C247" t="str">
        <v>+32477501978</v>
      </c>
      <c r="D247" t="str">
        <v/>
      </c>
      <c r="E247" s="2" t="str">
        <v/>
      </c>
      <c r="F247" t="str">
        <v>M12 A HAANTJES CERTIFISC OUDENAARDE</v>
      </c>
      <c r="G247" t="str">
        <v>Speler</v>
      </c>
    </row>
    <row r="248" spans="1:7" x14ac:dyDescent="0.3">
      <c r="A248" t="str">
        <v>Felice Libert</v>
      </c>
      <c r="B248" t="str">
        <v/>
      </c>
      <c r="C248" t="str">
        <v>+32473780275</v>
      </c>
      <c r="D248" t="str">
        <v>https://app.twizzit.com/public/photos/7279180/s/1c5d9fda02031baa486ebec940b4c251ec4b6762.png</v>
      </c>
      <c r="E248" s="2">
        <v>762633</v>
      </c>
      <c r="F248" t="str">
        <v>M12 A HAANTJES CERTIFISC OUDENAARDE</v>
      </c>
      <c r="G248" t="str">
        <v>Speler</v>
      </c>
    </row>
    <row r="249" spans="1:7" x14ac:dyDescent="0.3">
      <c r="A249" t="str">
        <v>Loes Van de Populiere</v>
      </c>
      <c r="B249" t="str">
        <v>biekemoone@hotmail.com</v>
      </c>
      <c r="C249" t="str">
        <v>+32477353878</v>
      </c>
      <c r="D249" t="str">
        <v/>
      </c>
      <c r="E249" s="2" t="str">
        <v/>
      </c>
      <c r="F249" t="str">
        <v>M12 A HAANTJES CERTIFISC OUDENAARDE</v>
      </c>
      <c r="G249" t="str">
        <v>Speler</v>
      </c>
    </row>
    <row r="250" spans="1:7" x14ac:dyDescent="0.3">
      <c r="A250" t="str">
        <v>Emma Van Nieuwenhuyze</v>
      </c>
      <c r="B250" t="str">
        <v>maaikeschiettecatte@gmail.com</v>
      </c>
      <c r="C250" t="str">
        <v>+32477259667</v>
      </c>
      <c r="D250" t="str">
        <v/>
      </c>
      <c r="E250" s="2" t="str">
        <v/>
      </c>
      <c r="F250" t="str">
        <v>M12 A HAANTJES CERTIFISC OUDENAARDE</v>
      </c>
      <c r="G250" t="str">
        <v>Speler</v>
      </c>
    </row>
    <row r="251" spans="1:7" x14ac:dyDescent="0.3">
      <c r="A251" t="str">
        <v>Joselien Vannieuwenhuyze</v>
      </c>
      <c r="B251" t="str">
        <v>elisabeth.vercammen@outlook.com</v>
      </c>
      <c r="C251" t="str">
        <v>+32494645568</v>
      </c>
      <c r="D251" t="str">
        <v>https://app.twizzit.com/public/photos/7500726/s/2eff7ed0f6739149e998067c7d82dda70894fc63.png</v>
      </c>
      <c r="E251" s="2" t="str">
        <v/>
      </c>
      <c r="F251" t="str">
        <v>M12 A HAANTJES CERTIFISC OUDENAARDE</v>
      </c>
      <c r="G251" t="str">
        <v>Speler</v>
      </c>
    </row>
    <row r="252" spans="1:7" x14ac:dyDescent="0.3">
      <c r="A252" t="str">
        <v>Mare Anseeuw</v>
      </c>
      <c r="B252" t="str">
        <v>matthias.anseeuw@telenet.be</v>
      </c>
      <c r="C252" t="str">
        <v>+32497023380</v>
      </c>
      <c r="D252" t="str">
        <v>https://app.twizzit.com/public/photos/2182456/s/112b54676bd1e925e699cce3ec7a25a94902a3a2.png</v>
      </c>
      <c r="E252" s="2">
        <v>735071</v>
      </c>
      <c r="F252" t="str">
        <v>M14 A Haantjes CERTIFISC  Oudenaarde</v>
      </c>
      <c r="G252" t="str">
        <v>Speler</v>
      </c>
    </row>
    <row r="253" spans="1:7" x14ac:dyDescent="0.3">
      <c r="A253" t="str">
        <v>Janna Bauters</v>
      </c>
      <c r="B253" t="str">
        <v/>
      </c>
      <c r="C253" t="str">
        <v>+32474344132</v>
      </c>
      <c r="D253" t="str">
        <v>https://app.twizzit.com/public/photos/2182476/s/d120dcfc0ec82f0d803829f917b4287681f3dd01.png</v>
      </c>
      <c r="E253" s="2">
        <v>280371</v>
      </c>
      <c r="F253" t="str">
        <v>M14 A Haantjes CERTIFISC  Oudenaarde</v>
      </c>
      <c r="G253" t="str">
        <v>Coach</v>
      </c>
    </row>
    <row r="254" spans="1:7" x14ac:dyDescent="0.3">
      <c r="A254" t="str">
        <v>Celeste Blancke</v>
      </c>
      <c r="B254" t="str">
        <v/>
      </c>
      <c r="C254" t="str">
        <v>+32473412540</v>
      </c>
      <c r="D254" t="str">
        <v>https://app.twizzit.com/public/photos/3500953/s/601083ebf506787be01432d1e891039519c5d9b6.jpeg</v>
      </c>
      <c r="E254" s="2">
        <v>749419</v>
      </c>
      <c r="F254" t="str">
        <v>M14 A Haantjes CERTIFISC  Oudenaarde</v>
      </c>
      <c r="G254" t="str">
        <v>Speler</v>
      </c>
    </row>
    <row r="255" spans="1:7" x14ac:dyDescent="0.3">
      <c r="A255" t="str">
        <v>Ella-Marie Crombez</v>
      </c>
      <c r="B255" t="str">
        <v>Tom.crombez@gmail.com</v>
      </c>
      <c r="C255" t="str">
        <v>+32474828659</v>
      </c>
      <c r="D255" t="str">
        <v/>
      </c>
      <c r="E255" s="2" t="str">
        <v/>
      </c>
      <c r="F255" t="str">
        <v>M14 A Haantjes CERTIFISC  Oudenaarde</v>
      </c>
      <c r="G255" t="str">
        <v>Speler</v>
      </c>
    </row>
    <row r="256" spans="1:7" x14ac:dyDescent="0.3">
      <c r="A256" t="str">
        <v>Limme De Zitter</v>
      </c>
      <c r="B256" t="str">
        <v>de.zitter.steve@gmail.com</v>
      </c>
      <c r="C256" t="str">
        <v>+32473423222</v>
      </c>
      <c r="D256" t="str">
        <v/>
      </c>
      <c r="E256" s="2">
        <v>742327</v>
      </c>
      <c r="F256" t="str">
        <v>M14 A Haantjes CERTIFISC  Oudenaarde</v>
      </c>
      <c r="G256" t="str">
        <v>Speler</v>
      </c>
    </row>
    <row r="257" spans="1:7" x14ac:dyDescent="0.3">
      <c r="A257" t="str">
        <v>Ode Desmet</v>
      </c>
      <c r="B257" t="str">
        <v>freyamalfait@icloud.com</v>
      </c>
      <c r="C257" t="str">
        <v>+32472832063</v>
      </c>
      <c r="D257" t="str">
        <v>https://app.twizzit.com/public/photos/2650916/s/be89217f1fc3b11d85c4b13abcca39bae64798e5.png</v>
      </c>
      <c r="E257" s="2">
        <v>742234</v>
      </c>
      <c r="F257" t="str">
        <v>M14 A Haantjes CERTIFISC  Oudenaarde</v>
      </c>
      <c r="G257" t="str">
        <v>Speler</v>
      </c>
    </row>
    <row r="258" spans="1:7" x14ac:dyDescent="0.3">
      <c r="A258" t="str">
        <v>Celeste Geenens</v>
      </c>
      <c r="B258" t="str">
        <v>stephengeenens@gmail.com</v>
      </c>
      <c r="C258" t="str">
        <v>+32494195355</v>
      </c>
      <c r="D258" t="str">
        <v/>
      </c>
      <c r="E258" s="2" t="str">
        <v/>
      </c>
      <c r="F258" t="str">
        <v>M14 A Haantjes CERTIFISC  Oudenaarde</v>
      </c>
      <c r="G258" t="str">
        <v>Speler</v>
      </c>
    </row>
    <row r="259" spans="1:7" x14ac:dyDescent="0.3">
      <c r="A259" t="str">
        <v>Julie Orbie</v>
      </c>
      <c r="B259" t="str">
        <v/>
      </c>
      <c r="C259" t="str">
        <v>+32472656820</v>
      </c>
      <c r="D259" t="str">
        <v/>
      </c>
      <c r="E259" s="2">
        <v>746004</v>
      </c>
      <c r="F259" t="str">
        <v>M14 A Haantjes CERTIFISC  Oudenaarde</v>
      </c>
      <c r="G259" t="str">
        <v>Speler</v>
      </c>
    </row>
    <row r="260" spans="1:7" x14ac:dyDescent="0.3">
      <c r="A260" t="str">
        <v>Emlin Rommens</v>
      </c>
      <c r="B260" t="str">
        <v>pieterrommens@hotmail.be</v>
      </c>
      <c r="C260" t="str">
        <v>+32470513652</v>
      </c>
      <c r="D260" t="str">
        <v>https://app.twizzit.com/public/photos/2650641/s/248b205ecc69fd455c13ac7cc9deb76d11e361a0.png</v>
      </c>
      <c r="E260" s="2">
        <v>742358</v>
      </c>
      <c r="F260" t="str">
        <v>M14 A Haantjes CERTIFISC  Oudenaarde</v>
      </c>
      <c r="G260" t="str">
        <v>Speler</v>
      </c>
    </row>
    <row r="261" spans="1:7" x14ac:dyDescent="0.3">
      <c r="A261" t="str">
        <v>Merel Spiessens</v>
      </c>
      <c r="B261" t="str">
        <v>Me@opcd.net</v>
      </c>
      <c r="C261" t="str">
        <v>+32474655154</v>
      </c>
      <c r="D261" t="str">
        <v>https://app.twizzit.com/public/photos/2183207/s/cd9fd40cf38cd1eb62df0198f102c2154c08c604.jpeg</v>
      </c>
      <c r="E261" s="2">
        <v>721093</v>
      </c>
      <c r="F261" t="str">
        <v>M14 A Haantjes CERTIFISC  Oudenaarde</v>
      </c>
      <c r="G261" t="str">
        <v>Speler</v>
      </c>
    </row>
    <row r="262" spans="1:7" x14ac:dyDescent="0.3">
      <c r="A262" t="str">
        <v>Olivia Vanbutsele</v>
      </c>
      <c r="B262" t="str">
        <v>Mike.vb@telenet.be</v>
      </c>
      <c r="C262" t="str">
        <v>+32483081624</v>
      </c>
      <c r="D262" t="str">
        <v>https://app.twizzit.com/public/photos/4292310/s/063d2ce017539cf8df316f28e3a639739d1c1148.jpeg</v>
      </c>
      <c r="E262" s="2" t="str">
        <v/>
      </c>
      <c r="F262" t="str">
        <v>M14 A Haantjes CERTIFISC  Oudenaarde</v>
      </c>
      <c r="G262" t="str">
        <v>Speler</v>
      </c>
    </row>
    <row r="263" spans="1:7" x14ac:dyDescent="0.3">
      <c r="A263" t="str">
        <v>Isa Ameloot-Vanhove</v>
      </c>
      <c r="B263" t="str">
        <v>sofie.ameloot@huurland.be</v>
      </c>
      <c r="C263" t="str">
        <v>+32483203613</v>
      </c>
      <c r="D263" t="str">
        <v>https://app.twizzit.com/public/photos/5115343/s/0e6908415a8d44c9a80019c8bc87b39596577cc5.jpeg</v>
      </c>
      <c r="E263" s="2" t="str">
        <v/>
      </c>
      <c r="F263" t="str">
        <v>M16 A Haantjes CERTIFISC  Oudenaarde</v>
      </c>
      <c r="G263" t="str">
        <v>Speler</v>
      </c>
    </row>
    <row r="264" spans="1:7" x14ac:dyDescent="0.3">
      <c r="A264" t="str">
        <v>Merel Blancke</v>
      </c>
      <c r="B264" t="str">
        <v/>
      </c>
      <c r="C264" t="str">
        <v>+32478385011</v>
      </c>
      <c r="D264" t="str">
        <v>https://app.twizzit.com/public/photos/5568565/s/d285ba208d969f77d6c249fb61359c50c614e6ac.png</v>
      </c>
      <c r="E264" s="2" t="str">
        <v/>
      </c>
      <c r="F264" t="str">
        <v>M16 A Haantjes CERTIFISC  Oudenaarde</v>
      </c>
      <c r="G264" t="str">
        <v>Speler</v>
      </c>
    </row>
    <row r="265" spans="1:7" x14ac:dyDescent="0.3">
      <c r="A265" t="str">
        <v>Luca Boullart</v>
      </c>
      <c r="B265" t="str">
        <v>maggy.hombecq@hotmail.com</v>
      </c>
      <c r="C265" t="str">
        <v>+32475558448</v>
      </c>
      <c r="D265" t="str">
        <v/>
      </c>
      <c r="E265" s="2">
        <v>733968</v>
      </c>
      <c r="F265" t="str">
        <v>M16 A Haantjes CERTIFISC  Oudenaarde</v>
      </c>
      <c r="G265" t="str">
        <v>Speler</v>
      </c>
    </row>
    <row r="266" spans="1:7" x14ac:dyDescent="0.3">
      <c r="A266" t="str">
        <v>Pip Dawyndt</v>
      </c>
      <c r="B266" t="str">
        <v/>
      </c>
      <c r="C266" t="str">
        <v>+32473746819</v>
      </c>
      <c r="D266" t="str">
        <v/>
      </c>
      <c r="E266" s="2">
        <v>745355</v>
      </c>
      <c r="F266" t="str">
        <v>M16 A Haantjes CERTIFISC  Oudenaarde</v>
      </c>
      <c r="G266" t="str">
        <v>Speler</v>
      </c>
    </row>
    <row r="267" spans="1:7" x14ac:dyDescent="0.3">
      <c r="A267" t="str">
        <v>Maure De Coen</v>
      </c>
      <c r="B267" t="str">
        <v>Achimdecoen@hotmail.com</v>
      </c>
      <c r="C267" t="str">
        <v>+32479655812</v>
      </c>
      <c r="D267" t="str">
        <v/>
      </c>
      <c r="E267" s="2" t="str">
        <v/>
      </c>
      <c r="F267" t="str">
        <v>M16 A Haantjes CERTIFISC  Oudenaarde</v>
      </c>
      <c r="G267" t="str">
        <v>Speler</v>
      </c>
    </row>
    <row r="268" spans="1:7" x14ac:dyDescent="0.3">
      <c r="A268" t="str">
        <v>Jamila Ettijrini</v>
      </c>
      <c r="B268" t="str">
        <v/>
      </c>
      <c r="C268" t="str">
        <v>+32470221432</v>
      </c>
      <c r="D268" t="str">
        <v/>
      </c>
      <c r="E268" s="2" t="str">
        <v/>
      </c>
      <c r="F268" t="str">
        <v>M16 A Haantjes CERTIFISC  Oudenaarde</v>
      </c>
      <c r="G268" t="str">
        <v>Speler</v>
      </c>
    </row>
    <row r="269" spans="1:7" x14ac:dyDescent="0.3">
      <c r="A269" t="str">
        <v>Chloé Faelens</v>
      </c>
      <c r="B269" t="str">
        <v/>
      </c>
      <c r="C269" t="str">
        <v>+32472960602</v>
      </c>
      <c r="D269" t="str">
        <v>https://app.twizzit.com/public/photos/4276094/s/88cd5d3554278fc03aae2c2a9989ae19589b1181.png</v>
      </c>
      <c r="E269" s="2" t="str">
        <v/>
      </c>
      <c r="F269" t="str">
        <v>M16 A Haantjes CERTIFISC  Oudenaarde</v>
      </c>
      <c r="G269" t="str">
        <v>Speler</v>
      </c>
    </row>
    <row r="270" spans="1:7" x14ac:dyDescent="0.3">
      <c r="A270" t="str">
        <v>Laura Hakuzimana</v>
      </c>
      <c r="B270" t="str">
        <v/>
      </c>
      <c r="C270" t="str">
        <v>+32496950967</v>
      </c>
      <c r="D270" t="str">
        <v/>
      </c>
      <c r="E270" s="2">
        <v>721092</v>
      </c>
      <c r="F270" t="str">
        <v>M16 A Haantjes CERTIFISC  Oudenaarde</v>
      </c>
      <c r="G270" t="str">
        <v>Speler</v>
      </c>
    </row>
    <row r="271" spans="1:7" x14ac:dyDescent="0.3">
      <c r="A271" t="str">
        <v>Ron Heestermans</v>
      </c>
      <c r="B271" t="str">
        <v/>
      </c>
      <c r="C271" t="str">
        <v>+32468152536</v>
      </c>
      <c r="D271" t="str">
        <v/>
      </c>
      <c r="E271" s="2" t="str">
        <v/>
      </c>
      <c r="F271" t="str">
        <v>M16 A Haantjes CERTIFISC  Oudenaarde</v>
      </c>
      <c r="G271" t="str">
        <v>Coach</v>
      </c>
    </row>
    <row r="272" spans="1:7" x14ac:dyDescent="0.3">
      <c r="A272" t="str">
        <v>Dréa Maes</v>
      </c>
      <c r="B272" t="str">
        <v>Joke.merlaen@gmail.com</v>
      </c>
      <c r="C272" t="str">
        <v/>
      </c>
      <c r="D272" t="str">
        <v>https://app.twizzit.com/public/photos/3412861/s/5d2322ba0de7264fd5ba0170cc29e82844de05d5.png</v>
      </c>
      <c r="E272" s="2" t="str">
        <v/>
      </c>
      <c r="F272" t="str">
        <v>M16 A Haantjes CERTIFISC  Oudenaarde</v>
      </c>
      <c r="G272" t="str">
        <v>Speler</v>
      </c>
    </row>
    <row r="273" spans="1:7" x14ac:dyDescent="0.3">
      <c r="A273" t="str">
        <v>Elisabeth Saveyn</v>
      </c>
      <c r="B273" t="str">
        <v>moonvanneste@hotmail.com</v>
      </c>
      <c r="C273" t="str">
        <v>+32496392369</v>
      </c>
      <c r="D273" t="str">
        <v/>
      </c>
      <c r="E273" s="2" t="str">
        <v/>
      </c>
      <c r="F273" t="str">
        <v>M16 A Haantjes CERTIFISC  Oudenaarde</v>
      </c>
      <c r="G273" t="str">
        <v>Speler</v>
      </c>
    </row>
    <row r="274" spans="1:7" x14ac:dyDescent="0.3">
      <c r="A274" t="str">
        <v>Nona Schmitt</v>
      </c>
      <c r="B274" t="str">
        <v>alexander.schmitt@authority.biz</v>
      </c>
      <c r="C274" t="str">
        <v>+32473761554</v>
      </c>
      <c r="D274" t="str">
        <v/>
      </c>
      <c r="E274" s="2" t="str">
        <v/>
      </c>
      <c r="F274" t="str">
        <v>M16 A Haantjes CERTIFISC  Oudenaarde</v>
      </c>
      <c r="G274" t="str">
        <v>Speler</v>
      </c>
    </row>
    <row r="275" spans="1:7" x14ac:dyDescent="0.3">
      <c r="A275" t="str">
        <v>Anaïs Vanhessche</v>
      </c>
      <c r="B275" t="str">
        <v>miekevanderhaeghen@gmail.com</v>
      </c>
      <c r="C275" t="str">
        <v>+32477741955</v>
      </c>
      <c r="D275" t="str">
        <v>https://app.twizzit.com/public/photos/2183392/s/3035381a43296f702255c02c3c99c4303bd9ab17.png</v>
      </c>
      <c r="E275" s="2">
        <v>730033</v>
      </c>
      <c r="F275" t="str">
        <v>M16 A Haantjes CERTIFISC  Oudenaarde</v>
      </c>
      <c r="G275" t="str">
        <v>Speler</v>
      </c>
    </row>
    <row r="276" spans="1:7" x14ac:dyDescent="0.3">
      <c r="A276" t="str">
        <v>Emma Verleyen</v>
      </c>
      <c r="B276" t="str">
        <v>emma.verleyen094@gmail.com</v>
      </c>
      <c r="C276" t="str">
        <v>+32496129595</v>
      </c>
      <c r="D276" t="str">
        <v/>
      </c>
      <c r="E276" s="2" t="str">
        <v/>
      </c>
      <c r="F276" t="str">
        <v>M16 A Haantjes CERTIFISC  Oudenaarde</v>
      </c>
      <c r="G276" t="str">
        <v>Speler</v>
      </c>
    </row>
    <row r="277" spans="1:7" x14ac:dyDescent="0.3">
      <c r="A277" t="str">
        <v>Marie Bourdeaud'hui</v>
      </c>
      <c r="B277" t="str">
        <v/>
      </c>
      <c r="C277" t="str">
        <v>+32572791</v>
      </c>
      <c r="D277" t="str">
        <v>https://app.twizzit.com/public/photos/2182516/s/0d7291570c9e5cf142cd892c8fd7ace8c517270a.png</v>
      </c>
      <c r="E277" s="2">
        <v>714083</v>
      </c>
      <c r="F277" t="str">
        <v>M19 A Haantjes CERTIFISC Oudenaarde</v>
      </c>
      <c r="G277" t="str">
        <v>Speler</v>
      </c>
    </row>
    <row r="278" spans="1:7" x14ac:dyDescent="0.3">
      <c r="A278" t="str">
        <v>Lise Braem</v>
      </c>
      <c r="B278" t="str">
        <v>Braem.lise@gmail.com</v>
      </c>
      <c r="C278" t="str">
        <v/>
      </c>
      <c r="D278" t="str">
        <v>https://app.twizzit.com/public/photos/2182526/s/a821912bbd87d29337fbfbb0be2e91298bc55869.jpeg</v>
      </c>
      <c r="E278" s="2">
        <v>706640</v>
      </c>
      <c r="F278" t="str">
        <v>M19 A Haantjes CERTIFISC Oudenaarde</v>
      </c>
      <c r="G278" t="str">
        <v>Speler</v>
      </c>
    </row>
    <row r="279" spans="1:7" x14ac:dyDescent="0.3">
      <c r="A279" t="str">
        <v>Alice Cokelaere</v>
      </c>
      <c r="B279" t="str">
        <v>sofie.pattyn@telenet.be</v>
      </c>
      <c r="C279" t="str">
        <v>+32477681738</v>
      </c>
      <c r="D279" t="str">
        <v/>
      </c>
      <c r="E279" s="2">
        <v>669074</v>
      </c>
      <c r="F279" t="str">
        <v>M19 A Haantjes CERTIFISC Oudenaarde</v>
      </c>
      <c r="G279" t="str">
        <v>Speler</v>
      </c>
    </row>
    <row r="280" spans="1:7" x14ac:dyDescent="0.3">
      <c r="A280" t="str">
        <v>Dieuwke Decroix</v>
      </c>
      <c r="B280" t="str">
        <v>decroix.willem@gmail.com</v>
      </c>
      <c r="C280" t="str">
        <v>+32483596928</v>
      </c>
      <c r="D280" t="str">
        <v/>
      </c>
      <c r="E280" s="2">
        <v>752195</v>
      </c>
      <c r="F280" t="str">
        <v>M19 A Haantjes CERTIFISC Oudenaarde</v>
      </c>
      <c r="G280" t="str">
        <v>Speler</v>
      </c>
    </row>
    <row r="281" spans="1:7" x14ac:dyDescent="0.3">
      <c r="A281" t="str">
        <v>Lora Demets</v>
      </c>
      <c r="B281" t="str">
        <v>Lowie.demets@telenet.be</v>
      </c>
      <c r="C281" t="str">
        <v>+32474450168</v>
      </c>
      <c r="D281" t="str">
        <v/>
      </c>
      <c r="E281" s="2">
        <v>741137</v>
      </c>
      <c r="F281" t="str">
        <v>M19 A Haantjes CERTIFISC Oudenaarde</v>
      </c>
      <c r="G281" t="str">
        <v>Speler</v>
      </c>
    </row>
    <row r="282" spans="1:7" x14ac:dyDescent="0.3">
      <c r="A282" t="str">
        <v>Kenneth Dhont</v>
      </c>
      <c r="B282" t="str">
        <v/>
      </c>
      <c r="C282" t="str">
        <v>+32477485789</v>
      </c>
      <c r="D282" t="str">
        <v/>
      </c>
      <c r="E282" s="2">
        <v>50455</v>
      </c>
      <c r="F282" t="str">
        <v>M19 A Haantjes CERTIFISC Oudenaarde</v>
      </c>
      <c r="G282" t="str">
        <v>Coach</v>
      </c>
    </row>
    <row r="283" spans="1:7" x14ac:dyDescent="0.3">
      <c r="A283" t="str">
        <v>Heike Guenter</v>
      </c>
      <c r="B283" t="str">
        <v>Heike.guenter@telenet.be</v>
      </c>
      <c r="C283" t="str">
        <v>+32456085054</v>
      </c>
      <c r="D283" t="str">
        <v/>
      </c>
      <c r="E283" s="2">
        <v>727038</v>
      </c>
      <c r="F283" t="str">
        <v>M19 A Haantjes CERTIFISC Oudenaarde</v>
      </c>
      <c r="G283" t="str">
        <v>Speler</v>
      </c>
    </row>
    <row r="284" spans="1:7" x14ac:dyDescent="0.3">
      <c r="A284" t="str">
        <v>Janne Vandriessche</v>
      </c>
      <c r="B284" t="str">
        <v>wout.vandriessche@telenet.be</v>
      </c>
      <c r="C284" t="str">
        <v>+32474875556</v>
      </c>
      <c r="D284" t="str">
        <v/>
      </c>
      <c r="E284" s="2">
        <v>703875</v>
      </c>
      <c r="F284" t="str">
        <v>M19 A Haantjes CERTIFISC Oudenaarde</v>
      </c>
      <c r="G284" t="str">
        <v>Speler</v>
      </c>
    </row>
    <row r="285" spans="1:7" x14ac:dyDescent="0.3">
      <c r="A285" t="str">
        <v>Lente Verhaeghe</v>
      </c>
      <c r="B285" t="str">
        <v>verhaeghelente@gmail.com</v>
      </c>
      <c r="C285" t="str">
        <v/>
      </c>
      <c r="D285" t="str">
        <v>https://app.twizzit.com/public/photos/3706826/s/7283d518f82547e0fb530790cddedb0edf0a5785.jpeg</v>
      </c>
      <c r="E285" s="2" t="str">
        <v/>
      </c>
      <c r="F285" t="str">
        <v>M19 A Haantjes CERTIFISC Oudenaarde</v>
      </c>
      <c r="G285" t="str">
        <v>Speler</v>
      </c>
    </row>
    <row r="286" spans="1:7" x14ac:dyDescent="0.3">
      <c r="A286" t="str">
        <v>Lena Verschatse</v>
      </c>
      <c r="B286" t="str">
        <v/>
      </c>
      <c r="C286" t="str">
        <v>+32468516883</v>
      </c>
      <c r="D286" t="str">
        <v/>
      </c>
      <c r="E286" s="2">
        <v>735282</v>
      </c>
      <c r="F286" t="str">
        <v>M19 A Haantjes CERTIFISC Oudenaarde</v>
      </c>
      <c r="G286" t="str">
        <v>Speler</v>
      </c>
    </row>
    <row r="287" spans="1:7" x14ac:dyDescent="0.3">
      <c r="A287" t="str">
        <v>Lily Adam</v>
      </c>
      <c r="B287" t="str">
        <v>Koenadam78@gmail.com</v>
      </c>
      <c r="C287" t="str">
        <v>+32456558867</v>
      </c>
      <c r="D287" t="str">
        <v>https://app.twizzit.com/public/photos/2182441/s/eec7946e1a9e80461f26752840c4aedc7d235bab.jpeg</v>
      </c>
      <c r="E287" s="2">
        <v>728412</v>
      </c>
      <c r="F287" t="str">
        <v xml:space="preserve">Trainerspoule </v>
      </c>
      <c r="G287" t="str">
        <v>Coach</v>
      </c>
    </row>
    <row r="288" spans="1:7" x14ac:dyDescent="0.3">
      <c r="A288" t="str">
        <v>Kimberley De Smet</v>
      </c>
      <c r="B288" t="str">
        <v/>
      </c>
      <c r="C288" t="str">
        <v/>
      </c>
      <c r="D288" t="str">
        <v>https://app.twizzit.com/public/photos/2182696/s/b3404003062e85e1b45f5fca9b0565fe70029286.png</v>
      </c>
      <c r="E288" s="2">
        <v>266618</v>
      </c>
      <c r="F288" t="str">
        <v xml:space="preserve">Trainerspoule </v>
      </c>
      <c r="G288" t="str">
        <v>Coach</v>
      </c>
    </row>
    <row r="289" spans="1:7" x14ac:dyDescent="0.3">
      <c r="A289" t="str">
        <v>Tuur Genbrugge</v>
      </c>
      <c r="B289" t="str">
        <v/>
      </c>
      <c r="C289" t="str">
        <v>+32486314030</v>
      </c>
      <c r="D289" t="str">
        <v/>
      </c>
      <c r="E289" s="2" t="str">
        <v/>
      </c>
      <c r="F289" t="str">
        <v xml:space="preserve">Trainerspoule </v>
      </c>
      <c r="G289" t="str">
        <v>Coach</v>
      </c>
    </row>
    <row r="290" spans="1:7" x14ac:dyDescent="0.3">
      <c r="A290" t="str">
        <v>Charlotte Van Moorleghem</v>
      </c>
      <c r="B290" t="str">
        <v>charlotte.vanmoorleghem1@gmail.com</v>
      </c>
      <c r="C290" t="str">
        <v/>
      </c>
      <c r="D290" t="str">
        <v/>
      </c>
      <c r="E290" s="2">
        <v>201618</v>
      </c>
      <c r="F290" t="str">
        <v xml:space="preserve">Trainerspoule </v>
      </c>
      <c r="G290" t="str">
        <v>Coach</v>
      </c>
    </row>
    <row r="291" spans="1:7" x14ac:dyDescent="0.3">
      <c r="A291" t="str">
        <v>Lily Adam</v>
      </c>
      <c r="B291" t="str">
        <v>Koenadam78@gmail.com</v>
      </c>
      <c r="C291" t="str">
        <v>+32456558867</v>
      </c>
      <c r="D291" t="str">
        <v>https://app.twizzit.com/public/photos/2182441/s/eec7946e1a9e80461f26752840c4aedc7d235bab.jpeg</v>
      </c>
      <c r="E291" s="2">
        <v>728412</v>
      </c>
      <c r="F291" t="str">
        <v>Zomerstage 2026 (Blankenberge)</v>
      </c>
      <c r="G291" t="str">
        <v>Speler</v>
      </c>
    </row>
    <row r="292" spans="1:7" x14ac:dyDescent="0.3">
      <c r="A292" t="str">
        <v>Bent Anseeuw</v>
      </c>
      <c r="B292" t="str">
        <v>bent.anseeuw@gmail.com</v>
      </c>
      <c r="C292" t="str">
        <v>+32497023380</v>
      </c>
      <c r="D292" t="str">
        <v>https://app.twizzit.com/public/photos/2182451/s/d40702514c4affc118f06eee4555b1ca966c4e65.png</v>
      </c>
      <c r="E292" s="2">
        <v>713666</v>
      </c>
      <c r="F292" t="str">
        <v>Zomerstage 2026 (Blankenberge)</v>
      </c>
      <c r="G292" t="str">
        <v>Speler</v>
      </c>
    </row>
    <row r="293" spans="1:7" x14ac:dyDescent="0.3">
      <c r="A293" t="str">
        <v>Mare Anseeuw</v>
      </c>
      <c r="B293" t="str">
        <v>matthias.anseeuw@telenet.be</v>
      </c>
      <c r="C293" t="str">
        <v>+32497023380</v>
      </c>
      <c r="D293" t="str">
        <v>https://app.twizzit.com/public/photos/2182456/s/112b54676bd1e925e699cce3ec7a25a94902a3a2.png</v>
      </c>
      <c r="E293" s="2">
        <v>735071</v>
      </c>
      <c r="F293" t="str">
        <v>Zomerstage 2026 (Blankenberge)</v>
      </c>
      <c r="G293" t="str">
        <v>Speler</v>
      </c>
    </row>
    <row r="294" spans="1:7" x14ac:dyDescent="0.3">
      <c r="A294" t="str">
        <v>Vince Beke</v>
      </c>
      <c r="B294" t="str">
        <v>wim.beke@telenet.be</v>
      </c>
      <c r="C294" t="str">
        <v>+32494534565</v>
      </c>
      <c r="D294" t="str">
        <v>https://app.twizzit.com/public/photos/2182501/s/ff9efabb61fd27d35070a050abd98c15c9bfe6c5.png</v>
      </c>
      <c r="E294" s="2">
        <v>715506</v>
      </c>
      <c r="F294" t="str">
        <v>Zomerstage 2026 (Blankenberge)</v>
      </c>
      <c r="G294" t="str">
        <v>Speler</v>
      </c>
    </row>
    <row r="295" spans="1:7" x14ac:dyDescent="0.3">
      <c r="A295" t="str">
        <v>Celeste Blancke</v>
      </c>
      <c r="B295" t="str">
        <v/>
      </c>
      <c r="C295" t="str">
        <v>+32473412540</v>
      </c>
      <c r="D295" t="str">
        <v>https://app.twizzit.com/public/photos/3500953/s/601083ebf506787be01432d1e891039519c5d9b6.jpeg</v>
      </c>
      <c r="E295" s="2">
        <v>749419</v>
      </c>
      <c r="F295" t="str">
        <v>Zomerstage 2026 (Blankenberge)</v>
      </c>
      <c r="G295" t="str">
        <v>Speler</v>
      </c>
    </row>
    <row r="296" spans="1:7" x14ac:dyDescent="0.3">
      <c r="A296" t="str">
        <v>Merel Blancke</v>
      </c>
      <c r="B296" t="str">
        <v/>
      </c>
      <c r="C296" t="str">
        <v>+32478385011</v>
      </c>
      <c r="D296" t="str">
        <v>https://app.twizzit.com/public/photos/5568565/s/d285ba208d969f77d6c249fb61359c50c614e6ac.png</v>
      </c>
      <c r="E296" s="2" t="str">
        <v/>
      </c>
      <c r="F296" t="str">
        <v>Zomerstage 2026 (Blankenberge)</v>
      </c>
      <c r="G296" t="str">
        <v>Speler</v>
      </c>
    </row>
    <row r="297" spans="1:7" x14ac:dyDescent="0.3">
      <c r="A297" t="str">
        <v>Luca Boullart</v>
      </c>
      <c r="B297" t="str">
        <v>maggy.hombecq@hotmail.com</v>
      </c>
      <c r="C297" t="str">
        <v>+32475558448</v>
      </c>
      <c r="D297" t="str">
        <v/>
      </c>
      <c r="E297" s="2">
        <v>733968</v>
      </c>
      <c r="F297" t="str">
        <v>Zomerstage 2026 (Blankenberge)</v>
      </c>
      <c r="G297" t="str">
        <v>Speler</v>
      </c>
    </row>
    <row r="298" spans="1:7" x14ac:dyDescent="0.3">
      <c r="A298" t="str">
        <v>Marie Bourdeaud'hui</v>
      </c>
      <c r="B298" t="str">
        <v/>
      </c>
      <c r="C298" t="str">
        <v>+32572791</v>
      </c>
      <c r="D298" t="str">
        <v>https://app.twizzit.com/public/photos/2182516/s/0d7291570c9e5cf142cd892c8fd7ace8c517270a.png</v>
      </c>
      <c r="E298" s="2">
        <v>714083</v>
      </c>
      <c r="F298" t="str">
        <v>Zomerstage 2026 (Blankenberge)</v>
      </c>
      <c r="G298" t="str">
        <v>Speler</v>
      </c>
    </row>
    <row r="299" spans="1:7" x14ac:dyDescent="0.3">
      <c r="A299" t="str">
        <v>Lise Braem</v>
      </c>
      <c r="B299" t="str">
        <v>Braem.lise@gmail.com</v>
      </c>
      <c r="C299" t="str">
        <v/>
      </c>
      <c r="D299" t="str">
        <v>https://app.twizzit.com/public/photos/2182526/s/a821912bbd87d29337fbfbb0be2e91298bc55869.jpeg</v>
      </c>
      <c r="E299" s="2">
        <v>706640</v>
      </c>
      <c r="F299" t="str">
        <v>Zomerstage 2026 (Blankenberge)</v>
      </c>
      <c r="G299" t="str">
        <v>Speler</v>
      </c>
    </row>
    <row r="300" spans="1:7" x14ac:dyDescent="0.3">
      <c r="A300" t="str">
        <v>Jonah Cattoir</v>
      </c>
      <c r="B300" t="str">
        <v/>
      </c>
      <c r="C300" t="str">
        <v/>
      </c>
      <c r="D300" t="str">
        <v/>
      </c>
      <c r="E300" s="2" t="str">
        <v/>
      </c>
      <c r="F300" t="str">
        <v>Zomerstage 2026 (Blankenberge)</v>
      </c>
      <c r="G300" t="str">
        <v>Speler</v>
      </c>
    </row>
    <row r="301" spans="1:7" x14ac:dyDescent="0.3">
      <c r="A301" t="str">
        <v>Alice Cokelaere</v>
      </c>
      <c r="B301" t="str">
        <v>sofie.pattyn@telenet.be</v>
      </c>
      <c r="C301" t="str">
        <v>+32477681738</v>
      </c>
      <c r="D301" t="str">
        <v/>
      </c>
      <c r="E301" s="2">
        <v>669074</v>
      </c>
      <c r="F301" t="str">
        <v>Zomerstage 2026 (Blankenberge)</v>
      </c>
      <c r="G301" t="str">
        <v>Speler</v>
      </c>
    </row>
    <row r="302" spans="1:7" x14ac:dyDescent="0.3">
      <c r="A302" t="str">
        <v>Sofian D'Haenen</v>
      </c>
      <c r="B302" t="str">
        <v/>
      </c>
      <c r="C302" t="str">
        <v/>
      </c>
      <c r="D302" t="str">
        <v/>
      </c>
      <c r="E302" s="2" t="str">
        <v/>
      </c>
      <c r="F302" t="str">
        <v>Zomerstage 2026 (Blankenberge)</v>
      </c>
      <c r="G302" t="str">
        <v>Speler</v>
      </c>
    </row>
    <row r="303" spans="1:7" x14ac:dyDescent="0.3">
      <c r="A303" t="str">
        <v>Yunus D'Haenen</v>
      </c>
      <c r="B303" t="str">
        <v/>
      </c>
      <c r="C303" t="str">
        <v/>
      </c>
      <c r="D303" t="str">
        <v/>
      </c>
      <c r="E303" s="2" t="str">
        <v/>
      </c>
      <c r="F303" t="str">
        <v>Zomerstage 2026 (Blankenberge)</v>
      </c>
      <c r="G303" t="str">
        <v>Speler</v>
      </c>
    </row>
    <row r="304" spans="1:7" x14ac:dyDescent="0.3">
      <c r="A304" t="str">
        <v>Pip Dawyndt</v>
      </c>
      <c r="B304" t="str">
        <v/>
      </c>
      <c r="C304" t="str">
        <v>+32473746819</v>
      </c>
      <c r="D304" t="str">
        <v/>
      </c>
      <c r="E304" s="2">
        <v>745355</v>
      </c>
      <c r="F304" t="str">
        <v>Zomerstage 2026 (Blankenberge)</v>
      </c>
      <c r="G304" t="str">
        <v>Speler</v>
      </c>
    </row>
    <row r="305" spans="1:7" x14ac:dyDescent="0.3">
      <c r="A305" t="str">
        <v>David De Brabander</v>
      </c>
      <c r="B305" t="str">
        <v/>
      </c>
      <c r="C305" t="str">
        <v>+32478251758</v>
      </c>
      <c r="D305" t="str">
        <v>https://app.twizzit.com/public/photos/4024795/s/7af12ff114d5d53515b4f220ddc6cdb6ff121519.png</v>
      </c>
      <c r="E305" s="2">
        <v>32746</v>
      </c>
      <c r="F305" t="str">
        <v>Zomerstage 2026 (Blankenberge)</v>
      </c>
      <c r="G305" t="str">
        <v>Coach</v>
      </c>
    </row>
    <row r="306" spans="1:7" x14ac:dyDescent="0.3">
      <c r="A306" t="str">
        <v>Len De Coussemaker</v>
      </c>
      <c r="B306" t="str">
        <v>kristien.vdv@telenet.be</v>
      </c>
      <c r="C306" t="str">
        <v>+32468280854</v>
      </c>
      <c r="D306" t="str">
        <v>https://app.twizzit.com/public/photos/2182636/s/ac8133dfa6021f95e4cb86240c3d9e68218f8a83.png</v>
      </c>
      <c r="E306" s="2">
        <v>717356</v>
      </c>
      <c r="F306" t="str">
        <v>Zomerstage 2026 (Blankenberge)</v>
      </c>
      <c r="G306" t="str">
        <v>Speler</v>
      </c>
    </row>
    <row r="307" spans="1:7" x14ac:dyDescent="0.3">
      <c r="A307" t="str">
        <v>Niels De Coussemaker</v>
      </c>
      <c r="B307" t="str">
        <v>kristien@coussies.be</v>
      </c>
      <c r="C307" t="str">
        <v>+32490195438</v>
      </c>
      <c r="D307" t="str">
        <v>https://app.twizzit.com/public/photos/2182641/s/bc2ed87ccb6bf61129b3522eabde4c5cff856719.png</v>
      </c>
      <c r="E307" s="2">
        <v>708695</v>
      </c>
      <c r="F307" t="str">
        <v>Zomerstage 2026 (Blankenberge)</v>
      </c>
      <c r="G307" t="str">
        <v>Speler</v>
      </c>
    </row>
    <row r="308" spans="1:7" x14ac:dyDescent="0.3">
      <c r="A308" t="str">
        <v>Limme De Zitter</v>
      </c>
      <c r="B308" t="str">
        <v>de.zitter.steve@gmail.com</v>
      </c>
      <c r="C308" t="str">
        <v>+32473423222</v>
      </c>
      <c r="D308" t="str">
        <v/>
      </c>
      <c r="E308" s="2">
        <v>742327</v>
      </c>
      <c r="F308" t="str">
        <v>Zomerstage 2026 (Blankenberge)</v>
      </c>
      <c r="G308" t="str">
        <v>Speler</v>
      </c>
    </row>
    <row r="309" spans="1:7" x14ac:dyDescent="0.3">
      <c r="A309" t="str">
        <v>Jules Dekkar</v>
      </c>
      <c r="B309" t="str">
        <v>hakim.dekkar@icloud.com</v>
      </c>
      <c r="C309" t="str">
        <v>+32476488212</v>
      </c>
      <c r="D309" t="str">
        <v>https://app.twizzit.com/public/photos/3451601/s/35fd5f537189934e8013cbeb18029ae3e97fcdcc.jpeg</v>
      </c>
      <c r="E309" s="2">
        <v>747253</v>
      </c>
      <c r="F309" t="str">
        <v>Zomerstage 2026 (Blankenberge)</v>
      </c>
      <c r="G309" t="str">
        <v>Speler</v>
      </c>
    </row>
    <row r="310" spans="1:7" x14ac:dyDescent="0.3">
      <c r="A310" t="str">
        <v>Mathias Delcroix</v>
      </c>
      <c r="B310" t="str">
        <v>Delcroix.dieter@hotmail.com</v>
      </c>
      <c r="C310" t="str">
        <v>+32487106040</v>
      </c>
      <c r="D310" t="str">
        <v/>
      </c>
      <c r="E310" s="2" t="str">
        <v/>
      </c>
      <c r="F310" t="str">
        <v>Zomerstage 2026 (Blankenberge)</v>
      </c>
      <c r="G310" t="str">
        <v>Speler</v>
      </c>
    </row>
    <row r="311" spans="1:7" x14ac:dyDescent="0.3">
      <c r="A311" t="str">
        <v>Lora Demets</v>
      </c>
      <c r="B311" t="str">
        <v>Lowie.demets@telenet.be</v>
      </c>
      <c r="C311" t="str">
        <v>+32474450168</v>
      </c>
      <c r="D311" t="str">
        <v/>
      </c>
      <c r="E311" s="2">
        <v>741137</v>
      </c>
      <c r="F311" t="str">
        <v>Zomerstage 2026 (Blankenberge)</v>
      </c>
      <c r="G311" t="str">
        <v>Speler</v>
      </c>
    </row>
    <row r="312" spans="1:7" x14ac:dyDescent="0.3">
      <c r="A312" t="str">
        <v>Omer Demets</v>
      </c>
      <c r="B312" t="str">
        <v>Lowie.demets@telenet.be</v>
      </c>
      <c r="C312" t="str">
        <v>+32474450168</v>
      </c>
      <c r="D312" t="str">
        <v/>
      </c>
      <c r="E312" s="2" t="str">
        <v/>
      </c>
      <c r="F312" t="str">
        <v>Zomerstage 2026 (Blankenberge)</v>
      </c>
      <c r="G312" t="str">
        <v>Speler</v>
      </c>
    </row>
    <row r="313" spans="1:7" x14ac:dyDescent="0.3">
      <c r="A313" t="str">
        <v>Ode Desmet</v>
      </c>
      <c r="B313" t="str">
        <v>freyamalfait@icloud.com</v>
      </c>
      <c r="C313" t="str">
        <v>+32472832063</v>
      </c>
      <c r="D313" t="str">
        <v>https://app.twizzit.com/public/photos/2650916/s/be89217f1fc3b11d85c4b13abcca39bae64798e5.png</v>
      </c>
      <c r="E313" s="2">
        <v>742234</v>
      </c>
      <c r="F313" t="str">
        <v>Zomerstage 2026 (Blankenberge)</v>
      </c>
      <c r="G313" t="str">
        <v>Speler</v>
      </c>
    </row>
    <row r="314" spans="1:7" x14ac:dyDescent="0.3">
      <c r="A314" t="str">
        <v>Tibo Despriet</v>
      </c>
      <c r="B314" t="str">
        <v>Tibo.despriet@gmail.com</v>
      </c>
      <c r="C314" t="str">
        <v/>
      </c>
      <c r="D314" t="str">
        <v>https://app.twizzit.com/public/photos/3884890/s/99828396af5826db82003655528894a4f299045f.jpeg</v>
      </c>
      <c r="E314" s="2" t="str">
        <v/>
      </c>
      <c r="F314" t="str">
        <v>Zomerstage 2026 (Blankenberge)</v>
      </c>
      <c r="G314" t="str">
        <v>Speler</v>
      </c>
    </row>
    <row r="315" spans="1:7" x14ac:dyDescent="0.3">
      <c r="A315" t="str">
        <v>Alexis Devos</v>
      </c>
      <c r="B315" t="str">
        <v/>
      </c>
      <c r="C315" t="str">
        <v>+32495886987</v>
      </c>
      <c r="D315" t="str">
        <v>https://app.twizzit.com/public/photos/6106676/s/2ae43246aa8142b23f5743a7efbb9e280e512170.png</v>
      </c>
      <c r="E315" s="2">
        <v>763877</v>
      </c>
      <c r="F315" t="str">
        <v>Zomerstage 2026 (Blankenberge)</v>
      </c>
      <c r="G315" t="str">
        <v>Speler</v>
      </c>
    </row>
    <row r="316" spans="1:7" x14ac:dyDescent="0.3">
      <c r="A316" t="str">
        <v>Nathan Dewaele</v>
      </c>
      <c r="B316" t="str">
        <v>wesleydewaele@yahoo.co.uk</v>
      </c>
      <c r="C316" t="str">
        <v>+32470540240</v>
      </c>
      <c r="D316" t="str">
        <v>https://app.twizzit.com/public/photos/2182816/s/c00a73a61de05b1991d5eac8f8ad498e97a90e40.png</v>
      </c>
      <c r="E316" s="2">
        <v>718781</v>
      </c>
      <c r="F316" t="str">
        <v>Zomerstage 2026 (Blankenberge)</v>
      </c>
      <c r="G316" t="str">
        <v>Speler</v>
      </c>
    </row>
    <row r="317" spans="1:7" x14ac:dyDescent="0.3">
      <c r="A317" t="str">
        <v>Jules Dewilde</v>
      </c>
      <c r="B317" t="str">
        <v>niekdewilde@hotmail.be</v>
      </c>
      <c r="C317" t="str">
        <v>+32474562569</v>
      </c>
      <c r="D317" t="str">
        <v/>
      </c>
      <c r="E317" s="2" t="str">
        <v/>
      </c>
      <c r="F317" t="str">
        <v>Zomerstage 2026 (Blankenberge)</v>
      </c>
      <c r="G317" t="str">
        <v>Speler</v>
      </c>
    </row>
    <row r="318" spans="1:7" x14ac:dyDescent="0.3">
      <c r="A318" t="str">
        <v>Kenneth Dhont</v>
      </c>
      <c r="B318" t="str">
        <v/>
      </c>
      <c r="C318" t="str">
        <v>+32477485789</v>
      </c>
      <c r="D318" t="str">
        <v/>
      </c>
      <c r="E318" s="2">
        <v>50455</v>
      </c>
      <c r="F318" t="str">
        <v>Zomerstage 2026 (Blankenberge)</v>
      </c>
      <c r="G318" t="str">
        <v>Coach</v>
      </c>
    </row>
    <row r="319" spans="1:7" x14ac:dyDescent="0.3">
      <c r="A319" t="str">
        <v>Chloé Faelens</v>
      </c>
      <c r="B319" t="str">
        <v/>
      </c>
      <c r="C319" t="str">
        <v>+32472960602</v>
      </c>
      <c r="D319" t="str">
        <v>https://app.twizzit.com/public/photos/4276094/s/88cd5d3554278fc03aae2c2a9989ae19589b1181.png</v>
      </c>
      <c r="E319" s="2" t="str">
        <v/>
      </c>
      <c r="F319" t="str">
        <v>Zomerstage 2026 (Blankenberge)</v>
      </c>
      <c r="G319" t="str">
        <v>Speler</v>
      </c>
    </row>
    <row r="320" spans="1:7" x14ac:dyDescent="0.3">
      <c r="A320" t="str">
        <v>Celeste Geenens</v>
      </c>
      <c r="B320" t="str">
        <v>stephengeenens@gmail.com</v>
      </c>
      <c r="C320" t="str">
        <v>+32494195355</v>
      </c>
      <c r="D320" t="str">
        <v/>
      </c>
      <c r="E320" s="2" t="str">
        <v/>
      </c>
      <c r="F320" t="str">
        <v>Zomerstage 2026 (Blankenberge)</v>
      </c>
      <c r="G320" t="str">
        <v>Speler</v>
      </c>
    </row>
    <row r="321" spans="1:7" x14ac:dyDescent="0.3">
      <c r="A321" t="str">
        <v>Victor Geiregat</v>
      </c>
      <c r="B321" t="str">
        <v>victorgeiregat@gmail.com</v>
      </c>
      <c r="C321" t="str">
        <v>+32467007382</v>
      </c>
      <c r="D321" t="str">
        <v/>
      </c>
      <c r="E321" s="2" t="str">
        <v/>
      </c>
      <c r="F321" t="str">
        <v>Zomerstage 2026 (Blankenberge)</v>
      </c>
      <c r="G321" t="str">
        <v>Speler</v>
      </c>
    </row>
    <row r="322" spans="1:7" x14ac:dyDescent="0.3">
      <c r="A322" t="str">
        <v>Basiel Genbrugge</v>
      </c>
      <c r="B322" t="str">
        <v>basiel.genbrugge@gmail.com</v>
      </c>
      <c r="C322" t="str">
        <v>+32486314030</v>
      </c>
      <c r="D322" t="str">
        <v>https://app.twizzit.com/public/photos/8579142/s/db8d4000b96831e0c69a1f9ee9bb0955ce673dba.png</v>
      </c>
      <c r="E322" s="2" t="str">
        <v/>
      </c>
      <c r="F322" t="str">
        <v>Zomerstage 2026 (Blankenberge)</v>
      </c>
      <c r="G322" t="str">
        <v>Speler</v>
      </c>
    </row>
    <row r="323" spans="1:7" x14ac:dyDescent="0.3">
      <c r="A323" t="str">
        <v>Briek Goossens</v>
      </c>
      <c r="B323" t="str">
        <v>slimmerik.briek@gmail.com</v>
      </c>
      <c r="C323" t="str">
        <v>+32495362023</v>
      </c>
      <c r="D323" t="str">
        <v/>
      </c>
      <c r="E323" s="2">
        <v>735147</v>
      </c>
      <c r="F323" t="str">
        <v>Zomerstage 2026 (Blankenberge)</v>
      </c>
      <c r="G323" t="str">
        <v>Speler</v>
      </c>
    </row>
    <row r="324" spans="1:7" x14ac:dyDescent="0.3">
      <c r="A324" t="str">
        <v>Heike Guenter</v>
      </c>
      <c r="B324" t="str">
        <v>Heike.guenter@telenet.be</v>
      </c>
      <c r="C324" t="str">
        <v>+32456085054</v>
      </c>
      <c r="D324" t="str">
        <v/>
      </c>
      <c r="E324" s="2">
        <v>727038</v>
      </c>
      <c r="F324" t="str">
        <v>Zomerstage 2026 (Blankenberge)</v>
      </c>
      <c r="G324" t="str">
        <v>Speler</v>
      </c>
    </row>
    <row r="325" spans="1:7" x14ac:dyDescent="0.3">
      <c r="A325" t="str">
        <v>Laura Hakuzimana</v>
      </c>
      <c r="B325" t="str">
        <v/>
      </c>
      <c r="C325" t="str">
        <v>+32496950967</v>
      </c>
      <c r="D325" t="str">
        <v/>
      </c>
      <c r="E325" s="2">
        <v>721092</v>
      </c>
      <c r="F325" t="str">
        <v>Zomerstage 2026 (Blankenberge)</v>
      </c>
      <c r="G325" t="str">
        <v>Speler</v>
      </c>
    </row>
    <row r="326" spans="1:7" x14ac:dyDescent="0.3">
      <c r="A326" t="str">
        <v>Lennert Huys</v>
      </c>
      <c r="B326" t="str">
        <v/>
      </c>
      <c r="C326" t="str">
        <v>+32498103578</v>
      </c>
      <c r="D326" t="str">
        <v/>
      </c>
      <c r="E326" s="2">
        <v>735041</v>
      </c>
      <c r="F326" t="str">
        <v>Zomerstage 2026 (Blankenberge)</v>
      </c>
      <c r="G326" t="str">
        <v>Speler</v>
      </c>
    </row>
    <row r="327" spans="1:7" x14ac:dyDescent="0.3">
      <c r="A327" t="str">
        <v>Vic Huysman</v>
      </c>
      <c r="B327" t="str">
        <v/>
      </c>
      <c r="C327" t="str">
        <v>+32474884540</v>
      </c>
      <c r="D327" t="str">
        <v>https://app.twizzit.com/public/photos/2936186/s/c4015a6cfb380c1e7090d66488ca6326fa9caa7a.png</v>
      </c>
      <c r="E327" s="2">
        <v>744354</v>
      </c>
      <c r="F327" t="str">
        <v>Zomerstage 2026 (Blankenberge)</v>
      </c>
      <c r="G327" t="str">
        <v>Speler</v>
      </c>
    </row>
    <row r="328" spans="1:7" x14ac:dyDescent="0.3">
      <c r="A328" t="str">
        <v>Leon L'Hommelet</v>
      </c>
      <c r="B328" t="str">
        <v>els.bourgois@gmail.com</v>
      </c>
      <c r="C328" t="str">
        <v>+32479376759</v>
      </c>
      <c r="D328" t="str">
        <v/>
      </c>
      <c r="E328" s="2">
        <v>733228</v>
      </c>
      <c r="F328" t="str">
        <v>Zomerstage 2026 (Blankenberge)</v>
      </c>
      <c r="G328" t="str">
        <v>Speler</v>
      </c>
    </row>
    <row r="329" spans="1:7" x14ac:dyDescent="0.3">
      <c r="A329" t="str">
        <v>Ruube Lagae</v>
      </c>
      <c r="B329" t="str">
        <v>Ruubelagae@gmail.com</v>
      </c>
      <c r="C329" t="str">
        <v>+32471247514</v>
      </c>
      <c r="D329" t="str">
        <v/>
      </c>
      <c r="E329" s="2" t="str">
        <v/>
      </c>
      <c r="F329" t="str">
        <v>Zomerstage 2026 (Blankenberge)</v>
      </c>
      <c r="G329" t="str">
        <v>Speler</v>
      </c>
    </row>
    <row r="330" spans="1:7" x14ac:dyDescent="0.3">
      <c r="A330" t="str">
        <v>Thor Lessenne</v>
      </c>
      <c r="B330" t="str">
        <v>lessenne_frederic@yahoo.com</v>
      </c>
      <c r="C330" t="str">
        <v>+32477650341</v>
      </c>
      <c r="D330" t="str">
        <v>https://app.twizzit.com/public/photos/4393791/s/f227f8ddb169feb6dded4f508fa8f0a8d6bc3bc4.jpeg</v>
      </c>
      <c r="E330" s="2">
        <v>758517</v>
      </c>
      <c r="F330" t="str">
        <v>Zomerstage 2026 (Blankenberge)</v>
      </c>
      <c r="G330" t="str">
        <v>Speler</v>
      </c>
    </row>
    <row r="331" spans="1:7" x14ac:dyDescent="0.3">
      <c r="A331" t="str">
        <v>Alexander Libert</v>
      </c>
      <c r="B331" t="str">
        <v>s_ardenois@hotmail.com</v>
      </c>
      <c r="C331" t="str">
        <v>+32471396733</v>
      </c>
      <c r="D331" t="str">
        <v/>
      </c>
      <c r="E331" s="2">
        <v>723668</v>
      </c>
      <c r="F331" t="str">
        <v>Zomerstage 2026 (Blankenberge)</v>
      </c>
      <c r="G331" t="str">
        <v>Speler</v>
      </c>
    </row>
    <row r="332" spans="1:7" x14ac:dyDescent="0.3">
      <c r="A332" t="str">
        <v>Mathieu Libert</v>
      </c>
      <c r="B332" t="str">
        <v>s_ardenois@hotmail.com</v>
      </c>
      <c r="C332" t="str">
        <v>+32479788543</v>
      </c>
      <c r="D332" t="str">
        <v/>
      </c>
      <c r="E332" s="2" t="str">
        <v/>
      </c>
      <c r="F332" t="str">
        <v>Zomerstage 2026 (Blankenberge)</v>
      </c>
      <c r="G332" t="str">
        <v>Speler</v>
      </c>
    </row>
    <row r="333" spans="1:7" x14ac:dyDescent="0.3">
      <c r="A333" t="str">
        <v>Sam Liekens</v>
      </c>
      <c r="B333" t="str">
        <v/>
      </c>
      <c r="C333" t="str">
        <v>+32478888243</v>
      </c>
      <c r="D333" t="str">
        <v>https://app.twizzit.com/public/photos/3475283/s/e532263ea43cddb59650656f3777387ca04d2de4.jpeg</v>
      </c>
      <c r="E333" s="2">
        <v>749236</v>
      </c>
      <c r="F333" t="str">
        <v>Zomerstage 2026 (Blankenberge)</v>
      </c>
      <c r="G333" t="str">
        <v>Speler</v>
      </c>
    </row>
    <row r="334" spans="1:7" x14ac:dyDescent="0.3">
      <c r="A334" t="str">
        <v>Viktor L’Hommelet</v>
      </c>
      <c r="B334" t="str">
        <v>els.bourgois@gmail.com</v>
      </c>
      <c r="C334" t="str">
        <v>+32479376759</v>
      </c>
      <c r="D334" t="str">
        <v/>
      </c>
      <c r="E334" s="2">
        <v>714059</v>
      </c>
      <c r="F334" t="str">
        <v>Zomerstage 2026 (Blankenberge)</v>
      </c>
      <c r="G334" t="str">
        <v>Speler</v>
      </c>
    </row>
    <row r="335" spans="1:7" x14ac:dyDescent="0.3">
      <c r="A335" t="str">
        <v>Nathan Maenhout</v>
      </c>
      <c r="B335" t="str">
        <v>jokespies@hotmail.com</v>
      </c>
      <c r="C335" t="str">
        <v>+32489178706</v>
      </c>
      <c r="D335" t="str">
        <v>https://app.twizzit.com/public/photos/9359547/s/0986374ba59a462685344af411da25079641e82d.jpeg</v>
      </c>
      <c r="E335" s="2" t="str">
        <v/>
      </c>
      <c r="F335" t="str">
        <v>Zomerstage 2026 (Blankenberge)</v>
      </c>
      <c r="G335" t="str">
        <v>Speler</v>
      </c>
    </row>
    <row r="336" spans="1:7" x14ac:dyDescent="0.3">
      <c r="A336" t="str">
        <v>Dréa Maes</v>
      </c>
      <c r="B336" t="str">
        <v>Joke.merlaen@gmail.com</v>
      </c>
      <c r="C336" t="str">
        <v/>
      </c>
      <c r="D336" t="str">
        <v>https://app.twizzit.com/public/photos/3412861/s/5d2322ba0de7264fd5ba0170cc29e82844de05d5.png</v>
      </c>
      <c r="E336" s="2" t="str">
        <v/>
      </c>
      <c r="F336" t="str">
        <v>Zomerstage 2026 (Blankenberge)</v>
      </c>
      <c r="G336" t="str">
        <v>Speler</v>
      </c>
    </row>
    <row r="337" spans="1:7" x14ac:dyDescent="0.3">
      <c r="A337" t="str">
        <v>Steppe Matthys</v>
      </c>
      <c r="B337" t="str">
        <v/>
      </c>
      <c r="C337" t="str">
        <v>+32468429871</v>
      </c>
      <c r="D337" t="str">
        <v>https://app.twizzit.com/public/photos/10488364/s/177c95b9932dcdda23e09eda7b0298c34ca94551.jpeg</v>
      </c>
      <c r="E337" s="2" t="str">
        <v/>
      </c>
      <c r="F337" t="str">
        <v>Zomerstage 2026 (Blankenberge)</v>
      </c>
      <c r="G337" t="str">
        <v>Speler</v>
      </c>
    </row>
    <row r="338" spans="1:7" x14ac:dyDescent="0.3">
      <c r="A338" t="str">
        <v>Kasper Mees</v>
      </c>
      <c r="B338" t="str">
        <v/>
      </c>
      <c r="C338" t="str">
        <v>+32474721420</v>
      </c>
      <c r="D338" t="str">
        <v>https://app.twizzit.com/public/photos/2183112/s/07942e4161d7a20864d1fbcf54b9a6dda331637e.png</v>
      </c>
      <c r="E338" s="2">
        <v>732219</v>
      </c>
      <c r="F338" t="str">
        <v>Zomerstage 2026 (Blankenberge)</v>
      </c>
      <c r="G338" t="str">
        <v>Speler</v>
      </c>
    </row>
    <row r="339" spans="1:7" x14ac:dyDescent="0.3">
      <c r="A339" t="str">
        <v>Julie Orbie</v>
      </c>
      <c r="B339" t="str">
        <v/>
      </c>
      <c r="C339" t="str">
        <v>+32472656820</v>
      </c>
      <c r="D339" t="str">
        <v/>
      </c>
      <c r="E339" s="2">
        <v>746004</v>
      </c>
      <c r="F339" t="str">
        <v>Zomerstage 2026 (Blankenberge)</v>
      </c>
      <c r="G339" t="str">
        <v>Speler</v>
      </c>
    </row>
    <row r="340" spans="1:7" x14ac:dyDescent="0.3">
      <c r="A340" t="str">
        <v>Gust Ottevaere</v>
      </c>
      <c r="B340" t="str">
        <v>gust.ottevaere@telenet.be</v>
      </c>
      <c r="C340" t="str">
        <v>+32467011927</v>
      </c>
      <c r="D340" t="str">
        <v/>
      </c>
      <c r="E340" s="2" t="str">
        <v/>
      </c>
      <c r="F340" t="str">
        <v>Zomerstage 2026 (Blankenberge)</v>
      </c>
      <c r="G340" t="str">
        <v>Speler</v>
      </c>
    </row>
    <row r="341" spans="1:7" x14ac:dyDescent="0.3">
      <c r="A341" t="str">
        <v>Brent Pollet</v>
      </c>
      <c r="B341" t="str">
        <v>pollet.jelle@gmail.com</v>
      </c>
      <c r="C341" t="str">
        <v>+32474223155</v>
      </c>
      <c r="D341" t="str">
        <v>https://app.twizzit.com/public/photos/3454870/s/e7fdcf5140d5e910d15662f873e9aafb78eb7d4f.jpeg</v>
      </c>
      <c r="E341" s="2">
        <v>756320</v>
      </c>
      <c r="F341" t="str">
        <v>Zomerstage 2026 (Blankenberge)</v>
      </c>
      <c r="G341" t="str">
        <v>Speler</v>
      </c>
    </row>
    <row r="342" spans="1:7" x14ac:dyDescent="0.3">
      <c r="A342" t="str">
        <v>Mats Renard</v>
      </c>
      <c r="B342" t="str">
        <v/>
      </c>
      <c r="C342" t="str">
        <v>+32476752923</v>
      </c>
      <c r="D342" t="str">
        <v>https://app.twizzit.com/public/photos/2183172/s/365feecf0a3ae5a9392582a322a55ff1fee56899.png</v>
      </c>
      <c r="E342" s="2">
        <v>714465</v>
      </c>
      <c r="F342" t="str">
        <v>Zomerstage 2026 (Blankenberge)</v>
      </c>
      <c r="G342" t="str">
        <v>Speler</v>
      </c>
    </row>
    <row r="343" spans="1:7" x14ac:dyDescent="0.3">
      <c r="A343" t="str">
        <v>Emlin Rommens</v>
      </c>
      <c r="B343" t="str">
        <v>pieterrommens@hotmail.be</v>
      </c>
      <c r="C343" t="str">
        <v>+32470513652</v>
      </c>
      <c r="D343" t="str">
        <v>https://app.twizzit.com/public/photos/2650641/s/248b205ecc69fd455c13ac7cc9deb76d11e361a0.png</v>
      </c>
      <c r="E343" s="2">
        <v>742358</v>
      </c>
      <c r="F343" t="str">
        <v>Zomerstage 2026 (Blankenberge)</v>
      </c>
      <c r="G343" t="str">
        <v>Speler</v>
      </c>
    </row>
    <row r="344" spans="1:7" x14ac:dyDescent="0.3">
      <c r="A344" t="str">
        <v>Elisabeth Saveyn</v>
      </c>
      <c r="B344" t="str">
        <v>moonvanneste@hotmail.com</v>
      </c>
      <c r="C344" t="str">
        <v>+32496392369</v>
      </c>
      <c r="D344" t="str">
        <v/>
      </c>
      <c r="E344" s="2" t="str">
        <v/>
      </c>
      <c r="F344" t="str">
        <v>Zomerstage 2026 (Blankenberge)</v>
      </c>
      <c r="G344" t="str">
        <v>Speler</v>
      </c>
    </row>
    <row r="345" spans="1:7" x14ac:dyDescent="0.3">
      <c r="A345" t="str">
        <v>Nona Schmitt</v>
      </c>
      <c r="B345" t="str">
        <v>alexander.schmitt@authority.biz</v>
      </c>
      <c r="C345" t="str">
        <v>+32473761554</v>
      </c>
      <c r="D345" t="str">
        <v/>
      </c>
      <c r="E345" s="2" t="str">
        <v/>
      </c>
      <c r="F345" t="str">
        <v>Zomerstage 2026 (Blankenberge)</v>
      </c>
      <c r="G345" t="str">
        <v>Speler</v>
      </c>
    </row>
    <row r="346" spans="1:7" x14ac:dyDescent="0.3">
      <c r="A346" t="str">
        <v>Ziano Schoenmaekers</v>
      </c>
      <c r="B346" t="str">
        <v>pedro.schoenmaekers@hotmail.com</v>
      </c>
      <c r="C346" t="str">
        <v>+32476935877</v>
      </c>
      <c r="D346" t="str">
        <v>https://app.twizzit.com/public/photos/2650796/s/806ce17769fd3d29fc435d865a5b302b6c25c6ca.png</v>
      </c>
      <c r="E346" s="2">
        <v>743241</v>
      </c>
      <c r="F346" t="str">
        <v>Zomerstage 2026 (Blankenberge)</v>
      </c>
      <c r="G346" t="str">
        <v>Speler</v>
      </c>
    </row>
    <row r="347" spans="1:7" x14ac:dyDescent="0.3">
      <c r="A347" t="str">
        <v>Merel Spiessens</v>
      </c>
      <c r="B347" t="str">
        <v>Me@opcd.net</v>
      </c>
      <c r="C347" t="str">
        <v>+32474655154</v>
      </c>
      <c r="D347" t="str">
        <v>https://app.twizzit.com/public/photos/2183207/s/cd9fd40cf38cd1eb62df0198f102c2154c08c604.jpeg</v>
      </c>
      <c r="E347" s="2">
        <v>721093</v>
      </c>
      <c r="F347" t="str">
        <v>Zomerstage 2026 (Blankenberge)</v>
      </c>
      <c r="G347" t="str">
        <v>Speler</v>
      </c>
    </row>
    <row r="348" spans="1:7" x14ac:dyDescent="0.3">
      <c r="A348" t="str">
        <v>Jules Ternoot</v>
      </c>
      <c r="B348" t="str">
        <v/>
      </c>
      <c r="C348" t="str">
        <v>+32468539021</v>
      </c>
      <c r="D348" t="str">
        <v>https://app.twizzit.com/public/photos/9499964/s/ff5f984b647838e4bd7563b356e5c206230b1763.jpeg</v>
      </c>
      <c r="E348" s="2">
        <v>743553</v>
      </c>
      <c r="F348" t="str">
        <v>Zomerstage 2026 (Blankenberge)</v>
      </c>
      <c r="G348" t="str">
        <v>Speler</v>
      </c>
    </row>
    <row r="349" spans="1:7" x14ac:dyDescent="0.3">
      <c r="A349" t="str">
        <v>Mattis Van Assche</v>
      </c>
      <c r="B349" t="str">
        <v/>
      </c>
      <c r="C349" t="str">
        <v>+32451022949</v>
      </c>
      <c r="D349" t="str">
        <v>https://app.twizzit.com/public/photos/2183242/s/024b94ee0589d7797c4da7bd2e98266bcdb2677a.png</v>
      </c>
      <c r="E349" s="2">
        <v>729846</v>
      </c>
      <c r="F349" t="str">
        <v>Zomerstage 2026 (Blankenberge)</v>
      </c>
      <c r="G349" t="str">
        <v>Speler</v>
      </c>
    </row>
    <row r="350" spans="1:7" x14ac:dyDescent="0.3">
      <c r="A350" t="str">
        <v>Loes Van de Populiere</v>
      </c>
      <c r="B350" t="str">
        <v>biekemoone@hotmail.com</v>
      </c>
      <c r="C350" t="str">
        <v>+32477353878</v>
      </c>
      <c r="D350" t="str">
        <v/>
      </c>
      <c r="E350" s="2" t="str">
        <v/>
      </c>
      <c r="F350" t="str">
        <v>Zomerstage 2026 (Blankenberge)</v>
      </c>
      <c r="G350" t="str">
        <v>Speler</v>
      </c>
    </row>
    <row r="351" spans="1:7" x14ac:dyDescent="0.3">
      <c r="A351" t="str">
        <v>Edouard Van de Weghe</v>
      </c>
      <c r="B351" t="str">
        <v/>
      </c>
      <c r="C351" t="str">
        <v>+32479793011</v>
      </c>
      <c r="D351" t="str">
        <v/>
      </c>
      <c r="E351" s="2">
        <v>735070</v>
      </c>
      <c r="F351" t="str">
        <v>Zomerstage 2026 (Blankenberge)</v>
      </c>
      <c r="G351" t="str">
        <v>Speler</v>
      </c>
    </row>
    <row r="352" spans="1:7" x14ac:dyDescent="0.3">
      <c r="A352" t="str">
        <v>Jerome Van de Weghe</v>
      </c>
      <c r="B352" t="str">
        <v>pieter@combus.be</v>
      </c>
      <c r="C352" t="str">
        <v>+32477473741</v>
      </c>
      <c r="D352" t="str">
        <v/>
      </c>
      <c r="E352" s="2">
        <v>758509</v>
      </c>
      <c r="F352" t="str">
        <v>Zomerstage 2026 (Blankenberge)</v>
      </c>
      <c r="G352" t="str">
        <v>Speler</v>
      </c>
    </row>
    <row r="353" spans="1:7" x14ac:dyDescent="0.3">
      <c r="A353" t="str">
        <v>Brecht Van Glabeke</v>
      </c>
      <c r="B353" t="str">
        <v/>
      </c>
      <c r="C353" t="str">
        <v>+32470671727</v>
      </c>
      <c r="D353" t="str">
        <v/>
      </c>
      <c r="E353" s="2" t="str">
        <v/>
      </c>
      <c r="F353" t="str">
        <v>Zomerstage 2026 (Blankenberge)</v>
      </c>
      <c r="G353" t="str">
        <v>Speler</v>
      </c>
    </row>
    <row r="354" spans="1:7" x14ac:dyDescent="0.3">
      <c r="A354" t="str">
        <v>Maxime Van Herpe</v>
      </c>
      <c r="B354" t="str">
        <v/>
      </c>
      <c r="C354" t="str">
        <v>+32479775361</v>
      </c>
      <c r="D354" t="str">
        <v/>
      </c>
      <c r="E354" s="2" t="str">
        <v/>
      </c>
      <c r="F354" t="str">
        <v>Zomerstage 2026 (Blankenberge)</v>
      </c>
      <c r="G354" t="str">
        <v>Speler</v>
      </c>
    </row>
    <row r="355" spans="1:7" x14ac:dyDescent="0.3">
      <c r="A355" t="str">
        <v>Olivia Vanbutsele</v>
      </c>
      <c r="B355" t="str">
        <v>Mike.vb@telenet.be</v>
      </c>
      <c r="C355" t="str">
        <v>+32483081624</v>
      </c>
      <c r="D355" t="str">
        <v>https://app.twizzit.com/public/photos/4292310/s/063d2ce017539cf8df316f28e3a639739d1c1148.jpeg</v>
      </c>
      <c r="E355" s="2" t="str">
        <v/>
      </c>
      <c r="F355" t="str">
        <v>Zomerstage 2026 (Blankenberge)</v>
      </c>
      <c r="G355" t="str">
        <v>Speler</v>
      </c>
    </row>
    <row r="356" spans="1:7" x14ac:dyDescent="0.3">
      <c r="A356" t="str">
        <v>Lowie Vande Kerckhove</v>
      </c>
      <c r="B356" t="str">
        <v/>
      </c>
      <c r="C356" t="str">
        <v>+32498621224</v>
      </c>
      <c r="D356" t="str">
        <v/>
      </c>
      <c r="E356" s="2">
        <v>705824</v>
      </c>
      <c r="F356" t="str">
        <v>Zomerstage 2026 (Blankenberge)</v>
      </c>
      <c r="G356" t="str">
        <v>Speler</v>
      </c>
    </row>
    <row r="357" spans="1:7" x14ac:dyDescent="0.3">
      <c r="A357" t="str">
        <v>Ilias Vander Beken</v>
      </c>
      <c r="B357" t="str">
        <v>tine_de_smet90@hotmail.com</v>
      </c>
      <c r="C357" t="str">
        <v>+32468142508</v>
      </c>
      <c r="D357" t="str">
        <v>https://app.twizzit.com/public/photos/9469457/s/eb40348dfb8a2c0c9b13e74dd04369019dbd2f32.jpeg</v>
      </c>
      <c r="E357" s="2" t="str">
        <v/>
      </c>
      <c r="F357" t="str">
        <v>Zomerstage 2026 (Blankenberge)</v>
      </c>
      <c r="G357" t="str">
        <v>Speler</v>
      </c>
    </row>
    <row r="358" spans="1:7" x14ac:dyDescent="0.3">
      <c r="A358" t="str">
        <v>Lucas Vanderstraeten</v>
      </c>
      <c r="B358" t="str">
        <v/>
      </c>
      <c r="C358" t="str">
        <v>+32496654860</v>
      </c>
      <c r="D358" t="str">
        <v>https://app.twizzit.com/public/photos/3447788/s/a21b510884c5e068d9fd07894f967e10ecef7568.png</v>
      </c>
      <c r="E358" s="2" t="str">
        <v/>
      </c>
      <c r="F358" t="str">
        <v>Zomerstage 2026 (Blankenberge)</v>
      </c>
      <c r="G358" t="str">
        <v>Speler</v>
      </c>
    </row>
    <row r="359" spans="1:7" x14ac:dyDescent="0.3">
      <c r="A359" t="str">
        <v>Anaïs Vanhessche</v>
      </c>
      <c r="B359" t="str">
        <v>miekevanderhaeghen@gmail.com</v>
      </c>
      <c r="C359" t="str">
        <v>+32477741955</v>
      </c>
      <c r="D359" t="str">
        <v>https://app.twizzit.com/public/photos/2183392/s/3035381a43296f702255c02c3c99c4303bd9ab17.png</v>
      </c>
      <c r="E359" s="2">
        <v>730033</v>
      </c>
      <c r="F359" t="str">
        <v>Zomerstage 2026 (Blankenberge)</v>
      </c>
      <c r="G359" t="str">
        <v>Speler</v>
      </c>
    </row>
    <row r="360" spans="1:7" x14ac:dyDescent="0.3">
      <c r="A360" t="str">
        <v>Lente Verhaeghe</v>
      </c>
      <c r="B360" t="str">
        <v>verhaeghelente@gmail.com</v>
      </c>
      <c r="C360" t="str">
        <v/>
      </c>
      <c r="D360" t="str">
        <v>https://app.twizzit.com/public/photos/3706826/s/7283d518f82547e0fb530790cddedb0edf0a5785.jpeg</v>
      </c>
      <c r="E360" s="2" t="str">
        <v/>
      </c>
      <c r="F360" t="str">
        <v>Zomerstage 2026 (Blankenberge)</v>
      </c>
      <c r="G360" t="str">
        <v>Speler</v>
      </c>
    </row>
    <row r="361" spans="1:7" x14ac:dyDescent="0.3">
      <c r="A361" t="str">
        <v>Emma Verleyen</v>
      </c>
      <c r="B361" t="str">
        <v>emma.verleyen094@gmail.com</v>
      </c>
      <c r="C361" t="str">
        <v>+32496129595</v>
      </c>
      <c r="D361" t="str">
        <v/>
      </c>
      <c r="E361" s="2" t="str">
        <v/>
      </c>
      <c r="F361" t="str">
        <v>Zomerstage 2026 (Blankenberge)</v>
      </c>
      <c r="G361" t="str">
        <v>Speler</v>
      </c>
    </row>
    <row r="362" spans="1:7" x14ac:dyDescent="0.3">
      <c r="A362" t="str">
        <v>Lucas Verlinden</v>
      </c>
      <c r="B362" t="str">
        <v/>
      </c>
      <c r="C362" t="str">
        <v>+32486682066</v>
      </c>
      <c r="D362" t="str">
        <v/>
      </c>
      <c r="E362" s="2" t="str">
        <v/>
      </c>
      <c r="F362" t="str">
        <v>Zomerstage 2026 (Blankenberge)</v>
      </c>
      <c r="G362" t="str">
        <v>Speler</v>
      </c>
    </row>
    <row r="363" spans="1:7" x14ac:dyDescent="0.3">
      <c r="A363" t="str">
        <v>Nathan Vermassen</v>
      </c>
      <c r="B363" t="str">
        <v/>
      </c>
      <c r="C363" t="str">
        <v>+32498493330</v>
      </c>
      <c r="D363" t="str">
        <v/>
      </c>
      <c r="E363" s="2" t="str">
        <v/>
      </c>
      <c r="F363" t="str">
        <v>Zomerstage 2026 (Blankenberge)</v>
      </c>
      <c r="G363" t="str">
        <v>Speler</v>
      </c>
    </row>
    <row r="364" spans="1:7" x14ac:dyDescent="0.3">
      <c r="A364" t="str">
        <v>Matz Vermeerschen</v>
      </c>
      <c r="B364" t="str">
        <v>charlotte.vanmoorleghem1@gmail.com</v>
      </c>
      <c r="C364" t="str">
        <v/>
      </c>
      <c r="D364" t="str">
        <v/>
      </c>
      <c r="E364" s="2">
        <v>729844</v>
      </c>
      <c r="F364" t="str">
        <v>Zomerstage 2026 (Blankenberge)</v>
      </c>
      <c r="G364" t="str">
        <v>Speler</v>
      </c>
    </row>
    <row r="365" spans="1:7" x14ac:dyDescent="0.3">
      <c r="A365" t="str">
        <v>Lena Verschatse</v>
      </c>
      <c r="B365" t="str">
        <v/>
      </c>
      <c r="C365" t="str">
        <v>+32468516883</v>
      </c>
      <c r="D365" t="str">
        <v/>
      </c>
      <c r="E365" s="2">
        <v>735282</v>
      </c>
      <c r="F365" t="str">
        <v>Zomerstage 2026 (Blankenberge)</v>
      </c>
      <c r="G365" t="str">
        <v>Speler</v>
      </c>
    </row>
    <row r="366" spans="1:7" x14ac:dyDescent="0.3">
      <c r="A366" t="str">
        <v>Thomas Viaene</v>
      </c>
      <c r="B366" t="str">
        <v/>
      </c>
      <c r="C366" t="str">
        <v>+32497313727</v>
      </c>
      <c r="D366" t="str">
        <v/>
      </c>
      <c r="E366" s="2">
        <v>739602</v>
      </c>
      <c r="F366" t="str">
        <v>Zomerstage 2026 (Blankenberge)</v>
      </c>
      <c r="G366" t="str">
        <v>Speler</v>
      </c>
    </row>
    <row r="367" spans="1:7" x14ac:dyDescent="0.3">
      <c r="A367" t="str">
        <v>Lenn Altruy</v>
      </c>
      <c r="B367" t="str">
        <v>David.altruy@outlook.be</v>
      </c>
      <c r="C367" t="str">
        <v>+32475950308</v>
      </c>
      <c r="D367" t="str">
        <v/>
      </c>
      <c r="E367" s="2" t="str">
        <v/>
      </c>
      <c r="F367" t="str">
        <v>Zomerstage 2026 U10 &amp; U12 (Oudenaarde)</v>
      </c>
      <c r="G367" t="str">
        <v>Speler</v>
      </c>
    </row>
    <row r="368" spans="1:7" x14ac:dyDescent="0.3">
      <c r="A368" t="str">
        <v>Senn Anseeuw</v>
      </c>
      <c r="B368" t="str">
        <v>matthias.anseeuw@telenet.be</v>
      </c>
      <c r="C368" t="str">
        <v>+32497023380</v>
      </c>
      <c r="D368" t="str">
        <v>https://app.twizzit.com/public/photos/4421954/s/39c1d6c08bc84b336f4c340a175719810e926066.png</v>
      </c>
      <c r="E368" s="2" t="str">
        <v/>
      </c>
      <c r="F368" t="str">
        <v>Zomerstage 2026 U10 &amp; U12 (Oudenaarde)</v>
      </c>
      <c r="G368" t="str">
        <v>Speler</v>
      </c>
    </row>
    <row r="369" spans="1:7" x14ac:dyDescent="0.3">
      <c r="A369" t="str">
        <v>Leon Castelain</v>
      </c>
      <c r="B369" t="str">
        <v/>
      </c>
      <c r="C369" t="str">
        <v>+32495228616</v>
      </c>
      <c r="D369" t="str">
        <v>https://app.twizzit.com/public/photos/3486565/s/dbc5287e080bfa9acd16205b0ef6339800e0ffb6.png</v>
      </c>
      <c r="E369" s="2" t="str">
        <v xml:space="preserve">762623 </v>
      </c>
      <c r="F369" t="str">
        <v>Zomerstage 2026 U10 &amp; U12 (Oudenaarde)</v>
      </c>
      <c r="G369" t="str">
        <v>Speler</v>
      </c>
    </row>
    <row r="370" spans="1:7" x14ac:dyDescent="0.3">
      <c r="A370" t="str">
        <v>Renée Deraedt</v>
      </c>
      <c r="B370" t="str">
        <v/>
      </c>
      <c r="C370" t="str">
        <v>+32477714035</v>
      </c>
      <c r="D370" t="str">
        <v>https://app.twizzit.com/public/photos/7328300/s/7e2d6dfb7100b0ca8feb8f22a68ce2009271348a.png</v>
      </c>
      <c r="E370" s="2" t="str">
        <v/>
      </c>
      <c r="F370" t="str">
        <v>Zomerstage 2026 U10 &amp; U12 (Oudenaarde)</v>
      </c>
      <c r="G370" t="str">
        <v>Speler</v>
      </c>
    </row>
    <row r="371" spans="1:7" x14ac:dyDescent="0.3">
      <c r="A371" t="str">
        <v>Vinke Derycke</v>
      </c>
      <c r="B371" t="str">
        <v>stevenderycke244@gmail.com</v>
      </c>
      <c r="C371" t="str">
        <v>+32496478968</v>
      </c>
      <c r="D371" t="str">
        <v/>
      </c>
      <c r="E371" s="2" t="str">
        <v/>
      </c>
      <c r="F371" t="str">
        <v>Zomerstage 2026 U10 &amp; U12 (Oudenaarde)</v>
      </c>
      <c r="G371" t="str">
        <v>Speler</v>
      </c>
    </row>
    <row r="372" spans="1:7" x14ac:dyDescent="0.3">
      <c r="A372" t="str">
        <v>Kenneth Dhont</v>
      </c>
      <c r="B372" t="str">
        <v/>
      </c>
      <c r="C372" t="str">
        <v>+32477485789</v>
      </c>
      <c r="D372" t="str">
        <v/>
      </c>
      <c r="E372" s="2">
        <v>50455</v>
      </c>
      <c r="F372" t="str">
        <v>Zomerstage 2026 U10 &amp; U12 (Oudenaarde)</v>
      </c>
      <c r="G372" t="str">
        <v>Coach</v>
      </c>
    </row>
    <row r="373" spans="1:7" x14ac:dyDescent="0.3">
      <c r="A373" t="str">
        <v>Miel Elyn</v>
      </c>
      <c r="B373" t="str">
        <v>Lievemoyaert@icloud.com</v>
      </c>
      <c r="C373" t="str">
        <v/>
      </c>
      <c r="D373" t="str">
        <v/>
      </c>
      <c r="E373" s="2" t="str">
        <v/>
      </c>
      <c r="F373" t="str">
        <v>Zomerstage 2026 U10 &amp; U12 (Oudenaarde)</v>
      </c>
      <c r="G373" t="str">
        <v>Speler</v>
      </c>
    </row>
    <row r="374" spans="1:7" x14ac:dyDescent="0.3">
      <c r="A374" t="str">
        <v>Alixe Geenens</v>
      </c>
      <c r="B374" t="str">
        <v>stephengeenens@gmail.com</v>
      </c>
      <c r="C374" t="str">
        <v>+32494195355</v>
      </c>
      <c r="D374" t="str">
        <v/>
      </c>
      <c r="E374" s="2" t="str">
        <v/>
      </c>
      <c r="F374" t="str">
        <v>Zomerstage 2026 U10 &amp; U12 (Oudenaarde)</v>
      </c>
      <c r="G374" t="str">
        <v>Speler</v>
      </c>
    </row>
    <row r="375" spans="1:7" x14ac:dyDescent="0.3">
      <c r="A375" t="str">
        <v>Emiel Opsomer</v>
      </c>
      <c r="B375" t="str">
        <v>meirlaen.evelien@gmail.com</v>
      </c>
      <c r="C375" t="str">
        <v>+32478767261</v>
      </c>
      <c r="D375" t="str">
        <v/>
      </c>
      <c r="E375" s="2">
        <v>757869</v>
      </c>
      <c r="F375" t="str">
        <v>Zomerstage 2026 U10 &amp; U12 (Oudenaarde)</v>
      </c>
      <c r="G375" t="str">
        <v>Speler</v>
      </c>
    </row>
    <row r="376" spans="1:7" x14ac:dyDescent="0.3">
      <c r="A376" t="str">
        <v>Brent Pollet</v>
      </c>
      <c r="B376" t="str">
        <v>pollet.jelle@gmail.com</v>
      </c>
      <c r="C376" t="str">
        <v>+32474223155</v>
      </c>
      <c r="D376" t="str">
        <v>https://app.twizzit.com/public/photos/3454870/s/e7fdcf5140d5e910d15662f873e9aafb78eb7d4f.jpeg</v>
      </c>
      <c r="E376" s="2">
        <v>756320</v>
      </c>
      <c r="F376" t="str">
        <v>Zomerstage 2026 U10 &amp; U12 (Oudenaarde)</v>
      </c>
      <c r="G376" t="str">
        <v>Speler</v>
      </c>
    </row>
    <row r="377" spans="1:7" x14ac:dyDescent="0.3">
      <c r="A377" t="str">
        <v>Magalie Stevens</v>
      </c>
      <c r="B377" t="str">
        <v>safadorote3@gmail.com</v>
      </c>
      <c r="C377" t="str">
        <v>+32477968913</v>
      </c>
      <c r="D377" t="str">
        <v/>
      </c>
      <c r="E377" s="2" t="str">
        <v/>
      </c>
      <c r="F377" t="str">
        <v>Zomerstage 2026 U10 &amp; U12 (Oudenaarde)</v>
      </c>
      <c r="G377" t="str">
        <v>Speler</v>
      </c>
    </row>
    <row r="378" spans="1:7" x14ac:dyDescent="0.3">
      <c r="A378" t="str">
        <v>Maiga Stevens</v>
      </c>
      <c r="B378" t="str">
        <v>safadorote3@gmail.com</v>
      </c>
      <c r="C378" t="str">
        <v>+32477968913</v>
      </c>
      <c r="D378" t="str">
        <v/>
      </c>
      <c r="E378" s="2" t="str">
        <v/>
      </c>
      <c r="F378" t="str">
        <v>Zomerstage 2026 U10 &amp; U12 (Oudenaarde)</v>
      </c>
      <c r="G378" t="str">
        <v>Speler</v>
      </c>
    </row>
    <row r="379" spans="1:7" x14ac:dyDescent="0.3">
      <c r="A379" t="str">
        <v>Ella Van de zande</v>
      </c>
      <c r="B379" t="str">
        <v>piekske007@yahoo.com</v>
      </c>
      <c r="C379" t="str">
        <v>+32486372617</v>
      </c>
      <c r="D379" t="str">
        <v>https://app.twizzit.com/public/photos/7665003/s/5ed58413208ebbb451d8f9179fc6141b44a190fa.png</v>
      </c>
      <c r="E379" s="2" t="str">
        <v/>
      </c>
      <c r="F379" t="str">
        <v>Zomerstage 2026 U10 &amp; U12 (Oudenaarde)</v>
      </c>
      <c r="G379" t="str">
        <v>Speler</v>
      </c>
    </row>
    <row r="380" spans="1:7" x14ac:dyDescent="0.3">
      <c r="A380" t="str">
        <v>Emma Van Nieuwenhuyze</v>
      </c>
      <c r="B380" t="str">
        <v>maaikeschiettecatte@gmail.com</v>
      </c>
      <c r="C380" t="str">
        <v>+32477259667</v>
      </c>
      <c r="D380" t="str">
        <v/>
      </c>
      <c r="E380" s="2" t="str">
        <v/>
      </c>
      <c r="F380" t="str">
        <v>Zomerstage 2026 U10 &amp; U12 (Oudenaarde)</v>
      </c>
      <c r="G380" t="str">
        <v>Speler</v>
      </c>
    </row>
    <row r="381" spans="1:7" x14ac:dyDescent="0.3">
      <c r="A381" t="str">
        <v>Lucas Vanderstraeten</v>
      </c>
      <c r="B381" t="str">
        <v/>
      </c>
      <c r="C381" t="str">
        <v>+32496654860</v>
      </c>
      <c r="D381" t="str">
        <v>https://app.twizzit.com/public/photos/3447788/s/a21b510884c5e068d9fd07894f967e10ecef7568.png</v>
      </c>
      <c r="E381" s="2" t="str">
        <v/>
      </c>
      <c r="F381" t="str">
        <v>Zomerstage 2026 U10 &amp; U12 (Oudenaarde)</v>
      </c>
      <c r="G381" t="str">
        <v>Speler</v>
      </c>
    </row>
    <row r="382" spans="1:7" x14ac:dyDescent="0.3">
      <c r="A382" t="str">
        <v>Nand Versmessen</v>
      </c>
      <c r="B382" t="str">
        <v>veerle_coussement@hotmail.com</v>
      </c>
      <c r="C382" t="str">
        <v>+32499030802</v>
      </c>
      <c r="D382" t="str">
        <v>https://app.twizzit.com/public/photos/3447367/s/f6e635bb7022dfc6607d762d0f4b7b25a59a85c4.png</v>
      </c>
      <c r="E382" s="2" t="str">
        <v/>
      </c>
      <c r="F382" t="str">
        <v>Zomerstage 2026 U10 &amp; U12 (Oudenaarde)</v>
      </c>
      <c r="G382" t="str">
        <v>Speler</v>
      </c>
    </row>
    <row r="383" spans="1:7" x14ac:dyDescent="0.3">
      <c r="A383" t="str">
        <v>Maurice Boonaert</v>
      </c>
      <c r="B383" t="str">
        <v>reggyboonaert@outlook.be</v>
      </c>
      <c r="C383" t="str">
        <v>+32478731137</v>
      </c>
      <c r="D383" t="str">
        <v/>
      </c>
      <c r="E383" s="2" t="str">
        <v/>
      </c>
      <c r="F383" t="str">
        <v>Zomerstage 2026 U8 (Oudenaarde)</v>
      </c>
      <c r="G383" t="str">
        <v>Speler</v>
      </c>
    </row>
    <row r="384" spans="1:7" x14ac:dyDescent="0.3">
      <c r="A384" t="str">
        <v>Lasse Cattoir</v>
      </c>
      <c r="B384" t="str">
        <v/>
      </c>
      <c r="C384" t="str">
        <v/>
      </c>
      <c r="D384" t="str">
        <v>https://app.twizzit.com/public/photos/9522553/s/70d508b65eaba88af49f20bd545e119d36420c07.png</v>
      </c>
      <c r="E384" s="2" t="str">
        <v/>
      </c>
      <c r="F384" t="str">
        <v>Zomerstage 2026 U8 (Oudenaarde)</v>
      </c>
      <c r="G384" t="str">
        <v>Speler</v>
      </c>
    </row>
    <row r="385" spans="1:7" x14ac:dyDescent="0.3">
      <c r="A385" t="str">
        <v>Tybe De Clercq</v>
      </c>
      <c r="B385" t="str">
        <v>freyadesmet@hotmail.com</v>
      </c>
      <c r="C385" t="str">
        <v>+32476214551</v>
      </c>
      <c r="D385" t="str">
        <v/>
      </c>
      <c r="E385" s="2" t="str">
        <v/>
      </c>
      <c r="F385" t="str">
        <v>Zomerstage 2026 U8 (Oudenaarde)</v>
      </c>
      <c r="G385" t="str">
        <v>Speler</v>
      </c>
    </row>
    <row r="386" spans="1:7" x14ac:dyDescent="0.3">
      <c r="A386" t="str">
        <v>Elli De Zitter</v>
      </c>
      <c r="B386" t="str">
        <v>de.zitter.steve@gmail.com</v>
      </c>
      <c r="C386" t="str">
        <v>+32473423222</v>
      </c>
      <c r="D386" t="str">
        <v/>
      </c>
      <c r="E386" s="2" t="str">
        <v/>
      </c>
      <c r="F386" t="str">
        <v>Zomerstage 2026 U8 (Oudenaarde)</v>
      </c>
      <c r="G386" t="str">
        <v>Speler</v>
      </c>
    </row>
    <row r="387" spans="1:7" x14ac:dyDescent="0.3">
      <c r="A387" t="str">
        <v>Kenneth Dhont</v>
      </c>
      <c r="B387" t="str">
        <v/>
      </c>
      <c r="C387" t="str">
        <v>+32477485789</v>
      </c>
      <c r="D387" t="str">
        <v/>
      </c>
      <c r="E387" s="2">
        <v>50455</v>
      </c>
      <c r="F387" t="str">
        <v>Zomerstage 2026 U8 (Oudenaarde)</v>
      </c>
      <c r="G387" t="str">
        <v>Coach</v>
      </c>
    </row>
    <row r="388" spans="1:7" x14ac:dyDescent="0.3">
      <c r="A388" t="str">
        <v>Jef Lauwereins</v>
      </c>
      <c r="B388" t="str">
        <v>lauwereins.steven@gmail.com</v>
      </c>
      <c r="C388" t="str">
        <v>+32474317844</v>
      </c>
      <c r="D388" t="str">
        <v/>
      </c>
      <c r="E388" s="2" t="str">
        <v/>
      </c>
      <c r="F388" t="str">
        <v>Zomerstage 2026 U8 (Oudenaarde)</v>
      </c>
      <c r="G388" t="str">
        <v>Speler</v>
      </c>
    </row>
    <row r="389" spans="1:7" x14ac:dyDescent="0.3">
      <c r="A389" t="str">
        <v>Rover Naessens</v>
      </c>
      <c r="B389" t="str">
        <v>deesnaessens@hotmail.com</v>
      </c>
      <c r="C389" t="str">
        <v>+32495844733</v>
      </c>
      <c r="D389" t="str">
        <v>https://app.twizzit.com/public/photos/7328405/s/a238a3bac0fa83cb173f769b5ce64dd7bdebab6d.jpeg</v>
      </c>
      <c r="E389" s="2" t="str">
        <v/>
      </c>
      <c r="F389" t="str">
        <v>Zomerstage 2026 U8 (Oudenaarde)</v>
      </c>
      <c r="G389" t="str">
        <v>Speler</v>
      </c>
    </row>
    <row r="390" spans="1:7" x14ac:dyDescent="0.3">
      <c r="A390" t="str">
        <v>Théo Parmentier</v>
      </c>
      <c r="B390" t="str">
        <v>jensparmentier@gmail.com</v>
      </c>
      <c r="C390" t="str">
        <v>+32498076133</v>
      </c>
      <c r="D390" t="str">
        <v/>
      </c>
      <c r="E390" s="2" t="str">
        <v/>
      </c>
      <c r="F390" t="str">
        <v>Zomerstage 2026 U8 (Oudenaarde)</v>
      </c>
      <c r="G390" t="str">
        <v>Speler</v>
      </c>
    </row>
    <row r="391" spans="1:7" x14ac:dyDescent="0.3">
      <c r="A391" t="str">
        <v>Lander Van De Maele</v>
      </c>
      <c r="B391" t="str">
        <v>jensvdmaele@gmail.com</v>
      </c>
      <c r="C391" t="str">
        <v>+32479246218</v>
      </c>
      <c r="D391" t="str">
        <v>https://app.twizzit.com/public/photos/10715682/s/9ac40a7d3bcb76b36d9290dcb9c3bcdc167e2add.jpeg</v>
      </c>
      <c r="E391" s="2" t="str">
        <v/>
      </c>
      <c r="F391" t="str">
        <v>Zomerstage 2026 U8 (Oudenaarde)</v>
      </c>
      <c r="G391" t="str">
        <v>Speler</v>
      </c>
    </row>
    <row r="392" spans="1:7" x14ac:dyDescent="0.3">
      <c r="A392" t="str">
        <v>Mali-June Van Dorpe</v>
      </c>
      <c r="B392" t="str">
        <v>tracy.desmet@hotmail.com</v>
      </c>
      <c r="C392" t="str">
        <v>+32485650671</v>
      </c>
      <c r="D392" t="str">
        <v/>
      </c>
      <c r="E392" s="2" t="str">
        <v/>
      </c>
      <c r="F392" t="str">
        <v>Zomerstage 2026 U8 (Oudenaarde)</v>
      </c>
      <c r="G392" t="str">
        <v>Speler</v>
      </c>
    </row>
    <row r="393" spans="1:7" x14ac:dyDescent="0.3">
      <c r="A393" t="str">
        <v>Lowie Van Nieuwenhuyze</v>
      </c>
      <c r="B393" t="str">
        <v>pietervannieuwenhuyze1984@gmail.com</v>
      </c>
      <c r="C393" t="str">
        <v>+32477259667</v>
      </c>
      <c r="D393" t="str">
        <v/>
      </c>
      <c r="E393" s="2" t="str">
        <v/>
      </c>
      <c r="F393" t="str">
        <v>Zomerstage 2026 U8 (Oudenaarde)</v>
      </c>
      <c r="G393" t="str">
        <v>Speler</v>
      </c>
    </row>
    <row r="394" spans="1:7" x14ac:dyDescent="0.3">
      <c r="A394" t="str">
        <v>Ronan Vanneste</v>
      </c>
      <c r="B394" t="str">
        <v>Koen.vanneste.k@gmail.com</v>
      </c>
      <c r="C394" t="str">
        <v>+32472817695</v>
      </c>
      <c r="D394" t="str">
        <v>https://app.twizzit.com/public/photos/7992424/s/7741759047d554aed7aaac84a694a4ea4a62b085.jpeg</v>
      </c>
      <c r="E394" s="2" t="str">
        <v/>
      </c>
      <c r="F394" t="str">
        <v>Zomerstage 2026 U8 (Oudenaarde)</v>
      </c>
      <c r="G394" t="str">
        <v>Speler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8749C-F9FC-4793-82BE-DCF34FB00315}">
  <dimension ref="A1:F394"/>
  <sheetViews>
    <sheetView workbookViewId="0">
      <pane ySplit="1" topLeftCell="A56" activePane="bottomLeft" state="frozen"/>
      <selection pane="bottomLeft" activeCell="C62" sqref="C62"/>
    </sheetView>
  </sheetViews>
  <sheetFormatPr defaultRowHeight="14.4" x14ac:dyDescent="0.3"/>
  <cols>
    <col min="1" max="1" width="29.6640625" customWidth="1"/>
    <col min="2" max="2" width="51.88671875" customWidth="1"/>
    <col min="3" max="3" width="40.6640625" customWidth="1"/>
    <col min="4" max="4" width="27.6640625" customWidth="1"/>
  </cols>
  <sheetData>
    <row r="1" spans="1:6" x14ac:dyDescent="0.3">
      <c r="A1" s="1" t="s">
        <v>1</v>
      </c>
      <c r="B1" s="1" t="s">
        <v>29</v>
      </c>
      <c r="C1" s="1" t="s">
        <v>2884</v>
      </c>
      <c r="D1" s="1" t="s">
        <v>2885</v>
      </c>
      <c r="E1" s="1" t="s">
        <v>2880</v>
      </c>
      <c r="F1" s="1" t="s">
        <v>2891</v>
      </c>
    </row>
    <row r="2" spans="1:6" x14ac:dyDescent="0.3">
      <c r="A2" t="str" cm="1">
        <f t="array" ref="A2:C394">CHOOSE({1,2,3},'Sorted by Team'!A2:A394,'Sorted by Team'!D2:D394,'Sorted by Team'!F2:F394)</f>
        <v>Odet Castelain</v>
      </c>
      <c r="B2" t="str">
        <v/>
      </c>
      <c r="C2" t="str">
        <v>Balschool U6</v>
      </c>
      <c r="D2" t="str">
        <f>TRIM(SUBSTITUTE(SUBSTITUTE(SUBSTITUTE(SUBSTITUTE(TRIM(SUBSTITUTE(SUBSTITUTE(SUBSTITUTE(C2,"  "," "),"HAANTJES CERTIFISC OUDENAARDE",""),"Haantjes CERTIFISC Oudenaarde",""))," Geel","")," Blauw","")," Groen",""),"Haantjes Certifisc Oudenaarde",""))</f>
        <v>Balschool U6</v>
      </c>
      <c r="E2" t="str">
        <f>'Sorted by Team'!B2</f>
        <v>evelyn.demesel@hotmail.be</v>
      </c>
      <c r="F2" t="str">
        <f>'Sorted by Team'!C2</f>
        <v>+32495228616</v>
      </c>
    </row>
    <row r="3" spans="1:6" x14ac:dyDescent="0.3">
      <c r="A3" t="str">
        <v>Cécile De Groote Hoebeke</v>
      </c>
      <c r="B3" t="str">
        <v/>
      </c>
      <c r="C3" t="str">
        <v>Balschool U6</v>
      </c>
      <c r="D3" t="str">
        <f t="shared" ref="D3:D66" si="0">TRIM(SUBSTITUTE(SUBSTITUTE(SUBSTITUTE(SUBSTITUTE(TRIM(SUBSTITUTE(SUBSTITUTE(SUBSTITUTE(C3,"  "," "),"HAANTJES CERTIFISC OUDENAARDE",""),"Haantjes CERTIFISC Oudenaarde",""))," Geel","")," Blauw","")," Groen",""),"Haantjes Certifisc Oudenaarde",""))</f>
        <v>Balschool U6</v>
      </c>
      <c r="E3" t="str">
        <f>'Sorted by Team'!B3</f>
        <v>hoebekehanne@gmail.com</v>
      </c>
      <c r="F3" t="str">
        <f>'Sorted by Team'!C3</f>
        <v>+32473630733</v>
      </c>
    </row>
    <row r="4" spans="1:6" x14ac:dyDescent="0.3">
      <c r="A4" t="str">
        <v>Mauro De Leersnyder</v>
      </c>
      <c r="B4" t="str">
        <v/>
      </c>
      <c r="C4" t="str">
        <v>Balschool U6</v>
      </c>
      <c r="D4" t="str">
        <f t="shared" si="0"/>
        <v>Balschool U6</v>
      </c>
      <c r="E4" t="str">
        <f>'Sorted by Team'!B4</f>
        <v>joke.toye@gmail.com</v>
      </c>
      <c r="F4" t="str">
        <f>'Sorted by Team'!C4</f>
        <v>+32475403946</v>
      </c>
    </row>
    <row r="5" spans="1:6" x14ac:dyDescent="0.3">
      <c r="A5" t="str">
        <v>Rami Decock</v>
      </c>
      <c r="B5" t="str">
        <v/>
      </c>
      <c r="C5" t="str">
        <v>Balschool U6</v>
      </c>
      <c r="D5" t="str">
        <f t="shared" si="0"/>
        <v>Balschool U6</v>
      </c>
      <c r="E5" t="str">
        <f>'Sorted by Team'!B5</f>
        <v>decock.anthony07@gmail.com</v>
      </c>
      <c r="F5" t="str">
        <f>'Sorted by Team'!C5</f>
        <v>+3249819525</v>
      </c>
    </row>
    <row r="6" spans="1:6" x14ac:dyDescent="0.3">
      <c r="A6" t="str">
        <v>Jakob Delbaere</v>
      </c>
      <c r="B6" t="str">
        <v/>
      </c>
      <c r="C6" t="str">
        <v>Balschool U6</v>
      </c>
      <c r="D6" t="str">
        <f t="shared" si="0"/>
        <v>Balschool U6</v>
      </c>
      <c r="E6" t="str">
        <f>'Sorted by Team'!B6</f>
        <v/>
      </c>
      <c r="F6" t="str">
        <f>'Sorted by Team'!C6</f>
        <v>+32474233989</v>
      </c>
    </row>
    <row r="7" spans="1:6" x14ac:dyDescent="0.3">
      <c r="A7" t="str">
        <v>Cérile Doublet</v>
      </c>
      <c r="B7" t="str">
        <v/>
      </c>
      <c r="C7" t="str">
        <v>Balschool U6</v>
      </c>
      <c r="D7" t="str">
        <f t="shared" si="0"/>
        <v>Balschool U6</v>
      </c>
      <c r="E7" t="str">
        <f>'Sorted by Team'!B7</f>
        <v>doubletbenoit@msn.com</v>
      </c>
      <c r="F7" t="str">
        <f>'Sorted by Team'!C7</f>
        <v>+32472578222</v>
      </c>
    </row>
    <row r="8" spans="1:6" x14ac:dyDescent="0.3">
      <c r="A8" t="str">
        <v>Cas Elyn</v>
      </c>
      <c r="B8" t="str">
        <v/>
      </c>
      <c r="C8" t="str">
        <v>Balschool U6</v>
      </c>
      <c r="D8" t="str">
        <f t="shared" si="0"/>
        <v>Balschool U6</v>
      </c>
      <c r="E8" t="str">
        <f>'Sorted by Team'!B8</f>
        <v>lievemoyaert@icloud.com</v>
      </c>
      <c r="F8" t="str">
        <f>'Sorted by Team'!C8</f>
        <v>+32495653737</v>
      </c>
    </row>
    <row r="9" spans="1:6" x14ac:dyDescent="0.3">
      <c r="A9" t="str">
        <v>Tiaz Molly</v>
      </c>
      <c r="B9" t="str">
        <v/>
      </c>
      <c r="C9" t="str">
        <v>Balschool U6</v>
      </c>
      <c r="D9" t="str">
        <f t="shared" si="0"/>
        <v>Balschool U6</v>
      </c>
      <c r="E9" t="str">
        <f>'Sorted by Team'!B9</f>
        <v>Molly.diederick@gmail.com</v>
      </c>
      <c r="F9" t="str">
        <f>'Sorted by Team'!C9</f>
        <v>+32494605068</v>
      </c>
    </row>
    <row r="10" spans="1:6" x14ac:dyDescent="0.3">
      <c r="A10" t="str">
        <v>Alba Slembrouck</v>
      </c>
      <c r="B10" t="str">
        <v/>
      </c>
      <c r="C10" t="str">
        <v>Balschool U6</v>
      </c>
      <c r="D10" t="str">
        <f t="shared" si="0"/>
        <v>Balschool U6</v>
      </c>
      <c r="E10" t="str">
        <f>'Sorted by Team'!B10</f>
        <v>alexandra-kemp@hotmail.com</v>
      </c>
      <c r="F10" t="str">
        <f>'Sorted by Team'!C10</f>
        <v>+32472902002</v>
      </c>
    </row>
    <row r="11" spans="1:6" x14ac:dyDescent="0.3">
      <c r="A11" t="str">
        <v>Lily Adam</v>
      </c>
      <c r="B11" t="str">
        <v>https://app.twizzit.com/public/photos/2182441/s/eec7946e1a9e80461f26752840c4aedc7d235bab.jpeg</v>
      </c>
      <c r="C11" t="str">
        <v>DSE A Haantjes Certifisc Oudenaarde</v>
      </c>
      <c r="D11" t="str">
        <f t="shared" si="0"/>
        <v>DSE A</v>
      </c>
      <c r="E11" t="str">
        <f>'Sorted by Team'!B11</f>
        <v>Koenadam78@gmail.com</v>
      </c>
      <c r="F11" t="str">
        <f>'Sorted by Team'!C11</f>
        <v>+32456558867</v>
      </c>
    </row>
    <row r="12" spans="1:6" x14ac:dyDescent="0.3">
      <c r="A12" t="str">
        <v>Janna Bauters</v>
      </c>
      <c r="B12" t="str">
        <v>https://app.twizzit.com/public/photos/2182476/s/d120dcfc0ec82f0d803829f917b4287681f3dd01.png</v>
      </c>
      <c r="C12" t="str">
        <v>DSE A Haantjes Certifisc Oudenaarde</v>
      </c>
      <c r="D12" t="str">
        <f t="shared" si="0"/>
        <v>DSE A</v>
      </c>
      <c r="E12" t="str">
        <f>'Sorted by Team'!B12</f>
        <v/>
      </c>
      <c r="F12" t="str">
        <f>'Sorted by Team'!C12</f>
        <v>+32474344132</v>
      </c>
    </row>
    <row r="13" spans="1:6" x14ac:dyDescent="0.3">
      <c r="A13" t="str">
        <v>Marie Bourdeaud'hui</v>
      </c>
      <c r="B13" t="str">
        <v>https://app.twizzit.com/public/photos/2182516/s/0d7291570c9e5cf142cd892c8fd7ace8c517270a.png</v>
      </c>
      <c r="C13" t="str">
        <v>DSE A Haantjes Certifisc Oudenaarde</v>
      </c>
      <c r="D13" t="str">
        <f t="shared" si="0"/>
        <v>DSE A</v>
      </c>
      <c r="E13" t="str">
        <f>'Sorted by Team'!B13</f>
        <v/>
      </c>
      <c r="F13" t="str">
        <f>'Sorted by Team'!C13</f>
        <v>+32572791</v>
      </c>
    </row>
    <row r="14" spans="1:6" x14ac:dyDescent="0.3">
      <c r="A14" t="str">
        <v>Aishatu Lieve Buadee</v>
      </c>
      <c r="B14" t="str">
        <v/>
      </c>
      <c r="C14" t="str">
        <v>DSE A Haantjes Certifisc Oudenaarde</v>
      </c>
      <c r="D14" t="str">
        <f t="shared" si="0"/>
        <v>DSE A</v>
      </c>
      <c r="E14" t="str">
        <f>'Sorted by Team'!B14</f>
        <v/>
      </c>
      <c r="F14" t="str">
        <f>'Sorted by Team'!C14</f>
        <v>+32496745543</v>
      </c>
    </row>
    <row r="15" spans="1:6" x14ac:dyDescent="0.3">
      <c r="A15" t="str">
        <v>Iris Calewaert</v>
      </c>
      <c r="B15" t="str">
        <v/>
      </c>
      <c r="C15" t="str">
        <v>DSE A Haantjes Certifisc Oudenaarde</v>
      </c>
      <c r="D15" t="str">
        <f t="shared" si="0"/>
        <v>DSE A</v>
      </c>
      <c r="E15" t="str">
        <f>'Sorted by Team'!B15</f>
        <v/>
      </c>
      <c r="F15" t="str">
        <f>'Sorted by Team'!C15</f>
        <v>+32479373164</v>
      </c>
    </row>
    <row r="16" spans="1:6" x14ac:dyDescent="0.3">
      <c r="A16" t="str">
        <v>Bart Cattoir</v>
      </c>
      <c r="B16" t="str">
        <v/>
      </c>
      <c r="C16" t="str">
        <v>DSE A Haantjes Certifisc Oudenaarde</v>
      </c>
      <c r="D16" t="str">
        <f t="shared" si="0"/>
        <v>DSE A</v>
      </c>
      <c r="E16" t="str">
        <f>'Sorted by Team'!B16</f>
        <v/>
      </c>
      <c r="F16" t="str">
        <f>'Sorted by Team'!C16</f>
        <v>+32499214775</v>
      </c>
    </row>
    <row r="17" spans="1:6" x14ac:dyDescent="0.3">
      <c r="A17" t="str">
        <v>Alice Cokelaere</v>
      </c>
      <c r="B17" t="str">
        <v/>
      </c>
      <c r="C17" t="str">
        <v>DSE A Haantjes Certifisc Oudenaarde</v>
      </c>
      <c r="D17" t="str">
        <f t="shared" si="0"/>
        <v>DSE A</v>
      </c>
      <c r="E17" t="str">
        <f>'Sorted by Team'!B17</f>
        <v>sofie.pattyn@telenet.be</v>
      </c>
      <c r="F17" t="str">
        <f>'Sorted by Team'!C17</f>
        <v>+32477681738</v>
      </c>
    </row>
    <row r="18" spans="1:6" x14ac:dyDescent="0.3">
      <c r="A18" t="str">
        <v>Karen Dans</v>
      </c>
      <c r="B18" t="str">
        <v>https://app.twizzit.com/public/photos/2182586/s/3c061ecaa7eb60b4e8b27f2490fa3fff24778b0c.png</v>
      </c>
      <c r="C18" t="str">
        <v>DSE A Haantjes Certifisc Oudenaarde</v>
      </c>
      <c r="D18" t="str">
        <f t="shared" si="0"/>
        <v>DSE A</v>
      </c>
      <c r="E18" t="str">
        <f>'Sorted by Team'!B18</f>
        <v/>
      </c>
      <c r="F18" t="str">
        <f>'Sorted by Team'!C18</f>
        <v>+32494698322</v>
      </c>
    </row>
    <row r="19" spans="1:6" x14ac:dyDescent="0.3">
      <c r="A19" t="str">
        <v>Kimberley De Smet</v>
      </c>
      <c r="B19" t="str">
        <v>https://app.twizzit.com/public/photos/2182696/s/b3404003062e85e1b45f5fca9b0565fe70029286.png</v>
      </c>
      <c r="C19" t="str">
        <v>DSE A Haantjes Certifisc Oudenaarde</v>
      </c>
      <c r="D19" t="str">
        <f t="shared" si="0"/>
        <v>DSE A</v>
      </c>
      <c r="E19" t="str">
        <f>'Sorted by Team'!B19</f>
        <v/>
      </c>
      <c r="F19" t="str">
        <f>'Sorted by Team'!C19</f>
        <v/>
      </c>
    </row>
    <row r="20" spans="1:6" x14ac:dyDescent="0.3">
      <c r="A20" t="str">
        <v>Heike Guenter</v>
      </c>
      <c r="B20" t="str">
        <v/>
      </c>
      <c r="C20" t="str">
        <v>DSE A Haantjes Certifisc Oudenaarde</v>
      </c>
      <c r="D20" t="str">
        <f t="shared" si="0"/>
        <v>DSE A</v>
      </c>
      <c r="E20" t="str">
        <f>'Sorted by Team'!B20</f>
        <v>Heike.guenter@telenet.be</v>
      </c>
      <c r="F20" t="str">
        <f>'Sorted by Team'!C20</f>
        <v>+32456085054</v>
      </c>
    </row>
    <row r="21" spans="1:6" x14ac:dyDescent="0.3">
      <c r="A21" t="str">
        <v>Lente Verhaeghe</v>
      </c>
      <c r="B21" t="str">
        <v>https://app.twizzit.com/public/photos/3706826/s/7283d518f82547e0fb530790cddedb0edf0a5785.jpeg</v>
      </c>
      <c r="C21" t="str">
        <v>DSE A Haantjes Certifisc Oudenaarde</v>
      </c>
      <c r="D21" t="str">
        <f t="shared" si="0"/>
        <v>DSE A</v>
      </c>
      <c r="E21" t="str">
        <f>'Sorted by Team'!B21</f>
        <v>verhaeghelente@gmail.com</v>
      </c>
      <c r="F21" t="str">
        <f>'Sorted by Team'!C21</f>
        <v/>
      </c>
    </row>
    <row r="22" spans="1:6" x14ac:dyDescent="0.3">
      <c r="A22" t="str">
        <v>Tybe De Clercq</v>
      </c>
      <c r="B22" t="str">
        <v/>
      </c>
      <c r="C22" t="str">
        <v>G08 Blauw HAANTJES CERTIFISC OUDENAARDE</v>
      </c>
      <c r="D22" t="str">
        <f t="shared" si="0"/>
        <v>G08</v>
      </c>
      <c r="E22" t="str">
        <f>'Sorted by Team'!B22</f>
        <v>freyadesmet@hotmail.com</v>
      </c>
      <c r="F22" t="str">
        <f>'Sorted by Team'!C22</f>
        <v>+32476214551</v>
      </c>
    </row>
    <row r="23" spans="1:6" x14ac:dyDescent="0.3">
      <c r="A23" t="str">
        <v>Jef Lauwereins</v>
      </c>
      <c r="B23" t="str">
        <v/>
      </c>
      <c r="C23" t="str">
        <v>G08 Blauw HAANTJES CERTIFISC OUDENAARDE</v>
      </c>
      <c r="D23" t="str">
        <f t="shared" si="0"/>
        <v>G08</v>
      </c>
      <c r="E23" t="str">
        <f>'Sorted by Team'!B23</f>
        <v>lauwereins.steven@gmail.com</v>
      </c>
      <c r="F23" t="str">
        <f>'Sorted by Team'!C23</f>
        <v>+32474317844</v>
      </c>
    </row>
    <row r="24" spans="1:6" x14ac:dyDescent="0.3">
      <c r="A24" t="str">
        <v>Juul Messeeuw</v>
      </c>
      <c r="B24" t="str">
        <v/>
      </c>
      <c r="C24" t="str">
        <v>G08 Blauw HAANTJES CERTIFISC OUDENAARDE</v>
      </c>
      <c r="D24" t="str">
        <f t="shared" si="0"/>
        <v>G08</v>
      </c>
      <c r="E24" t="str">
        <f>'Sorted by Team'!B24</f>
        <v>lynnvdwiele@hotmail.com</v>
      </c>
      <c r="F24" t="str">
        <f>'Sorted by Team'!C24</f>
        <v>+32486610793</v>
      </c>
    </row>
    <row r="25" spans="1:6" x14ac:dyDescent="0.3">
      <c r="A25" t="str">
        <v>Rover Naessens</v>
      </c>
      <c r="B25" t="str">
        <v>https://app.twizzit.com/public/photos/7328405/s/a238a3bac0fa83cb173f769b5ce64dd7bdebab6d.jpeg</v>
      </c>
      <c r="C25" t="str">
        <v>G08 Blauw HAANTJES CERTIFISC OUDENAARDE</v>
      </c>
      <c r="D25" t="str">
        <f t="shared" si="0"/>
        <v>G08</v>
      </c>
      <c r="E25" t="str">
        <f>'Sorted by Team'!B25</f>
        <v>deesnaessens@hotmail.com</v>
      </c>
      <c r="F25" t="str">
        <f>'Sorted by Team'!C25</f>
        <v>+32495844733</v>
      </c>
    </row>
    <row r="26" spans="1:6" x14ac:dyDescent="0.3">
      <c r="A26" t="str">
        <v>Théo Parmentier</v>
      </c>
      <c r="B26" t="str">
        <v/>
      </c>
      <c r="C26" t="str">
        <v>G08 Blauw HAANTJES CERTIFISC OUDENAARDE</v>
      </c>
      <c r="D26" t="str">
        <f t="shared" si="0"/>
        <v>G08</v>
      </c>
      <c r="E26" t="str">
        <f>'Sorted by Team'!B26</f>
        <v>jensparmentier@gmail.com</v>
      </c>
      <c r="F26" t="str">
        <f>'Sorted by Team'!C26</f>
        <v>+32498076133</v>
      </c>
    </row>
    <row r="27" spans="1:6" x14ac:dyDescent="0.3">
      <c r="A27" t="str">
        <v>Thibaut Sadaune</v>
      </c>
      <c r="B27" t="str">
        <v>https://app.twizzit.com/public/photos/8418475/s/c44854e7fe4ecdd14617bb0fe2e99a30f0cedc15.jpeg</v>
      </c>
      <c r="C27" t="str">
        <v>G08 Blauw HAANTJES CERTIFISC OUDENAARDE</v>
      </c>
      <c r="D27" t="str">
        <f t="shared" si="0"/>
        <v>G08</v>
      </c>
      <c r="E27" t="str">
        <f>'Sorted by Team'!B27</f>
        <v>bartsadaune@hotmail.com</v>
      </c>
      <c r="F27" t="str">
        <f>'Sorted by Team'!C27</f>
        <v>+32485494075</v>
      </c>
    </row>
    <row r="28" spans="1:6" x14ac:dyDescent="0.3">
      <c r="A28" t="str">
        <v>Aster Van Cauwenberghe</v>
      </c>
      <c r="B28" t="str">
        <v>https://app.twizzit.com/public/photos/6080950/s/e37d4499e2422d263ca72ca5adc1adb614aa1f40.jpeg</v>
      </c>
      <c r="C28" t="str">
        <v>G08 Blauw HAANTJES CERTIFISC OUDENAARDE</v>
      </c>
      <c r="D28" t="str">
        <f t="shared" si="0"/>
        <v>G08</v>
      </c>
      <c r="E28" t="str">
        <f>'Sorted by Team'!B28</f>
        <v/>
      </c>
      <c r="F28" t="str">
        <f>'Sorted by Team'!C28</f>
        <v>+32476529185</v>
      </c>
    </row>
    <row r="29" spans="1:6" x14ac:dyDescent="0.3">
      <c r="A29" t="str">
        <v>Lander Van De Maele</v>
      </c>
      <c r="B29" t="str">
        <v>https://app.twizzit.com/public/photos/10715682/s/9ac40a7d3bcb76b36d9290dcb9c3bcdc167e2add.jpeg</v>
      </c>
      <c r="C29" t="str">
        <v>G08 Blauw HAANTJES CERTIFISC OUDENAARDE</v>
      </c>
      <c r="D29" t="str">
        <f t="shared" si="0"/>
        <v>G08</v>
      </c>
      <c r="E29" t="str">
        <f>'Sorted by Team'!B29</f>
        <v>jensvdmaele@gmail.com</v>
      </c>
      <c r="F29" t="str">
        <f>'Sorted by Team'!C29</f>
        <v>+32479246218</v>
      </c>
    </row>
    <row r="30" spans="1:6" x14ac:dyDescent="0.3">
      <c r="A30" t="str">
        <v>Ronan Vanneste</v>
      </c>
      <c r="B30" t="str">
        <v>https://app.twizzit.com/public/photos/7992424/s/7741759047d554aed7aaac84a694a4ea4a62b085.jpeg</v>
      </c>
      <c r="C30" t="str">
        <v>G08 Blauw HAANTJES CERTIFISC OUDENAARDE</v>
      </c>
      <c r="D30" t="str">
        <f t="shared" si="0"/>
        <v>G08</v>
      </c>
      <c r="E30" t="str">
        <f>'Sorted by Team'!B30</f>
        <v>Koen.vanneste.k@gmail.com</v>
      </c>
      <c r="F30" t="str">
        <f>'Sorted by Team'!C30</f>
        <v>+32472817695</v>
      </c>
    </row>
    <row r="31" spans="1:6" x14ac:dyDescent="0.3">
      <c r="A31" t="str">
        <v>Océane Wisbecq</v>
      </c>
      <c r="B31" t="str">
        <v/>
      </c>
      <c r="C31" t="str">
        <v>G08 Blauw HAANTJES CERTIFISC OUDENAARDE</v>
      </c>
      <c r="D31" t="str">
        <f t="shared" si="0"/>
        <v>G08</v>
      </c>
      <c r="E31" t="str">
        <f>'Sorted by Team'!B31</f>
        <v>jasper.wisbecq@hotmail.com</v>
      </c>
      <c r="F31" t="str">
        <f>'Sorted by Team'!C31</f>
        <v>+32472459757</v>
      </c>
    </row>
    <row r="32" spans="1:6" x14ac:dyDescent="0.3">
      <c r="A32" t="str">
        <v>Joppe Beeckman</v>
      </c>
      <c r="B32" t="str">
        <v>https://app.twizzit.com/public/photos/7329719/s/3900de37cfdf557a3c2ce4dcb1b36ecfefd6df85.png</v>
      </c>
      <c r="C32" t="str">
        <v>G08 Geel HAANTJES CERTIFISC OUDENAARDE</v>
      </c>
      <c r="D32" t="str">
        <f t="shared" si="0"/>
        <v>G08</v>
      </c>
      <c r="E32" t="str">
        <f>'Sorted by Team'!B32</f>
        <v>ppoitiez@hotmail.com</v>
      </c>
      <c r="F32" t="str">
        <f>'Sorted by Team'!C32</f>
        <v>+32486440775</v>
      </c>
    </row>
    <row r="33" spans="1:6" x14ac:dyDescent="0.3">
      <c r="A33" t="str">
        <v>Leon Boone</v>
      </c>
      <c r="B33" t="str">
        <v/>
      </c>
      <c r="C33" t="str">
        <v>G08 Geel HAANTJES CERTIFISC OUDENAARDE</v>
      </c>
      <c r="D33" t="str">
        <f t="shared" si="0"/>
        <v>G08</v>
      </c>
      <c r="E33" t="str">
        <f>'Sorted by Team'!B33</f>
        <v>dieter.boone@telenet.be</v>
      </c>
      <c r="F33" t="str">
        <f>'Sorted by Team'!C33</f>
        <v>+32496024078</v>
      </c>
    </row>
    <row r="34" spans="1:6" x14ac:dyDescent="0.3">
      <c r="A34" t="str">
        <v>Jonah Cattoir</v>
      </c>
      <c r="B34" t="str">
        <v/>
      </c>
      <c r="C34" t="str">
        <v>G08 Geel HAANTJES CERTIFISC OUDENAARDE</v>
      </c>
      <c r="D34" t="str">
        <f t="shared" si="0"/>
        <v>G08</v>
      </c>
      <c r="E34" t="str">
        <f>'Sorted by Team'!B34</f>
        <v/>
      </c>
      <c r="F34" t="str">
        <f>'Sorted by Team'!C34</f>
        <v/>
      </c>
    </row>
    <row r="35" spans="1:6" x14ac:dyDescent="0.3">
      <c r="A35" t="str">
        <v>Lasse Cattoir</v>
      </c>
      <c r="B35" t="str">
        <v>https://app.twizzit.com/public/photos/9522553/s/70d508b65eaba88af49f20bd545e119d36420c07.png</v>
      </c>
      <c r="C35" t="str">
        <v>G08 Geel HAANTJES CERTIFISC OUDENAARDE</v>
      </c>
      <c r="D35" t="str">
        <f t="shared" si="0"/>
        <v>G08</v>
      </c>
      <c r="E35" t="str">
        <f>'Sorted by Team'!B35</f>
        <v/>
      </c>
      <c r="F35" t="str">
        <f>'Sorted by Team'!C35</f>
        <v/>
      </c>
    </row>
    <row r="36" spans="1:6" x14ac:dyDescent="0.3">
      <c r="A36" t="str">
        <v>Madelein De Groote Hoebeke</v>
      </c>
      <c r="B36" t="str">
        <v>https://app.twizzit.com/public/photos/7992432/s/9093b3c321ebca1981daea541211e5a7f8dcd3e7.png</v>
      </c>
      <c r="C36" t="str">
        <v>G08 Geel HAANTJES CERTIFISC OUDENAARDE</v>
      </c>
      <c r="D36" t="str">
        <f t="shared" si="0"/>
        <v>G08</v>
      </c>
      <c r="E36" t="str">
        <f>'Sorted by Team'!B36</f>
        <v>hoebekehanne@gmail.com</v>
      </c>
      <c r="F36" t="str">
        <f>'Sorted by Team'!C36</f>
        <v>+32473630733</v>
      </c>
    </row>
    <row r="37" spans="1:6" x14ac:dyDescent="0.3">
      <c r="A37" t="str">
        <v>Elli De Zitter</v>
      </c>
      <c r="B37" t="str">
        <v/>
      </c>
      <c r="C37" t="str">
        <v>G08 Geel HAANTJES CERTIFISC OUDENAARDE</v>
      </c>
      <c r="D37" t="str">
        <f t="shared" si="0"/>
        <v>G08</v>
      </c>
      <c r="E37" t="str">
        <f>'Sorted by Team'!B37</f>
        <v>de.zitter.steve@gmail.com</v>
      </c>
      <c r="F37" t="str">
        <f>'Sorted by Team'!C37</f>
        <v>+32473423222</v>
      </c>
    </row>
    <row r="38" spans="1:6" x14ac:dyDescent="0.3">
      <c r="A38" t="str">
        <v>Gust Dupont</v>
      </c>
      <c r="B38" t="str">
        <v/>
      </c>
      <c r="C38" t="str">
        <v>G08 Geel HAANTJES CERTIFISC OUDENAARDE</v>
      </c>
      <c r="D38" t="str">
        <f t="shared" si="0"/>
        <v>G08</v>
      </c>
      <c r="E38" t="str">
        <f>'Sorted by Team'!B38</f>
        <v>sarah.verhellen@hotmail.com</v>
      </c>
      <c r="F38" t="str">
        <f>'Sorted by Team'!C38</f>
        <v>+32470112368</v>
      </c>
    </row>
    <row r="39" spans="1:6" x14ac:dyDescent="0.3">
      <c r="A39" t="str">
        <v>Robin Elyn</v>
      </c>
      <c r="B39" t="str">
        <v/>
      </c>
      <c r="C39" t="str">
        <v>G08 Geel HAANTJES CERTIFISC OUDENAARDE</v>
      </c>
      <c r="D39" t="str">
        <f t="shared" si="0"/>
        <v>G08</v>
      </c>
      <c r="E39" t="str">
        <f>'Sorted by Team'!B39</f>
        <v>lievemoyaert@icloud.com</v>
      </c>
      <c r="F39" t="str">
        <f>'Sorted by Team'!C39</f>
        <v>+32495653737</v>
      </c>
    </row>
    <row r="40" spans="1:6" x14ac:dyDescent="0.3">
      <c r="A40" t="str">
        <v>Oskar Luyten</v>
      </c>
      <c r="B40" t="str">
        <v>https://app.twizzit.com/public/photos/6067218/s/05d3b6d34153ded2c11249ae66f232311ce5df9d.jpeg</v>
      </c>
      <c r="C40" t="str">
        <v>G08 Geel HAANTJES CERTIFISC OUDENAARDE</v>
      </c>
      <c r="D40" t="str">
        <f t="shared" si="0"/>
        <v>G08</v>
      </c>
      <c r="E40" t="str">
        <f>'Sorted by Team'!B40</f>
        <v>liesbeth_boudrez@hotmail.be</v>
      </c>
      <c r="F40" t="str">
        <f>'Sorted by Team'!C40</f>
        <v>+32499650150</v>
      </c>
    </row>
    <row r="41" spans="1:6" x14ac:dyDescent="0.3">
      <c r="A41" t="str">
        <v>Ilaï Van De Walle</v>
      </c>
      <c r="B41" t="str">
        <v/>
      </c>
      <c r="C41" t="str">
        <v>G08 Geel HAANTJES CERTIFISC OUDENAARDE</v>
      </c>
      <c r="D41" t="str">
        <f t="shared" si="0"/>
        <v>G08</v>
      </c>
      <c r="E41" t="str">
        <f>'Sorted by Team'!B41</f>
        <v/>
      </c>
      <c r="F41" t="str">
        <f>'Sorted by Team'!C41</f>
        <v>+32474818195</v>
      </c>
    </row>
    <row r="42" spans="1:6" x14ac:dyDescent="0.3">
      <c r="A42" t="str">
        <v>Lowie Van Nieuwenhuyze</v>
      </c>
      <c r="B42" t="str">
        <v/>
      </c>
      <c r="C42" t="str">
        <v>G08 Geel HAANTJES CERTIFISC OUDENAARDE</v>
      </c>
      <c r="D42" t="str">
        <f t="shared" si="0"/>
        <v>G08</v>
      </c>
      <c r="E42" t="str">
        <f>'Sorted by Team'!B42</f>
        <v>pietervannieuwenhuyze1984@gmail.com</v>
      </c>
      <c r="F42" t="str">
        <f>'Sorted by Team'!C42</f>
        <v>+32477259667</v>
      </c>
    </row>
    <row r="43" spans="1:6" x14ac:dyDescent="0.3">
      <c r="A43" t="str">
        <v>Auguste Vanderschueren</v>
      </c>
      <c r="B43" t="str">
        <v/>
      </c>
      <c r="C43" t="str">
        <v>G08 Geel HAANTJES CERTIFISC OUDENAARDE</v>
      </c>
      <c r="D43" t="str">
        <f t="shared" si="0"/>
        <v>G08</v>
      </c>
      <c r="E43" t="str">
        <f>'Sorted by Team'!B43</f>
        <v>olivier.vanderschueren@safetyjogger.com</v>
      </c>
      <c r="F43" t="str">
        <f>'Sorted by Team'!C43</f>
        <v/>
      </c>
    </row>
    <row r="44" spans="1:6" x14ac:dyDescent="0.3">
      <c r="A44" t="str">
        <v>Debbie Verhelst</v>
      </c>
      <c r="B44" t="str">
        <v/>
      </c>
      <c r="C44" t="str">
        <v>G08 Geel HAANTJES CERTIFISC OUDENAARDE</v>
      </c>
      <c r="D44" t="str">
        <f t="shared" si="0"/>
        <v>G08</v>
      </c>
      <c r="E44" t="str">
        <f>'Sorted by Team'!B44</f>
        <v/>
      </c>
      <c r="F44" t="str">
        <f>'Sorted by Team'!C44</f>
        <v/>
      </c>
    </row>
    <row r="45" spans="1:6" x14ac:dyDescent="0.3">
      <c r="A45" t="str">
        <v>Basiel Vossen</v>
      </c>
      <c r="B45" t="str">
        <v/>
      </c>
      <c r="C45" t="str">
        <v>G08 Geel HAANTJES CERTIFISC OUDENAARDE</v>
      </c>
      <c r="D45" t="str">
        <f t="shared" si="0"/>
        <v>G08</v>
      </c>
      <c r="E45" t="str">
        <f>'Sorted by Team'!B45</f>
        <v>pieterpaulvossen@hotmail.com</v>
      </c>
      <c r="F45" t="str">
        <f>'Sorted by Team'!C45</f>
        <v>+32472546513</v>
      </c>
    </row>
    <row r="46" spans="1:6" x14ac:dyDescent="0.3">
      <c r="A46" t="str">
        <v>Maurice Boonaert</v>
      </c>
      <c r="B46" t="str">
        <v/>
      </c>
      <c r="C46" t="str">
        <v>G08 Groen HAANTJES CERTIFISC OUDENAARDE</v>
      </c>
      <c r="D46" t="str">
        <f t="shared" si="0"/>
        <v>G08</v>
      </c>
      <c r="E46" t="str">
        <f>'Sorted by Team'!B46</f>
        <v>reggyboonaert@outlook.be</v>
      </c>
      <c r="F46" t="str">
        <f>'Sorted by Team'!C46</f>
        <v>+32478731137</v>
      </c>
    </row>
    <row r="47" spans="1:6" x14ac:dyDescent="0.3">
      <c r="A47" t="str">
        <v>Tille Debouverie</v>
      </c>
      <c r="B47" t="str">
        <v>https://app.twizzit.com/public/photos/10452578/s/292aacecec7d92bf38572d240646cc8a5ea5dc01.png</v>
      </c>
      <c r="C47" t="str">
        <v>G08 Groen HAANTJES CERTIFISC OUDENAARDE</v>
      </c>
      <c r="D47" t="str">
        <f t="shared" si="0"/>
        <v>G08</v>
      </c>
      <c r="E47" t="str">
        <f>'Sorted by Team'!B47</f>
        <v>debouverieryan@gmail.com</v>
      </c>
      <c r="F47" t="str">
        <f>'Sorted by Team'!C47</f>
        <v>+32474278078</v>
      </c>
    </row>
    <row r="48" spans="1:6" x14ac:dyDescent="0.3">
      <c r="A48" t="str">
        <v>Julian Moerman</v>
      </c>
      <c r="B48" t="str">
        <v/>
      </c>
      <c r="C48" t="str">
        <v>G08 Groen HAANTJES CERTIFISC OUDENAARDE</v>
      </c>
      <c r="D48" t="str">
        <f t="shared" si="0"/>
        <v>G08</v>
      </c>
      <c r="E48" t="str">
        <f>'Sorted by Team'!B48</f>
        <v>mirkomoerman@hotmail.com</v>
      </c>
      <c r="F48" t="str">
        <f>'Sorted by Team'!C48</f>
        <v>+32495423490</v>
      </c>
    </row>
    <row r="49" spans="1:6" x14ac:dyDescent="0.3">
      <c r="A49" t="str">
        <v>George O'Reilly</v>
      </c>
      <c r="B49" t="str">
        <v/>
      </c>
      <c r="C49" t="str">
        <v>G08 Groen HAANTJES CERTIFISC OUDENAARDE</v>
      </c>
      <c r="D49" t="str">
        <f t="shared" si="0"/>
        <v>G08</v>
      </c>
      <c r="E49" t="str">
        <f>'Sorted by Team'!B49</f>
        <v>danieloreilly22@yahoo.ie</v>
      </c>
      <c r="F49" t="str">
        <f>'Sorted by Team'!C49</f>
        <v>+32494886713</v>
      </c>
    </row>
    <row r="50" spans="1:6" x14ac:dyDescent="0.3">
      <c r="A50" t="str">
        <v>Romée Slembrouck</v>
      </c>
      <c r="B50" t="str">
        <v>https://app.twizzit.com/public/photos/7328316/s/d832d97a4d222f65f11eb5051494f0f7bb0f899d.png</v>
      </c>
      <c r="C50" t="str">
        <v>G08 Groen HAANTJES CERTIFISC OUDENAARDE</v>
      </c>
      <c r="D50" t="str">
        <f t="shared" si="0"/>
        <v>G08</v>
      </c>
      <c r="E50" t="str">
        <f>'Sorted by Team'!B50</f>
        <v>alexandra-kemp@hotmail.com</v>
      </c>
      <c r="F50" t="str">
        <f>'Sorted by Team'!C50</f>
        <v>+32472902002</v>
      </c>
    </row>
    <row r="51" spans="1:6" x14ac:dyDescent="0.3">
      <c r="A51" t="str">
        <v>Juul Torrekens</v>
      </c>
      <c r="B51" t="str">
        <v>https://app.twizzit.com/public/photos/10452742/s/6c5cf54cdc2121df9ea81aa430b2b5f8abe2c81a.jpeg</v>
      </c>
      <c r="C51" t="str">
        <v>G08 Groen HAANTJES CERTIFISC OUDENAARDE</v>
      </c>
      <c r="D51" t="str">
        <f t="shared" si="0"/>
        <v>G08</v>
      </c>
      <c r="E51" t="str">
        <f>'Sorted by Team'!B51</f>
        <v/>
      </c>
      <c r="F51" t="str">
        <f>'Sorted by Team'!C51</f>
        <v>+32491736700</v>
      </c>
    </row>
    <row r="52" spans="1:6" x14ac:dyDescent="0.3">
      <c r="A52" t="str">
        <v>Mali-June Van Dorpe</v>
      </c>
      <c r="B52" t="str">
        <v/>
      </c>
      <c r="C52" t="str">
        <v>G08 Groen HAANTJES CERTIFISC OUDENAARDE</v>
      </c>
      <c r="D52" t="str">
        <f t="shared" si="0"/>
        <v>G08</v>
      </c>
      <c r="E52" t="str">
        <f>'Sorted by Team'!B52</f>
        <v>tracy.desmet@hotmail.com</v>
      </c>
      <c r="F52" t="str">
        <f>'Sorted by Team'!C52</f>
        <v>+32485650671</v>
      </c>
    </row>
    <row r="53" spans="1:6" x14ac:dyDescent="0.3">
      <c r="A53" t="str">
        <v>Flo Vandewege</v>
      </c>
      <c r="B53" t="str">
        <v>https://app.twizzit.com/public/photos/10452584/s/5f2777167147a40d5e0cdf16d10044b2680e0e8c.png</v>
      </c>
      <c r="C53" t="str">
        <v>G08 Groen HAANTJES CERTIFISC OUDENAARDE</v>
      </c>
      <c r="D53" t="str">
        <f t="shared" si="0"/>
        <v>G08</v>
      </c>
      <c r="E53" t="str">
        <f>'Sorted by Team'!B53</f>
        <v>diedev@hotmail.com</v>
      </c>
      <c r="F53" t="str">
        <f>'Sorted by Team'!C53</f>
        <v>+32497914889</v>
      </c>
    </row>
    <row r="54" spans="1:6" x14ac:dyDescent="0.3">
      <c r="A54" t="str">
        <v>Charlotte Verschueren</v>
      </c>
      <c r="B54" t="str">
        <v>https://app.twizzit.com/public/photos/2183447/s/1f201bfdf86762e0642c70c1aa487baf5ab852bb.png</v>
      </c>
      <c r="C54" t="str">
        <v>G08 Groen HAANTJES CERTIFISC OUDENAARDE</v>
      </c>
      <c r="D54" t="str">
        <f t="shared" si="0"/>
        <v>G08</v>
      </c>
      <c r="E54" t="str">
        <f>'Sorted by Team'!B54</f>
        <v/>
      </c>
      <c r="F54" t="str">
        <f>'Sorted by Team'!C54</f>
        <v>+32474278078</v>
      </c>
    </row>
    <row r="55" spans="1:6" x14ac:dyDescent="0.3">
      <c r="A55" t="str">
        <v>Senn Anseeuw</v>
      </c>
      <c r="B55" t="str">
        <v>https://app.twizzit.com/public/photos/4421954/s/39c1d6c08bc84b336f4c340a175719810e926066.png</v>
      </c>
      <c r="C55" t="str">
        <v>G10 Blauw HAANTJES CERTIFISC OUDENAARDE</v>
      </c>
      <c r="D55" t="str">
        <f t="shared" si="0"/>
        <v>G10</v>
      </c>
      <c r="E55" t="str">
        <f>'Sorted by Team'!B55</f>
        <v>matthias.anseeuw@telenet.be</v>
      </c>
      <c r="F55" t="str">
        <f>'Sorted by Team'!C55</f>
        <v>+32497023380</v>
      </c>
    </row>
    <row r="56" spans="1:6" x14ac:dyDescent="0.3">
      <c r="A56" t="str">
        <v>Arthur Crombez</v>
      </c>
      <c r="B56" t="str">
        <v>https://app.twizzit.com/public/photos/7501921/s/cda3c2c21188914d3908db110c011be3c8f5a13d.png</v>
      </c>
      <c r="C56" t="str">
        <v>G10 Blauw HAANTJES CERTIFISC OUDENAARDE</v>
      </c>
      <c r="D56" t="str">
        <f t="shared" si="0"/>
        <v>G10</v>
      </c>
      <c r="E56" t="str">
        <f>'Sorted by Team'!B56</f>
        <v/>
      </c>
      <c r="F56" t="str">
        <f>'Sorted by Team'!C56</f>
        <v>+32478792675</v>
      </c>
    </row>
    <row r="57" spans="1:6" x14ac:dyDescent="0.3">
      <c r="A57" t="str">
        <v>Maurice Debels</v>
      </c>
      <c r="B57" t="str">
        <v>https://app.twizzit.com/public/photos/7307064/s/62a20fb436e1f6920a77ad9e4cd715a7e88bd1d1.png</v>
      </c>
      <c r="C57" t="str">
        <v>G10 Blauw HAANTJES CERTIFISC OUDENAARDE</v>
      </c>
      <c r="D57" t="str">
        <f t="shared" si="0"/>
        <v>G10</v>
      </c>
      <c r="E57" t="str">
        <f>'Sorted by Team'!B57</f>
        <v/>
      </c>
      <c r="F57" t="str">
        <f>'Sorted by Team'!C57</f>
        <v>+32476521616</v>
      </c>
    </row>
    <row r="58" spans="1:6" x14ac:dyDescent="0.3">
      <c r="A58" t="str">
        <v>Egemen Durhan</v>
      </c>
      <c r="B58" t="str">
        <v>https://app.twizzit.com/public/photos/5748750/s/6a03612f72e189fb2a542ac535552aede78aad3f.png</v>
      </c>
      <c r="C58" t="str">
        <v>G10 Blauw HAANTJES CERTIFISC OUDENAARDE</v>
      </c>
      <c r="D58" t="str">
        <f t="shared" si="0"/>
        <v>G10</v>
      </c>
      <c r="E58" t="str">
        <f>'Sorted by Team'!B58</f>
        <v>ibosabrie06@gmail.com</v>
      </c>
      <c r="F58" t="str">
        <f>'Sorted by Team'!C58</f>
        <v>+32491630885</v>
      </c>
    </row>
    <row r="59" spans="1:6" x14ac:dyDescent="0.3">
      <c r="A59" t="str">
        <v>Viktor Guillaume</v>
      </c>
      <c r="B59" t="str">
        <v/>
      </c>
      <c r="C59" t="str">
        <v>G10 Blauw HAANTJES CERTIFISC OUDENAARDE</v>
      </c>
      <c r="D59" t="str">
        <f t="shared" si="0"/>
        <v>G10</v>
      </c>
      <c r="E59" t="str">
        <f>'Sorted by Team'!B59</f>
        <v>Dieter.Guillaume@gmail.com</v>
      </c>
      <c r="F59" t="str">
        <f>'Sorted by Team'!C59</f>
        <v>+32486392021</v>
      </c>
    </row>
    <row r="60" spans="1:6" x14ac:dyDescent="0.3">
      <c r="A60" t="str">
        <v>Lothar Lemaire</v>
      </c>
      <c r="B60" t="str">
        <v>https://app.twizzit.com/public/photos/9680220/s/630006e9802fd7af81a6784302b397c8d31a519e.jpeg</v>
      </c>
      <c r="C60" t="str">
        <v>G10 Blauw HAANTJES CERTIFISC OUDENAARDE</v>
      </c>
      <c r="D60" t="str">
        <f t="shared" si="0"/>
        <v>G10</v>
      </c>
      <c r="E60" t="str">
        <f>'Sorted by Team'!B60</f>
        <v>huglemaire@hotmail.com</v>
      </c>
      <c r="F60" t="str">
        <f>'Sorted by Team'!C60</f>
        <v>+32485677282</v>
      </c>
    </row>
    <row r="61" spans="1:6" x14ac:dyDescent="0.3">
      <c r="A61" t="str">
        <v>Victor Libert</v>
      </c>
      <c r="B61" t="str">
        <v>https://app.twizzit.com/public/photos/7493172/s/6235261693b78c2a6b1d4ecbb92a61770437eca9.jpeg</v>
      </c>
      <c r="C61" t="str">
        <v>G10 Blauw HAANTJES CERTIFISC OUDENAARDE</v>
      </c>
      <c r="D61" t="str">
        <f t="shared" si="0"/>
        <v>G10</v>
      </c>
      <c r="E61" t="str">
        <f>'Sorted by Team'!B61</f>
        <v/>
      </c>
      <c r="F61" t="str">
        <f>'Sorted by Team'!C61</f>
        <v>+32473780275</v>
      </c>
    </row>
    <row r="62" spans="1:6" x14ac:dyDescent="0.3">
      <c r="A62" t="str">
        <v>Marte Mechant</v>
      </c>
      <c r="B62" t="str">
        <v/>
      </c>
      <c r="C62" t="str">
        <v>G10 Blauw HAANTJES CERTIFISC OUDENAARDE</v>
      </c>
      <c r="D62" t="str">
        <f t="shared" si="0"/>
        <v>G10</v>
      </c>
      <c r="E62" t="str">
        <f>'Sorted by Team'!B62</f>
        <v>jme.basket@telenet.be</v>
      </c>
      <c r="F62" t="str">
        <f>'Sorted by Team'!C62</f>
        <v>+32470449365</v>
      </c>
    </row>
    <row r="63" spans="1:6" x14ac:dyDescent="0.3">
      <c r="A63" t="str">
        <v>Lucas Molly</v>
      </c>
      <c r="B63" t="str">
        <v>https://app.twizzit.com/public/photos/3485821/s/5f632eac97edae595ea1c86f4260b88c5b95d8cd.jpeg</v>
      </c>
      <c r="C63" t="str">
        <v>G10 Blauw HAANTJES CERTIFISC OUDENAARDE</v>
      </c>
      <c r="D63" t="str">
        <f t="shared" si="0"/>
        <v>G10</v>
      </c>
      <c r="E63" t="str">
        <f>'Sorted by Team'!B63</f>
        <v>Molly.diederick@gmail.com</v>
      </c>
      <c r="F63" t="str">
        <f>'Sorted by Team'!C63</f>
        <v>+32478510919</v>
      </c>
    </row>
    <row r="64" spans="1:6" x14ac:dyDescent="0.3">
      <c r="A64" t="str">
        <v>Manu Van de Casteele</v>
      </c>
      <c r="B64" t="str">
        <v/>
      </c>
      <c r="C64" t="str">
        <v>G10 Blauw HAANTJES CERTIFISC OUDENAARDE</v>
      </c>
      <c r="D64" t="str">
        <f t="shared" si="0"/>
        <v>G10</v>
      </c>
      <c r="E64" t="str">
        <f>'Sorted by Team'!B64</f>
        <v>pietervdc@gmail.com</v>
      </c>
      <c r="F64" t="str">
        <f>'Sorted by Team'!C64</f>
        <v>+32472846382</v>
      </c>
    </row>
    <row r="65" spans="1:6" x14ac:dyDescent="0.3">
      <c r="A65" t="str">
        <v>Vic Vanden Hautte</v>
      </c>
      <c r="B65" t="str">
        <v>https://app.twizzit.com/public/photos/10733442/s/de71a0feaf3ea4a6afe343b706af319962bb20c0.jpeg</v>
      </c>
      <c r="C65" t="str">
        <v>G10 Blauw HAANTJES CERTIFISC OUDENAARDE</v>
      </c>
      <c r="D65" t="str">
        <f t="shared" si="0"/>
        <v>G10</v>
      </c>
      <c r="E65" t="str">
        <f>'Sorted by Team'!B65</f>
        <v>Kevin.vdh@gmail.com</v>
      </c>
      <c r="F65" t="str">
        <f>'Sorted by Team'!C65</f>
        <v>+32473448896</v>
      </c>
    </row>
    <row r="66" spans="1:6" x14ac:dyDescent="0.3">
      <c r="A66" t="str">
        <v>Nand Versmessen</v>
      </c>
      <c r="B66" t="str">
        <v>https://app.twizzit.com/public/photos/3447367/s/f6e635bb7022dfc6607d762d0f4b7b25a59a85c4.png</v>
      </c>
      <c r="C66" t="str">
        <v>G10 Blauw HAANTJES CERTIFISC OUDENAARDE</v>
      </c>
      <c r="D66" t="str">
        <f t="shared" si="0"/>
        <v>G10</v>
      </c>
      <c r="E66" t="str">
        <f>'Sorted by Team'!B66</f>
        <v>veerle_coussement@hotmail.com</v>
      </c>
      <c r="F66" t="str">
        <f>'Sorted by Team'!C66</f>
        <v>+32499030802</v>
      </c>
    </row>
    <row r="67" spans="1:6" x14ac:dyDescent="0.3">
      <c r="A67" t="str">
        <v>Matteo Vunck</v>
      </c>
      <c r="B67" t="str">
        <v>https://app.twizzit.com/public/photos/8418462/s/4cd851c617ea9849ca7ba85a62a0807b8b769b48.jpeg</v>
      </c>
      <c r="C67" t="str">
        <v>G10 Blauw HAANTJES CERTIFISC OUDENAARDE</v>
      </c>
      <c r="D67" t="str">
        <f t="shared" ref="D67:D130" si="1">TRIM(SUBSTITUTE(SUBSTITUTE(SUBSTITUTE(SUBSTITUTE(TRIM(SUBSTITUTE(SUBSTITUTE(SUBSTITUTE(C67,"  "," "),"HAANTJES CERTIFISC OUDENAARDE",""),"Haantjes CERTIFISC Oudenaarde",""))," Geel","")," Blauw","")," Groen",""),"Haantjes Certifisc Oudenaarde",""))</f>
        <v>G10</v>
      </c>
      <c r="E67" t="str">
        <f>'Sorted by Team'!B67</f>
        <v>fam.vunck.demoor@outlook.com</v>
      </c>
      <c r="F67" t="str">
        <f>'Sorted by Team'!C67</f>
        <v>+32473356747</v>
      </c>
    </row>
    <row r="68" spans="1:6" x14ac:dyDescent="0.3">
      <c r="A68" t="str">
        <v>Lenn Altruy</v>
      </c>
      <c r="B68" t="str">
        <v/>
      </c>
      <c r="C68" t="str">
        <v>G10 Geel HAANTJES CERTIFISC OUDENAARDE</v>
      </c>
      <c r="D68" t="str">
        <f t="shared" si="1"/>
        <v>G10</v>
      </c>
      <c r="E68" t="str">
        <f>'Sorted by Team'!B68</f>
        <v>David.altruy@outlook.be</v>
      </c>
      <c r="F68" t="str">
        <f>'Sorted by Team'!C68</f>
        <v>+32475950308</v>
      </c>
    </row>
    <row r="69" spans="1:6" x14ac:dyDescent="0.3">
      <c r="A69" t="str">
        <v>Vic Blommaert</v>
      </c>
      <c r="B69" t="str">
        <v>https://app.twizzit.com/public/photos/7328384/s/880c055e18cd3fa9e57719da7306434e04eaf905.png</v>
      </c>
      <c r="C69" t="str">
        <v>G10 Geel HAANTJES CERTIFISC OUDENAARDE</v>
      </c>
      <c r="D69" t="str">
        <f t="shared" si="1"/>
        <v>G10</v>
      </c>
      <c r="E69" t="str">
        <f>'Sorted by Team'!B69</f>
        <v>jeroen.blommaert@gmail.com</v>
      </c>
      <c r="F69" t="str">
        <f>'Sorted by Team'!C69</f>
        <v>+32470067360</v>
      </c>
    </row>
    <row r="70" spans="1:6" x14ac:dyDescent="0.3">
      <c r="A70" t="str">
        <v>Leon Castelain</v>
      </c>
      <c r="B70" t="str">
        <v>https://app.twizzit.com/public/photos/3486565/s/dbc5287e080bfa9acd16205b0ef6339800e0ffb6.png</v>
      </c>
      <c r="C70" t="str">
        <v>G10 Geel HAANTJES CERTIFISC OUDENAARDE</v>
      </c>
      <c r="D70" t="str">
        <f t="shared" si="1"/>
        <v>G10</v>
      </c>
      <c r="E70" t="str">
        <f>'Sorted by Team'!B70</f>
        <v/>
      </c>
      <c r="F70" t="str">
        <f>'Sorted by Team'!C70</f>
        <v>+32495228616</v>
      </c>
    </row>
    <row r="71" spans="1:6" x14ac:dyDescent="0.3">
      <c r="A71" t="str">
        <v>Nand Colpaert</v>
      </c>
      <c r="B71" t="str">
        <v/>
      </c>
      <c r="C71" t="str">
        <v>G10 Geel HAANTJES CERTIFISC OUDENAARDE</v>
      </c>
      <c r="D71" t="str">
        <f t="shared" si="1"/>
        <v>G10</v>
      </c>
      <c r="E71" t="str">
        <f>'Sorted by Team'!B71</f>
        <v>stijn.colpaert@telenet.be</v>
      </c>
      <c r="F71" t="str">
        <f>'Sorted by Team'!C71</f>
        <v>+32497216213</v>
      </c>
    </row>
    <row r="72" spans="1:6" x14ac:dyDescent="0.3">
      <c r="A72" t="str">
        <v>Ryan Debouverie</v>
      </c>
      <c r="B72" t="str">
        <v/>
      </c>
      <c r="C72" t="str">
        <v>G10 Geel HAANTJES CERTIFISC OUDENAARDE</v>
      </c>
      <c r="D72" t="str">
        <f t="shared" si="1"/>
        <v>G10</v>
      </c>
      <c r="E72" t="str">
        <f>'Sorted by Team'!B72</f>
        <v/>
      </c>
      <c r="F72" t="str">
        <f>'Sorted by Team'!C72</f>
        <v>+32496247133</v>
      </c>
    </row>
    <row r="73" spans="1:6" x14ac:dyDescent="0.3">
      <c r="A73" t="str">
        <v>Seb Debouverie</v>
      </c>
      <c r="B73" t="str">
        <v>https://app.twizzit.com/public/photos/3470113/s/d4f4d56826c6eb1d41480a49a2f8240682b337d2.png</v>
      </c>
      <c r="C73" t="str">
        <v>G10 Geel HAANTJES CERTIFISC OUDENAARDE</v>
      </c>
      <c r="D73" t="str">
        <f t="shared" si="1"/>
        <v>G10</v>
      </c>
      <c r="E73" t="str">
        <f>'Sorted by Team'!B73</f>
        <v/>
      </c>
      <c r="F73" t="str">
        <f>'Sorted by Team'!C73</f>
        <v>+32474278078</v>
      </c>
    </row>
    <row r="74" spans="1:6" x14ac:dyDescent="0.3">
      <c r="A74" t="str">
        <v>Miel Elyn</v>
      </c>
      <c r="B74" t="str">
        <v/>
      </c>
      <c r="C74" t="str">
        <v>G10 Geel HAANTJES CERTIFISC OUDENAARDE</v>
      </c>
      <c r="D74" t="str">
        <f t="shared" si="1"/>
        <v>G10</v>
      </c>
      <c r="E74" t="str">
        <f>'Sorted by Team'!B74</f>
        <v>Lievemoyaert@icloud.com</v>
      </c>
      <c r="F74" t="str">
        <f>'Sorted by Team'!C74</f>
        <v/>
      </c>
    </row>
    <row r="75" spans="1:6" x14ac:dyDescent="0.3">
      <c r="A75" t="str">
        <v>Wolf Lessenne</v>
      </c>
      <c r="B75" t="str">
        <v>https://app.twizzit.com/public/photos/3580747/s/157853967ede68629434e8db7d36b6d860f7ea97.jpeg</v>
      </c>
      <c r="C75" t="str">
        <v>G10 Geel HAANTJES CERTIFISC OUDENAARDE</v>
      </c>
      <c r="D75" t="str">
        <f t="shared" si="1"/>
        <v>G10</v>
      </c>
      <c r="E75" t="str">
        <f>'Sorted by Team'!B75</f>
        <v/>
      </c>
      <c r="F75" t="str">
        <f>'Sorted by Team'!C75</f>
        <v>+32494240195</v>
      </c>
    </row>
    <row r="76" spans="1:6" x14ac:dyDescent="0.3">
      <c r="A76" t="str">
        <v>Boris Luyten</v>
      </c>
      <c r="B76" t="str">
        <v>https://app.twizzit.com/public/photos/3437308/s/ee02af9294d7823dae37d6eb7126b435ef764909.png</v>
      </c>
      <c r="C76" t="str">
        <v>G10 Geel HAANTJES CERTIFISC OUDENAARDE</v>
      </c>
      <c r="D76" t="str">
        <f t="shared" si="1"/>
        <v>G10</v>
      </c>
      <c r="E76" t="str">
        <f>'Sorted by Team'!B76</f>
        <v>liesbeth_boudrez@hotmail.be</v>
      </c>
      <c r="F76" t="str">
        <f>'Sorted by Team'!C76</f>
        <v>+32499650150</v>
      </c>
    </row>
    <row r="77" spans="1:6" x14ac:dyDescent="0.3">
      <c r="A77" t="str">
        <v>Jack Saerens</v>
      </c>
      <c r="B77" t="str">
        <v>https://app.twizzit.com/public/photos/3475134/s/78bd944a9e8b36fe65d592312d1522f18bbf3e32.png</v>
      </c>
      <c r="C77" t="str">
        <v>G10 Geel HAANTJES CERTIFISC OUDENAARDE</v>
      </c>
      <c r="D77" t="str">
        <f t="shared" si="1"/>
        <v>G10</v>
      </c>
      <c r="E77" t="str">
        <f>'Sorted by Team'!B77</f>
        <v/>
      </c>
      <c r="F77" t="str">
        <f>'Sorted by Team'!C77</f>
        <v>+32498690042</v>
      </c>
    </row>
    <row r="78" spans="1:6" x14ac:dyDescent="0.3">
      <c r="A78" t="str">
        <v>Lias Velghe</v>
      </c>
      <c r="B78" t="str">
        <v>https://app.twizzit.com/public/photos/3445768/s/4c884b157432a6deaaa18542df061bd432646fa3.png</v>
      </c>
      <c r="C78" t="str">
        <v>G10 Geel HAANTJES CERTIFISC OUDENAARDE</v>
      </c>
      <c r="D78" t="str">
        <f t="shared" si="1"/>
        <v>G10</v>
      </c>
      <c r="E78" t="str">
        <f>'Sorted by Team'!B78</f>
        <v>natacham_davidv@hotmail.be</v>
      </c>
      <c r="F78" t="str">
        <f>'Sorted by Team'!C78</f>
        <v>+32498593233</v>
      </c>
    </row>
    <row r="79" spans="1:6" x14ac:dyDescent="0.3">
      <c r="A79" t="str">
        <v>Basile Verbrugghe</v>
      </c>
      <c r="B79" t="str">
        <v/>
      </c>
      <c r="C79" t="str">
        <v>G10 Geel HAANTJES CERTIFISC OUDENAARDE</v>
      </c>
      <c r="D79" t="str">
        <f t="shared" si="1"/>
        <v>G10</v>
      </c>
      <c r="E79" t="str">
        <f>'Sorted by Team'!B79</f>
        <v>Chrisverbrugghe@hotmail.com</v>
      </c>
      <c r="F79" t="str">
        <f>'Sorted by Team'!C79</f>
        <v>+32479311550</v>
      </c>
    </row>
    <row r="80" spans="1:6" x14ac:dyDescent="0.3">
      <c r="A80" t="str">
        <v>Gaston Waelkens</v>
      </c>
      <c r="B80" t="str">
        <v>https://app.twizzit.com/public/photos/3437289/s/570cbbb3ba40336fabf43491384c678cfbbf4db4.png</v>
      </c>
      <c r="C80" t="str">
        <v>G10 Geel HAANTJES CERTIFISC OUDENAARDE</v>
      </c>
      <c r="D80" t="str">
        <f t="shared" si="1"/>
        <v>G10</v>
      </c>
      <c r="E80" t="str">
        <f>'Sorted by Team'!B80</f>
        <v/>
      </c>
      <c r="F80" t="str">
        <f>'Sorted by Team'!C80</f>
        <v>+32486694007</v>
      </c>
    </row>
    <row r="81" spans="1:6" x14ac:dyDescent="0.3">
      <c r="A81" t="str">
        <v>Arsen Anar</v>
      </c>
      <c r="B81" t="str">
        <v>https://app.twizzit.com/public/photos/11272034/s/339c8f61eeb207a0a7ef82edab3f88fc90d76b77.jpeg</v>
      </c>
      <c r="C81" t="str">
        <v>G12 Blauw HAANTJES CERTIFISC OUDENAARDE</v>
      </c>
      <c r="D81" t="str">
        <f t="shared" si="1"/>
        <v>G12</v>
      </c>
      <c r="E81" t="str">
        <f>'Sorted by Team'!B81</f>
        <v/>
      </c>
      <c r="F81" t="str">
        <f>'Sorted by Team'!C81</f>
        <v/>
      </c>
    </row>
    <row r="82" spans="1:6" x14ac:dyDescent="0.3">
      <c r="A82" t="str">
        <v>Mark Anar</v>
      </c>
      <c r="B82" t="str">
        <v>https://app.twizzit.com/public/photos/11272030/s/d97169c55e4278dd5f5452138091d993430ca8ab.jpeg</v>
      </c>
      <c r="C82" t="str">
        <v>G12 Blauw HAANTJES CERTIFISC OUDENAARDE</v>
      </c>
      <c r="D82" t="str">
        <f t="shared" si="1"/>
        <v>G12</v>
      </c>
      <c r="E82" t="str">
        <f>'Sorted by Team'!B82</f>
        <v/>
      </c>
      <c r="F82" t="str">
        <f>'Sorted by Team'!C82</f>
        <v/>
      </c>
    </row>
    <row r="83" spans="1:6" x14ac:dyDescent="0.3">
      <c r="A83" t="str">
        <v>Marsel Anar</v>
      </c>
      <c r="B83" t="str">
        <v>https://app.twizzit.com/public/photos/11272039/s/667db68e153309a064042452d0f619e8acb011fa.jpeg</v>
      </c>
      <c r="C83" t="str">
        <v>G12 Blauw HAANTJES CERTIFISC OUDENAARDE</v>
      </c>
      <c r="D83" t="str">
        <f t="shared" si="1"/>
        <v>G12</v>
      </c>
      <c r="E83" t="str">
        <f>'Sorted by Team'!B83</f>
        <v/>
      </c>
      <c r="F83" t="str">
        <f>'Sorted by Team'!C83</f>
        <v/>
      </c>
    </row>
    <row r="84" spans="1:6" x14ac:dyDescent="0.3">
      <c r="A84" t="str">
        <v>Mathias Delcroix</v>
      </c>
      <c r="B84" t="str">
        <v/>
      </c>
      <c r="C84" t="str">
        <v>G12 Blauw HAANTJES CERTIFISC OUDENAARDE</v>
      </c>
      <c r="D84" t="str">
        <f t="shared" si="1"/>
        <v>G12</v>
      </c>
      <c r="E84" t="str">
        <f>'Sorted by Team'!B84</f>
        <v>Delcroix.dieter@hotmail.com</v>
      </c>
      <c r="F84" t="str">
        <f>'Sorted by Team'!C84</f>
        <v>+32487106040</v>
      </c>
    </row>
    <row r="85" spans="1:6" x14ac:dyDescent="0.3">
      <c r="A85" t="str">
        <v>Kenneth Dhont</v>
      </c>
      <c r="B85" t="str">
        <v/>
      </c>
      <c r="C85" t="str">
        <v>G12 Blauw HAANTJES CERTIFISC OUDENAARDE</v>
      </c>
      <c r="D85" t="str">
        <f t="shared" si="1"/>
        <v>G12</v>
      </c>
      <c r="E85" t="str">
        <f>'Sorted by Team'!B85</f>
        <v/>
      </c>
      <c r="F85" t="str">
        <f>'Sorted by Team'!C85</f>
        <v>+32477485789</v>
      </c>
    </row>
    <row r="86" spans="1:6" x14ac:dyDescent="0.3">
      <c r="A86" t="str">
        <v>Lou Geenens</v>
      </c>
      <c r="B86" t="str">
        <v>https://app.twizzit.com/public/photos/10377574/s/62e9c970b54f4ce753f6fe1b02a81459ce0f4576.png</v>
      </c>
      <c r="C86" t="str">
        <v>G12 Blauw HAANTJES CERTIFISC OUDENAARDE</v>
      </c>
      <c r="D86" t="str">
        <f t="shared" si="1"/>
        <v>G12</v>
      </c>
      <c r="E86" t="str">
        <f>'Sorted by Team'!B86</f>
        <v/>
      </c>
      <c r="F86" t="str">
        <f>'Sorted by Team'!C86</f>
        <v>+32479858482</v>
      </c>
    </row>
    <row r="87" spans="1:6" x14ac:dyDescent="0.3">
      <c r="A87" t="str">
        <v>Lowie Malfait</v>
      </c>
      <c r="B87" t="str">
        <v/>
      </c>
      <c r="C87" t="str">
        <v>G12 Blauw HAANTJES CERTIFISC OUDENAARDE</v>
      </c>
      <c r="D87" t="str">
        <f t="shared" si="1"/>
        <v>G12</v>
      </c>
      <c r="E87" t="str">
        <f>'Sorted by Team'!B87</f>
        <v>Hoekman.annelies1@gmail.com</v>
      </c>
      <c r="F87" t="str">
        <f>'Sorted by Team'!C87</f>
        <v>+32478836273</v>
      </c>
    </row>
    <row r="88" spans="1:6" x14ac:dyDescent="0.3">
      <c r="A88" t="str">
        <v>Omer Nachtergaele</v>
      </c>
      <c r="B88" t="str">
        <v>https://app.twizzit.com/public/photos/3526587/s/d9cd2de281e5d48997de87a634d3e25b996ae478.png</v>
      </c>
      <c r="C88" t="str">
        <v>G12 Blauw HAANTJES CERTIFISC OUDENAARDE</v>
      </c>
      <c r="D88" t="str">
        <f t="shared" si="1"/>
        <v>G12</v>
      </c>
      <c r="E88" t="str">
        <f>'Sorted by Team'!B88</f>
        <v/>
      </c>
      <c r="F88" t="str">
        <f>'Sorted by Team'!C88</f>
        <v>+32486032155</v>
      </c>
    </row>
    <row r="89" spans="1:6" x14ac:dyDescent="0.3">
      <c r="A89" t="str">
        <v>Maxime Van Herpe</v>
      </c>
      <c r="B89" t="str">
        <v/>
      </c>
      <c r="C89" t="str">
        <v>G12 Blauw HAANTJES CERTIFISC OUDENAARDE</v>
      </c>
      <c r="D89" t="str">
        <f t="shared" si="1"/>
        <v>G12</v>
      </c>
      <c r="E89" t="str">
        <f>'Sorted by Team'!B89</f>
        <v/>
      </c>
      <c r="F89" t="str">
        <f>'Sorted by Team'!C89</f>
        <v>+32479775361</v>
      </c>
    </row>
    <row r="90" spans="1:6" x14ac:dyDescent="0.3">
      <c r="A90" t="str">
        <v>Lucas Vanderstraeten</v>
      </c>
      <c r="B90" t="str">
        <v>https://app.twizzit.com/public/photos/3447788/s/a21b510884c5e068d9fd07894f967e10ecef7568.png</v>
      </c>
      <c r="C90" t="str">
        <v>G12 Blauw HAANTJES CERTIFISC OUDENAARDE</v>
      </c>
      <c r="D90" t="str">
        <f t="shared" si="1"/>
        <v>G12</v>
      </c>
      <c r="E90" t="str">
        <f>'Sorted by Team'!B90</f>
        <v/>
      </c>
      <c r="F90" t="str">
        <f>'Sorted by Team'!C90</f>
        <v>+32496654860</v>
      </c>
    </row>
    <row r="91" spans="1:6" x14ac:dyDescent="0.3">
      <c r="A91" t="str">
        <v>Nathan Vermassen</v>
      </c>
      <c r="B91" t="str">
        <v/>
      </c>
      <c r="C91" t="str">
        <v>G12 Blauw HAANTJES CERTIFISC OUDENAARDE</v>
      </c>
      <c r="D91" t="str">
        <f t="shared" si="1"/>
        <v>G12</v>
      </c>
      <c r="E91" t="str">
        <f>'Sorted by Team'!B91</f>
        <v/>
      </c>
      <c r="F91" t="str">
        <f>'Sorted by Team'!C91</f>
        <v>+32498493330</v>
      </c>
    </row>
    <row r="92" spans="1:6" x14ac:dyDescent="0.3">
      <c r="A92" t="str">
        <v>Niels De Lepeleire</v>
      </c>
      <c r="B92" t="str">
        <v/>
      </c>
      <c r="C92" t="str">
        <v>G12 Geel HAANTJES CERTIFISC OUDENAARDE</v>
      </c>
      <c r="D92" t="str">
        <f t="shared" si="1"/>
        <v>G12</v>
      </c>
      <c r="E92" t="str">
        <f>'Sorted by Team'!B92</f>
        <v/>
      </c>
      <c r="F92" t="str">
        <f>'Sorted by Team'!C92</f>
        <v>+32470775058</v>
      </c>
    </row>
    <row r="93" spans="1:6" x14ac:dyDescent="0.3">
      <c r="A93" t="str">
        <v>Omer Demets</v>
      </c>
      <c r="B93" t="str">
        <v/>
      </c>
      <c r="C93" t="str">
        <v>G12 Geel HAANTJES CERTIFISC OUDENAARDE</v>
      </c>
      <c r="D93" t="str">
        <f t="shared" si="1"/>
        <v>G12</v>
      </c>
      <c r="E93" t="str">
        <f>'Sorted by Team'!B93</f>
        <v>Lowie.demets@telenet.be</v>
      </c>
      <c r="F93" t="str">
        <f>'Sorted by Team'!C93</f>
        <v>+32474450168</v>
      </c>
    </row>
    <row r="94" spans="1:6" x14ac:dyDescent="0.3">
      <c r="A94" t="str">
        <v>Vinke Derycke</v>
      </c>
      <c r="B94" t="str">
        <v/>
      </c>
      <c r="C94" t="str">
        <v>G12 Geel HAANTJES CERTIFISC OUDENAARDE</v>
      </c>
      <c r="D94" t="str">
        <f t="shared" si="1"/>
        <v>G12</v>
      </c>
      <c r="E94" t="str">
        <f>'Sorted by Team'!B94</f>
        <v>stevenderycke244@gmail.com</v>
      </c>
      <c r="F94" t="str">
        <f>'Sorted by Team'!C94</f>
        <v>+32496478968</v>
      </c>
    </row>
    <row r="95" spans="1:6" x14ac:dyDescent="0.3">
      <c r="A95" t="str">
        <v>Thor Lessenne</v>
      </c>
      <c r="B95" t="str">
        <v>https://app.twizzit.com/public/photos/4393791/s/f227f8ddb169feb6dded4f508fa8f0a8d6bc3bc4.jpeg</v>
      </c>
      <c r="C95" t="str">
        <v>G12 Geel HAANTJES CERTIFISC OUDENAARDE</v>
      </c>
      <c r="D95" t="str">
        <f t="shared" si="1"/>
        <v>G12</v>
      </c>
      <c r="E95" t="str">
        <f>'Sorted by Team'!B95</f>
        <v>lessenne_frederic@yahoo.com</v>
      </c>
      <c r="F95" t="str">
        <f>'Sorted by Team'!C95</f>
        <v>+32477650341</v>
      </c>
    </row>
    <row r="96" spans="1:6" x14ac:dyDescent="0.3">
      <c r="A96" t="str">
        <v>Mathieu Libert</v>
      </c>
      <c r="B96" t="str">
        <v/>
      </c>
      <c r="C96" t="str">
        <v>G12 Geel HAANTJES CERTIFISC OUDENAARDE</v>
      </c>
      <c r="D96" t="str">
        <f t="shared" si="1"/>
        <v>G12</v>
      </c>
      <c r="E96" t="str">
        <f>'Sorted by Team'!B96</f>
        <v>s_ardenois@hotmail.com</v>
      </c>
      <c r="F96" t="str">
        <f>'Sorted by Team'!C96</f>
        <v>+32479788543</v>
      </c>
    </row>
    <row r="97" spans="1:6" x14ac:dyDescent="0.3">
      <c r="A97" t="str">
        <v>Emiel Opsomer</v>
      </c>
      <c r="B97" t="str">
        <v/>
      </c>
      <c r="C97" t="str">
        <v>G12 Geel HAANTJES CERTIFISC OUDENAARDE</v>
      </c>
      <c r="D97" t="str">
        <f t="shared" si="1"/>
        <v>G12</v>
      </c>
      <c r="E97" t="str">
        <f>'Sorted by Team'!B97</f>
        <v>meirlaen.evelien@gmail.com</v>
      </c>
      <c r="F97" t="str">
        <f>'Sorted by Team'!C97</f>
        <v>+32478767261</v>
      </c>
    </row>
    <row r="98" spans="1:6" x14ac:dyDescent="0.3">
      <c r="A98" t="str">
        <v>Brent Pollet</v>
      </c>
      <c r="B98" t="str">
        <v>https://app.twizzit.com/public/photos/3454870/s/e7fdcf5140d5e910d15662f873e9aafb78eb7d4f.jpeg</v>
      </c>
      <c r="C98" t="str">
        <v>G12 Geel HAANTJES CERTIFISC OUDENAARDE</v>
      </c>
      <c r="D98" t="str">
        <f t="shared" si="1"/>
        <v>G12</v>
      </c>
      <c r="E98" t="str">
        <f>'Sorted by Team'!B98</f>
        <v>pollet.jelle@gmail.com</v>
      </c>
      <c r="F98" t="str">
        <f>'Sorted by Team'!C98</f>
        <v>+32474223155</v>
      </c>
    </row>
    <row r="99" spans="1:6" x14ac:dyDescent="0.3">
      <c r="A99" t="str">
        <v>Jerome Van de Weghe</v>
      </c>
      <c r="B99" t="str">
        <v/>
      </c>
      <c r="C99" t="str">
        <v>G12 Geel HAANTJES CERTIFISC OUDENAARDE</v>
      </c>
      <c r="D99" t="str">
        <f t="shared" si="1"/>
        <v>G12</v>
      </c>
      <c r="E99" t="str">
        <f>'Sorted by Team'!B99</f>
        <v>pieter@combus.be</v>
      </c>
      <c r="F99" t="str">
        <f>'Sorted by Team'!C99</f>
        <v>+32477473741</v>
      </c>
    </row>
    <row r="100" spans="1:6" x14ac:dyDescent="0.3">
      <c r="A100" t="str">
        <v>Ilias Vander Beken</v>
      </c>
      <c r="B100" t="str">
        <v>https://app.twizzit.com/public/photos/9469457/s/eb40348dfb8a2c0c9b13e74dd04369019dbd2f32.jpeg</v>
      </c>
      <c r="C100" t="str">
        <v>G12 Geel HAANTJES CERTIFISC OUDENAARDE</v>
      </c>
      <c r="D100" t="str">
        <f t="shared" si="1"/>
        <v>G12</v>
      </c>
      <c r="E100" t="str">
        <f>'Sorted by Team'!B100</f>
        <v>tine_de_smet90@hotmail.com</v>
      </c>
      <c r="F100" t="str">
        <f>'Sorted by Team'!C100</f>
        <v>+32468142508</v>
      </c>
    </row>
    <row r="101" spans="1:6" x14ac:dyDescent="0.3">
      <c r="A101" t="str">
        <v>Lucas Verlinden</v>
      </c>
      <c r="B101" t="str">
        <v/>
      </c>
      <c r="C101" t="str">
        <v>G12 Geel HAANTJES CERTIFISC OUDENAARDE</v>
      </c>
      <c r="D101" t="str">
        <f t="shared" si="1"/>
        <v>G12</v>
      </c>
      <c r="E101" t="str">
        <f>'Sorted by Team'!B101</f>
        <v/>
      </c>
      <c r="F101" t="str">
        <f>'Sorted by Team'!C101</f>
        <v>+32486682066</v>
      </c>
    </row>
    <row r="102" spans="1:6" x14ac:dyDescent="0.3">
      <c r="A102" t="str">
        <v>Lander Verschatse</v>
      </c>
      <c r="B102" t="str">
        <v>https://app.twizzit.com/public/photos/3557796/s/59f2bc8b383bb3e65d902c435f70a74103c4138d.png</v>
      </c>
      <c r="C102" t="str">
        <v>G12 Geel HAANTJES CERTIFISC OUDENAARDE</v>
      </c>
      <c r="D102" t="str">
        <f t="shared" si="1"/>
        <v>G12</v>
      </c>
      <c r="E102" t="str">
        <f>'Sorted by Team'!B102</f>
        <v/>
      </c>
      <c r="F102" t="str">
        <f>'Sorted by Team'!C102</f>
        <v>+32468516883</v>
      </c>
    </row>
    <row r="103" spans="1:6" x14ac:dyDescent="0.3">
      <c r="A103" t="str">
        <v>Kledion Alia</v>
      </c>
      <c r="B103" t="str">
        <v>https://app.twizzit.com/public/photos/2650601/s/f885f644ea63bcfe0579c08cf537df8dcbb43ecc.png</v>
      </c>
      <c r="C103" t="str">
        <v>G14 A Haantjes CERTIFISC Oudenaarde</v>
      </c>
      <c r="D103" t="str">
        <f t="shared" si="1"/>
        <v>G14 A</v>
      </c>
      <c r="E103" t="str">
        <f>'Sorted by Team'!B103</f>
        <v/>
      </c>
      <c r="F103" t="str">
        <f>'Sorted by Team'!C103</f>
        <v>+32499284650</v>
      </c>
    </row>
    <row r="104" spans="1:6" x14ac:dyDescent="0.3">
      <c r="A104" t="str">
        <v>Jules Dekkar</v>
      </c>
      <c r="B104" t="str">
        <v>https://app.twizzit.com/public/photos/3451601/s/35fd5f537189934e8013cbeb18029ae3e97fcdcc.jpeg</v>
      </c>
      <c r="C104" t="str">
        <v>G14 A Haantjes CERTIFISC Oudenaarde</v>
      </c>
      <c r="D104" t="str">
        <f t="shared" si="1"/>
        <v>G14 A</v>
      </c>
      <c r="E104" t="str">
        <f>'Sorted by Team'!B104</f>
        <v>hakim.dekkar@icloud.com</v>
      </c>
      <c r="F104" t="str">
        <f>'Sorted by Team'!C104</f>
        <v>+32476488212</v>
      </c>
    </row>
    <row r="105" spans="1:6" x14ac:dyDescent="0.3">
      <c r="A105" t="str">
        <v>Jules Dewilde</v>
      </c>
      <c r="B105" t="str">
        <v/>
      </c>
      <c r="C105" t="str">
        <v>G14 A Haantjes CERTIFISC Oudenaarde</v>
      </c>
      <c r="D105" t="str">
        <f t="shared" si="1"/>
        <v>G14 A</v>
      </c>
      <c r="E105" t="str">
        <f>'Sorted by Team'!B105</f>
        <v>niekdewilde@hotmail.be</v>
      </c>
      <c r="F105" t="str">
        <f>'Sorted by Team'!C105</f>
        <v>+32474562569</v>
      </c>
    </row>
    <row r="106" spans="1:6" x14ac:dyDescent="0.3">
      <c r="A106" t="str">
        <v>Kobe Espeel</v>
      </c>
      <c r="B106" t="str">
        <v/>
      </c>
      <c r="C106" t="str">
        <v>G14 A Haantjes CERTIFISC Oudenaarde</v>
      </c>
      <c r="D106" t="str">
        <f t="shared" si="1"/>
        <v>G14 A</v>
      </c>
      <c r="E106" t="str">
        <f>'Sorted by Team'!B106</f>
        <v/>
      </c>
      <c r="F106" t="str">
        <f>'Sorted by Team'!C106</f>
        <v>+32485070328</v>
      </c>
    </row>
    <row r="107" spans="1:6" x14ac:dyDescent="0.3">
      <c r="A107" t="str">
        <v>Lennert Huys</v>
      </c>
      <c r="B107" t="str">
        <v/>
      </c>
      <c r="C107" t="str">
        <v>G14 A Haantjes CERTIFISC Oudenaarde</v>
      </c>
      <c r="D107" t="str">
        <f t="shared" si="1"/>
        <v>G14 A</v>
      </c>
      <c r="E107" t="str">
        <f>'Sorted by Team'!B107</f>
        <v/>
      </c>
      <c r="F107" t="str">
        <f>'Sorted by Team'!C107</f>
        <v>+32498103578</v>
      </c>
    </row>
    <row r="108" spans="1:6" x14ac:dyDescent="0.3">
      <c r="A108" t="str">
        <v>Filip L'Hommelet</v>
      </c>
      <c r="B108" t="str">
        <v/>
      </c>
      <c r="C108" t="str">
        <v>G14 A Haantjes CERTIFISC Oudenaarde</v>
      </c>
      <c r="D108" t="str">
        <f t="shared" si="1"/>
        <v>G14 A</v>
      </c>
      <c r="E108" t="str">
        <f>'Sorted by Team'!B108</f>
        <v>filip.lhommelet@myweb4u.be</v>
      </c>
      <c r="F108" t="str">
        <f>'Sorted by Team'!C108</f>
        <v>+32479376759</v>
      </c>
    </row>
    <row r="109" spans="1:6" x14ac:dyDescent="0.3">
      <c r="A109" t="str">
        <v>Leon L'Hommelet</v>
      </c>
      <c r="B109" t="str">
        <v/>
      </c>
      <c r="C109" t="str">
        <v>G14 A Haantjes CERTIFISC Oudenaarde</v>
      </c>
      <c r="D109" t="str">
        <f t="shared" si="1"/>
        <v>G14 A</v>
      </c>
      <c r="E109" t="str">
        <f>'Sorted by Team'!B109</f>
        <v>els.bourgois@gmail.com</v>
      </c>
      <c r="F109" t="str">
        <f>'Sorted by Team'!C109</f>
        <v>+32479376759</v>
      </c>
    </row>
    <row r="110" spans="1:6" x14ac:dyDescent="0.3">
      <c r="A110" t="str">
        <v>Ruube Lagae</v>
      </c>
      <c r="B110" t="str">
        <v/>
      </c>
      <c r="C110" t="str">
        <v>G14 A Haantjes CERTIFISC Oudenaarde</v>
      </c>
      <c r="D110" t="str">
        <f t="shared" si="1"/>
        <v>G14 A</v>
      </c>
      <c r="E110" t="str">
        <f>'Sorted by Team'!B110</f>
        <v>Ruubelagae@gmail.com</v>
      </c>
      <c r="F110" t="str">
        <f>'Sorted by Team'!C110</f>
        <v>+32471247514</v>
      </c>
    </row>
    <row r="111" spans="1:6" x14ac:dyDescent="0.3">
      <c r="A111" t="str">
        <v>Nathan Maenhout</v>
      </c>
      <c r="B111" t="str">
        <v>https://app.twizzit.com/public/photos/9359547/s/0986374ba59a462685344af411da25079641e82d.jpeg</v>
      </c>
      <c r="C111" t="str">
        <v>G14 A Haantjes CERTIFISC Oudenaarde</v>
      </c>
      <c r="D111" t="str">
        <f t="shared" si="1"/>
        <v>G14 A</v>
      </c>
      <c r="E111" t="str">
        <f>'Sorted by Team'!B111</f>
        <v>jokespies@hotmail.com</v>
      </c>
      <c r="F111" t="str">
        <f>'Sorted by Team'!C111</f>
        <v>+32489178706</v>
      </c>
    </row>
    <row r="112" spans="1:6" x14ac:dyDescent="0.3">
      <c r="A112" t="str">
        <v>Jules Ternoot</v>
      </c>
      <c r="B112" t="str">
        <v>https://app.twizzit.com/public/photos/9499964/s/ff5f984b647838e4bd7563b356e5c206230b1763.jpeg</v>
      </c>
      <c r="C112" t="str">
        <v>G14 A Haantjes CERTIFISC Oudenaarde</v>
      </c>
      <c r="D112" t="str">
        <f t="shared" si="1"/>
        <v>G14 A</v>
      </c>
      <c r="E112" t="str">
        <f>'Sorted by Team'!B112</f>
        <v/>
      </c>
      <c r="F112" t="str">
        <f>'Sorted by Team'!C112</f>
        <v>+32468539021</v>
      </c>
    </row>
    <row r="113" spans="1:6" x14ac:dyDescent="0.3">
      <c r="A113" t="str">
        <v>Mattis Van Assche</v>
      </c>
      <c r="B113" t="str">
        <v>https://app.twizzit.com/public/photos/2183242/s/024b94ee0589d7797c4da7bd2e98266bcdb2677a.png</v>
      </c>
      <c r="C113" t="str">
        <v>G14 A Haantjes CERTIFISC Oudenaarde</v>
      </c>
      <c r="D113" t="str">
        <f t="shared" si="1"/>
        <v>G14 A</v>
      </c>
      <c r="E113" t="str">
        <f>'Sorted by Team'!B113</f>
        <v/>
      </c>
      <c r="F113" t="str">
        <f>'Sorted by Team'!C113</f>
        <v>+32451022949</v>
      </c>
    </row>
    <row r="114" spans="1:6" x14ac:dyDescent="0.3">
      <c r="A114" t="str">
        <v>Edouard Van de Weghe</v>
      </c>
      <c r="B114" t="str">
        <v/>
      </c>
      <c r="C114" t="str">
        <v>G14 A Haantjes CERTIFISC Oudenaarde</v>
      </c>
      <c r="D114" t="str">
        <f t="shared" si="1"/>
        <v>G14 A</v>
      </c>
      <c r="E114" t="str">
        <f>'Sorted by Team'!B114</f>
        <v/>
      </c>
      <c r="F114" t="str">
        <f>'Sorted by Team'!C114</f>
        <v>+32479793011</v>
      </c>
    </row>
    <row r="115" spans="1:6" x14ac:dyDescent="0.3">
      <c r="A115" t="str">
        <v>Matz Vermeerschen</v>
      </c>
      <c r="B115" t="str">
        <v/>
      </c>
      <c r="C115" t="str">
        <v>G14 A Haantjes CERTIFISC Oudenaarde</v>
      </c>
      <c r="D115" t="str">
        <f t="shared" si="1"/>
        <v>G14 A</v>
      </c>
      <c r="E115" t="str">
        <f>'Sorted by Team'!B115</f>
        <v>charlotte.vanmoorleghem1@gmail.com</v>
      </c>
      <c r="F115" t="str">
        <f>'Sorted by Team'!C115</f>
        <v/>
      </c>
    </row>
    <row r="116" spans="1:6" x14ac:dyDescent="0.3">
      <c r="A116" t="str">
        <v>Kors Altruy</v>
      </c>
      <c r="B116" t="str">
        <v/>
      </c>
      <c r="C116" t="str">
        <v>G14 B Haantjes CERTIFISC Oudenaarde</v>
      </c>
      <c r="D116" t="str">
        <f t="shared" si="1"/>
        <v>G14 B</v>
      </c>
      <c r="E116" t="str">
        <f>'Sorted by Team'!B116</f>
        <v>David.altruy@outlook.be</v>
      </c>
      <c r="F116" t="str">
        <f>'Sorted by Team'!C116</f>
        <v>+32475950308</v>
      </c>
    </row>
    <row r="117" spans="1:6" x14ac:dyDescent="0.3">
      <c r="A117" t="str">
        <v>Matisse Buda Meirlaen</v>
      </c>
      <c r="B117" t="str">
        <v>https://app.twizzit.com/public/photos/7666112/s/28beee7a2b02560648d49ec2140a1cc079666b2a.png</v>
      </c>
      <c r="C117" t="str">
        <v>G14 B Haantjes CERTIFISC Oudenaarde</v>
      </c>
      <c r="D117" t="str">
        <f t="shared" si="1"/>
        <v>G14 B</v>
      </c>
      <c r="E117" t="str">
        <f>'Sorted by Team'!B117</f>
        <v/>
      </c>
      <c r="F117" t="str">
        <f>'Sorted by Team'!C117</f>
        <v>+32490467800</v>
      </c>
    </row>
    <row r="118" spans="1:6" x14ac:dyDescent="0.3">
      <c r="A118" t="str">
        <v>Niklas Creteur</v>
      </c>
      <c r="B118" t="str">
        <v/>
      </c>
      <c r="C118" t="str">
        <v>G14 B Haantjes CERTIFISC Oudenaarde</v>
      </c>
      <c r="D118" t="str">
        <f t="shared" si="1"/>
        <v>G14 B</v>
      </c>
      <c r="E118" t="str">
        <f>'Sorted by Team'!B118</f>
        <v/>
      </c>
      <c r="F118" t="str">
        <f>'Sorted by Team'!C118</f>
        <v>+32496211659</v>
      </c>
    </row>
    <row r="119" spans="1:6" x14ac:dyDescent="0.3">
      <c r="A119" t="str">
        <v>Mauro Darragas</v>
      </c>
      <c r="B119" t="str">
        <v/>
      </c>
      <c r="C119" t="str">
        <v>G14 B Haantjes CERTIFISC Oudenaarde</v>
      </c>
      <c r="D119" t="str">
        <f t="shared" si="1"/>
        <v>G14 B</v>
      </c>
      <c r="E119" t="str">
        <f>'Sorted by Team'!B119</f>
        <v>Ben_darragas@hotmail.com</v>
      </c>
      <c r="F119" t="str">
        <f>'Sorted by Team'!C119</f>
        <v>+32473628241</v>
      </c>
    </row>
    <row r="120" spans="1:6" x14ac:dyDescent="0.3">
      <c r="A120" t="str">
        <v>Arthur Debisschop</v>
      </c>
      <c r="B120" t="str">
        <v/>
      </c>
      <c r="C120" t="str">
        <v>G14 B Haantjes CERTIFISC Oudenaarde</v>
      </c>
      <c r="D120" t="str">
        <f t="shared" si="1"/>
        <v>G14 B</v>
      </c>
      <c r="E120" t="str">
        <f>'Sorted by Team'!B120</f>
        <v/>
      </c>
      <c r="F120" t="str">
        <f>'Sorted by Team'!C120</f>
        <v>+32486445874</v>
      </c>
    </row>
    <row r="121" spans="1:6" x14ac:dyDescent="0.3">
      <c r="A121" t="str">
        <v>Alexis Devos</v>
      </c>
      <c r="B121" t="str">
        <v>https://app.twizzit.com/public/photos/6106676/s/2ae43246aa8142b23f5743a7efbb9e280e512170.png</v>
      </c>
      <c r="C121" t="str">
        <v>G14 B Haantjes CERTIFISC Oudenaarde</v>
      </c>
      <c r="D121" t="str">
        <f t="shared" si="1"/>
        <v>G14 B</v>
      </c>
      <c r="E121" t="str">
        <f>'Sorted by Team'!B121</f>
        <v/>
      </c>
      <c r="F121" t="str">
        <f>'Sorted by Team'!C121</f>
        <v>+32495886987</v>
      </c>
    </row>
    <row r="122" spans="1:6" x14ac:dyDescent="0.3">
      <c r="A122" t="str">
        <v>Oben Godpower</v>
      </c>
      <c r="B122" t="str">
        <v/>
      </c>
      <c r="C122" t="str">
        <v>G14 B Haantjes CERTIFISC Oudenaarde</v>
      </c>
      <c r="D122" t="str">
        <f t="shared" si="1"/>
        <v>G14 B</v>
      </c>
      <c r="E122" t="str">
        <f>'Sorted by Team'!B122</f>
        <v/>
      </c>
      <c r="F122" t="str">
        <f>'Sorted by Team'!C122</f>
        <v>+32497885450</v>
      </c>
    </row>
    <row r="123" spans="1:6" x14ac:dyDescent="0.3">
      <c r="A123" t="str">
        <v>Tuur Goossens</v>
      </c>
      <c r="B123" t="str">
        <v/>
      </c>
      <c r="C123" t="str">
        <v>G14 B Haantjes CERTIFISC Oudenaarde</v>
      </c>
      <c r="D123" t="str">
        <f t="shared" si="1"/>
        <v>G14 B</v>
      </c>
      <c r="E123" t="str">
        <f>'Sorted by Team'!B123</f>
        <v>vrolijke.tuur@gmail.com</v>
      </c>
      <c r="F123" t="str">
        <f>'Sorted by Team'!C123</f>
        <v>+32478766076</v>
      </c>
    </row>
    <row r="124" spans="1:6" x14ac:dyDescent="0.3">
      <c r="A124" t="str">
        <v>Steppe Matthys</v>
      </c>
      <c r="B124" t="str">
        <v>https://app.twizzit.com/public/photos/10488364/s/177c95b9932dcdda23e09eda7b0298c34ca94551.jpeg</v>
      </c>
      <c r="C124" t="str">
        <v>G14 B Haantjes CERTIFISC Oudenaarde</v>
      </c>
      <c r="D124" t="str">
        <f t="shared" si="1"/>
        <v>G14 B</v>
      </c>
      <c r="E124" t="str">
        <f>'Sorted by Team'!B124</f>
        <v/>
      </c>
      <c r="F124" t="str">
        <f>'Sorted by Team'!C124</f>
        <v>+32468429871</v>
      </c>
    </row>
    <row r="125" spans="1:6" x14ac:dyDescent="0.3">
      <c r="A125" t="str">
        <v>Mauro Van Sande</v>
      </c>
      <c r="B125" t="str">
        <v>https://app.twizzit.com/public/photos/2650608/s/9cebeb89f0d68fff18c1faf3be6be5621d757adb.png</v>
      </c>
      <c r="C125" t="str">
        <v>G14 B Haantjes CERTIFISC Oudenaarde</v>
      </c>
      <c r="D125" t="str">
        <f t="shared" si="1"/>
        <v>G14 B</v>
      </c>
      <c r="E125" t="str">
        <f>'Sorted by Team'!B125</f>
        <v>Sylvie.mincke@outlook.com</v>
      </c>
      <c r="F125" t="str">
        <f>'Sorted by Team'!C125</f>
        <v>+32494744847</v>
      </c>
    </row>
    <row r="126" spans="1:6" x14ac:dyDescent="0.3">
      <c r="A126" t="str">
        <v>Viek Verhoeyen</v>
      </c>
      <c r="B126" t="str">
        <v/>
      </c>
      <c r="C126" t="str">
        <v>G14 B Haantjes CERTIFISC Oudenaarde</v>
      </c>
      <c r="D126" t="str">
        <f t="shared" si="1"/>
        <v>G14 B</v>
      </c>
      <c r="E126" t="str">
        <f>'Sorted by Team'!B126</f>
        <v/>
      </c>
      <c r="F126" t="str">
        <f>'Sorted by Team'!C126</f>
        <v>+32470229908</v>
      </c>
    </row>
    <row r="127" spans="1:6" x14ac:dyDescent="0.3">
      <c r="A127" t="str">
        <v>Mauro Vermassen</v>
      </c>
      <c r="B127" t="str">
        <v/>
      </c>
      <c r="C127" t="str">
        <v>G14 B Haantjes CERTIFISC Oudenaarde</v>
      </c>
      <c r="D127" t="str">
        <f t="shared" si="1"/>
        <v>G14 B</v>
      </c>
      <c r="E127" t="str">
        <f>'Sorted by Team'!B127</f>
        <v>twizzit@kevinvermassen.be</v>
      </c>
      <c r="F127" t="str">
        <f>'Sorted by Team'!C127</f>
        <v>+32497427216</v>
      </c>
    </row>
    <row r="128" spans="1:6" x14ac:dyDescent="0.3">
      <c r="A128" t="str">
        <v>Jules Cokelaere</v>
      </c>
      <c r="B128" t="str">
        <v/>
      </c>
      <c r="C128" t="str">
        <v>HSE  C Haantjes Certifisc Oudenaarde</v>
      </c>
      <c r="D128" t="str">
        <f t="shared" si="1"/>
        <v>HSE C</v>
      </c>
      <c r="E128" t="str">
        <f>'Sorted by Team'!B128</f>
        <v/>
      </c>
      <c r="F128" t="str">
        <f>'Sorted by Team'!C128</f>
        <v>+32477681738</v>
      </c>
    </row>
    <row r="129" spans="1:6" x14ac:dyDescent="0.3">
      <c r="A129" t="str">
        <v>Louis De Baere</v>
      </c>
      <c r="B129" t="str">
        <v/>
      </c>
      <c r="C129" t="str">
        <v>HSE  C Haantjes Certifisc Oudenaarde</v>
      </c>
      <c r="D129" t="str">
        <f t="shared" si="1"/>
        <v>HSE C</v>
      </c>
      <c r="E129" t="str">
        <f>'Sorted by Team'!B129</f>
        <v/>
      </c>
      <c r="F129" t="str">
        <f>'Sorted by Team'!C129</f>
        <v>+32491029558</v>
      </c>
    </row>
    <row r="130" spans="1:6" x14ac:dyDescent="0.3">
      <c r="A130" t="str">
        <v xml:space="preserve">Camiel De Clercq </v>
      </c>
      <c r="B130" t="str">
        <v/>
      </c>
      <c r="C130" t="str">
        <v>HSE  C Haantjes Certifisc Oudenaarde</v>
      </c>
      <c r="D130" t="str">
        <f t="shared" si="1"/>
        <v>HSE C</v>
      </c>
      <c r="E130" t="str">
        <f>'Sorted by Team'!B130</f>
        <v/>
      </c>
      <c r="F130" t="str">
        <f>'Sorted by Team'!C130</f>
        <v>+32499129081</v>
      </c>
    </row>
    <row r="131" spans="1:6" x14ac:dyDescent="0.3">
      <c r="A131" t="str">
        <v>Robbe De Clercq</v>
      </c>
      <c r="B131" t="str">
        <v/>
      </c>
      <c r="C131" t="str">
        <v>HSE  C Haantjes Certifisc Oudenaarde</v>
      </c>
      <c r="D131" t="str">
        <f t="shared" ref="D131:D194" si="2">TRIM(SUBSTITUTE(SUBSTITUTE(SUBSTITUTE(SUBSTITUTE(TRIM(SUBSTITUTE(SUBSTITUTE(SUBSTITUTE(C131,"  "," "),"HAANTJES CERTIFISC OUDENAARDE",""),"Haantjes CERTIFISC Oudenaarde",""))," Geel","")," Blauw","")," Groen",""),"Haantjes Certifisc Oudenaarde",""))</f>
        <v>HSE C</v>
      </c>
      <c r="E131" t="str">
        <f>'Sorted by Team'!B131</f>
        <v/>
      </c>
      <c r="F131" t="str">
        <f>'Sorted by Team'!C131</f>
        <v/>
      </c>
    </row>
    <row r="132" spans="1:6" x14ac:dyDescent="0.3">
      <c r="A132" t="str">
        <v>Siebe De Meyer</v>
      </c>
      <c r="B132" t="str">
        <v/>
      </c>
      <c r="C132" t="str">
        <v>HSE  C Haantjes Certifisc Oudenaarde</v>
      </c>
      <c r="D132" t="str">
        <f t="shared" si="2"/>
        <v>HSE C</v>
      </c>
      <c r="E132" t="str">
        <f>'Sorted by Team'!B132</f>
        <v/>
      </c>
      <c r="F132" t="str">
        <f>'Sorted by Team'!C132</f>
        <v/>
      </c>
    </row>
    <row r="133" spans="1:6" x14ac:dyDescent="0.3">
      <c r="A133" t="str">
        <v>Ryan Debouverie</v>
      </c>
      <c r="B133" t="str">
        <v/>
      </c>
      <c r="C133" t="str">
        <v>HSE  C Haantjes Certifisc Oudenaarde</v>
      </c>
      <c r="D133" t="str">
        <f t="shared" si="2"/>
        <v>HSE C</v>
      </c>
      <c r="E133" t="str">
        <f>'Sorted by Team'!B133</f>
        <v/>
      </c>
      <c r="F133" t="str">
        <f>'Sorted by Team'!C133</f>
        <v>+32496247133</v>
      </c>
    </row>
    <row r="134" spans="1:6" x14ac:dyDescent="0.3">
      <c r="A134" t="str">
        <v>Quentin Debruyne</v>
      </c>
      <c r="B134" t="str">
        <v/>
      </c>
      <c r="C134" t="str">
        <v>HSE  C Haantjes Certifisc Oudenaarde</v>
      </c>
      <c r="D134" t="str">
        <f t="shared" si="2"/>
        <v>HSE C</v>
      </c>
      <c r="E134" t="str">
        <f>'Sorted by Team'!B134</f>
        <v/>
      </c>
      <c r="F134" t="str">
        <f>'Sorted by Team'!C134</f>
        <v>+32471753995</v>
      </c>
    </row>
    <row r="135" spans="1:6" x14ac:dyDescent="0.3">
      <c r="A135" t="str">
        <v>Jarno Dhont</v>
      </c>
      <c r="B135" t="str">
        <v/>
      </c>
      <c r="C135" t="str">
        <v>HSE  C Haantjes Certifisc Oudenaarde</v>
      </c>
      <c r="D135" t="str">
        <f t="shared" si="2"/>
        <v>HSE C</v>
      </c>
      <c r="E135" t="str">
        <f>'Sorted by Team'!B135</f>
        <v>dhont.lieven1@gmail.com</v>
      </c>
      <c r="F135" t="str">
        <f>'Sorted by Team'!C135</f>
        <v>+32468292174</v>
      </c>
    </row>
    <row r="136" spans="1:6" x14ac:dyDescent="0.3">
      <c r="A136" t="str">
        <v>Mathis Dhont</v>
      </c>
      <c r="B136" t="str">
        <v/>
      </c>
      <c r="C136" t="str">
        <v>HSE  C Haantjes Certifisc Oudenaarde</v>
      </c>
      <c r="D136" t="str">
        <f t="shared" si="2"/>
        <v>HSE C</v>
      </c>
      <c r="E136" t="str">
        <f>'Sorted by Team'!B136</f>
        <v/>
      </c>
      <c r="F136" t="str">
        <f>'Sorted by Team'!C136</f>
        <v/>
      </c>
    </row>
    <row r="137" spans="1:6" x14ac:dyDescent="0.3">
      <c r="A137" t="str">
        <v>Joël Peeters</v>
      </c>
      <c r="B137" t="str">
        <v/>
      </c>
      <c r="C137" t="str">
        <v>HSE  C Haantjes Certifisc Oudenaarde</v>
      </c>
      <c r="D137" t="str">
        <f t="shared" si="2"/>
        <v>HSE C</v>
      </c>
      <c r="E137" t="str">
        <f>'Sorted by Team'!B137</f>
        <v/>
      </c>
      <c r="F137" t="str">
        <f>'Sorted by Team'!C137</f>
        <v/>
      </c>
    </row>
    <row r="138" spans="1:6" x14ac:dyDescent="0.3">
      <c r="A138" t="str">
        <v>Tristan Van Meenen</v>
      </c>
      <c r="B138" t="str">
        <v/>
      </c>
      <c r="C138" t="str">
        <v>HSE  C Haantjes Certifisc Oudenaarde</v>
      </c>
      <c r="D138" t="str">
        <f t="shared" si="2"/>
        <v>HSE C</v>
      </c>
      <c r="E138" t="str">
        <f>'Sorted by Team'!B138</f>
        <v>jzvanmeenen@telenet.be</v>
      </c>
      <c r="F138" t="str">
        <f>'Sorted by Team'!C138</f>
        <v>+32468153046</v>
      </c>
    </row>
    <row r="139" spans="1:6" x14ac:dyDescent="0.3">
      <c r="A139" t="str">
        <v>Giles Van Merhaeghe</v>
      </c>
      <c r="B139" t="str">
        <v/>
      </c>
      <c r="C139" t="str">
        <v>HSE  C Haantjes Certifisc Oudenaarde</v>
      </c>
      <c r="D139" t="str">
        <f t="shared" si="2"/>
        <v>HSE C</v>
      </c>
      <c r="E139" t="str">
        <f>'Sorted by Team'!B139</f>
        <v/>
      </c>
      <c r="F139" t="str">
        <f>'Sorted by Team'!C139</f>
        <v/>
      </c>
    </row>
    <row r="140" spans="1:6" x14ac:dyDescent="0.3">
      <c r="A140" t="str">
        <v>Kenny Volkaert</v>
      </c>
      <c r="B140" t="str">
        <v/>
      </c>
      <c r="C140" t="str">
        <v>HSE  C Haantjes Certifisc Oudenaarde</v>
      </c>
      <c r="D140" t="str">
        <f t="shared" si="2"/>
        <v>HSE C</v>
      </c>
      <c r="E140" t="str">
        <f>'Sorted by Team'!B140</f>
        <v/>
      </c>
      <c r="F140" t="str">
        <f>'Sorted by Team'!C140</f>
        <v>+32483038837</v>
      </c>
    </row>
    <row r="141" spans="1:6" x14ac:dyDescent="0.3">
      <c r="A141" t="str">
        <v>Niels De Lepeleire</v>
      </c>
      <c r="B141" t="str">
        <v/>
      </c>
      <c r="C141" t="str">
        <v>HSE A Haantjes Certifisc Oudenaarde</v>
      </c>
      <c r="D141" t="str">
        <f t="shared" si="2"/>
        <v>HSE A</v>
      </c>
      <c r="E141" t="str">
        <f>'Sorted by Team'!B141</f>
        <v/>
      </c>
      <c r="F141" t="str">
        <f>'Sorted by Team'!C141</f>
        <v>+32470775058</v>
      </c>
    </row>
    <row r="142" spans="1:6" x14ac:dyDescent="0.3">
      <c r="A142" t="str">
        <v>Quinten Derous</v>
      </c>
      <c r="B142" t="str">
        <v/>
      </c>
      <c r="C142" t="str">
        <v>HSE A Haantjes Certifisc Oudenaarde</v>
      </c>
      <c r="D142" t="str">
        <f t="shared" si="2"/>
        <v>HSE A</v>
      </c>
      <c r="E142" t="str">
        <f>'Sorted by Team'!B142</f>
        <v/>
      </c>
      <c r="F142" t="str">
        <f>'Sorted by Team'!C142</f>
        <v>+32468258571</v>
      </c>
    </row>
    <row r="143" spans="1:6" x14ac:dyDescent="0.3">
      <c r="A143" t="str">
        <v>Marco Dick</v>
      </c>
      <c r="B143" t="str">
        <v/>
      </c>
      <c r="C143" t="str">
        <v>HSE A Haantjes Certifisc Oudenaarde</v>
      </c>
      <c r="D143" t="str">
        <f t="shared" si="2"/>
        <v>HSE A</v>
      </c>
      <c r="E143" t="str">
        <f>'Sorted by Team'!B143</f>
        <v/>
      </c>
      <c r="F143" t="str">
        <f>'Sorted by Team'!C143</f>
        <v>+32499754251</v>
      </c>
    </row>
    <row r="144" spans="1:6" x14ac:dyDescent="0.3">
      <c r="A144" t="str">
        <v>Ukeme Essien</v>
      </c>
      <c r="B144" t="str">
        <v/>
      </c>
      <c r="C144" t="str">
        <v>HSE A Haantjes Certifisc Oudenaarde</v>
      </c>
      <c r="D144" t="str">
        <f t="shared" si="2"/>
        <v>HSE A</v>
      </c>
      <c r="E144" t="str">
        <f>'Sorted by Team'!B144</f>
        <v/>
      </c>
      <c r="F144" t="str">
        <f>'Sorted by Team'!C144</f>
        <v>+32493339044</v>
      </c>
    </row>
    <row r="145" spans="1:6" x14ac:dyDescent="0.3">
      <c r="A145" t="str">
        <v>Andreas Lippens</v>
      </c>
      <c r="B145" t="str">
        <v/>
      </c>
      <c r="C145" t="str">
        <v>HSE A Haantjes Certifisc Oudenaarde</v>
      </c>
      <c r="D145" t="str">
        <f t="shared" si="2"/>
        <v>HSE A</v>
      </c>
      <c r="E145" t="str">
        <f>'Sorted by Team'!B145</f>
        <v/>
      </c>
      <c r="F145" t="str">
        <f>'Sorted by Team'!C145</f>
        <v>+32492223206</v>
      </c>
    </row>
    <row r="146" spans="1:6" x14ac:dyDescent="0.3">
      <c r="A146" t="str">
        <v>Jakob Marcou</v>
      </c>
      <c r="B146" t="str">
        <v/>
      </c>
      <c r="C146" t="str">
        <v>HSE A Haantjes Certifisc Oudenaarde</v>
      </c>
      <c r="D146" t="str">
        <f t="shared" si="2"/>
        <v>HSE A</v>
      </c>
      <c r="E146" t="str">
        <f>'Sorted by Team'!B146</f>
        <v/>
      </c>
      <c r="F146" t="str">
        <f>'Sorted by Team'!C146</f>
        <v>+32474234134</v>
      </c>
    </row>
    <row r="147" spans="1:6" x14ac:dyDescent="0.3">
      <c r="A147" t="str">
        <v>Bleys Maxime</v>
      </c>
      <c r="B147" t="str">
        <v/>
      </c>
      <c r="C147" t="str">
        <v>HSE A Haantjes Certifisc Oudenaarde</v>
      </c>
      <c r="D147" t="str">
        <f t="shared" si="2"/>
        <v>HSE A</v>
      </c>
      <c r="E147" t="str">
        <f>'Sorted by Team'!B147</f>
        <v/>
      </c>
      <c r="F147" t="str">
        <f>'Sorted by Team'!C147</f>
        <v>+32495940240</v>
      </c>
    </row>
    <row r="148" spans="1:6" x14ac:dyDescent="0.3">
      <c r="A148" t="str">
        <v>Robin Spaens</v>
      </c>
      <c r="B148" t="str">
        <v/>
      </c>
      <c r="C148" t="str">
        <v>HSE A Haantjes Certifisc Oudenaarde</v>
      </c>
      <c r="D148" t="str">
        <f t="shared" si="2"/>
        <v>HSE A</v>
      </c>
      <c r="E148" t="str">
        <f>'Sorted by Team'!B148</f>
        <v/>
      </c>
      <c r="F148" t="str">
        <f>'Sorted by Team'!C148</f>
        <v>+32476359988</v>
      </c>
    </row>
    <row r="149" spans="1:6" x14ac:dyDescent="0.3">
      <c r="A149" t="str">
        <v>Bram Van Wyngene</v>
      </c>
      <c r="B149" t="str">
        <v/>
      </c>
      <c r="C149" t="str">
        <v>HSE A Haantjes Certifisc Oudenaarde</v>
      </c>
      <c r="D149" t="str">
        <f t="shared" si="2"/>
        <v>HSE A</v>
      </c>
      <c r="E149" t="str">
        <f>'Sorted by Team'!B149</f>
        <v/>
      </c>
      <c r="F149" t="str">
        <f>'Sorted by Team'!C149</f>
        <v>+32477349575</v>
      </c>
    </row>
    <row r="150" spans="1:6" x14ac:dyDescent="0.3">
      <c r="A150" t="str">
        <v>Cedric Watteyn</v>
      </c>
      <c r="B150" t="str">
        <v/>
      </c>
      <c r="C150" t="str">
        <v>HSE A Haantjes Certifisc Oudenaarde</v>
      </c>
      <c r="D150" t="str">
        <f t="shared" si="2"/>
        <v>HSE A</v>
      </c>
      <c r="E150" t="str">
        <f>'Sorted by Team'!B150</f>
        <v/>
      </c>
      <c r="F150" t="str">
        <f>'Sorted by Team'!C150</f>
        <v>+32471244684</v>
      </c>
    </row>
    <row r="151" spans="1:6" x14ac:dyDescent="0.3">
      <c r="A151" t="str">
        <v>Rémi Bauters</v>
      </c>
      <c r="B151" t="str">
        <v/>
      </c>
      <c r="C151" t="str">
        <v>HSE B Haantjes Certifisc Oudenaarde</v>
      </c>
      <c r="D151" t="str">
        <f t="shared" si="2"/>
        <v>HSE B</v>
      </c>
      <c r="E151" t="str">
        <f>'Sorted by Team'!B151</f>
        <v/>
      </c>
      <c r="F151" t="str">
        <f>'Sorted by Team'!C151</f>
        <v>+32497078444</v>
      </c>
    </row>
    <row r="152" spans="1:6" x14ac:dyDescent="0.3">
      <c r="A152" t="str">
        <v>Matti Bogaert</v>
      </c>
      <c r="B152" t="str">
        <v/>
      </c>
      <c r="C152" t="str">
        <v>HSE B Haantjes Certifisc Oudenaarde</v>
      </c>
      <c r="D152" t="str">
        <f t="shared" si="2"/>
        <v>HSE B</v>
      </c>
      <c r="E152" t="str">
        <f>'Sorted by Team'!B152</f>
        <v>mboogie800@hotmail.com</v>
      </c>
      <c r="F152" t="str">
        <f>'Sorted by Team'!C152</f>
        <v>+32465007097</v>
      </c>
    </row>
    <row r="153" spans="1:6" x14ac:dyDescent="0.3">
      <c r="A153" t="str">
        <v>Dylann Bufkens</v>
      </c>
      <c r="B153" t="str">
        <v/>
      </c>
      <c r="C153" t="str">
        <v>HSE B Haantjes Certifisc Oudenaarde</v>
      </c>
      <c r="D153" t="str">
        <f t="shared" si="2"/>
        <v>HSE B</v>
      </c>
      <c r="E153" t="str">
        <f>'Sorted by Team'!B153</f>
        <v/>
      </c>
      <c r="F153" t="str">
        <f>'Sorted by Team'!C153</f>
        <v>+32493561486</v>
      </c>
    </row>
    <row r="154" spans="1:6" x14ac:dyDescent="0.3">
      <c r="A154" t="str">
        <v>Sofian D'Haenen</v>
      </c>
      <c r="B154" t="str">
        <v/>
      </c>
      <c r="C154" t="str">
        <v>HSE B Haantjes Certifisc Oudenaarde</v>
      </c>
      <c r="D154" t="str">
        <f t="shared" si="2"/>
        <v>HSE B</v>
      </c>
      <c r="E154" t="str">
        <f>'Sorted by Team'!B154</f>
        <v/>
      </c>
      <c r="F154" t="str">
        <f>'Sorted by Team'!C154</f>
        <v/>
      </c>
    </row>
    <row r="155" spans="1:6" x14ac:dyDescent="0.3">
      <c r="A155" t="str">
        <v>David De Brabander</v>
      </c>
      <c r="B155" t="str">
        <v>https://app.twizzit.com/public/photos/4024795/s/7af12ff114d5d53515b4f220ddc6cdb6ff121519.png</v>
      </c>
      <c r="C155" t="str">
        <v>HSE B Haantjes Certifisc Oudenaarde</v>
      </c>
      <c r="D155" t="str">
        <f t="shared" si="2"/>
        <v>HSE B</v>
      </c>
      <c r="E155" t="str">
        <f>'Sorted by Team'!B155</f>
        <v/>
      </c>
      <c r="F155" t="str">
        <f>'Sorted by Team'!C155</f>
        <v>+32478251758</v>
      </c>
    </row>
    <row r="156" spans="1:6" x14ac:dyDescent="0.3">
      <c r="A156" t="str">
        <v>Milan De Brabander</v>
      </c>
      <c r="B156" t="str">
        <v>https://app.twizzit.com/public/photos/3519915/s/cb4bbdba90c700302dcd9548901e284ce021df92.jpeg</v>
      </c>
      <c r="C156" t="str">
        <v>HSE B Haantjes Certifisc Oudenaarde</v>
      </c>
      <c r="D156" t="str">
        <f t="shared" si="2"/>
        <v>HSE B</v>
      </c>
      <c r="E156" t="str">
        <f>'Sorted by Team'!B156</f>
        <v>de.brabander.david@telenet.be</v>
      </c>
      <c r="F156" t="str">
        <f>'Sorted by Team'!C156</f>
        <v>+32468348603</v>
      </c>
    </row>
    <row r="157" spans="1:6" x14ac:dyDescent="0.3">
      <c r="A157" t="str">
        <v>Mathieu De Clercq</v>
      </c>
      <c r="B157" t="str">
        <v/>
      </c>
      <c r="C157" t="str">
        <v>HSE B Haantjes Certifisc Oudenaarde</v>
      </c>
      <c r="D157" t="str">
        <f t="shared" si="2"/>
        <v>HSE B</v>
      </c>
      <c r="E157" t="str">
        <f>'Sorted by Team'!B157</f>
        <v/>
      </c>
      <c r="F157" t="str">
        <f>'Sorted by Team'!C157</f>
        <v>+32495786491</v>
      </c>
    </row>
    <row r="158" spans="1:6" x14ac:dyDescent="0.3">
      <c r="A158" t="str">
        <v>Ryan Debouverie</v>
      </c>
      <c r="B158" t="str">
        <v/>
      </c>
      <c r="C158" t="str">
        <v>HSE B Haantjes Certifisc Oudenaarde</v>
      </c>
      <c r="D158" t="str">
        <f t="shared" si="2"/>
        <v>HSE B</v>
      </c>
      <c r="E158" t="str">
        <f>'Sorted by Team'!B158</f>
        <v/>
      </c>
      <c r="F158" t="str">
        <f>'Sorted by Team'!C158</f>
        <v>+32496247133</v>
      </c>
    </row>
    <row r="159" spans="1:6" x14ac:dyDescent="0.3">
      <c r="A159" t="str">
        <v>Yves Bellard Giriteka</v>
      </c>
      <c r="B159" t="str">
        <v/>
      </c>
      <c r="C159" t="str">
        <v>HSE B Haantjes Certifisc Oudenaarde</v>
      </c>
      <c r="D159" t="str">
        <f t="shared" si="2"/>
        <v>HSE B</v>
      </c>
      <c r="E159" t="str">
        <f>'Sorted by Team'!B159</f>
        <v/>
      </c>
      <c r="F159" t="str">
        <f>'Sorted by Team'!C159</f>
        <v>+32466419783</v>
      </c>
    </row>
    <row r="160" spans="1:6" x14ac:dyDescent="0.3">
      <c r="A160" t="str">
        <v>Thomas Goossens</v>
      </c>
      <c r="B160" t="str">
        <v>https://app.twizzit.com/public/photos/2182921/s/d5ec4bbccbaf575bfa3a597df60827a1e6809d4b.png</v>
      </c>
      <c r="C160" t="str">
        <v>HSE B Haantjes Certifisc Oudenaarde</v>
      </c>
      <c r="D160" t="str">
        <f t="shared" si="2"/>
        <v>HSE B</v>
      </c>
      <c r="E160" t="str">
        <f>'Sorted by Team'!B160</f>
        <v/>
      </c>
      <c r="F160" t="str">
        <f>'Sorted by Team'!C160</f>
        <v>+32477281468</v>
      </c>
    </row>
    <row r="161" spans="1:6" x14ac:dyDescent="0.3">
      <c r="A161" t="str">
        <v>Sander Hakuzimana</v>
      </c>
      <c r="B161" t="str">
        <v/>
      </c>
      <c r="C161" t="str">
        <v>HSE B Haantjes Certifisc Oudenaarde</v>
      </c>
      <c r="D161" t="str">
        <f t="shared" si="2"/>
        <v>HSE B</v>
      </c>
      <c r="E161" t="str">
        <f>'Sorted by Team'!B161</f>
        <v/>
      </c>
      <c r="F161" t="str">
        <f>'Sorted by Team'!C161</f>
        <v>+32467059655</v>
      </c>
    </row>
    <row r="162" spans="1:6" x14ac:dyDescent="0.3">
      <c r="A162" t="str">
        <v>Arno Heyerick</v>
      </c>
      <c r="B162" t="str">
        <v/>
      </c>
      <c r="C162" t="str">
        <v>HSE B Haantjes Certifisc Oudenaarde</v>
      </c>
      <c r="D162" t="str">
        <f t="shared" si="2"/>
        <v>HSE B</v>
      </c>
      <c r="E162" t="str">
        <f>'Sorted by Team'!B162</f>
        <v/>
      </c>
      <c r="F162" t="str">
        <f>'Sorted by Team'!C162</f>
        <v>+32479480500</v>
      </c>
    </row>
    <row r="163" spans="1:6" x14ac:dyDescent="0.3">
      <c r="A163" t="str">
        <v>Vic Huysman</v>
      </c>
      <c r="B163" t="str">
        <v>https://app.twizzit.com/public/photos/2936186/s/c4015a6cfb380c1e7090d66488ca6326fa9caa7a.png</v>
      </c>
      <c r="C163" t="str">
        <v>HSE B Haantjes Certifisc Oudenaarde</v>
      </c>
      <c r="D163" t="str">
        <f t="shared" si="2"/>
        <v>HSE B</v>
      </c>
      <c r="E163" t="str">
        <f>'Sorted by Team'!B163</f>
        <v/>
      </c>
      <c r="F163" t="str">
        <f>'Sorted by Team'!C163</f>
        <v>+32474884540</v>
      </c>
    </row>
    <row r="164" spans="1:6" x14ac:dyDescent="0.3">
      <c r="A164" t="str">
        <v>Aleksandr Kazmenko</v>
      </c>
      <c r="B164" t="str">
        <v/>
      </c>
      <c r="C164" t="str">
        <v>HSE B Haantjes Certifisc Oudenaarde</v>
      </c>
      <c r="D164" t="str">
        <f t="shared" si="2"/>
        <v>HSE B</v>
      </c>
      <c r="E164" t="str">
        <f>'Sorted by Team'!B164</f>
        <v>alex@inolel.com</v>
      </c>
      <c r="F164" t="str">
        <f>'Sorted by Team'!C164</f>
        <v/>
      </c>
    </row>
    <row r="165" spans="1:6" x14ac:dyDescent="0.3">
      <c r="A165" t="str">
        <v>Brecht Van Glabeke</v>
      </c>
      <c r="B165" t="str">
        <v/>
      </c>
      <c r="C165" t="str">
        <v>HSE B Haantjes Certifisc Oudenaarde</v>
      </c>
      <c r="D165" t="str">
        <f t="shared" si="2"/>
        <v>HSE B</v>
      </c>
      <c r="E165" t="str">
        <f>'Sorted by Team'!B165</f>
        <v/>
      </c>
      <c r="F165" t="str">
        <f>'Sorted by Team'!C165</f>
        <v>+32470671727</v>
      </c>
    </row>
    <row r="166" spans="1:6" x14ac:dyDescent="0.3">
      <c r="A166" t="str">
        <v>Thomas Viaene</v>
      </c>
      <c r="B166" t="str">
        <v/>
      </c>
      <c r="C166" t="str">
        <v>HSE B Haantjes Certifisc Oudenaarde</v>
      </c>
      <c r="D166" t="str">
        <f t="shared" si="2"/>
        <v>HSE B</v>
      </c>
      <c r="E166" t="str">
        <f>'Sorted by Team'!B166</f>
        <v/>
      </c>
      <c r="F166" t="str">
        <f>'Sorted by Team'!C166</f>
        <v>+32497313727</v>
      </c>
    </row>
    <row r="167" spans="1:6" x14ac:dyDescent="0.3">
      <c r="A167" t="str">
        <v>Torre Beeckman</v>
      </c>
      <c r="B167" t="str">
        <v>https://app.twizzit.com/public/photos/2182491/s/9cf26edd91096e59f19c665e2f0a4528adc17aa7.png</v>
      </c>
      <c r="C167" t="str">
        <v>J16 A Haantjes CERTIFISC Oudenaarde</v>
      </c>
      <c r="D167" t="str">
        <f t="shared" si="2"/>
        <v>J16 A</v>
      </c>
      <c r="E167" t="str">
        <f>'Sorted by Team'!B167</f>
        <v/>
      </c>
      <c r="F167" t="str">
        <f>'Sorted by Team'!C167</f>
        <v>+32486440775</v>
      </c>
    </row>
    <row r="168" spans="1:6" x14ac:dyDescent="0.3">
      <c r="A168" t="str">
        <v>Liam Bufkens</v>
      </c>
      <c r="B168" t="str">
        <v/>
      </c>
      <c r="C168" t="str">
        <v>J16 A Haantjes CERTIFISC Oudenaarde</v>
      </c>
      <c r="D168" t="str">
        <f t="shared" si="2"/>
        <v>J16 A</v>
      </c>
      <c r="E168" t="str">
        <f>'Sorted by Team'!B168</f>
        <v>vanbael_ijlie@hotmail.com</v>
      </c>
      <c r="F168" t="str">
        <f>'Sorted by Team'!C168</f>
        <v/>
      </c>
    </row>
    <row r="169" spans="1:6" x14ac:dyDescent="0.3">
      <c r="A169" t="str">
        <v>Jonah Cattoir</v>
      </c>
      <c r="B169" t="str">
        <v/>
      </c>
      <c r="C169" t="str">
        <v>J16 A Haantjes CERTIFISC Oudenaarde</v>
      </c>
      <c r="D169" t="str">
        <f t="shared" si="2"/>
        <v>J16 A</v>
      </c>
      <c r="E169" t="str">
        <f>'Sorted by Team'!B169</f>
        <v/>
      </c>
      <c r="F169" t="str">
        <f>'Sorted by Team'!C169</f>
        <v/>
      </c>
    </row>
    <row r="170" spans="1:6" x14ac:dyDescent="0.3">
      <c r="A170" t="str">
        <v>Tibo Despriet</v>
      </c>
      <c r="B170" t="str">
        <v>https://app.twizzit.com/public/photos/3884890/s/99828396af5826db82003655528894a4f299045f.jpeg</v>
      </c>
      <c r="C170" t="str">
        <v>J16 A Haantjes CERTIFISC Oudenaarde</v>
      </c>
      <c r="D170" t="str">
        <f t="shared" si="2"/>
        <v>J16 A</v>
      </c>
      <c r="E170" t="str">
        <f>'Sorted by Team'!B170</f>
        <v>Tibo.despriet@gmail.com</v>
      </c>
      <c r="F170" t="str">
        <f>'Sorted by Team'!C170</f>
        <v/>
      </c>
    </row>
    <row r="171" spans="1:6" x14ac:dyDescent="0.3">
      <c r="A171" t="str">
        <v>Nathan Dewaele</v>
      </c>
      <c r="B171" t="str">
        <v>https://app.twizzit.com/public/photos/2182816/s/c00a73a61de05b1991d5eac8f8ad498e97a90e40.png</v>
      </c>
      <c r="C171" t="str">
        <v>J16 A Haantjes CERTIFISC Oudenaarde</v>
      </c>
      <c r="D171" t="str">
        <f t="shared" si="2"/>
        <v>J16 A</v>
      </c>
      <c r="E171" t="str">
        <f>'Sorted by Team'!B171</f>
        <v>wesleydewaele@yahoo.co.uk</v>
      </c>
      <c r="F171" t="str">
        <f>'Sorted by Team'!C171</f>
        <v>+32470540240</v>
      </c>
    </row>
    <row r="172" spans="1:6" x14ac:dyDescent="0.3">
      <c r="A172" t="str">
        <v>Basiel Genbrugge</v>
      </c>
      <c r="B172" t="str">
        <v>https://app.twizzit.com/public/photos/8579142/s/db8d4000b96831e0c69a1f9ee9bb0955ce673dba.png</v>
      </c>
      <c r="C172" t="str">
        <v>J16 A Haantjes CERTIFISC Oudenaarde</v>
      </c>
      <c r="D172" t="str">
        <f t="shared" si="2"/>
        <v>J16 A</v>
      </c>
      <c r="E172" t="str">
        <f>'Sorted by Team'!B172</f>
        <v>basiel.genbrugge@gmail.com</v>
      </c>
      <c r="F172" t="str">
        <f>'Sorted by Team'!C172</f>
        <v>+32486314030</v>
      </c>
    </row>
    <row r="173" spans="1:6" x14ac:dyDescent="0.3">
      <c r="A173" t="str">
        <v>Briek Goossens</v>
      </c>
      <c r="B173" t="str">
        <v/>
      </c>
      <c r="C173" t="str">
        <v>J16 A Haantjes CERTIFISC Oudenaarde</v>
      </c>
      <c r="D173" t="str">
        <f t="shared" si="2"/>
        <v>J16 A</v>
      </c>
      <c r="E173" t="str">
        <f>'Sorted by Team'!B173</f>
        <v>slimmerik.briek@gmail.com</v>
      </c>
      <c r="F173" t="str">
        <f>'Sorted by Team'!C173</f>
        <v>+32495362023</v>
      </c>
    </row>
    <row r="174" spans="1:6" x14ac:dyDescent="0.3">
      <c r="A174" t="str">
        <v>Viktor L’Hommelet</v>
      </c>
      <c r="B174" t="str">
        <v/>
      </c>
      <c r="C174" t="str">
        <v>J16 A Haantjes CERTIFISC Oudenaarde</v>
      </c>
      <c r="D174" t="str">
        <f t="shared" si="2"/>
        <v>J16 A</v>
      </c>
      <c r="E174" t="str">
        <f>'Sorted by Team'!B174</f>
        <v>els.bourgois@gmail.com</v>
      </c>
      <c r="F174" t="str">
        <f>'Sorted by Team'!C174</f>
        <v>+32479376759</v>
      </c>
    </row>
    <row r="175" spans="1:6" x14ac:dyDescent="0.3">
      <c r="A175" t="str">
        <v>Kasper Mees</v>
      </c>
      <c r="B175" t="str">
        <v>https://app.twizzit.com/public/photos/2183112/s/07942e4161d7a20864d1fbcf54b9a6dda331637e.png</v>
      </c>
      <c r="C175" t="str">
        <v>J16 A Haantjes CERTIFISC Oudenaarde</v>
      </c>
      <c r="D175" t="str">
        <f t="shared" si="2"/>
        <v>J16 A</v>
      </c>
      <c r="E175" t="str">
        <f>'Sorted by Team'!B175</f>
        <v/>
      </c>
      <c r="F175" t="str">
        <f>'Sorted by Team'!C175</f>
        <v>+32474721420</v>
      </c>
    </row>
    <row r="176" spans="1:6" x14ac:dyDescent="0.3">
      <c r="A176" t="str">
        <v>Gust Ottevaere</v>
      </c>
      <c r="B176" t="str">
        <v/>
      </c>
      <c r="C176" t="str">
        <v>J16 A Haantjes CERTIFISC Oudenaarde</v>
      </c>
      <c r="D176" t="str">
        <f t="shared" si="2"/>
        <v>J16 A</v>
      </c>
      <c r="E176" t="str">
        <f>'Sorted by Team'!B176</f>
        <v>gust.ottevaere@telenet.be</v>
      </c>
      <c r="F176" t="str">
        <f>'Sorted by Team'!C176</f>
        <v>+32467011927</v>
      </c>
    </row>
    <row r="177" spans="1:6" x14ac:dyDescent="0.3">
      <c r="A177" t="str">
        <v>Anoek Van Caeneghem</v>
      </c>
      <c r="B177" t="str">
        <v>https://app.twizzit.com/public/photos/11917018/s/e098521fbafba2a80a9ddb8d7c06f83cdbae52a9.png</v>
      </c>
      <c r="C177" t="str">
        <v>J16 A Haantjes CERTIFISC Oudenaarde</v>
      </c>
      <c r="D177" t="str">
        <f t="shared" si="2"/>
        <v>J16 A</v>
      </c>
      <c r="E177" t="str">
        <f>'Sorted by Team'!B177</f>
        <v/>
      </c>
      <c r="F177" t="str">
        <f>'Sorted by Team'!C177</f>
        <v>+32498086024</v>
      </c>
    </row>
    <row r="178" spans="1:6" x14ac:dyDescent="0.3">
      <c r="A178" t="str">
        <v>Joao Arickx</v>
      </c>
      <c r="B178" t="str">
        <v/>
      </c>
      <c r="C178" t="str">
        <v>J16 B Haantjes CERTIFISC Oudenaarde</v>
      </c>
      <c r="D178" t="str">
        <f t="shared" si="2"/>
        <v>J16 B</v>
      </c>
      <c r="E178" t="str">
        <f>'Sorted by Team'!B178</f>
        <v/>
      </c>
      <c r="F178" t="str">
        <f>'Sorted by Team'!C178</f>
        <v>+32489669827</v>
      </c>
    </row>
    <row r="179" spans="1:6" x14ac:dyDescent="0.3">
      <c r="A179" t="str">
        <v>Jasper Baert</v>
      </c>
      <c r="B179" t="str">
        <v>https://app.twizzit.com/public/photos/2650780/s/77c3f1ac992ce48307c6c7ab431ab89e2bd37774.png</v>
      </c>
      <c r="C179" t="str">
        <v>J16 B Haantjes CERTIFISC Oudenaarde</v>
      </c>
      <c r="D179" t="str">
        <f t="shared" si="2"/>
        <v>J16 B</v>
      </c>
      <c r="E179" t="str">
        <f>'Sorted by Team'!B179</f>
        <v>baert_stijn@hotmail.com</v>
      </c>
      <c r="F179" t="str">
        <f>'Sorted by Team'!C179</f>
        <v>+32485376691</v>
      </c>
    </row>
    <row r="180" spans="1:6" x14ac:dyDescent="0.3">
      <c r="A180" t="str">
        <v>Emile Berkvens</v>
      </c>
      <c r="B180" t="str">
        <v>https://app.twizzit.com/public/photos/2650778/s/15d2f475817dbbc2474d7d1a8b8b6a06ed3f6c72.png</v>
      </c>
      <c r="C180" t="str">
        <v>J16 B Haantjes CERTIFISC Oudenaarde</v>
      </c>
      <c r="D180" t="str">
        <f t="shared" si="2"/>
        <v>J16 B</v>
      </c>
      <c r="E180" t="str">
        <f>'Sorted by Team'!B180</f>
        <v/>
      </c>
      <c r="F180" t="str">
        <f>'Sorted by Team'!C180</f>
        <v>+32474613344</v>
      </c>
    </row>
    <row r="181" spans="1:6" x14ac:dyDescent="0.3">
      <c r="A181" t="str">
        <v>Len De Coussemaker</v>
      </c>
      <c r="B181" t="str">
        <v>https://app.twizzit.com/public/photos/2182636/s/ac8133dfa6021f95e4cb86240c3d9e68218f8a83.png</v>
      </c>
      <c r="C181" t="str">
        <v>J16 B Haantjes CERTIFISC Oudenaarde</v>
      </c>
      <c r="D181" t="str">
        <f t="shared" si="2"/>
        <v>J16 B</v>
      </c>
      <c r="E181" t="str">
        <f>'Sorted by Team'!B181</f>
        <v>kristien.vdv@telenet.be</v>
      </c>
      <c r="F181" t="str">
        <f>'Sorted by Team'!C181</f>
        <v>+32468280854</v>
      </c>
    </row>
    <row r="182" spans="1:6" x14ac:dyDescent="0.3">
      <c r="A182" t="str">
        <v>Niels De Lepeleire</v>
      </c>
      <c r="B182" t="str">
        <v/>
      </c>
      <c r="C182" t="str">
        <v>J16 B Haantjes CERTIFISC Oudenaarde</v>
      </c>
      <c r="D182" t="str">
        <f t="shared" si="2"/>
        <v>J16 B</v>
      </c>
      <c r="E182" t="str">
        <f>'Sorted by Team'!B182</f>
        <v/>
      </c>
      <c r="F182" t="str">
        <f>'Sorted by Team'!C182</f>
        <v>+32470775058</v>
      </c>
    </row>
    <row r="183" spans="1:6" x14ac:dyDescent="0.3">
      <c r="A183" t="str">
        <v>Emmanuel Dull</v>
      </c>
      <c r="B183" t="str">
        <v/>
      </c>
      <c r="C183" t="str">
        <v>J16 B Haantjes CERTIFISC Oudenaarde</v>
      </c>
      <c r="D183" t="str">
        <f t="shared" si="2"/>
        <v>J16 B</v>
      </c>
      <c r="E183" t="str">
        <f>'Sorted by Team'!B183</f>
        <v/>
      </c>
      <c r="F183" t="str">
        <f>'Sorted by Team'!C183</f>
        <v>+32472172783</v>
      </c>
    </row>
    <row r="184" spans="1:6" x14ac:dyDescent="0.3">
      <c r="A184" t="str">
        <v>Victor Geiregat</v>
      </c>
      <c r="B184" t="str">
        <v/>
      </c>
      <c r="C184" t="str">
        <v>J16 B Haantjes CERTIFISC Oudenaarde</v>
      </c>
      <c r="D184" t="str">
        <f t="shared" si="2"/>
        <v>J16 B</v>
      </c>
      <c r="E184" t="str">
        <f>'Sorted by Team'!B184</f>
        <v>victorgeiregat@gmail.com</v>
      </c>
      <c r="F184" t="str">
        <f>'Sorted by Team'!C184</f>
        <v>+32467007382</v>
      </c>
    </row>
    <row r="185" spans="1:6" x14ac:dyDescent="0.3">
      <c r="A185" t="str">
        <v>Alexander Libert</v>
      </c>
      <c r="B185" t="str">
        <v/>
      </c>
      <c r="C185" t="str">
        <v>J16 B Haantjes CERTIFISC Oudenaarde</v>
      </c>
      <c r="D185" t="str">
        <f t="shared" si="2"/>
        <v>J16 B</v>
      </c>
      <c r="E185" t="str">
        <f>'Sorted by Team'!B185</f>
        <v>s_ardenois@hotmail.com</v>
      </c>
      <c r="F185" t="str">
        <f>'Sorted by Team'!C185</f>
        <v>+32471396733</v>
      </c>
    </row>
    <row r="186" spans="1:6" x14ac:dyDescent="0.3">
      <c r="A186" t="str">
        <v>Jean-Reno Neyrinck</v>
      </c>
      <c r="B186" t="str">
        <v>https://app.twizzit.com/public/photos/3543437/s/4b4d34aba7c38171a5f39885d89d2a702bb4c5c8.jpeg</v>
      </c>
      <c r="C186" t="str">
        <v>J16 B Haantjes CERTIFISC Oudenaarde</v>
      </c>
      <c r="D186" t="str">
        <f t="shared" si="2"/>
        <v>J16 B</v>
      </c>
      <c r="E186" t="str">
        <f>'Sorted by Team'!B186</f>
        <v/>
      </c>
      <c r="F186" t="str">
        <f>'Sorted by Team'!C186</f>
        <v>+32474078109</v>
      </c>
    </row>
    <row r="187" spans="1:6" x14ac:dyDescent="0.3">
      <c r="A187" t="str">
        <v>Maro Thas</v>
      </c>
      <c r="B187" t="str">
        <v>https://app.twizzit.com/public/photos/3451572/s/f7bd7e0dc5dd014e64108bf9fe43059bbb6a9a41.png</v>
      </c>
      <c r="C187" t="str">
        <v>J16 B Haantjes CERTIFISC Oudenaarde</v>
      </c>
      <c r="D187" t="str">
        <f t="shared" si="2"/>
        <v>J16 B</v>
      </c>
      <c r="E187" t="str">
        <f>'Sorted by Team'!B187</f>
        <v/>
      </c>
      <c r="F187" t="str">
        <f>'Sorted by Team'!C187</f>
        <v>+32472433051</v>
      </c>
    </row>
    <row r="188" spans="1:6" x14ac:dyDescent="0.3">
      <c r="A188" t="str">
        <v>Kobe Vandaele</v>
      </c>
      <c r="B188" t="str">
        <v/>
      </c>
      <c r="C188" t="str">
        <v>J16 B Haantjes CERTIFISC Oudenaarde</v>
      </c>
      <c r="D188" t="str">
        <f t="shared" si="2"/>
        <v>J16 B</v>
      </c>
      <c r="E188" t="str">
        <f>'Sorted by Team'!B188</f>
        <v/>
      </c>
      <c r="F188" t="str">
        <f>'Sorted by Team'!C188</f>
        <v>+32478439213</v>
      </c>
    </row>
    <row r="189" spans="1:6" x14ac:dyDescent="0.3">
      <c r="A189" t="str">
        <v>Lukas Vandemaele</v>
      </c>
      <c r="B189" t="str">
        <v/>
      </c>
      <c r="C189" t="str">
        <v>J16 B Haantjes CERTIFISC Oudenaarde</v>
      </c>
      <c r="D189" t="str">
        <f t="shared" si="2"/>
        <v>J16 B</v>
      </c>
      <c r="E189" t="str">
        <f>'Sorted by Team'!B189</f>
        <v>Wimvandemaele@hotmail.com</v>
      </c>
      <c r="F189" t="str">
        <f>'Sorted by Team'!C189</f>
        <v>+32491941753</v>
      </c>
    </row>
    <row r="190" spans="1:6" x14ac:dyDescent="0.3">
      <c r="A190" t="str">
        <v>Mats Verstraeten</v>
      </c>
      <c r="B190" t="str">
        <v/>
      </c>
      <c r="C190" t="str">
        <v>J16 B Haantjes CERTIFISC Oudenaarde</v>
      </c>
      <c r="D190" t="str">
        <f t="shared" si="2"/>
        <v>J16 B</v>
      </c>
      <c r="E190" t="str">
        <f>'Sorted by Team'!B190</f>
        <v/>
      </c>
      <c r="F190" t="str">
        <f>'Sorted by Team'!C190</f>
        <v>+32497152857</v>
      </c>
    </row>
    <row r="191" spans="1:6" x14ac:dyDescent="0.3">
      <c r="A191" t="str">
        <v>Matti Bogaert</v>
      </c>
      <c r="B191" t="str">
        <v/>
      </c>
      <c r="C191" t="str">
        <v>J18 A Haantjes CERTIFISC Oudenaarde</v>
      </c>
      <c r="D191" t="str">
        <f t="shared" si="2"/>
        <v>J18 A</v>
      </c>
      <c r="E191" t="str">
        <f>'Sorted by Team'!B191</f>
        <v>mboogie800@hotmail.com</v>
      </c>
      <c r="F191" t="str">
        <f>'Sorted by Team'!C191</f>
        <v>+32465007097</v>
      </c>
    </row>
    <row r="192" spans="1:6" x14ac:dyDescent="0.3">
      <c r="A192" t="str">
        <v>Sofian D'Haenen</v>
      </c>
      <c r="B192" t="str">
        <v/>
      </c>
      <c r="C192" t="str">
        <v>J18 A Haantjes CERTIFISC Oudenaarde</v>
      </c>
      <c r="D192" t="str">
        <f t="shared" si="2"/>
        <v>J18 A</v>
      </c>
      <c r="E192" t="str">
        <f>'Sorted by Team'!B192</f>
        <v/>
      </c>
      <c r="F192" t="str">
        <f>'Sorted by Team'!C192</f>
        <v/>
      </c>
    </row>
    <row r="193" spans="1:6" x14ac:dyDescent="0.3">
      <c r="A193" t="str">
        <v>Yunus D'Haenen</v>
      </c>
      <c r="B193" t="str">
        <v/>
      </c>
      <c r="C193" t="str">
        <v>J18 A Haantjes CERTIFISC Oudenaarde</v>
      </c>
      <c r="D193" t="str">
        <f t="shared" si="2"/>
        <v>J18 A</v>
      </c>
      <c r="E193" t="str">
        <f>'Sorted by Team'!B193</f>
        <v/>
      </c>
      <c r="F193" t="str">
        <f>'Sorted by Team'!C193</f>
        <v/>
      </c>
    </row>
    <row r="194" spans="1:6" x14ac:dyDescent="0.3">
      <c r="A194" t="str">
        <v>David De Brabander</v>
      </c>
      <c r="B194" t="str">
        <v>https://app.twizzit.com/public/photos/4024795/s/7af12ff114d5d53515b4f220ddc6cdb6ff121519.png</v>
      </c>
      <c r="C194" t="str">
        <v>J18 A Haantjes CERTIFISC Oudenaarde</v>
      </c>
      <c r="D194" t="str">
        <f t="shared" si="2"/>
        <v>J18 A</v>
      </c>
      <c r="E194" t="str">
        <f>'Sorted by Team'!B194</f>
        <v/>
      </c>
      <c r="F194" t="str">
        <f>'Sorted by Team'!C194</f>
        <v>+32478251758</v>
      </c>
    </row>
    <row r="195" spans="1:6" x14ac:dyDescent="0.3">
      <c r="A195" t="str">
        <v>Milan De Brabander</v>
      </c>
      <c r="B195" t="str">
        <v>https://app.twizzit.com/public/photos/3519915/s/cb4bbdba90c700302dcd9548901e284ce021df92.jpeg</v>
      </c>
      <c r="C195" t="str">
        <v>J18 A Haantjes CERTIFISC Oudenaarde</v>
      </c>
      <c r="D195" t="str">
        <f t="shared" ref="D195:D258" si="3">TRIM(SUBSTITUTE(SUBSTITUTE(SUBSTITUTE(SUBSTITUTE(TRIM(SUBSTITUTE(SUBSTITUTE(SUBSTITUTE(C195,"  "," "),"HAANTJES CERTIFISC OUDENAARDE",""),"Haantjes CERTIFISC Oudenaarde",""))," Geel","")," Blauw","")," Groen",""),"Haantjes Certifisc Oudenaarde",""))</f>
        <v>J18 A</v>
      </c>
      <c r="E195" t="str">
        <f>'Sorted by Team'!B195</f>
        <v>de.brabander.david@telenet.be</v>
      </c>
      <c r="F195" t="str">
        <f>'Sorted by Team'!C195</f>
        <v>+32468348603</v>
      </c>
    </row>
    <row r="196" spans="1:6" x14ac:dyDescent="0.3">
      <c r="A196" t="str">
        <v>Emile-Louis De Windt</v>
      </c>
      <c r="B196" t="str">
        <v>https://app.twizzit.com/public/photos/3463928/s/65ba284a6aa8f67e5b08f396e397206e4afd6e82.png</v>
      </c>
      <c r="C196" t="str">
        <v>J18 A Haantjes CERTIFISC Oudenaarde</v>
      </c>
      <c r="D196" t="str">
        <f t="shared" si="3"/>
        <v>J18 A</v>
      </c>
      <c r="E196" t="str">
        <f>'Sorted by Team'!B196</f>
        <v>dwingrey@gmail.com</v>
      </c>
      <c r="F196" t="str">
        <f>'Sorted by Team'!C196</f>
        <v>+32485843240</v>
      </c>
    </row>
    <row r="197" spans="1:6" x14ac:dyDescent="0.3">
      <c r="A197" t="str">
        <v>Jasper Espeel</v>
      </c>
      <c r="B197" t="str">
        <v/>
      </c>
      <c r="C197" t="str">
        <v>J18 A Haantjes CERTIFISC Oudenaarde</v>
      </c>
      <c r="D197" t="str">
        <f t="shared" si="3"/>
        <v>J18 A</v>
      </c>
      <c r="E197" t="str">
        <f>'Sorted by Team'!B197</f>
        <v>jasper.espeel@gmail.com</v>
      </c>
      <c r="F197" t="str">
        <f>'Sorted by Team'!C197</f>
        <v>+32496150874</v>
      </c>
    </row>
    <row r="198" spans="1:6" x14ac:dyDescent="0.3">
      <c r="A198" t="str">
        <v>Vic Huysman</v>
      </c>
      <c r="B198" t="str">
        <v>https://app.twizzit.com/public/photos/2936186/s/c4015a6cfb380c1e7090d66488ca6326fa9caa7a.png</v>
      </c>
      <c r="C198" t="str">
        <v>J18 A Haantjes CERTIFISC Oudenaarde</v>
      </c>
      <c r="D198" t="str">
        <f t="shared" si="3"/>
        <v>J18 A</v>
      </c>
      <c r="E198" t="str">
        <f>'Sorted by Team'!B198</f>
        <v/>
      </c>
      <c r="F198" t="str">
        <f>'Sorted by Team'!C198</f>
        <v>+32474884540</v>
      </c>
    </row>
    <row r="199" spans="1:6" x14ac:dyDescent="0.3">
      <c r="A199" t="str">
        <v>Rayan Lebrouchi Poddubnaya</v>
      </c>
      <c r="B199" t="str">
        <v/>
      </c>
      <c r="C199" t="str">
        <v>J18 A Haantjes CERTIFISC Oudenaarde</v>
      </c>
      <c r="D199" t="str">
        <f t="shared" si="3"/>
        <v>J18 A</v>
      </c>
      <c r="E199" t="str">
        <f>'Sorted by Team'!B199</f>
        <v>marina.pd34@gmail</v>
      </c>
      <c r="F199" t="str">
        <f>'Sorted by Team'!C199</f>
        <v>+32492948427</v>
      </c>
    </row>
    <row r="200" spans="1:6" x14ac:dyDescent="0.3">
      <c r="A200" t="str">
        <v>Brecht Van Glabeke</v>
      </c>
      <c r="B200" t="str">
        <v/>
      </c>
      <c r="C200" t="str">
        <v>J18 A Haantjes CERTIFISC Oudenaarde</v>
      </c>
      <c r="D200" t="str">
        <f t="shared" si="3"/>
        <v>J18 A</v>
      </c>
      <c r="E200" t="str">
        <f>'Sorted by Team'!B200</f>
        <v/>
      </c>
      <c r="F200" t="str">
        <f>'Sorted by Team'!C200</f>
        <v>+32470671727</v>
      </c>
    </row>
    <row r="201" spans="1:6" x14ac:dyDescent="0.3">
      <c r="A201" t="str">
        <v>Miro Van Schoorisse</v>
      </c>
      <c r="B201" t="str">
        <v/>
      </c>
      <c r="C201" t="str">
        <v>J18 A Haantjes CERTIFISC Oudenaarde</v>
      </c>
      <c r="D201" t="str">
        <f t="shared" si="3"/>
        <v>J18 A</v>
      </c>
      <c r="E201" t="str">
        <f>'Sorted by Team'!B201</f>
        <v>mirovanschoorisse@gmail.com</v>
      </c>
      <c r="F201" t="str">
        <f>'Sorted by Team'!C201</f>
        <v>+32496771030</v>
      </c>
    </row>
    <row r="202" spans="1:6" x14ac:dyDescent="0.3">
      <c r="A202" t="str">
        <v>Bram Van Wyngene</v>
      </c>
      <c r="B202" t="str">
        <v/>
      </c>
      <c r="C202" t="str">
        <v>J18 A Haantjes CERTIFISC Oudenaarde</v>
      </c>
      <c r="D202" t="str">
        <f t="shared" si="3"/>
        <v>J18 A</v>
      </c>
      <c r="E202" t="str">
        <f>'Sorted by Team'!B202</f>
        <v/>
      </c>
      <c r="F202" t="str">
        <f>'Sorted by Team'!C202</f>
        <v>+32477349575</v>
      </c>
    </row>
    <row r="203" spans="1:6" x14ac:dyDescent="0.3">
      <c r="A203" t="str">
        <v>Lowie Vande Kerckhove</v>
      </c>
      <c r="B203" t="str">
        <v/>
      </c>
      <c r="C203" t="str">
        <v>J18 A Haantjes CERTIFISC Oudenaarde</v>
      </c>
      <c r="D203" t="str">
        <f t="shared" si="3"/>
        <v>J18 A</v>
      </c>
      <c r="E203" t="str">
        <f>'Sorted by Team'!B203</f>
        <v/>
      </c>
      <c r="F203" t="str">
        <f>'Sorted by Team'!C203</f>
        <v>+32498621224</v>
      </c>
    </row>
    <row r="204" spans="1:6" x14ac:dyDescent="0.3">
      <c r="A204" t="str">
        <v>Thomas Viaene</v>
      </c>
      <c r="B204" t="str">
        <v/>
      </c>
      <c r="C204" t="str">
        <v>J18 A Haantjes CERTIFISC Oudenaarde</v>
      </c>
      <c r="D204" t="str">
        <f t="shared" si="3"/>
        <v>J18 A</v>
      </c>
      <c r="E204" t="str">
        <f>'Sorted by Team'!B204</f>
        <v/>
      </c>
      <c r="F204" t="str">
        <f>'Sorted by Team'!C204</f>
        <v>+32497313727</v>
      </c>
    </row>
    <row r="205" spans="1:6" x14ac:dyDescent="0.3">
      <c r="A205" t="str">
        <v>Bent Anseeuw</v>
      </c>
      <c r="B205" t="str">
        <v>https://app.twizzit.com/public/photos/2182451/s/d40702514c4affc118f06eee4555b1ca966c4e65.png</v>
      </c>
      <c r="C205" t="str">
        <v>J18 B Haantjes CERTIFISC Oudenaarde</v>
      </c>
      <c r="D205" t="str">
        <f t="shared" si="3"/>
        <v>J18 B</v>
      </c>
      <c r="E205" t="str">
        <f>'Sorted by Team'!B205</f>
        <v>bent.anseeuw@gmail.com</v>
      </c>
      <c r="F205" t="str">
        <f>'Sorted by Team'!C205</f>
        <v>+32497023380</v>
      </c>
    </row>
    <row r="206" spans="1:6" x14ac:dyDescent="0.3">
      <c r="A206" t="str">
        <v>Vince Beke</v>
      </c>
      <c r="B206" t="str">
        <v>https://app.twizzit.com/public/photos/2182501/s/ff9efabb61fd27d35070a050abd98c15c9bfe6c5.png</v>
      </c>
      <c r="C206" t="str">
        <v>J18 B Haantjes CERTIFISC Oudenaarde</v>
      </c>
      <c r="D206" t="str">
        <f t="shared" si="3"/>
        <v>J18 B</v>
      </c>
      <c r="E206" t="str">
        <f>'Sorted by Team'!B206</f>
        <v>wim.beke@telenet.be</v>
      </c>
      <c r="F206" t="str">
        <f>'Sorted by Team'!C206</f>
        <v>+32494534565</v>
      </c>
    </row>
    <row r="207" spans="1:6" x14ac:dyDescent="0.3">
      <c r="A207" t="str">
        <v>Quinten Benoot</v>
      </c>
      <c r="B207" t="str">
        <v>https://app.twizzit.com/public/photos/4080393/s/fc77b80b0f519cf2bcaae55fec7f11c92e5c4d9f.jpeg</v>
      </c>
      <c r="C207" t="str">
        <v>J18 B Haantjes CERTIFISC Oudenaarde</v>
      </c>
      <c r="D207" t="str">
        <f t="shared" si="3"/>
        <v>J18 B</v>
      </c>
      <c r="E207" t="str">
        <f>'Sorted by Team'!B207</f>
        <v>Quintenmaetha@gmail.com</v>
      </c>
      <c r="F207" t="str">
        <f>'Sorted by Team'!C207</f>
        <v>+32485287357</v>
      </c>
    </row>
    <row r="208" spans="1:6" x14ac:dyDescent="0.3">
      <c r="A208" t="str">
        <v>Liam Bourgeois</v>
      </c>
      <c r="B208" t="str">
        <v/>
      </c>
      <c r="C208" t="str">
        <v>J18 B Haantjes CERTIFISC Oudenaarde</v>
      </c>
      <c r="D208" t="str">
        <f t="shared" si="3"/>
        <v>J18 B</v>
      </c>
      <c r="E208" t="str">
        <f>'Sorted by Team'!B208</f>
        <v/>
      </c>
      <c r="F208" t="str">
        <f>'Sorted by Team'!C208</f>
        <v>+32471543824</v>
      </c>
    </row>
    <row r="209" spans="1:6" x14ac:dyDescent="0.3">
      <c r="A209" t="str">
        <v>Kobe Boutmans</v>
      </c>
      <c r="B209" t="str">
        <v/>
      </c>
      <c r="C209" t="str">
        <v>J18 B Haantjes CERTIFISC Oudenaarde</v>
      </c>
      <c r="D209" t="str">
        <f t="shared" si="3"/>
        <v>J18 B</v>
      </c>
      <c r="E209" t="str">
        <f>'Sorted by Team'!B209</f>
        <v/>
      </c>
      <c r="F209" t="str">
        <f>'Sorted by Team'!C209</f>
        <v>+32479888902</v>
      </c>
    </row>
    <row r="210" spans="1:6" x14ac:dyDescent="0.3">
      <c r="A210" t="str">
        <v>Dylann Bufkens</v>
      </c>
      <c r="B210" t="str">
        <v/>
      </c>
      <c r="C210" t="str">
        <v>J18 B Haantjes CERTIFISC Oudenaarde</v>
      </c>
      <c r="D210" t="str">
        <f t="shared" si="3"/>
        <v>J18 B</v>
      </c>
      <c r="E210" t="str">
        <f>'Sorted by Team'!B210</f>
        <v/>
      </c>
      <c r="F210" t="str">
        <f>'Sorted by Team'!C210</f>
        <v>+32493561486</v>
      </c>
    </row>
    <row r="211" spans="1:6" x14ac:dyDescent="0.3">
      <c r="A211" t="str">
        <v>Mathis Cromheeke</v>
      </c>
      <c r="B211" t="str">
        <v/>
      </c>
      <c r="C211" t="str">
        <v>J18 B Haantjes CERTIFISC Oudenaarde</v>
      </c>
      <c r="D211" t="str">
        <f t="shared" si="3"/>
        <v>J18 B</v>
      </c>
      <c r="E211" t="str">
        <f>'Sorted by Team'!B211</f>
        <v/>
      </c>
      <c r="F211" t="str">
        <f>'Sorted by Team'!C211</f>
        <v/>
      </c>
    </row>
    <row r="212" spans="1:6" x14ac:dyDescent="0.3">
      <c r="A212" t="str">
        <v>Niels De Coussemaker</v>
      </c>
      <c r="B212" t="str">
        <v>https://app.twizzit.com/public/photos/2182641/s/bc2ed87ccb6bf61129b3522eabde4c5cff856719.png</v>
      </c>
      <c r="C212" t="str">
        <v>J18 B Haantjes CERTIFISC Oudenaarde</v>
      </c>
      <c r="D212" t="str">
        <f t="shared" si="3"/>
        <v>J18 B</v>
      </c>
      <c r="E212" t="str">
        <f>'Sorted by Team'!B212</f>
        <v>kristien@coussies.be</v>
      </c>
      <c r="F212" t="str">
        <f>'Sorted by Team'!C212</f>
        <v>+32490195438</v>
      </c>
    </row>
    <row r="213" spans="1:6" x14ac:dyDescent="0.3">
      <c r="A213" t="str">
        <v>Sam Liekens</v>
      </c>
      <c r="B213" t="str">
        <v>https://app.twizzit.com/public/photos/3475283/s/e532263ea43cddb59650656f3777387ca04d2de4.jpeg</v>
      </c>
      <c r="C213" t="str">
        <v>J18 B Haantjes CERTIFISC Oudenaarde</v>
      </c>
      <c r="D213" t="str">
        <f t="shared" si="3"/>
        <v>J18 B</v>
      </c>
      <c r="E213" t="str">
        <f>'Sorted by Team'!B213</f>
        <v/>
      </c>
      <c r="F213" t="str">
        <f>'Sorted by Team'!C213</f>
        <v>+32478888243</v>
      </c>
    </row>
    <row r="214" spans="1:6" x14ac:dyDescent="0.3">
      <c r="A214" t="str">
        <v>Kamiel Mahieu</v>
      </c>
      <c r="B214" t="str">
        <v/>
      </c>
      <c r="C214" t="str">
        <v>J18 B Haantjes CERTIFISC Oudenaarde</v>
      </c>
      <c r="D214" t="str">
        <f t="shared" si="3"/>
        <v>J18 B</v>
      </c>
      <c r="E214" t="str">
        <f>'Sorted by Team'!B214</f>
        <v/>
      </c>
      <c r="F214" t="str">
        <f>'Sorted by Team'!C214</f>
        <v>+32473745981</v>
      </c>
    </row>
    <row r="215" spans="1:6" x14ac:dyDescent="0.3">
      <c r="A215" t="str">
        <v>Ziano Schoenmaekers</v>
      </c>
      <c r="B215" t="str">
        <v>https://app.twizzit.com/public/photos/2650796/s/806ce17769fd3d29fc435d865a5b302b6c25c6ca.png</v>
      </c>
      <c r="C215" t="str">
        <v>J18 B Haantjes CERTIFISC Oudenaarde</v>
      </c>
      <c r="D215" t="str">
        <f t="shared" si="3"/>
        <v>J18 B</v>
      </c>
      <c r="E215" t="str">
        <f>'Sorted by Team'!B215</f>
        <v>pedro.schoenmaekers@hotmail.com</v>
      </c>
      <c r="F215" t="str">
        <f>'Sorted by Team'!C215</f>
        <v>+32476935877</v>
      </c>
    </row>
    <row r="216" spans="1:6" x14ac:dyDescent="0.3">
      <c r="A216" t="str">
        <v>Jaimie Van Marcke</v>
      </c>
      <c r="B216" t="str">
        <v>https://app.twizzit.com/public/photos/4080394/s/a0a6f7a1f3c9650e7b60b7c90fcc741fdb018fb0.png</v>
      </c>
      <c r="C216" t="str">
        <v>J18 B Haantjes CERTIFISC Oudenaarde</v>
      </c>
      <c r="D216" t="str">
        <f t="shared" si="3"/>
        <v>J18 B</v>
      </c>
      <c r="E216" t="str">
        <f>'Sorted by Team'!B216</f>
        <v/>
      </c>
      <c r="F216" t="str">
        <f>'Sorted by Team'!C216</f>
        <v>+32472516116</v>
      </c>
    </row>
    <row r="217" spans="1:6" x14ac:dyDescent="0.3">
      <c r="A217" t="str">
        <v>Emiel Verlinden</v>
      </c>
      <c r="B217" t="str">
        <v/>
      </c>
      <c r="C217" t="str">
        <v>J18 B Haantjes CERTIFISC Oudenaarde</v>
      </c>
      <c r="D217" t="str">
        <f t="shared" si="3"/>
        <v>J18 B</v>
      </c>
      <c r="E217" t="str">
        <f>'Sorted by Team'!B217</f>
        <v/>
      </c>
      <c r="F217" t="str">
        <f>'Sorted by Team'!C217</f>
        <v>+32478376691</v>
      </c>
    </row>
    <row r="218" spans="1:6" x14ac:dyDescent="0.3">
      <c r="A218" t="str">
        <v>Rémi Bauters</v>
      </c>
      <c r="B218" t="str">
        <v/>
      </c>
      <c r="C218" t="str">
        <v>J21 A HAANTJES CERTIFISC OUDENAARDE</v>
      </c>
      <c r="D218" t="str">
        <f t="shared" si="3"/>
        <v>J21 A</v>
      </c>
      <c r="E218" t="str">
        <f>'Sorted by Team'!B218</f>
        <v/>
      </c>
      <c r="F218" t="str">
        <f>'Sorted by Team'!C218</f>
        <v>+32497078444</v>
      </c>
    </row>
    <row r="219" spans="1:6" x14ac:dyDescent="0.3">
      <c r="A219" t="str">
        <v>Luka Coryn</v>
      </c>
      <c r="B219" t="str">
        <v/>
      </c>
      <c r="C219" t="str">
        <v>J21 A HAANTJES CERTIFISC OUDENAARDE</v>
      </c>
      <c r="D219" t="str">
        <f t="shared" si="3"/>
        <v>J21 A</v>
      </c>
      <c r="E219" t="str">
        <f>'Sorted by Team'!B219</f>
        <v>luka.coryn@gmail.com</v>
      </c>
      <c r="F219" t="str">
        <f>'Sorted by Team'!C219</f>
        <v>+32471737015</v>
      </c>
    </row>
    <row r="220" spans="1:6" x14ac:dyDescent="0.3">
      <c r="A220" t="str">
        <v>Tanguy Creteur</v>
      </c>
      <c r="B220" t="str">
        <v/>
      </c>
      <c r="C220" t="str">
        <v>J21 A HAANTJES CERTIFISC OUDENAARDE</v>
      </c>
      <c r="D220" t="str">
        <f t="shared" si="3"/>
        <v>J21 A</v>
      </c>
      <c r="E220" t="str">
        <f>'Sorted by Team'!B220</f>
        <v>david@credelec.be</v>
      </c>
      <c r="F220" t="str">
        <f>'Sorted by Team'!C220</f>
        <v>+32470535338</v>
      </c>
    </row>
    <row r="221" spans="1:6" x14ac:dyDescent="0.3">
      <c r="A221" t="str">
        <v>David De Brabander</v>
      </c>
      <c r="B221" t="str">
        <v>https://app.twizzit.com/public/photos/4024795/s/7af12ff114d5d53515b4f220ddc6cdb6ff121519.png</v>
      </c>
      <c r="C221" t="str">
        <v>J21 A HAANTJES CERTIFISC OUDENAARDE</v>
      </c>
      <c r="D221" t="str">
        <f t="shared" si="3"/>
        <v>J21 A</v>
      </c>
      <c r="E221" t="str">
        <f>'Sorted by Team'!B221</f>
        <v/>
      </c>
      <c r="F221" t="str">
        <f>'Sorted by Team'!C221</f>
        <v>+32478251758</v>
      </c>
    </row>
    <row r="222" spans="1:6" x14ac:dyDescent="0.3">
      <c r="A222" t="str">
        <v>Pieter Diependaele</v>
      </c>
      <c r="B222" t="str">
        <v>https://app.twizzit.com/public/photos/3239965/s/944ad53074c1441abd98efedc98fef813d2f093f.png</v>
      </c>
      <c r="C222" t="str">
        <v>J21 A HAANTJES CERTIFISC OUDENAARDE</v>
      </c>
      <c r="D222" t="str">
        <f t="shared" si="3"/>
        <v>J21 A</v>
      </c>
      <c r="E222" t="str">
        <f>'Sorted by Team'!B222</f>
        <v>coachpieter.basket@gmail.com</v>
      </c>
      <c r="F222" t="str">
        <f>'Sorted by Team'!C222</f>
        <v>+32479044986</v>
      </c>
    </row>
    <row r="223" spans="1:6" x14ac:dyDescent="0.3">
      <c r="A223" t="str">
        <v>Thomas Goossens</v>
      </c>
      <c r="B223" t="str">
        <v>https://app.twizzit.com/public/photos/2182921/s/d5ec4bbccbaf575bfa3a597df60827a1e6809d4b.png</v>
      </c>
      <c r="C223" t="str">
        <v>J21 A HAANTJES CERTIFISC OUDENAARDE</v>
      </c>
      <c r="D223" t="str">
        <f t="shared" si="3"/>
        <v>J21 A</v>
      </c>
      <c r="E223" t="str">
        <f>'Sorted by Team'!B223</f>
        <v/>
      </c>
      <c r="F223" t="str">
        <f>'Sorted by Team'!C223</f>
        <v>+32477281468</v>
      </c>
    </row>
    <row r="224" spans="1:6" x14ac:dyDescent="0.3">
      <c r="A224" t="str">
        <v>Sander Hakuzimana</v>
      </c>
      <c r="B224" t="str">
        <v/>
      </c>
      <c r="C224" t="str">
        <v>J21 A HAANTJES CERTIFISC OUDENAARDE</v>
      </c>
      <c r="D224" t="str">
        <f t="shared" si="3"/>
        <v>J21 A</v>
      </c>
      <c r="E224" t="str">
        <f>'Sorted by Team'!B224</f>
        <v/>
      </c>
      <c r="F224" t="str">
        <f>'Sorted by Team'!C224</f>
        <v>+32467059655</v>
      </c>
    </row>
    <row r="225" spans="1:6" x14ac:dyDescent="0.3">
      <c r="A225" t="str">
        <v>Arno Heyerick</v>
      </c>
      <c r="B225" t="str">
        <v/>
      </c>
      <c r="C225" t="str">
        <v>J21 A HAANTJES CERTIFISC OUDENAARDE</v>
      </c>
      <c r="D225" t="str">
        <f t="shared" si="3"/>
        <v>J21 A</v>
      </c>
      <c r="E225" t="str">
        <f>'Sorted by Team'!B225</f>
        <v/>
      </c>
      <c r="F225" t="str">
        <f>'Sorted by Team'!C225</f>
        <v>+32479480500</v>
      </c>
    </row>
    <row r="226" spans="1:6" x14ac:dyDescent="0.3">
      <c r="A226" t="str">
        <v>Rayan Lebrouchi Poddubnaya</v>
      </c>
      <c r="B226" t="str">
        <v/>
      </c>
      <c r="C226" t="str">
        <v>J21 A HAANTJES CERTIFISC OUDENAARDE</v>
      </c>
      <c r="D226" t="str">
        <f t="shared" si="3"/>
        <v>J21 A</v>
      </c>
      <c r="E226" t="str">
        <f>'Sorted by Team'!B226</f>
        <v>marina.pd34@gmail</v>
      </c>
      <c r="F226" t="str">
        <f>'Sorted by Team'!C226</f>
        <v>+32492948427</v>
      </c>
    </row>
    <row r="227" spans="1:6" x14ac:dyDescent="0.3">
      <c r="A227" t="str">
        <v>Emiel Vanderhelstraeten</v>
      </c>
      <c r="B227" t="str">
        <v/>
      </c>
      <c r="C227" t="str">
        <v>J21 A HAANTJES CERTIFISC OUDENAARDE</v>
      </c>
      <c r="D227" t="str">
        <f t="shared" si="3"/>
        <v>J21 A</v>
      </c>
      <c r="E227" t="str">
        <f>'Sorted by Team'!B227</f>
        <v>anneleendesmet1978@outlook.com</v>
      </c>
      <c r="F227" t="str">
        <f>'Sorted by Team'!C227</f>
        <v/>
      </c>
    </row>
    <row r="228" spans="1:6" x14ac:dyDescent="0.3">
      <c r="A228" t="str">
        <v>Bogdan Verstraete</v>
      </c>
      <c r="B228" t="str">
        <v/>
      </c>
      <c r="C228" t="str">
        <v>J21 A HAANTJES CERTIFISC OUDENAARDE</v>
      </c>
      <c r="D228" t="str">
        <f t="shared" si="3"/>
        <v>J21 A</v>
      </c>
      <c r="E228" t="str">
        <f>'Sorted by Team'!B228</f>
        <v>wtbi.verstraete@gmail.com</v>
      </c>
      <c r="F228" t="str">
        <f>'Sorted by Team'!C228</f>
        <v>+32468305290</v>
      </c>
    </row>
    <row r="229" spans="1:6" x14ac:dyDescent="0.3">
      <c r="A229" t="str">
        <v>Bo Bauters</v>
      </c>
      <c r="B229" t="str">
        <v>https://app.twizzit.com/public/photos/3472864/s/02d5da48533f12868f14fb4b62a0634d769bf8a7.png</v>
      </c>
      <c r="C229" t="str">
        <v>M10 HAANTJES CERTIFISC OUDENAARDE</v>
      </c>
      <c r="D229" t="str">
        <f t="shared" si="3"/>
        <v>M10</v>
      </c>
      <c r="E229" t="str">
        <f>'Sorted by Team'!B229</f>
        <v>Jurgenbauters@gmail.com</v>
      </c>
      <c r="F229" t="str">
        <f>'Sorted by Team'!C229</f>
        <v>+32497533520</v>
      </c>
    </row>
    <row r="230" spans="1:6" x14ac:dyDescent="0.3">
      <c r="A230" t="str">
        <v>Karen Dans</v>
      </c>
      <c r="B230" t="str">
        <v>https://app.twizzit.com/public/photos/2182586/s/3c061ecaa7eb60b4e8b27f2490fa3fff24778b0c.png</v>
      </c>
      <c r="C230" t="str">
        <v>M10 HAANTJES CERTIFISC OUDENAARDE</v>
      </c>
      <c r="D230" t="str">
        <f t="shared" si="3"/>
        <v>M10</v>
      </c>
      <c r="E230" t="str">
        <f>'Sorted by Team'!B230</f>
        <v/>
      </c>
      <c r="F230" t="str">
        <f>'Sorted by Team'!C230</f>
        <v>+32494698322</v>
      </c>
    </row>
    <row r="231" spans="1:6" x14ac:dyDescent="0.3">
      <c r="A231" t="str">
        <v>Camille De vreese</v>
      </c>
      <c r="B231" t="str">
        <v>https://app.twizzit.com/public/photos/7284534/s/89166ad605bd29d54909fd3e80a34843f88650ec.png</v>
      </c>
      <c r="C231" t="str">
        <v>M10 HAANTJES CERTIFISC OUDENAARDE</v>
      </c>
      <c r="D231" t="str">
        <f t="shared" si="3"/>
        <v>M10</v>
      </c>
      <c r="E231" t="str">
        <f>'Sorted by Team'!B231</f>
        <v/>
      </c>
      <c r="F231" t="str">
        <f>'Sorted by Team'!C231</f>
        <v>+32498651266</v>
      </c>
    </row>
    <row r="232" spans="1:6" x14ac:dyDescent="0.3">
      <c r="A232" t="str">
        <v>Renée Deraedt</v>
      </c>
      <c r="B232" t="str">
        <v>https://app.twizzit.com/public/photos/7328300/s/7e2d6dfb7100b0ca8feb8f22a68ce2009271348a.png</v>
      </c>
      <c r="C232" t="str">
        <v>M10 HAANTJES CERTIFISC OUDENAARDE</v>
      </c>
      <c r="D232" t="str">
        <f t="shared" si="3"/>
        <v>M10</v>
      </c>
      <c r="E232" t="str">
        <f>'Sorted by Team'!B232</f>
        <v/>
      </c>
      <c r="F232" t="str">
        <f>'Sorted by Team'!C232</f>
        <v>+32477714035</v>
      </c>
    </row>
    <row r="233" spans="1:6" x14ac:dyDescent="0.3">
      <c r="A233" t="str">
        <v>Fadila Ettijrini</v>
      </c>
      <c r="B233" t="str">
        <v/>
      </c>
      <c r="C233" t="str">
        <v>M10 HAANTJES CERTIFISC OUDENAARDE</v>
      </c>
      <c r="D233" t="str">
        <f t="shared" si="3"/>
        <v>M10</v>
      </c>
      <c r="E233" t="str">
        <f>'Sorted by Team'!B233</f>
        <v/>
      </c>
      <c r="F233" t="str">
        <f>'Sorted by Team'!C233</f>
        <v>+32470221432</v>
      </c>
    </row>
    <row r="234" spans="1:6" x14ac:dyDescent="0.3">
      <c r="A234" t="str">
        <v>Alixe Geenens</v>
      </c>
      <c r="B234" t="str">
        <v/>
      </c>
      <c r="C234" t="str">
        <v>M10 HAANTJES CERTIFISC OUDENAARDE</v>
      </c>
      <c r="D234" t="str">
        <f t="shared" si="3"/>
        <v>M10</v>
      </c>
      <c r="E234" t="str">
        <f>'Sorted by Team'!B234</f>
        <v>stephengeenens@gmail.com</v>
      </c>
      <c r="F234" t="str">
        <f>'Sorted by Team'!C234</f>
        <v>+32494195355</v>
      </c>
    </row>
    <row r="235" spans="1:6" x14ac:dyDescent="0.3">
      <c r="A235" t="str">
        <v>Dea Gocaj</v>
      </c>
      <c r="B235" t="str">
        <v/>
      </c>
      <c r="C235" t="str">
        <v>M10 HAANTJES CERTIFISC OUDENAARDE</v>
      </c>
      <c r="D235" t="str">
        <f t="shared" si="3"/>
        <v>M10</v>
      </c>
      <c r="E235" t="str">
        <f>'Sorted by Team'!B235</f>
        <v/>
      </c>
      <c r="F235" t="str">
        <f>'Sorted by Team'!C235</f>
        <v>+32465136417</v>
      </c>
    </row>
    <row r="236" spans="1:6" x14ac:dyDescent="0.3">
      <c r="A236" t="str">
        <v>Magalie Stevens</v>
      </c>
      <c r="B236" t="str">
        <v/>
      </c>
      <c r="C236" t="str">
        <v>M10 HAANTJES CERTIFISC OUDENAARDE</v>
      </c>
      <c r="D236" t="str">
        <f t="shared" si="3"/>
        <v>M10</v>
      </c>
      <c r="E236" t="str">
        <f>'Sorted by Team'!B236</f>
        <v>safadorote3@gmail.com</v>
      </c>
      <c r="F236" t="str">
        <f>'Sorted by Team'!C236</f>
        <v>+32477968913</v>
      </c>
    </row>
    <row r="237" spans="1:6" x14ac:dyDescent="0.3">
      <c r="A237" t="str">
        <v>Maiga Stevens</v>
      </c>
      <c r="B237" t="str">
        <v/>
      </c>
      <c r="C237" t="str">
        <v>M10 HAANTJES CERTIFISC OUDENAARDE</v>
      </c>
      <c r="D237" t="str">
        <f t="shared" si="3"/>
        <v>M10</v>
      </c>
      <c r="E237" t="str">
        <f>'Sorted by Team'!B237</f>
        <v>safadorote3@gmail.com</v>
      </c>
      <c r="F237" t="str">
        <f>'Sorted by Team'!C237</f>
        <v>+32477968913</v>
      </c>
    </row>
    <row r="238" spans="1:6" x14ac:dyDescent="0.3">
      <c r="A238" t="str">
        <v>Ella Van de zande</v>
      </c>
      <c r="B238" t="str">
        <v>https://app.twizzit.com/public/photos/7665003/s/5ed58413208ebbb451d8f9179fc6141b44a190fa.png</v>
      </c>
      <c r="C238" t="str">
        <v>M10 HAANTJES CERTIFISC OUDENAARDE</v>
      </c>
      <c r="D238" t="str">
        <f t="shared" si="3"/>
        <v>M10</v>
      </c>
      <c r="E238" t="str">
        <f>'Sorted by Team'!B238</f>
        <v>piekske007@yahoo.com</v>
      </c>
      <c r="F238" t="str">
        <f>'Sorted by Team'!C238</f>
        <v>+32486372617</v>
      </c>
    </row>
    <row r="239" spans="1:6" x14ac:dyDescent="0.3">
      <c r="A239" t="str">
        <v>Jeanne Waelkens</v>
      </c>
      <c r="B239" t="str">
        <v>https://app.twizzit.com/public/photos/3437291/s/f3577d619164c0e4ca4ac15321e6e9e51e00ea9d.png</v>
      </c>
      <c r="C239" t="str">
        <v>M10 HAANTJES CERTIFISC OUDENAARDE</v>
      </c>
      <c r="D239" t="str">
        <f t="shared" si="3"/>
        <v>M10</v>
      </c>
      <c r="E239" t="str">
        <f>'Sorted by Team'!B239</f>
        <v/>
      </c>
      <c r="F239" t="str">
        <f>'Sorted by Team'!C239</f>
        <v>+32495460727</v>
      </c>
    </row>
    <row r="240" spans="1:6" x14ac:dyDescent="0.3">
      <c r="A240" t="str">
        <v>Noa Bauters</v>
      </c>
      <c r="B240" t="str">
        <v>https://app.twizzit.com/public/photos/11846410/s/0498863fb0a62c783eced92596a817e3339dca11.jpeg</v>
      </c>
      <c r="C240" t="str">
        <v>M12 A HAANTJES CERTIFISC OUDENAARDE</v>
      </c>
      <c r="D240" t="str">
        <f t="shared" si="3"/>
        <v>M12 A</v>
      </c>
      <c r="E240" t="str">
        <f>'Sorted by Team'!B240</f>
        <v>Jurgenbauters@gmail.com</v>
      </c>
      <c r="F240" t="str">
        <f>'Sorted by Team'!C240</f>
        <v>+32497533520</v>
      </c>
    </row>
    <row r="241" spans="1:6" x14ac:dyDescent="0.3">
      <c r="A241" t="str">
        <v>Iris Calewaert</v>
      </c>
      <c r="B241" t="str">
        <v/>
      </c>
      <c r="C241" t="str">
        <v>M12 A HAANTJES CERTIFISC OUDENAARDE</v>
      </c>
      <c r="D241" t="str">
        <f t="shared" si="3"/>
        <v>M12 A</v>
      </c>
      <c r="E241" t="str">
        <f>'Sorted by Team'!B241</f>
        <v/>
      </c>
      <c r="F241" t="str">
        <f>'Sorted by Team'!C241</f>
        <v>+32479373164</v>
      </c>
    </row>
    <row r="242" spans="1:6" x14ac:dyDescent="0.3">
      <c r="A242" t="str">
        <v>Minne De Coninck</v>
      </c>
      <c r="B242" t="str">
        <v/>
      </c>
      <c r="C242" t="str">
        <v>M12 A HAANTJES CERTIFISC OUDENAARDE</v>
      </c>
      <c r="D242" t="str">
        <f t="shared" si="3"/>
        <v>M12 A</v>
      </c>
      <c r="E242" t="str">
        <f>'Sorted by Team'!B242</f>
        <v>joosdeconinck@hotmail.com</v>
      </c>
      <c r="F242" t="str">
        <f>'Sorted by Team'!C242</f>
        <v>+32479602944</v>
      </c>
    </row>
    <row r="243" spans="1:6" x14ac:dyDescent="0.3">
      <c r="A243" t="str">
        <v>Mary-Lou De Keukeleire</v>
      </c>
      <c r="B243" t="str">
        <v>https://app.twizzit.com/public/photos/7663442/s/a1e4c1d99d71fda9ac80bca383a3ddb377005195.png</v>
      </c>
      <c r="C243" t="str">
        <v>M12 A HAANTJES CERTIFISC OUDENAARDE</v>
      </c>
      <c r="D243" t="str">
        <f t="shared" si="3"/>
        <v>M12 A</v>
      </c>
      <c r="E243" t="str">
        <f>'Sorted by Team'!B243</f>
        <v/>
      </c>
      <c r="F243" t="str">
        <f>'Sorted by Team'!C243</f>
        <v>+32498363470</v>
      </c>
    </row>
    <row r="244" spans="1:6" x14ac:dyDescent="0.3">
      <c r="A244" t="str">
        <v>Gaëlle de la Rivière</v>
      </c>
      <c r="B244" t="str">
        <v/>
      </c>
      <c r="C244" t="str">
        <v>M12 A HAANTJES CERTIFISC OUDENAARDE</v>
      </c>
      <c r="D244" t="str">
        <f t="shared" si="3"/>
        <v>M12 A</v>
      </c>
      <c r="E244" t="str">
        <f>'Sorted by Team'!B244</f>
        <v>dlrgeoffrey@gmail.com</v>
      </c>
      <c r="F244" t="str">
        <f>'Sorted by Team'!C244</f>
        <v>+32494773553</v>
      </c>
    </row>
    <row r="245" spans="1:6" x14ac:dyDescent="0.3">
      <c r="A245" t="str">
        <v>Emmanuelle Dewaele</v>
      </c>
      <c r="B245" t="str">
        <v/>
      </c>
      <c r="C245" t="str">
        <v>M12 A HAANTJES CERTIFISC OUDENAARDE</v>
      </c>
      <c r="D245" t="str">
        <f t="shared" si="3"/>
        <v>M12 A</v>
      </c>
      <c r="E245" t="str">
        <f>'Sorted by Team'!B245</f>
        <v/>
      </c>
      <c r="F245" t="str">
        <f>'Sorted by Team'!C245</f>
        <v>+32498070140</v>
      </c>
    </row>
    <row r="246" spans="1:6" x14ac:dyDescent="0.3">
      <c r="A246" t="str">
        <v>Maud Lacres</v>
      </c>
      <c r="B246" t="str">
        <v>https://app.twizzit.com/public/photos/7284400/s/788dc5308deee743b8d2d9764e0824010b7633fe.png</v>
      </c>
      <c r="C246" t="str">
        <v>M12 A HAANTJES CERTIFISC OUDENAARDE</v>
      </c>
      <c r="D246" t="str">
        <f t="shared" si="3"/>
        <v>M12 A</v>
      </c>
      <c r="E246" t="str">
        <f>'Sorted by Team'!B246</f>
        <v>taelman.elke@gmail.com</v>
      </c>
      <c r="F246" t="str">
        <f>'Sorted by Team'!C246</f>
        <v>+32486264195</v>
      </c>
    </row>
    <row r="247" spans="1:6" x14ac:dyDescent="0.3">
      <c r="A247" t="str">
        <v>Babet Laurez</v>
      </c>
      <c r="B247" t="str">
        <v/>
      </c>
      <c r="C247" t="str">
        <v>M12 A HAANTJES CERTIFISC OUDENAARDE</v>
      </c>
      <c r="D247" t="str">
        <f t="shared" si="3"/>
        <v>M12 A</v>
      </c>
      <c r="E247" t="str">
        <f>'Sorted by Team'!B247</f>
        <v/>
      </c>
      <c r="F247" t="str">
        <f>'Sorted by Team'!C247</f>
        <v>+32477501978</v>
      </c>
    </row>
    <row r="248" spans="1:6" x14ac:dyDescent="0.3">
      <c r="A248" t="str">
        <v>Felice Libert</v>
      </c>
      <c r="B248" t="str">
        <v>https://app.twizzit.com/public/photos/7279180/s/1c5d9fda02031baa486ebec940b4c251ec4b6762.png</v>
      </c>
      <c r="C248" t="str">
        <v>M12 A HAANTJES CERTIFISC OUDENAARDE</v>
      </c>
      <c r="D248" t="str">
        <f t="shared" si="3"/>
        <v>M12 A</v>
      </c>
      <c r="E248" t="str">
        <f>'Sorted by Team'!B248</f>
        <v/>
      </c>
      <c r="F248" t="str">
        <f>'Sorted by Team'!C248</f>
        <v>+32473780275</v>
      </c>
    </row>
    <row r="249" spans="1:6" x14ac:dyDescent="0.3">
      <c r="A249" t="str">
        <v>Loes Van de Populiere</v>
      </c>
      <c r="B249" t="str">
        <v/>
      </c>
      <c r="C249" t="str">
        <v>M12 A HAANTJES CERTIFISC OUDENAARDE</v>
      </c>
      <c r="D249" t="str">
        <f t="shared" si="3"/>
        <v>M12 A</v>
      </c>
      <c r="E249" t="str">
        <f>'Sorted by Team'!B249</f>
        <v>biekemoone@hotmail.com</v>
      </c>
      <c r="F249" t="str">
        <f>'Sorted by Team'!C249</f>
        <v>+32477353878</v>
      </c>
    </row>
    <row r="250" spans="1:6" x14ac:dyDescent="0.3">
      <c r="A250" t="str">
        <v>Emma Van Nieuwenhuyze</v>
      </c>
      <c r="B250" t="str">
        <v/>
      </c>
      <c r="C250" t="str">
        <v>M12 A HAANTJES CERTIFISC OUDENAARDE</v>
      </c>
      <c r="D250" t="str">
        <f t="shared" si="3"/>
        <v>M12 A</v>
      </c>
      <c r="E250" t="str">
        <f>'Sorted by Team'!B250</f>
        <v>maaikeschiettecatte@gmail.com</v>
      </c>
      <c r="F250" t="str">
        <f>'Sorted by Team'!C250</f>
        <v>+32477259667</v>
      </c>
    </row>
    <row r="251" spans="1:6" x14ac:dyDescent="0.3">
      <c r="A251" t="str">
        <v>Joselien Vannieuwenhuyze</v>
      </c>
      <c r="B251" t="str">
        <v>https://app.twizzit.com/public/photos/7500726/s/2eff7ed0f6739149e998067c7d82dda70894fc63.png</v>
      </c>
      <c r="C251" t="str">
        <v>M12 A HAANTJES CERTIFISC OUDENAARDE</v>
      </c>
      <c r="D251" t="str">
        <f t="shared" si="3"/>
        <v>M12 A</v>
      </c>
      <c r="E251" t="str">
        <f>'Sorted by Team'!B251</f>
        <v>elisabeth.vercammen@outlook.com</v>
      </c>
      <c r="F251" t="str">
        <f>'Sorted by Team'!C251</f>
        <v>+32494645568</v>
      </c>
    </row>
    <row r="252" spans="1:6" x14ac:dyDescent="0.3">
      <c r="A252" t="str">
        <v>Mare Anseeuw</v>
      </c>
      <c r="B252" t="str">
        <v>https://app.twizzit.com/public/photos/2182456/s/112b54676bd1e925e699cce3ec7a25a94902a3a2.png</v>
      </c>
      <c r="C252" t="str">
        <v>M14 A Haantjes CERTIFISC  Oudenaarde</v>
      </c>
      <c r="D252" t="str">
        <f t="shared" si="3"/>
        <v>M14 A</v>
      </c>
      <c r="E252" t="str">
        <f>'Sorted by Team'!B252</f>
        <v>matthias.anseeuw@telenet.be</v>
      </c>
      <c r="F252" t="str">
        <f>'Sorted by Team'!C252</f>
        <v>+32497023380</v>
      </c>
    </row>
    <row r="253" spans="1:6" x14ac:dyDescent="0.3">
      <c r="A253" t="str">
        <v>Janna Bauters</v>
      </c>
      <c r="B253" t="str">
        <v>https://app.twizzit.com/public/photos/2182476/s/d120dcfc0ec82f0d803829f917b4287681f3dd01.png</v>
      </c>
      <c r="C253" t="str">
        <v>M14 A Haantjes CERTIFISC  Oudenaarde</v>
      </c>
      <c r="D253" t="str">
        <f t="shared" si="3"/>
        <v>M14 A</v>
      </c>
      <c r="E253" t="str">
        <f>'Sorted by Team'!B253</f>
        <v/>
      </c>
      <c r="F253" t="str">
        <f>'Sorted by Team'!C253</f>
        <v>+32474344132</v>
      </c>
    </row>
    <row r="254" spans="1:6" x14ac:dyDescent="0.3">
      <c r="A254" t="str">
        <v>Celeste Blancke</v>
      </c>
      <c r="B254" t="str">
        <v>https://app.twizzit.com/public/photos/3500953/s/601083ebf506787be01432d1e891039519c5d9b6.jpeg</v>
      </c>
      <c r="C254" t="str">
        <v>M14 A Haantjes CERTIFISC  Oudenaarde</v>
      </c>
      <c r="D254" t="str">
        <f t="shared" si="3"/>
        <v>M14 A</v>
      </c>
      <c r="E254" t="str">
        <f>'Sorted by Team'!B254</f>
        <v/>
      </c>
      <c r="F254" t="str">
        <f>'Sorted by Team'!C254</f>
        <v>+32473412540</v>
      </c>
    </row>
    <row r="255" spans="1:6" x14ac:dyDescent="0.3">
      <c r="A255" t="str">
        <v>Ella-Marie Crombez</v>
      </c>
      <c r="B255" t="str">
        <v/>
      </c>
      <c r="C255" t="str">
        <v>M14 A Haantjes CERTIFISC  Oudenaarde</v>
      </c>
      <c r="D255" t="str">
        <f t="shared" si="3"/>
        <v>M14 A</v>
      </c>
      <c r="E255" t="str">
        <f>'Sorted by Team'!B255</f>
        <v>Tom.crombez@gmail.com</v>
      </c>
      <c r="F255" t="str">
        <f>'Sorted by Team'!C255</f>
        <v>+32474828659</v>
      </c>
    </row>
    <row r="256" spans="1:6" x14ac:dyDescent="0.3">
      <c r="A256" t="str">
        <v>Limme De Zitter</v>
      </c>
      <c r="B256" t="str">
        <v/>
      </c>
      <c r="C256" t="str">
        <v>M14 A Haantjes CERTIFISC  Oudenaarde</v>
      </c>
      <c r="D256" t="str">
        <f t="shared" si="3"/>
        <v>M14 A</v>
      </c>
      <c r="E256" t="str">
        <f>'Sorted by Team'!B256</f>
        <v>de.zitter.steve@gmail.com</v>
      </c>
      <c r="F256" t="str">
        <f>'Sorted by Team'!C256</f>
        <v>+32473423222</v>
      </c>
    </row>
    <row r="257" spans="1:6" x14ac:dyDescent="0.3">
      <c r="A257" t="str">
        <v>Ode Desmet</v>
      </c>
      <c r="B257" t="str">
        <v>https://app.twizzit.com/public/photos/2650916/s/be89217f1fc3b11d85c4b13abcca39bae64798e5.png</v>
      </c>
      <c r="C257" t="str">
        <v>M14 A Haantjes CERTIFISC  Oudenaarde</v>
      </c>
      <c r="D257" t="str">
        <f t="shared" si="3"/>
        <v>M14 A</v>
      </c>
      <c r="E257" t="str">
        <f>'Sorted by Team'!B257</f>
        <v>freyamalfait@icloud.com</v>
      </c>
      <c r="F257" t="str">
        <f>'Sorted by Team'!C257</f>
        <v>+32472832063</v>
      </c>
    </row>
    <row r="258" spans="1:6" x14ac:dyDescent="0.3">
      <c r="A258" t="str">
        <v>Celeste Geenens</v>
      </c>
      <c r="B258" t="str">
        <v/>
      </c>
      <c r="C258" t="str">
        <v>M14 A Haantjes CERTIFISC  Oudenaarde</v>
      </c>
      <c r="D258" t="str">
        <f t="shared" si="3"/>
        <v>M14 A</v>
      </c>
      <c r="E258" t="str">
        <f>'Sorted by Team'!B258</f>
        <v>stephengeenens@gmail.com</v>
      </c>
      <c r="F258" t="str">
        <f>'Sorted by Team'!C258</f>
        <v>+32494195355</v>
      </c>
    </row>
    <row r="259" spans="1:6" x14ac:dyDescent="0.3">
      <c r="A259" t="str">
        <v>Julie Orbie</v>
      </c>
      <c r="B259" t="str">
        <v/>
      </c>
      <c r="C259" t="str">
        <v>M14 A Haantjes CERTIFISC  Oudenaarde</v>
      </c>
      <c r="D259" t="str">
        <f t="shared" ref="D259:D322" si="4">TRIM(SUBSTITUTE(SUBSTITUTE(SUBSTITUTE(SUBSTITUTE(TRIM(SUBSTITUTE(SUBSTITUTE(SUBSTITUTE(C259,"  "," "),"HAANTJES CERTIFISC OUDENAARDE",""),"Haantjes CERTIFISC Oudenaarde",""))," Geel","")," Blauw","")," Groen",""),"Haantjes Certifisc Oudenaarde",""))</f>
        <v>M14 A</v>
      </c>
      <c r="E259" t="str">
        <f>'Sorted by Team'!B259</f>
        <v/>
      </c>
      <c r="F259" t="str">
        <f>'Sorted by Team'!C259</f>
        <v>+32472656820</v>
      </c>
    </row>
    <row r="260" spans="1:6" x14ac:dyDescent="0.3">
      <c r="A260" t="str">
        <v>Emlin Rommens</v>
      </c>
      <c r="B260" t="str">
        <v>https://app.twizzit.com/public/photos/2650641/s/248b205ecc69fd455c13ac7cc9deb76d11e361a0.png</v>
      </c>
      <c r="C260" t="str">
        <v>M14 A Haantjes CERTIFISC  Oudenaarde</v>
      </c>
      <c r="D260" t="str">
        <f t="shared" si="4"/>
        <v>M14 A</v>
      </c>
      <c r="E260" t="str">
        <f>'Sorted by Team'!B260</f>
        <v>pieterrommens@hotmail.be</v>
      </c>
      <c r="F260" t="str">
        <f>'Sorted by Team'!C260</f>
        <v>+32470513652</v>
      </c>
    </row>
    <row r="261" spans="1:6" x14ac:dyDescent="0.3">
      <c r="A261" t="str">
        <v>Merel Spiessens</v>
      </c>
      <c r="B261" t="str">
        <v>https://app.twizzit.com/public/photos/2183207/s/cd9fd40cf38cd1eb62df0198f102c2154c08c604.jpeg</v>
      </c>
      <c r="C261" t="str">
        <v>M14 A Haantjes CERTIFISC  Oudenaarde</v>
      </c>
      <c r="D261" t="str">
        <f t="shared" si="4"/>
        <v>M14 A</v>
      </c>
      <c r="E261" t="str">
        <f>'Sorted by Team'!B261</f>
        <v>Me@opcd.net</v>
      </c>
      <c r="F261" t="str">
        <f>'Sorted by Team'!C261</f>
        <v>+32474655154</v>
      </c>
    </row>
    <row r="262" spans="1:6" x14ac:dyDescent="0.3">
      <c r="A262" t="str">
        <v>Olivia Vanbutsele</v>
      </c>
      <c r="B262" t="str">
        <v>https://app.twizzit.com/public/photos/4292310/s/063d2ce017539cf8df316f28e3a639739d1c1148.jpeg</v>
      </c>
      <c r="C262" t="str">
        <v>M14 A Haantjes CERTIFISC  Oudenaarde</v>
      </c>
      <c r="D262" t="str">
        <f t="shared" si="4"/>
        <v>M14 A</v>
      </c>
      <c r="E262" t="str">
        <f>'Sorted by Team'!B262</f>
        <v>Mike.vb@telenet.be</v>
      </c>
      <c r="F262" t="str">
        <f>'Sorted by Team'!C262</f>
        <v>+32483081624</v>
      </c>
    </row>
    <row r="263" spans="1:6" x14ac:dyDescent="0.3">
      <c r="A263" t="str">
        <v>Isa Ameloot-Vanhove</v>
      </c>
      <c r="B263" t="str">
        <v>https://app.twizzit.com/public/photos/5115343/s/0e6908415a8d44c9a80019c8bc87b39596577cc5.jpeg</v>
      </c>
      <c r="C263" t="str">
        <v>M16 A Haantjes CERTIFISC  Oudenaarde</v>
      </c>
      <c r="D263" t="str">
        <f t="shared" si="4"/>
        <v>M16 A</v>
      </c>
      <c r="E263" t="str">
        <f>'Sorted by Team'!B263</f>
        <v>sofie.ameloot@huurland.be</v>
      </c>
      <c r="F263" t="str">
        <f>'Sorted by Team'!C263</f>
        <v>+32483203613</v>
      </c>
    </row>
    <row r="264" spans="1:6" x14ac:dyDescent="0.3">
      <c r="A264" t="str">
        <v>Merel Blancke</v>
      </c>
      <c r="B264" t="str">
        <v>https://app.twizzit.com/public/photos/5568565/s/d285ba208d969f77d6c249fb61359c50c614e6ac.png</v>
      </c>
      <c r="C264" t="str">
        <v>M16 A Haantjes CERTIFISC  Oudenaarde</v>
      </c>
      <c r="D264" t="str">
        <f t="shared" si="4"/>
        <v>M16 A</v>
      </c>
      <c r="E264" t="str">
        <f>'Sorted by Team'!B264</f>
        <v/>
      </c>
      <c r="F264" t="str">
        <f>'Sorted by Team'!C264</f>
        <v>+32478385011</v>
      </c>
    </row>
    <row r="265" spans="1:6" x14ac:dyDescent="0.3">
      <c r="A265" t="str">
        <v>Luca Boullart</v>
      </c>
      <c r="B265" t="str">
        <v/>
      </c>
      <c r="C265" t="str">
        <v>M16 A Haantjes CERTIFISC  Oudenaarde</v>
      </c>
      <c r="D265" t="str">
        <f t="shared" si="4"/>
        <v>M16 A</v>
      </c>
      <c r="E265" t="str">
        <f>'Sorted by Team'!B265</f>
        <v>maggy.hombecq@hotmail.com</v>
      </c>
      <c r="F265" t="str">
        <f>'Sorted by Team'!C265</f>
        <v>+32475558448</v>
      </c>
    </row>
    <row r="266" spans="1:6" x14ac:dyDescent="0.3">
      <c r="A266" t="str">
        <v>Pip Dawyndt</v>
      </c>
      <c r="B266" t="str">
        <v/>
      </c>
      <c r="C266" t="str">
        <v>M16 A Haantjes CERTIFISC  Oudenaarde</v>
      </c>
      <c r="D266" t="str">
        <f t="shared" si="4"/>
        <v>M16 A</v>
      </c>
      <c r="E266" t="str">
        <f>'Sorted by Team'!B266</f>
        <v/>
      </c>
      <c r="F266" t="str">
        <f>'Sorted by Team'!C266</f>
        <v>+32473746819</v>
      </c>
    </row>
    <row r="267" spans="1:6" x14ac:dyDescent="0.3">
      <c r="A267" t="str">
        <v>Maure De Coen</v>
      </c>
      <c r="B267" t="str">
        <v/>
      </c>
      <c r="C267" t="str">
        <v>M16 A Haantjes CERTIFISC  Oudenaarde</v>
      </c>
      <c r="D267" t="str">
        <f t="shared" si="4"/>
        <v>M16 A</v>
      </c>
      <c r="E267" t="str">
        <f>'Sorted by Team'!B267</f>
        <v>Achimdecoen@hotmail.com</v>
      </c>
      <c r="F267" t="str">
        <f>'Sorted by Team'!C267</f>
        <v>+32479655812</v>
      </c>
    </row>
    <row r="268" spans="1:6" x14ac:dyDescent="0.3">
      <c r="A268" t="str">
        <v>Jamila Ettijrini</v>
      </c>
      <c r="B268" t="str">
        <v/>
      </c>
      <c r="C268" t="str">
        <v>M16 A Haantjes CERTIFISC  Oudenaarde</v>
      </c>
      <c r="D268" t="str">
        <f t="shared" si="4"/>
        <v>M16 A</v>
      </c>
      <c r="E268" t="str">
        <f>'Sorted by Team'!B268</f>
        <v/>
      </c>
      <c r="F268" t="str">
        <f>'Sorted by Team'!C268</f>
        <v>+32470221432</v>
      </c>
    </row>
    <row r="269" spans="1:6" x14ac:dyDescent="0.3">
      <c r="A269" t="str">
        <v>Chloé Faelens</v>
      </c>
      <c r="B269" t="str">
        <v>https://app.twizzit.com/public/photos/4276094/s/88cd5d3554278fc03aae2c2a9989ae19589b1181.png</v>
      </c>
      <c r="C269" t="str">
        <v>M16 A Haantjes CERTIFISC  Oudenaarde</v>
      </c>
      <c r="D269" t="str">
        <f t="shared" si="4"/>
        <v>M16 A</v>
      </c>
      <c r="E269" t="str">
        <f>'Sorted by Team'!B269</f>
        <v/>
      </c>
      <c r="F269" t="str">
        <f>'Sorted by Team'!C269</f>
        <v>+32472960602</v>
      </c>
    </row>
    <row r="270" spans="1:6" x14ac:dyDescent="0.3">
      <c r="A270" t="str">
        <v>Laura Hakuzimana</v>
      </c>
      <c r="B270" t="str">
        <v/>
      </c>
      <c r="C270" t="str">
        <v>M16 A Haantjes CERTIFISC  Oudenaarde</v>
      </c>
      <c r="D270" t="str">
        <f t="shared" si="4"/>
        <v>M16 A</v>
      </c>
      <c r="E270" t="str">
        <f>'Sorted by Team'!B270</f>
        <v/>
      </c>
      <c r="F270" t="str">
        <f>'Sorted by Team'!C270</f>
        <v>+32496950967</v>
      </c>
    </row>
    <row r="271" spans="1:6" x14ac:dyDescent="0.3">
      <c r="A271" t="str">
        <v>Ron Heestermans</v>
      </c>
      <c r="B271" t="str">
        <v/>
      </c>
      <c r="C271" t="str">
        <v>M16 A Haantjes CERTIFISC  Oudenaarde</v>
      </c>
      <c r="D271" t="str">
        <f t="shared" si="4"/>
        <v>M16 A</v>
      </c>
      <c r="E271" t="str">
        <f>'Sorted by Team'!B271</f>
        <v/>
      </c>
      <c r="F271" t="str">
        <f>'Sorted by Team'!C271</f>
        <v>+32468152536</v>
      </c>
    </row>
    <row r="272" spans="1:6" x14ac:dyDescent="0.3">
      <c r="A272" t="str">
        <v>Dréa Maes</v>
      </c>
      <c r="B272" t="str">
        <v>https://app.twizzit.com/public/photos/3412861/s/5d2322ba0de7264fd5ba0170cc29e82844de05d5.png</v>
      </c>
      <c r="C272" t="str">
        <v>M16 A Haantjes CERTIFISC  Oudenaarde</v>
      </c>
      <c r="D272" t="str">
        <f t="shared" si="4"/>
        <v>M16 A</v>
      </c>
      <c r="E272" t="str">
        <f>'Sorted by Team'!B272</f>
        <v>Joke.merlaen@gmail.com</v>
      </c>
      <c r="F272" t="str">
        <f>'Sorted by Team'!C272</f>
        <v/>
      </c>
    </row>
    <row r="273" spans="1:6" x14ac:dyDescent="0.3">
      <c r="A273" t="str">
        <v>Elisabeth Saveyn</v>
      </c>
      <c r="B273" t="str">
        <v/>
      </c>
      <c r="C273" t="str">
        <v>M16 A Haantjes CERTIFISC  Oudenaarde</v>
      </c>
      <c r="D273" t="str">
        <f t="shared" si="4"/>
        <v>M16 A</v>
      </c>
      <c r="E273" t="str">
        <f>'Sorted by Team'!B273</f>
        <v>moonvanneste@hotmail.com</v>
      </c>
      <c r="F273" t="str">
        <f>'Sorted by Team'!C273</f>
        <v>+32496392369</v>
      </c>
    </row>
    <row r="274" spans="1:6" x14ac:dyDescent="0.3">
      <c r="A274" t="str">
        <v>Nona Schmitt</v>
      </c>
      <c r="B274" t="str">
        <v/>
      </c>
      <c r="C274" t="str">
        <v>M16 A Haantjes CERTIFISC  Oudenaarde</v>
      </c>
      <c r="D274" t="str">
        <f t="shared" si="4"/>
        <v>M16 A</v>
      </c>
      <c r="E274" t="str">
        <f>'Sorted by Team'!B274</f>
        <v>alexander.schmitt@authority.biz</v>
      </c>
      <c r="F274" t="str">
        <f>'Sorted by Team'!C274</f>
        <v>+32473761554</v>
      </c>
    </row>
    <row r="275" spans="1:6" x14ac:dyDescent="0.3">
      <c r="A275" t="str">
        <v>Anaïs Vanhessche</v>
      </c>
      <c r="B275" t="str">
        <v>https://app.twizzit.com/public/photos/2183392/s/3035381a43296f702255c02c3c99c4303bd9ab17.png</v>
      </c>
      <c r="C275" t="str">
        <v>M16 A Haantjes CERTIFISC  Oudenaarde</v>
      </c>
      <c r="D275" t="str">
        <f t="shared" si="4"/>
        <v>M16 A</v>
      </c>
      <c r="E275" t="str">
        <f>'Sorted by Team'!B275</f>
        <v>miekevanderhaeghen@gmail.com</v>
      </c>
      <c r="F275" t="str">
        <f>'Sorted by Team'!C275</f>
        <v>+32477741955</v>
      </c>
    </row>
    <row r="276" spans="1:6" x14ac:dyDescent="0.3">
      <c r="A276" t="str">
        <v>Emma Verleyen</v>
      </c>
      <c r="B276" t="str">
        <v/>
      </c>
      <c r="C276" t="str">
        <v>M16 A Haantjes CERTIFISC  Oudenaarde</v>
      </c>
      <c r="D276" t="str">
        <f t="shared" si="4"/>
        <v>M16 A</v>
      </c>
      <c r="E276" t="str">
        <f>'Sorted by Team'!B276</f>
        <v>emma.verleyen094@gmail.com</v>
      </c>
      <c r="F276" t="str">
        <f>'Sorted by Team'!C276</f>
        <v>+32496129595</v>
      </c>
    </row>
    <row r="277" spans="1:6" x14ac:dyDescent="0.3">
      <c r="A277" t="str">
        <v>Marie Bourdeaud'hui</v>
      </c>
      <c r="B277" t="str">
        <v>https://app.twizzit.com/public/photos/2182516/s/0d7291570c9e5cf142cd892c8fd7ace8c517270a.png</v>
      </c>
      <c r="C277" t="str">
        <v>M19 A Haantjes CERTIFISC Oudenaarde</v>
      </c>
      <c r="D277" t="str">
        <f t="shared" si="4"/>
        <v>M19 A</v>
      </c>
      <c r="E277" t="str">
        <f>'Sorted by Team'!B277</f>
        <v/>
      </c>
      <c r="F277" t="str">
        <f>'Sorted by Team'!C277</f>
        <v>+32572791</v>
      </c>
    </row>
    <row r="278" spans="1:6" x14ac:dyDescent="0.3">
      <c r="A278" t="str">
        <v>Lise Braem</v>
      </c>
      <c r="B278" t="str">
        <v>https://app.twizzit.com/public/photos/2182526/s/a821912bbd87d29337fbfbb0be2e91298bc55869.jpeg</v>
      </c>
      <c r="C278" t="str">
        <v>M19 A Haantjes CERTIFISC Oudenaarde</v>
      </c>
      <c r="D278" t="str">
        <f t="shared" si="4"/>
        <v>M19 A</v>
      </c>
      <c r="E278" t="str">
        <f>'Sorted by Team'!B278</f>
        <v>Braem.lise@gmail.com</v>
      </c>
      <c r="F278" t="str">
        <f>'Sorted by Team'!C278</f>
        <v/>
      </c>
    </row>
    <row r="279" spans="1:6" x14ac:dyDescent="0.3">
      <c r="A279" t="str">
        <v>Alice Cokelaere</v>
      </c>
      <c r="B279" t="str">
        <v/>
      </c>
      <c r="C279" t="str">
        <v>M19 A Haantjes CERTIFISC Oudenaarde</v>
      </c>
      <c r="D279" t="str">
        <f t="shared" si="4"/>
        <v>M19 A</v>
      </c>
      <c r="E279" t="str">
        <f>'Sorted by Team'!B279</f>
        <v>sofie.pattyn@telenet.be</v>
      </c>
      <c r="F279" t="str">
        <f>'Sorted by Team'!C279</f>
        <v>+32477681738</v>
      </c>
    </row>
    <row r="280" spans="1:6" x14ac:dyDescent="0.3">
      <c r="A280" t="str">
        <v>Dieuwke Decroix</v>
      </c>
      <c r="B280" t="str">
        <v/>
      </c>
      <c r="C280" t="str">
        <v>M19 A Haantjes CERTIFISC Oudenaarde</v>
      </c>
      <c r="D280" t="str">
        <f t="shared" si="4"/>
        <v>M19 A</v>
      </c>
      <c r="E280" t="str">
        <f>'Sorted by Team'!B280</f>
        <v>decroix.willem@gmail.com</v>
      </c>
      <c r="F280" t="str">
        <f>'Sorted by Team'!C280</f>
        <v>+32483596928</v>
      </c>
    </row>
    <row r="281" spans="1:6" x14ac:dyDescent="0.3">
      <c r="A281" t="str">
        <v>Lora Demets</v>
      </c>
      <c r="B281" t="str">
        <v/>
      </c>
      <c r="C281" t="str">
        <v>M19 A Haantjes CERTIFISC Oudenaarde</v>
      </c>
      <c r="D281" t="str">
        <f t="shared" si="4"/>
        <v>M19 A</v>
      </c>
      <c r="E281" t="str">
        <f>'Sorted by Team'!B281</f>
        <v>Lowie.demets@telenet.be</v>
      </c>
      <c r="F281" t="str">
        <f>'Sorted by Team'!C281</f>
        <v>+32474450168</v>
      </c>
    </row>
    <row r="282" spans="1:6" x14ac:dyDescent="0.3">
      <c r="A282" t="str">
        <v>Kenneth Dhont</v>
      </c>
      <c r="B282" t="str">
        <v/>
      </c>
      <c r="C282" t="str">
        <v>M19 A Haantjes CERTIFISC Oudenaarde</v>
      </c>
      <c r="D282" t="str">
        <f t="shared" si="4"/>
        <v>M19 A</v>
      </c>
      <c r="E282" t="str">
        <f>'Sorted by Team'!B282</f>
        <v/>
      </c>
      <c r="F282" t="str">
        <f>'Sorted by Team'!C282</f>
        <v>+32477485789</v>
      </c>
    </row>
    <row r="283" spans="1:6" x14ac:dyDescent="0.3">
      <c r="A283" t="str">
        <v>Heike Guenter</v>
      </c>
      <c r="B283" t="str">
        <v/>
      </c>
      <c r="C283" t="str">
        <v>M19 A Haantjes CERTIFISC Oudenaarde</v>
      </c>
      <c r="D283" t="str">
        <f t="shared" si="4"/>
        <v>M19 A</v>
      </c>
      <c r="E283" t="str">
        <f>'Sorted by Team'!B283</f>
        <v>Heike.guenter@telenet.be</v>
      </c>
      <c r="F283" t="str">
        <f>'Sorted by Team'!C283</f>
        <v>+32456085054</v>
      </c>
    </row>
    <row r="284" spans="1:6" x14ac:dyDescent="0.3">
      <c r="A284" t="str">
        <v>Janne Vandriessche</v>
      </c>
      <c r="B284" t="str">
        <v/>
      </c>
      <c r="C284" t="str">
        <v>M19 A Haantjes CERTIFISC Oudenaarde</v>
      </c>
      <c r="D284" t="str">
        <f t="shared" si="4"/>
        <v>M19 A</v>
      </c>
      <c r="E284" t="str">
        <f>'Sorted by Team'!B284</f>
        <v>wout.vandriessche@telenet.be</v>
      </c>
      <c r="F284" t="str">
        <f>'Sorted by Team'!C284</f>
        <v>+32474875556</v>
      </c>
    </row>
    <row r="285" spans="1:6" x14ac:dyDescent="0.3">
      <c r="A285" t="str">
        <v>Lente Verhaeghe</v>
      </c>
      <c r="B285" t="str">
        <v>https://app.twizzit.com/public/photos/3706826/s/7283d518f82547e0fb530790cddedb0edf0a5785.jpeg</v>
      </c>
      <c r="C285" t="str">
        <v>M19 A Haantjes CERTIFISC Oudenaarde</v>
      </c>
      <c r="D285" t="str">
        <f t="shared" si="4"/>
        <v>M19 A</v>
      </c>
      <c r="E285" t="str">
        <f>'Sorted by Team'!B285</f>
        <v>verhaeghelente@gmail.com</v>
      </c>
      <c r="F285" t="str">
        <f>'Sorted by Team'!C285</f>
        <v/>
      </c>
    </row>
    <row r="286" spans="1:6" x14ac:dyDescent="0.3">
      <c r="A286" t="str">
        <v>Lena Verschatse</v>
      </c>
      <c r="B286" t="str">
        <v/>
      </c>
      <c r="C286" t="str">
        <v>M19 A Haantjes CERTIFISC Oudenaarde</v>
      </c>
      <c r="D286" t="str">
        <f t="shared" si="4"/>
        <v>M19 A</v>
      </c>
      <c r="E286" t="str">
        <f>'Sorted by Team'!B286</f>
        <v/>
      </c>
      <c r="F286" t="str">
        <f>'Sorted by Team'!C286</f>
        <v>+32468516883</v>
      </c>
    </row>
    <row r="287" spans="1:6" x14ac:dyDescent="0.3">
      <c r="A287" t="str">
        <v>Lily Adam</v>
      </c>
      <c r="B287" t="str">
        <v>https://app.twizzit.com/public/photos/2182441/s/eec7946e1a9e80461f26752840c4aedc7d235bab.jpeg</v>
      </c>
      <c r="C287" t="str">
        <v xml:space="preserve">Trainerspoule </v>
      </c>
      <c r="D287" t="str">
        <f t="shared" si="4"/>
        <v>Trainerspoule</v>
      </c>
      <c r="E287" t="str">
        <f>'Sorted by Team'!B287</f>
        <v>Koenadam78@gmail.com</v>
      </c>
      <c r="F287" t="str">
        <f>'Sorted by Team'!C287</f>
        <v>+32456558867</v>
      </c>
    </row>
    <row r="288" spans="1:6" x14ac:dyDescent="0.3">
      <c r="A288" t="str">
        <v>Kimberley De Smet</v>
      </c>
      <c r="B288" t="str">
        <v>https://app.twizzit.com/public/photos/2182696/s/b3404003062e85e1b45f5fca9b0565fe70029286.png</v>
      </c>
      <c r="C288" t="str">
        <v xml:space="preserve">Trainerspoule </v>
      </c>
      <c r="D288" t="str">
        <f t="shared" si="4"/>
        <v>Trainerspoule</v>
      </c>
      <c r="E288" t="str">
        <f>'Sorted by Team'!B288</f>
        <v/>
      </c>
      <c r="F288" t="str">
        <f>'Sorted by Team'!C288</f>
        <v/>
      </c>
    </row>
    <row r="289" spans="1:6" x14ac:dyDescent="0.3">
      <c r="A289" t="str">
        <v>Tuur Genbrugge</v>
      </c>
      <c r="B289" t="str">
        <v/>
      </c>
      <c r="C289" t="str">
        <v xml:space="preserve">Trainerspoule </v>
      </c>
      <c r="D289" t="str">
        <f t="shared" si="4"/>
        <v>Trainerspoule</v>
      </c>
      <c r="E289" t="str">
        <f>'Sorted by Team'!B289</f>
        <v/>
      </c>
      <c r="F289" t="str">
        <f>'Sorted by Team'!C289</f>
        <v>+32486314030</v>
      </c>
    </row>
    <row r="290" spans="1:6" x14ac:dyDescent="0.3">
      <c r="A290" t="str">
        <v>Charlotte Van Moorleghem</v>
      </c>
      <c r="B290" t="str">
        <v/>
      </c>
      <c r="C290" t="str">
        <v xml:space="preserve">Trainerspoule </v>
      </c>
      <c r="D290" t="str">
        <f t="shared" si="4"/>
        <v>Trainerspoule</v>
      </c>
      <c r="E290" t="str">
        <f>'Sorted by Team'!B290</f>
        <v>charlotte.vanmoorleghem1@gmail.com</v>
      </c>
      <c r="F290" t="str">
        <f>'Sorted by Team'!C290</f>
        <v/>
      </c>
    </row>
    <row r="291" spans="1:6" x14ac:dyDescent="0.3">
      <c r="A291" t="str">
        <v>Lily Adam</v>
      </c>
      <c r="B291" t="str">
        <v>https://app.twizzit.com/public/photos/2182441/s/eec7946e1a9e80461f26752840c4aedc7d235bab.jpeg</v>
      </c>
      <c r="C291" t="str">
        <v>Zomerstage 2026 (Blankenberge)</v>
      </c>
      <c r="D291" t="str">
        <f t="shared" si="4"/>
        <v>Zomerstage 2026 (Blankenberge)</v>
      </c>
      <c r="E291" t="str">
        <f>'Sorted by Team'!B291</f>
        <v>Koenadam78@gmail.com</v>
      </c>
      <c r="F291" t="str">
        <f>'Sorted by Team'!C291</f>
        <v>+32456558867</v>
      </c>
    </row>
    <row r="292" spans="1:6" x14ac:dyDescent="0.3">
      <c r="A292" t="str">
        <v>Bent Anseeuw</v>
      </c>
      <c r="B292" t="str">
        <v>https://app.twizzit.com/public/photos/2182451/s/d40702514c4affc118f06eee4555b1ca966c4e65.png</v>
      </c>
      <c r="C292" t="str">
        <v>Zomerstage 2026 (Blankenberge)</v>
      </c>
      <c r="D292" t="str">
        <f t="shared" si="4"/>
        <v>Zomerstage 2026 (Blankenberge)</v>
      </c>
      <c r="E292" t="str">
        <f>'Sorted by Team'!B292</f>
        <v>bent.anseeuw@gmail.com</v>
      </c>
      <c r="F292" t="str">
        <f>'Sorted by Team'!C292</f>
        <v>+32497023380</v>
      </c>
    </row>
    <row r="293" spans="1:6" x14ac:dyDescent="0.3">
      <c r="A293" t="str">
        <v>Mare Anseeuw</v>
      </c>
      <c r="B293" t="str">
        <v>https://app.twizzit.com/public/photos/2182456/s/112b54676bd1e925e699cce3ec7a25a94902a3a2.png</v>
      </c>
      <c r="C293" t="str">
        <v>Zomerstage 2026 (Blankenberge)</v>
      </c>
      <c r="D293" t="str">
        <f t="shared" si="4"/>
        <v>Zomerstage 2026 (Blankenberge)</v>
      </c>
      <c r="E293" t="str">
        <f>'Sorted by Team'!B293</f>
        <v>matthias.anseeuw@telenet.be</v>
      </c>
      <c r="F293" t="str">
        <f>'Sorted by Team'!C293</f>
        <v>+32497023380</v>
      </c>
    </row>
    <row r="294" spans="1:6" x14ac:dyDescent="0.3">
      <c r="A294" t="str">
        <v>Vince Beke</v>
      </c>
      <c r="B294" t="str">
        <v>https://app.twizzit.com/public/photos/2182501/s/ff9efabb61fd27d35070a050abd98c15c9bfe6c5.png</v>
      </c>
      <c r="C294" t="str">
        <v>Zomerstage 2026 (Blankenberge)</v>
      </c>
      <c r="D294" t="str">
        <f t="shared" si="4"/>
        <v>Zomerstage 2026 (Blankenberge)</v>
      </c>
      <c r="E294" t="str">
        <f>'Sorted by Team'!B294</f>
        <v>wim.beke@telenet.be</v>
      </c>
      <c r="F294" t="str">
        <f>'Sorted by Team'!C294</f>
        <v>+32494534565</v>
      </c>
    </row>
    <row r="295" spans="1:6" x14ac:dyDescent="0.3">
      <c r="A295" t="str">
        <v>Celeste Blancke</v>
      </c>
      <c r="B295" t="str">
        <v>https://app.twizzit.com/public/photos/3500953/s/601083ebf506787be01432d1e891039519c5d9b6.jpeg</v>
      </c>
      <c r="C295" t="str">
        <v>Zomerstage 2026 (Blankenberge)</v>
      </c>
      <c r="D295" t="str">
        <f t="shared" si="4"/>
        <v>Zomerstage 2026 (Blankenberge)</v>
      </c>
      <c r="E295" t="str">
        <f>'Sorted by Team'!B295</f>
        <v/>
      </c>
      <c r="F295" t="str">
        <f>'Sorted by Team'!C295</f>
        <v>+32473412540</v>
      </c>
    </row>
    <row r="296" spans="1:6" x14ac:dyDescent="0.3">
      <c r="A296" t="str">
        <v>Merel Blancke</v>
      </c>
      <c r="B296" t="str">
        <v>https://app.twizzit.com/public/photos/5568565/s/d285ba208d969f77d6c249fb61359c50c614e6ac.png</v>
      </c>
      <c r="C296" t="str">
        <v>Zomerstage 2026 (Blankenberge)</v>
      </c>
      <c r="D296" t="str">
        <f t="shared" si="4"/>
        <v>Zomerstage 2026 (Blankenberge)</v>
      </c>
      <c r="E296" t="str">
        <f>'Sorted by Team'!B296</f>
        <v/>
      </c>
      <c r="F296" t="str">
        <f>'Sorted by Team'!C296</f>
        <v>+32478385011</v>
      </c>
    </row>
    <row r="297" spans="1:6" x14ac:dyDescent="0.3">
      <c r="A297" t="str">
        <v>Luca Boullart</v>
      </c>
      <c r="B297" t="str">
        <v/>
      </c>
      <c r="C297" t="str">
        <v>Zomerstage 2026 (Blankenberge)</v>
      </c>
      <c r="D297" t="str">
        <f t="shared" si="4"/>
        <v>Zomerstage 2026 (Blankenberge)</v>
      </c>
      <c r="E297" t="str">
        <f>'Sorted by Team'!B297</f>
        <v>maggy.hombecq@hotmail.com</v>
      </c>
      <c r="F297" t="str">
        <f>'Sorted by Team'!C297</f>
        <v>+32475558448</v>
      </c>
    </row>
    <row r="298" spans="1:6" x14ac:dyDescent="0.3">
      <c r="A298" t="str">
        <v>Marie Bourdeaud'hui</v>
      </c>
      <c r="B298" t="str">
        <v>https://app.twizzit.com/public/photos/2182516/s/0d7291570c9e5cf142cd892c8fd7ace8c517270a.png</v>
      </c>
      <c r="C298" t="str">
        <v>Zomerstage 2026 (Blankenberge)</v>
      </c>
      <c r="D298" t="str">
        <f t="shared" si="4"/>
        <v>Zomerstage 2026 (Blankenberge)</v>
      </c>
      <c r="E298" t="str">
        <f>'Sorted by Team'!B298</f>
        <v/>
      </c>
      <c r="F298" t="str">
        <f>'Sorted by Team'!C298</f>
        <v>+32572791</v>
      </c>
    </row>
    <row r="299" spans="1:6" x14ac:dyDescent="0.3">
      <c r="A299" t="str">
        <v>Lise Braem</v>
      </c>
      <c r="B299" t="str">
        <v>https://app.twizzit.com/public/photos/2182526/s/a821912bbd87d29337fbfbb0be2e91298bc55869.jpeg</v>
      </c>
      <c r="C299" t="str">
        <v>Zomerstage 2026 (Blankenberge)</v>
      </c>
      <c r="D299" t="str">
        <f t="shared" si="4"/>
        <v>Zomerstage 2026 (Blankenberge)</v>
      </c>
      <c r="E299" t="str">
        <f>'Sorted by Team'!B299</f>
        <v>Braem.lise@gmail.com</v>
      </c>
      <c r="F299" t="str">
        <f>'Sorted by Team'!C299</f>
        <v/>
      </c>
    </row>
    <row r="300" spans="1:6" x14ac:dyDescent="0.3">
      <c r="A300" t="str">
        <v>Jonah Cattoir</v>
      </c>
      <c r="B300" t="str">
        <v/>
      </c>
      <c r="C300" t="str">
        <v>Zomerstage 2026 (Blankenberge)</v>
      </c>
      <c r="D300" t="str">
        <f t="shared" si="4"/>
        <v>Zomerstage 2026 (Blankenberge)</v>
      </c>
      <c r="E300" t="str">
        <f>'Sorted by Team'!B300</f>
        <v/>
      </c>
      <c r="F300" t="str">
        <f>'Sorted by Team'!C300</f>
        <v/>
      </c>
    </row>
    <row r="301" spans="1:6" x14ac:dyDescent="0.3">
      <c r="A301" t="str">
        <v>Alice Cokelaere</v>
      </c>
      <c r="B301" t="str">
        <v/>
      </c>
      <c r="C301" t="str">
        <v>Zomerstage 2026 (Blankenberge)</v>
      </c>
      <c r="D301" t="str">
        <f t="shared" si="4"/>
        <v>Zomerstage 2026 (Blankenberge)</v>
      </c>
      <c r="E301" t="str">
        <f>'Sorted by Team'!B301</f>
        <v>sofie.pattyn@telenet.be</v>
      </c>
      <c r="F301" t="str">
        <f>'Sorted by Team'!C301</f>
        <v>+32477681738</v>
      </c>
    </row>
    <row r="302" spans="1:6" x14ac:dyDescent="0.3">
      <c r="A302" t="str">
        <v>Sofian D'Haenen</v>
      </c>
      <c r="B302" t="str">
        <v/>
      </c>
      <c r="C302" t="str">
        <v>Zomerstage 2026 (Blankenberge)</v>
      </c>
      <c r="D302" t="str">
        <f t="shared" si="4"/>
        <v>Zomerstage 2026 (Blankenberge)</v>
      </c>
      <c r="E302" t="str">
        <f>'Sorted by Team'!B302</f>
        <v/>
      </c>
      <c r="F302" t="str">
        <f>'Sorted by Team'!C302</f>
        <v/>
      </c>
    </row>
    <row r="303" spans="1:6" x14ac:dyDescent="0.3">
      <c r="A303" t="str">
        <v>Yunus D'Haenen</v>
      </c>
      <c r="B303" t="str">
        <v/>
      </c>
      <c r="C303" t="str">
        <v>Zomerstage 2026 (Blankenberge)</v>
      </c>
      <c r="D303" t="str">
        <f t="shared" si="4"/>
        <v>Zomerstage 2026 (Blankenberge)</v>
      </c>
      <c r="E303" t="str">
        <f>'Sorted by Team'!B303</f>
        <v/>
      </c>
      <c r="F303" t="str">
        <f>'Sorted by Team'!C303</f>
        <v/>
      </c>
    </row>
    <row r="304" spans="1:6" x14ac:dyDescent="0.3">
      <c r="A304" t="str">
        <v>Pip Dawyndt</v>
      </c>
      <c r="B304" t="str">
        <v/>
      </c>
      <c r="C304" t="str">
        <v>Zomerstage 2026 (Blankenberge)</v>
      </c>
      <c r="D304" t="str">
        <f t="shared" si="4"/>
        <v>Zomerstage 2026 (Blankenberge)</v>
      </c>
      <c r="E304" t="str">
        <f>'Sorted by Team'!B304</f>
        <v/>
      </c>
      <c r="F304" t="str">
        <f>'Sorted by Team'!C304</f>
        <v>+32473746819</v>
      </c>
    </row>
    <row r="305" spans="1:6" x14ac:dyDescent="0.3">
      <c r="A305" t="str">
        <v>David De Brabander</v>
      </c>
      <c r="B305" t="str">
        <v>https://app.twizzit.com/public/photos/4024795/s/7af12ff114d5d53515b4f220ddc6cdb6ff121519.png</v>
      </c>
      <c r="C305" t="str">
        <v>Zomerstage 2026 (Blankenberge)</v>
      </c>
      <c r="D305" t="str">
        <f t="shared" si="4"/>
        <v>Zomerstage 2026 (Blankenberge)</v>
      </c>
      <c r="E305" t="str">
        <f>'Sorted by Team'!B305</f>
        <v/>
      </c>
      <c r="F305" t="str">
        <f>'Sorted by Team'!C305</f>
        <v>+32478251758</v>
      </c>
    </row>
    <row r="306" spans="1:6" x14ac:dyDescent="0.3">
      <c r="A306" t="str">
        <v>Len De Coussemaker</v>
      </c>
      <c r="B306" t="str">
        <v>https://app.twizzit.com/public/photos/2182636/s/ac8133dfa6021f95e4cb86240c3d9e68218f8a83.png</v>
      </c>
      <c r="C306" t="str">
        <v>Zomerstage 2026 (Blankenberge)</v>
      </c>
      <c r="D306" t="str">
        <f t="shared" si="4"/>
        <v>Zomerstage 2026 (Blankenberge)</v>
      </c>
      <c r="E306" t="str">
        <f>'Sorted by Team'!B306</f>
        <v>kristien.vdv@telenet.be</v>
      </c>
      <c r="F306" t="str">
        <f>'Sorted by Team'!C306</f>
        <v>+32468280854</v>
      </c>
    </row>
    <row r="307" spans="1:6" x14ac:dyDescent="0.3">
      <c r="A307" t="str">
        <v>Niels De Coussemaker</v>
      </c>
      <c r="B307" t="str">
        <v>https://app.twizzit.com/public/photos/2182641/s/bc2ed87ccb6bf61129b3522eabde4c5cff856719.png</v>
      </c>
      <c r="C307" t="str">
        <v>Zomerstage 2026 (Blankenberge)</v>
      </c>
      <c r="D307" t="str">
        <f t="shared" si="4"/>
        <v>Zomerstage 2026 (Blankenberge)</v>
      </c>
      <c r="E307" t="str">
        <f>'Sorted by Team'!B307</f>
        <v>kristien@coussies.be</v>
      </c>
      <c r="F307" t="str">
        <f>'Sorted by Team'!C307</f>
        <v>+32490195438</v>
      </c>
    </row>
    <row r="308" spans="1:6" x14ac:dyDescent="0.3">
      <c r="A308" t="str">
        <v>Limme De Zitter</v>
      </c>
      <c r="B308" t="str">
        <v/>
      </c>
      <c r="C308" t="str">
        <v>Zomerstage 2026 (Blankenberge)</v>
      </c>
      <c r="D308" t="str">
        <f t="shared" si="4"/>
        <v>Zomerstage 2026 (Blankenberge)</v>
      </c>
      <c r="E308" t="str">
        <f>'Sorted by Team'!B308</f>
        <v>de.zitter.steve@gmail.com</v>
      </c>
      <c r="F308" t="str">
        <f>'Sorted by Team'!C308</f>
        <v>+32473423222</v>
      </c>
    </row>
    <row r="309" spans="1:6" x14ac:dyDescent="0.3">
      <c r="A309" t="str">
        <v>Jules Dekkar</v>
      </c>
      <c r="B309" t="str">
        <v>https://app.twizzit.com/public/photos/3451601/s/35fd5f537189934e8013cbeb18029ae3e97fcdcc.jpeg</v>
      </c>
      <c r="C309" t="str">
        <v>Zomerstage 2026 (Blankenberge)</v>
      </c>
      <c r="D309" t="str">
        <f t="shared" si="4"/>
        <v>Zomerstage 2026 (Blankenberge)</v>
      </c>
      <c r="E309" t="str">
        <f>'Sorted by Team'!B309</f>
        <v>hakim.dekkar@icloud.com</v>
      </c>
      <c r="F309" t="str">
        <f>'Sorted by Team'!C309</f>
        <v>+32476488212</v>
      </c>
    </row>
    <row r="310" spans="1:6" x14ac:dyDescent="0.3">
      <c r="A310" t="str">
        <v>Mathias Delcroix</v>
      </c>
      <c r="B310" t="str">
        <v/>
      </c>
      <c r="C310" t="str">
        <v>Zomerstage 2026 (Blankenberge)</v>
      </c>
      <c r="D310" t="str">
        <f t="shared" si="4"/>
        <v>Zomerstage 2026 (Blankenberge)</v>
      </c>
      <c r="E310" t="str">
        <f>'Sorted by Team'!B310</f>
        <v>Delcroix.dieter@hotmail.com</v>
      </c>
      <c r="F310" t="str">
        <f>'Sorted by Team'!C310</f>
        <v>+32487106040</v>
      </c>
    </row>
    <row r="311" spans="1:6" x14ac:dyDescent="0.3">
      <c r="A311" t="str">
        <v>Lora Demets</v>
      </c>
      <c r="B311" t="str">
        <v/>
      </c>
      <c r="C311" t="str">
        <v>Zomerstage 2026 (Blankenberge)</v>
      </c>
      <c r="D311" t="str">
        <f t="shared" si="4"/>
        <v>Zomerstage 2026 (Blankenberge)</v>
      </c>
      <c r="E311" t="str">
        <f>'Sorted by Team'!B311</f>
        <v>Lowie.demets@telenet.be</v>
      </c>
      <c r="F311" t="str">
        <f>'Sorted by Team'!C311</f>
        <v>+32474450168</v>
      </c>
    </row>
    <row r="312" spans="1:6" x14ac:dyDescent="0.3">
      <c r="A312" t="str">
        <v>Omer Demets</v>
      </c>
      <c r="B312" t="str">
        <v/>
      </c>
      <c r="C312" t="str">
        <v>Zomerstage 2026 (Blankenberge)</v>
      </c>
      <c r="D312" t="str">
        <f t="shared" si="4"/>
        <v>Zomerstage 2026 (Blankenberge)</v>
      </c>
      <c r="E312" t="str">
        <f>'Sorted by Team'!B312</f>
        <v>Lowie.demets@telenet.be</v>
      </c>
      <c r="F312" t="str">
        <f>'Sorted by Team'!C312</f>
        <v>+32474450168</v>
      </c>
    </row>
    <row r="313" spans="1:6" x14ac:dyDescent="0.3">
      <c r="A313" t="str">
        <v>Ode Desmet</v>
      </c>
      <c r="B313" t="str">
        <v>https://app.twizzit.com/public/photos/2650916/s/be89217f1fc3b11d85c4b13abcca39bae64798e5.png</v>
      </c>
      <c r="C313" t="str">
        <v>Zomerstage 2026 (Blankenberge)</v>
      </c>
      <c r="D313" t="str">
        <f t="shared" si="4"/>
        <v>Zomerstage 2026 (Blankenberge)</v>
      </c>
      <c r="E313" t="str">
        <f>'Sorted by Team'!B313</f>
        <v>freyamalfait@icloud.com</v>
      </c>
      <c r="F313" t="str">
        <f>'Sorted by Team'!C313</f>
        <v>+32472832063</v>
      </c>
    </row>
    <row r="314" spans="1:6" x14ac:dyDescent="0.3">
      <c r="A314" t="str">
        <v>Tibo Despriet</v>
      </c>
      <c r="B314" t="str">
        <v>https://app.twizzit.com/public/photos/3884890/s/99828396af5826db82003655528894a4f299045f.jpeg</v>
      </c>
      <c r="C314" t="str">
        <v>Zomerstage 2026 (Blankenberge)</v>
      </c>
      <c r="D314" t="str">
        <f t="shared" si="4"/>
        <v>Zomerstage 2026 (Blankenberge)</v>
      </c>
      <c r="E314" t="str">
        <f>'Sorted by Team'!B314</f>
        <v>Tibo.despriet@gmail.com</v>
      </c>
      <c r="F314" t="str">
        <f>'Sorted by Team'!C314</f>
        <v/>
      </c>
    </row>
    <row r="315" spans="1:6" x14ac:dyDescent="0.3">
      <c r="A315" t="str">
        <v>Alexis Devos</v>
      </c>
      <c r="B315" t="str">
        <v>https://app.twizzit.com/public/photos/6106676/s/2ae43246aa8142b23f5743a7efbb9e280e512170.png</v>
      </c>
      <c r="C315" t="str">
        <v>Zomerstage 2026 (Blankenberge)</v>
      </c>
      <c r="D315" t="str">
        <f t="shared" si="4"/>
        <v>Zomerstage 2026 (Blankenberge)</v>
      </c>
      <c r="E315" t="str">
        <f>'Sorted by Team'!B315</f>
        <v/>
      </c>
      <c r="F315" t="str">
        <f>'Sorted by Team'!C315</f>
        <v>+32495886987</v>
      </c>
    </row>
    <row r="316" spans="1:6" x14ac:dyDescent="0.3">
      <c r="A316" t="str">
        <v>Nathan Dewaele</v>
      </c>
      <c r="B316" t="str">
        <v>https://app.twizzit.com/public/photos/2182816/s/c00a73a61de05b1991d5eac8f8ad498e97a90e40.png</v>
      </c>
      <c r="C316" t="str">
        <v>Zomerstage 2026 (Blankenberge)</v>
      </c>
      <c r="D316" t="str">
        <f t="shared" si="4"/>
        <v>Zomerstage 2026 (Blankenberge)</v>
      </c>
      <c r="E316" t="str">
        <f>'Sorted by Team'!B316</f>
        <v>wesleydewaele@yahoo.co.uk</v>
      </c>
      <c r="F316" t="str">
        <f>'Sorted by Team'!C316</f>
        <v>+32470540240</v>
      </c>
    </row>
    <row r="317" spans="1:6" x14ac:dyDescent="0.3">
      <c r="A317" t="str">
        <v>Jules Dewilde</v>
      </c>
      <c r="B317" t="str">
        <v/>
      </c>
      <c r="C317" t="str">
        <v>Zomerstage 2026 (Blankenberge)</v>
      </c>
      <c r="D317" t="str">
        <f t="shared" si="4"/>
        <v>Zomerstage 2026 (Blankenberge)</v>
      </c>
      <c r="E317" t="str">
        <f>'Sorted by Team'!B317</f>
        <v>niekdewilde@hotmail.be</v>
      </c>
      <c r="F317" t="str">
        <f>'Sorted by Team'!C317</f>
        <v>+32474562569</v>
      </c>
    </row>
    <row r="318" spans="1:6" x14ac:dyDescent="0.3">
      <c r="A318" t="str">
        <v>Kenneth Dhont</v>
      </c>
      <c r="B318" t="str">
        <v/>
      </c>
      <c r="C318" t="str">
        <v>Zomerstage 2026 (Blankenberge)</v>
      </c>
      <c r="D318" t="str">
        <f t="shared" si="4"/>
        <v>Zomerstage 2026 (Blankenberge)</v>
      </c>
      <c r="E318" t="str">
        <f>'Sorted by Team'!B318</f>
        <v/>
      </c>
      <c r="F318" t="str">
        <f>'Sorted by Team'!C318</f>
        <v>+32477485789</v>
      </c>
    </row>
    <row r="319" spans="1:6" x14ac:dyDescent="0.3">
      <c r="A319" t="str">
        <v>Chloé Faelens</v>
      </c>
      <c r="B319" t="str">
        <v>https://app.twizzit.com/public/photos/4276094/s/88cd5d3554278fc03aae2c2a9989ae19589b1181.png</v>
      </c>
      <c r="C319" t="str">
        <v>Zomerstage 2026 (Blankenberge)</v>
      </c>
      <c r="D319" t="str">
        <f t="shared" si="4"/>
        <v>Zomerstage 2026 (Blankenberge)</v>
      </c>
      <c r="E319" t="str">
        <f>'Sorted by Team'!B319</f>
        <v/>
      </c>
      <c r="F319" t="str">
        <f>'Sorted by Team'!C319</f>
        <v>+32472960602</v>
      </c>
    </row>
    <row r="320" spans="1:6" x14ac:dyDescent="0.3">
      <c r="A320" t="str">
        <v>Celeste Geenens</v>
      </c>
      <c r="B320" t="str">
        <v/>
      </c>
      <c r="C320" t="str">
        <v>Zomerstage 2026 (Blankenberge)</v>
      </c>
      <c r="D320" t="str">
        <f t="shared" si="4"/>
        <v>Zomerstage 2026 (Blankenberge)</v>
      </c>
      <c r="E320" t="str">
        <f>'Sorted by Team'!B320</f>
        <v>stephengeenens@gmail.com</v>
      </c>
      <c r="F320" t="str">
        <f>'Sorted by Team'!C320</f>
        <v>+32494195355</v>
      </c>
    </row>
    <row r="321" spans="1:6" x14ac:dyDescent="0.3">
      <c r="A321" t="str">
        <v>Victor Geiregat</v>
      </c>
      <c r="B321" t="str">
        <v/>
      </c>
      <c r="C321" t="str">
        <v>Zomerstage 2026 (Blankenberge)</v>
      </c>
      <c r="D321" t="str">
        <f t="shared" si="4"/>
        <v>Zomerstage 2026 (Blankenberge)</v>
      </c>
      <c r="E321" t="str">
        <f>'Sorted by Team'!B321</f>
        <v>victorgeiregat@gmail.com</v>
      </c>
      <c r="F321" t="str">
        <f>'Sorted by Team'!C321</f>
        <v>+32467007382</v>
      </c>
    </row>
    <row r="322" spans="1:6" x14ac:dyDescent="0.3">
      <c r="A322" t="str">
        <v>Basiel Genbrugge</v>
      </c>
      <c r="B322" t="str">
        <v>https://app.twizzit.com/public/photos/8579142/s/db8d4000b96831e0c69a1f9ee9bb0955ce673dba.png</v>
      </c>
      <c r="C322" t="str">
        <v>Zomerstage 2026 (Blankenberge)</v>
      </c>
      <c r="D322" t="str">
        <f t="shared" si="4"/>
        <v>Zomerstage 2026 (Blankenberge)</v>
      </c>
      <c r="E322" t="str">
        <f>'Sorted by Team'!B322</f>
        <v>basiel.genbrugge@gmail.com</v>
      </c>
      <c r="F322" t="str">
        <f>'Sorted by Team'!C322</f>
        <v>+32486314030</v>
      </c>
    </row>
    <row r="323" spans="1:6" x14ac:dyDescent="0.3">
      <c r="A323" t="str">
        <v>Briek Goossens</v>
      </c>
      <c r="B323" t="str">
        <v/>
      </c>
      <c r="C323" t="str">
        <v>Zomerstage 2026 (Blankenberge)</v>
      </c>
      <c r="D323" t="str">
        <f t="shared" ref="D323:D386" si="5">TRIM(SUBSTITUTE(SUBSTITUTE(SUBSTITUTE(SUBSTITUTE(TRIM(SUBSTITUTE(SUBSTITUTE(SUBSTITUTE(C323,"  "," "),"HAANTJES CERTIFISC OUDENAARDE",""),"Haantjes CERTIFISC Oudenaarde",""))," Geel","")," Blauw","")," Groen",""),"Haantjes Certifisc Oudenaarde",""))</f>
        <v>Zomerstage 2026 (Blankenberge)</v>
      </c>
      <c r="E323" t="str">
        <f>'Sorted by Team'!B323</f>
        <v>slimmerik.briek@gmail.com</v>
      </c>
      <c r="F323" t="str">
        <f>'Sorted by Team'!C323</f>
        <v>+32495362023</v>
      </c>
    </row>
    <row r="324" spans="1:6" x14ac:dyDescent="0.3">
      <c r="A324" t="str">
        <v>Heike Guenter</v>
      </c>
      <c r="B324" t="str">
        <v/>
      </c>
      <c r="C324" t="str">
        <v>Zomerstage 2026 (Blankenberge)</v>
      </c>
      <c r="D324" t="str">
        <f t="shared" si="5"/>
        <v>Zomerstage 2026 (Blankenberge)</v>
      </c>
      <c r="E324" t="str">
        <f>'Sorted by Team'!B324</f>
        <v>Heike.guenter@telenet.be</v>
      </c>
      <c r="F324" t="str">
        <f>'Sorted by Team'!C324</f>
        <v>+32456085054</v>
      </c>
    </row>
    <row r="325" spans="1:6" x14ac:dyDescent="0.3">
      <c r="A325" t="str">
        <v>Laura Hakuzimana</v>
      </c>
      <c r="B325" t="str">
        <v/>
      </c>
      <c r="C325" t="str">
        <v>Zomerstage 2026 (Blankenberge)</v>
      </c>
      <c r="D325" t="str">
        <f t="shared" si="5"/>
        <v>Zomerstage 2026 (Blankenberge)</v>
      </c>
      <c r="E325" t="str">
        <f>'Sorted by Team'!B325</f>
        <v/>
      </c>
      <c r="F325" t="str">
        <f>'Sorted by Team'!C325</f>
        <v>+32496950967</v>
      </c>
    </row>
    <row r="326" spans="1:6" x14ac:dyDescent="0.3">
      <c r="A326" t="str">
        <v>Lennert Huys</v>
      </c>
      <c r="B326" t="str">
        <v/>
      </c>
      <c r="C326" t="str">
        <v>Zomerstage 2026 (Blankenberge)</v>
      </c>
      <c r="D326" t="str">
        <f t="shared" si="5"/>
        <v>Zomerstage 2026 (Blankenberge)</v>
      </c>
      <c r="E326" t="str">
        <f>'Sorted by Team'!B326</f>
        <v/>
      </c>
      <c r="F326" t="str">
        <f>'Sorted by Team'!C326</f>
        <v>+32498103578</v>
      </c>
    </row>
    <row r="327" spans="1:6" x14ac:dyDescent="0.3">
      <c r="A327" t="str">
        <v>Vic Huysman</v>
      </c>
      <c r="B327" t="str">
        <v>https://app.twizzit.com/public/photos/2936186/s/c4015a6cfb380c1e7090d66488ca6326fa9caa7a.png</v>
      </c>
      <c r="C327" t="str">
        <v>Zomerstage 2026 (Blankenberge)</v>
      </c>
      <c r="D327" t="str">
        <f t="shared" si="5"/>
        <v>Zomerstage 2026 (Blankenberge)</v>
      </c>
      <c r="E327" t="str">
        <f>'Sorted by Team'!B327</f>
        <v/>
      </c>
      <c r="F327" t="str">
        <f>'Sorted by Team'!C327</f>
        <v>+32474884540</v>
      </c>
    </row>
    <row r="328" spans="1:6" x14ac:dyDescent="0.3">
      <c r="A328" t="str">
        <v>Leon L'Hommelet</v>
      </c>
      <c r="B328" t="str">
        <v/>
      </c>
      <c r="C328" t="str">
        <v>Zomerstage 2026 (Blankenberge)</v>
      </c>
      <c r="D328" t="str">
        <f t="shared" si="5"/>
        <v>Zomerstage 2026 (Blankenberge)</v>
      </c>
      <c r="E328" t="str">
        <f>'Sorted by Team'!B328</f>
        <v>els.bourgois@gmail.com</v>
      </c>
      <c r="F328" t="str">
        <f>'Sorted by Team'!C328</f>
        <v>+32479376759</v>
      </c>
    </row>
    <row r="329" spans="1:6" x14ac:dyDescent="0.3">
      <c r="A329" t="str">
        <v>Ruube Lagae</v>
      </c>
      <c r="B329" t="str">
        <v/>
      </c>
      <c r="C329" t="str">
        <v>Zomerstage 2026 (Blankenberge)</v>
      </c>
      <c r="D329" t="str">
        <f t="shared" si="5"/>
        <v>Zomerstage 2026 (Blankenberge)</v>
      </c>
      <c r="E329" t="str">
        <f>'Sorted by Team'!B329</f>
        <v>Ruubelagae@gmail.com</v>
      </c>
      <c r="F329" t="str">
        <f>'Sorted by Team'!C329</f>
        <v>+32471247514</v>
      </c>
    </row>
    <row r="330" spans="1:6" x14ac:dyDescent="0.3">
      <c r="A330" t="str">
        <v>Thor Lessenne</v>
      </c>
      <c r="B330" t="str">
        <v>https://app.twizzit.com/public/photos/4393791/s/f227f8ddb169feb6dded4f508fa8f0a8d6bc3bc4.jpeg</v>
      </c>
      <c r="C330" t="str">
        <v>Zomerstage 2026 (Blankenberge)</v>
      </c>
      <c r="D330" t="str">
        <f t="shared" si="5"/>
        <v>Zomerstage 2026 (Blankenberge)</v>
      </c>
      <c r="E330" t="str">
        <f>'Sorted by Team'!B330</f>
        <v>lessenne_frederic@yahoo.com</v>
      </c>
      <c r="F330" t="str">
        <f>'Sorted by Team'!C330</f>
        <v>+32477650341</v>
      </c>
    </row>
    <row r="331" spans="1:6" x14ac:dyDescent="0.3">
      <c r="A331" t="str">
        <v>Alexander Libert</v>
      </c>
      <c r="B331" t="str">
        <v/>
      </c>
      <c r="C331" t="str">
        <v>Zomerstage 2026 (Blankenberge)</v>
      </c>
      <c r="D331" t="str">
        <f t="shared" si="5"/>
        <v>Zomerstage 2026 (Blankenberge)</v>
      </c>
      <c r="E331" t="str">
        <f>'Sorted by Team'!B331</f>
        <v>s_ardenois@hotmail.com</v>
      </c>
      <c r="F331" t="str">
        <f>'Sorted by Team'!C331</f>
        <v>+32471396733</v>
      </c>
    </row>
    <row r="332" spans="1:6" x14ac:dyDescent="0.3">
      <c r="A332" t="str">
        <v>Mathieu Libert</v>
      </c>
      <c r="B332" t="str">
        <v/>
      </c>
      <c r="C332" t="str">
        <v>Zomerstage 2026 (Blankenberge)</v>
      </c>
      <c r="D332" t="str">
        <f t="shared" si="5"/>
        <v>Zomerstage 2026 (Blankenberge)</v>
      </c>
      <c r="E332" t="str">
        <f>'Sorted by Team'!B332</f>
        <v>s_ardenois@hotmail.com</v>
      </c>
      <c r="F332" t="str">
        <f>'Sorted by Team'!C332</f>
        <v>+32479788543</v>
      </c>
    </row>
    <row r="333" spans="1:6" x14ac:dyDescent="0.3">
      <c r="A333" t="str">
        <v>Sam Liekens</v>
      </c>
      <c r="B333" t="str">
        <v>https://app.twizzit.com/public/photos/3475283/s/e532263ea43cddb59650656f3777387ca04d2de4.jpeg</v>
      </c>
      <c r="C333" t="str">
        <v>Zomerstage 2026 (Blankenberge)</v>
      </c>
      <c r="D333" t="str">
        <f t="shared" si="5"/>
        <v>Zomerstage 2026 (Blankenberge)</v>
      </c>
      <c r="E333" t="str">
        <f>'Sorted by Team'!B333</f>
        <v/>
      </c>
      <c r="F333" t="str">
        <f>'Sorted by Team'!C333</f>
        <v>+32478888243</v>
      </c>
    </row>
    <row r="334" spans="1:6" x14ac:dyDescent="0.3">
      <c r="A334" t="str">
        <v>Viktor L’Hommelet</v>
      </c>
      <c r="B334" t="str">
        <v/>
      </c>
      <c r="C334" t="str">
        <v>Zomerstage 2026 (Blankenberge)</v>
      </c>
      <c r="D334" t="str">
        <f t="shared" si="5"/>
        <v>Zomerstage 2026 (Blankenberge)</v>
      </c>
      <c r="E334" t="str">
        <f>'Sorted by Team'!B334</f>
        <v>els.bourgois@gmail.com</v>
      </c>
      <c r="F334" t="str">
        <f>'Sorted by Team'!C334</f>
        <v>+32479376759</v>
      </c>
    </row>
    <row r="335" spans="1:6" x14ac:dyDescent="0.3">
      <c r="A335" t="str">
        <v>Nathan Maenhout</v>
      </c>
      <c r="B335" t="str">
        <v>https://app.twizzit.com/public/photos/9359547/s/0986374ba59a462685344af411da25079641e82d.jpeg</v>
      </c>
      <c r="C335" t="str">
        <v>Zomerstage 2026 (Blankenberge)</v>
      </c>
      <c r="D335" t="str">
        <f t="shared" si="5"/>
        <v>Zomerstage 2026 (Blankenberge)</v>
      </c>
      <c r="E335" t="str">
        <f>'Sorted by Team'!B335</f>
        <v>jokespies@hotmail.com</v>
      </c>
      <c r="F335" t="str">
        <f>'Sorted by Team'!C335</f>
        <v>+32489178706</v>
      </c>
    </row>
    <row r="336" spans="1:6" x14ac:dyDescent="0.3">
      <c r="A336" t="str">
        <v>Dréa Maes</v>
      </c>
      <c r="B336" t="str">
        <v>https://app.twizzit.com/public/photos/3412861/s/5d2322ba0de7264fd5ba0170cc29e82844de05d5.png</v>
      </c>
      <c r="C336" t="str">
        <v>Zomerstage 2026 (Blankenberge)</v>
      </c>
      <c r="D336" t="str">
        <f t="shared" si="5"/>
        <v>Zomerstage 2026 (Blankenberge)</v>
      </c>
      <c r="E336" t="str">
        <f>'Sorted by Team'!B336</f>
        <v>Joke.merlaen@gmail.com</v>
      </c>
      <c r="F336" t="str">
        <f>'Sorted by Team'!C336</f>
        <v/>
      </c>
    </row>
    <row r="337" spans="1:6" x14ac:dyDescent="0.3">
      <c r="A337" t="str">
        <v>Steppe Matthys</v>
      </c>
      <c r="B337" t="str">
        <v>https://app.twizzit.com/public/photos/10488364/s/177c95b9932dcdda23e09eda7b0298c34ca94551.jpeg</v>
      </c>
      <c r="C337" t="str">
        <v>Zomerstage 2026 (Blankenberge)</v>
      </c>
      <c r="D337" t="str">
        <f t="shared" si="5"/>
        <v>Zomerstage 2026 (Blankenberge)</v>
      </c>
      <c r="E337" t="str">
        <f>'Sorted by Team'!B337</f>
        <v/>
      </c>
      <c r="F337" t="str">
        <f>'Sorted by Team'!C337</f>
        <v>+32468429871</v>
      </c>
    </row>
    <row r="338" spans="1:6" x14ac:dyDescent="0.3">
      <c r="A338" t="str">
        <v>Kasper Mees</v>
      </c>
      <c r="B338" t="str">
        <v>https://app.twizzit.com/public/photos/2183112/s/07942e4161d7a20864d1fbcf54b9a6dda331637e.png</v>
      </c>
      <c r="C338" t="str">
        <v>Zomerstage 2026 (Blankenberge)</v>
      </c>
      <c r="D338" t="str">
        <f t="shared" si="5"/>
        <v>Zomerstage 2026 (Blankenberge)</v>
      </c>
      <c r="E338" t="str">
        <f>'Sorted by Team'!B338</f>
        <v/>
      </c>
      <c r="F338" t="str">
        <f>'Sorted by Team'!C338</f>
        <v>+32474721420</v>
      </c>
    </row>
    <row r="339" spans="1:6" x14ac:dyDescent="0.3">
      <c r="A339" t="str">
        <v>Julie Orbie</v>
      </c>
      <c r="B339" t="str">
        <v/>
      </c>
      <c r="C339" t="str">
        <v>Zomerstage 2026 (Blankenberge)</v>
      </c>
      <c r="D339" t="str">
        <f t="shared" si="5"/>
        <v>Zomerstage 2026 (Blankenberge)</v>
      </c>
      <c r="E339" t="str">
        <f>'Sorted by Team'!B339</f>
        <v/>
      </c>
      <c r="F339" t="str">
        <f>'Sorted by Team'!C339</f>
        <v>+32472656820</v>
      </c>
    </row>
    <row r="340" spans="1:6" x14ac:dyDescent="0.3">
      <c r="A340" t="str">
        <v>Gust Ottevaere</v>
      </c>
      <c r="B340" t="str">
        <v/>
      </c>
      <c r="C340" t="str">
        <v>Zomerstage 2026 (Blankenberge)</v>
      </c>
      <c r="D340" t="str">
        <f t="shared" si="5"/>
        <v>Zomerstage 2026 (Blankenberge)</v>
      </c>
      <c r="E340" t="str">
        <f>'Sorted by Team'!B340</f>
        <v>gust.ottevaere@telenet.be</v>
      </c>
      <c r="F340" t="str">
        <f>'Sorted by Team'!C340</f>
        <v>+32467011927</v>
      </c>
    </row>
    <row r="341" spans="1:6" x14ac:dyDescent="0.3">
      <c r="A341" t="str">
        <v>Brent Pollet</v>
      </c>
      <c r="B341" t="str">
        <v>https://app.twizzit.com/public/photos/3454870/s/e7fdcf5140d5e910d15662f873e9aafb78eb7d4f.jpeg</v>
      </c>
      <c r="C341" t="str">
        <v>Zomerstage 2026 (Blankenberge)</v>
      </c>
      <c r="D341" t="str">
        <f t="shared" si="5"/>
        <v>Zomerstage 2026 (Blankenberge)</v>
      </c>
      <c r="E341" t="str">
        <f>'Sorted by Team'!B341</f>
        <v>pollet.jelle@gmail.com</v>
      </c>
      <c r="F341" t="str">
        <f>'Sorted by Team'!C341</f>
        <v>+32474223155</v>
      </c>
    </row>
    <row r="342" spans="1:6" x14ac:dyDescent="0.3">
      <c r="A342" t="str">
        <v>Mats Renard</v>
      </c>
      <c r="B342" t="str">
        <v>https://app.twizzit.com/public/photos/2183172/s/365feecf0a3ae5a9392582a322a55ff1fee56899.png</v>
      </c>
      <c r="C342" t="str">
        <v>Zomerstage 2026 (Blankenberge)</v>
      </c>
      <c r="D342" t="str">
        <f t="shared" si="5"/>
        <v>Zomerstage 2026 (Blankenberge)</v>
      </c>
      <c r="E342" t="str">
        <f>'Sorted by Team'!B342</f>
        <v/>
      </c>
      <c r="F342" t="str">
        <f>'Sorted by Team'!C342</f>
        <v>+32476752923</v>
      </c>
    </row>
    <row r="343" spans="1:6" x14ac:dyDescent="0.3">
      <c r="A343" t="str">
        <v>Emlin Rommens</v>
      </c>
      <c r="B343" t="str">
        <v>https://app.twizzit.com/public/photos/2650641/s/248b205ecc69fd455c13ac7cc9deb76d11e361a0.png</v>
      </c>
      <c r="C343" t="str">
        <v>Zomerstage 2026 (Blankenberge)</v>
      </c>
      <c r="D343" t="str">
        <f t="shared" si="5"/>
        <v>Zomerstage 2026 (Blankenberge)</v>
      </c>
      <c r="E343" t="str">
        <f>'Sorted by Team'!B343</f>
        <v>pieterrommens@hotmail.be</v>
      </c>
      <c r="F343" t="str">
        <f>'Sorted by Team'!C343</f>
        <v>+32470513652</v>
      </c>
    </row>
    <row r="344" spans="1:6" x14ac:dyDescent="0.3">
      <c r="A344" t="str">
        <v>Elisabeth Saveyn</v>
      </c>
      <c r="B344" t="str">
        <v/>
      </c>
      <c r="C344" t="str">
        <v>Zomerstage 2026 (Blankenberge)</v>
      </c>
      <c r="D344" t="str">
        <f t="shared" si="5"/>
        <v>Zomerstage 2026 (Blankenberge)</v>
      </c>
      <c r="E344" t="str">
        <f>'Sorted by Team'!B344</f>
        <v>moonvanneste@hotmail.com</v>
      </c>
      <c r="F344" t="str">
        <f>'Sorted by Team'!C344</f>
        <v>+32496392369</v>
      </c>
    </row>
    <row r="345" spans="1:6" x14ac:dyDescent="0.3">
      <c r="A345" t="str">
        <v>Nona Schmitt</v>
      </c>
      <c r="B345" t="str">
        <v/>
      </c>
      <c r="C345" t="str">
        <v>Zomerstage 2026 (Blankenberge)</v>
      </c>
      <c r="D345" t="str">
        <f t="shared" si="5"/>
        <v>Zomerstage 2026 (Blankenberge)</v>
      </c>
      <c r="E345" t="str">
        <f>'Sorted by Team'!B345</f>
        <v>alexander.schmitt@authority.biz</v>
      </c>
      <c r="F345" t="str">
        <f>'Sorted by Team'!C345</f>
        <v>+32473761554</v>
      </c>
    </row>
    <row r="346" spans="1:6" x14ac:dyDescent="0.3">
      <c r="A346" t="str">
        <v>Ziano Schoenmaekers</v>
      </c>
      <c r="B346" t="str">
        <v>https://app.twizzit.com/public/photos/2650796/s/806ce17769fd3d29fc435d865a5b302b6c25c6ca.png</v>
      </c>
      <c r="C346" t="str">
        <v>Zomerstage 2026 (Blankenberge)</v>
      </c>
      <c r="D346" t="str">
        <f t="shared" si="5"/>
        <v>Zomerstage 2026 (Blankenberge)</v>
      </c>
      <c r="E346" t="str">
        <f>'Sorted by Team'!B346</f>
        <v>pedro.schoenmaekers@hotmail.com</v>
      </c>
      <c r="F346" t="str">
        <f>'Sorted by Team'!C346</f>
        <v>+32476935877</v>
      </c>
    </row>
    <row r="347" spans="1:6" x14ac:dyDescent="0.3">
      <c r="A347" t="str">
        <v>Merel Spiessens</v>
      </c>
      <c r="B347" t="str">
        <v>https://app.twizzit.com/public/photos/2183207/s/cd9fd40cf38cd1eb62df0198f102c2154c08c604.jpeg</v>
      </c>
      <c r="C347" t="str">
        <v>Zomerstage 2026 (Blankenberge)</v>
      </c>
      <c r="D347" t="str">
        <f t="shared" si="5"/>
        <v>Zomerstage 2026 (Blankenberge)</v>
      </c>
      <c r="E347" t="str">
        <f>'Sorted by Team'!B347</f>
        <v>Me@opcd.net</v>
      </c>
      <c r="F347" t="str">
        <f>'Sorted by Team'!C347</f>
        <v>+32474655154</v>
      </c>
    </row>
    <row r="348" spans="1:6" x14ac:dyDescent="0.3">
      <c r="A348" t="str">
        <v>Jules Ternoot</v>
      </c>
      <c r="B348" t="str">
        <v>https://app.twizzit.com/public/photos/9499964/s/ff5f984b647838e4bd7563b356e5c206230b1763.jpeg</v>
      </c>
      <c r="C348" t="str">
        <v>Zomerstage 2026 (Blankenberge)</v>
      </c>
      <c r="D348" t="str">
        <f t="shared" si="5"/>
        <v>Zomerstage 2026 (Blankenberge)</v>
      </c>
      <c r="E348" t="str">
        <f>'Sorted by Team'!B348</f>
        <v/>
      </c>
      <c r="F348" t="str">
        <f>'Sorted by Team'!C348</f>
        <v>+32468539021</v>
      </c>
    </row>
    <row r="349" spans="1:6" x14ac:dyDescent="0.3">
      <c r="A349" t="str">
        <v>Mattis Van Assche</v>
      </c>
      <c r="B349" t="str">
        <v>https://app.twizzit.com/public/photos/2183242/s/024b94ee0589d7797c4da7bd2e98266bcdb2677a.png</v>
      </c>
      <c r="C349" t="str">
        <v>Zomerstage 2026 (Blankenberge)</v>
      </c>
      <c r="D349" t="str">
        <f t="shared" si="5"/>
        <v>Zomerstage 2026 (Blankenberge)</v>
      </c>
      <c r="E349" t="str">
        <f>'Sorted by Team'!B349</f>
        <v/>
      </c>
      <c r="F349" t="str">
        <f>'Sorted by Team'!C349</f>
        <v>+32451022949</v>
      </c>
    </row>
    <row r="350" spans="1:6" x14ac:dyDescent="0.3">
      <c r="A350" t="str">
        <v>Loes Van de Populiere</v>
      </c>
      <c r="B350" t="str">
        <v/>
      </c>
      <c r="C350" t="str">
        <v>Zomerstage 2026 (Blankenberge)</v>
      </c>
      <c r="D350" t="str">
        <f t="shared" si="5"/>
        <v>Zomerstage 2026 (Blankenberge)</v>
      </c>
      <c r="E350" t="str">
        <f>'Sorted by Team'!B350</f>
        <v>biekemoone@hotmail.com</v>
      </c>
      <c r="F350" t="str">
        <f>'Sorted by Team'!C350</f>
        <v>+32477353878</v>
      </c>
    </row>
    <row r="351" spans="1:6" x14ac:dyDescent="0.3">
      <c r="A351" t="str">
        <v>Edouard Van de Weghe</v>
      </c>
      <c r="B351" t="str">
        <v/>
      </c>
      <c r="C351" t="str">
        <v>Zomerstage 2026 (Blankenberge)</v>
      </c>
      <c r="D351" t="str">
        <f t="shared" si="5"/>
        <v>Zomerstage 2026 (Blankenberge)</v>
      </c>
      <c r="E351" t="str">
        <f>'Sorted by Team'!B351</f>
        <v/>
      </c>
      <c r="F351" t="str">
        <f>'Sorted by Team'!C351</f>
        <v>+32479793011</v>
      </c>
    </row>
    <row r="352" spans="1:6" x14ac:dyDescent="0.3">
      <c r="A352" t="str">
        <v>Jerome Van de Weghe</v>
      </c>
      <c r="B352" t="str">
        <v/>
      </c>
      <c r="C352" t="str">
        <v>Zomerstage 2026 (Blankenberge)</v>
      </c>
      <c r="D352" t="str">
        <f t="shared" si="5"/>
        <v>Zomerstage 2026 (Blankenberge)</v>
      </c>
      <c r="E352" t="str">
        <f>'Sorted by Team'!B352</f>
        <v>pieter@combus.be</v>
      </c>
      <c r="F352" t="str">
        <f>'Sorted by Team'!C352</f>
        <v>+32477473741</v>
      </c>
    </row>
    <row r="353" spans="1:6" x14ac:dyDescent="0.3">
      <c r="A353" t="str">
        <v>Brecht Van Glabeke</v>
      </c>
      <c r="B353" t="str">
        <v/>
      </c>
      <c r="C353" t="str">
        <v>Zomerstage 2026 (Blankenberge)</v>
      </c>
      <c r="D353" t="str">
        <f t="shared" si="5"/>
        <v>Zomerstage 2026 (Blankenberge)</v>
      </c>
      <c r="E353" t="str">
        <f>'Sorted by Team'!B353</f>
        <v/>
      </c>
      <c r="F353" t="str">
        <f>'Sorted by Team'!C353</f>
        <v>+32470671727</v>
      </c>
    </row>
    <row r="354" spans="1:6" x14ac:dyDescent="0.3">
      <c r="A354" t="str">
        <v>Maxime Van Herpe</v>
      </c>
      <c r="B354" t="str">
        <v/>
      </c>
      <c r="C354" t="str">
        <v>Zomerstage 2026 (Blankenberge)</v>
      </c>
      <c r="D354" t="str">
        <f t="shared" si="5"/>
        <v>Zomerstage 2026 (Blankenberge)</v>
      </c>
      <c r="E354" t="str">
        <f>'Sorted by Team'!B354</f>
        <v/>
      </c>
      <c r="F354" t="str">
        <f>'Sorted by Team'!C354</f>
        <v>+32479775361</v>
      </c>
    </row>
    <row r="355" spans="1:6" x14ac:dyDescent="0.3">
      <c r="A355" t="str">
        <v>Olivia Vanbutsele</v>
      </c>
      <c r="B355" t="str">
        <v>https://app.twizzit.com/public/photos/4292310/s/063d2ce017539cf8df316f28e3a639739d1c1148.jpeg</v>
      </c>
      <c r="C355" t="str">
        <v>Zomerstage 2026 (Blankenberge)</v>
      </c>
      <c r="D355" t="str">
        <f t="shared" si="5"/>
        <v>Zomerstage 2026 (Blankenberge)</v>
      </c>
      <c r="E355" t="str">
        <f>'Sorted by Team'!B355</f>
        <v>Mike.vb@telenet.be</v>
      </c>
      <c r="F355" t="str">
        <f>'Sorted by Team'!C355</f>
        <v>+32483081624</v>
      </c>
    </row>
    <row r="356" spans="1:6" x14ac:dyDescent="0.3">
      <c r="A356" t="str">
        <v>Lowie Vande Kerckhove</v>
      </c>
      <c r="B356" t="str">
        <v/>
      </c>
      <c r="C356" t="str">
        <v>Zomerstage 2026 (Blankenberge)</v>
      </c>
      <c r="D356" t="str">
        <f t="shared" si="5"/>
        <v>Zomerstage 2026 (Blankenberge)</v>
      </c>
      <c r="E356" t="str">
        <f>'Sorted by Team'!B356</f>
        <v/>
      </c>
      <c r="F356" t="str">
        <f>'Sorted by Team'!C356</f>
        <v>+32498621224</v>
      </c>
    </row>
    <row r="357" spans="1:6" x14ac:dyDescent="0.3">
      <c r="A357" t="str">
        <v>Ilias Vander Beken</v>
      </c>
      <c r="B357" t="str">
        <v>https://app.twizzit.com/public/photos/9469457/s/eb40348dfb8a2c0c9b13e74dd04369019dbd2f32.jpeg</v>
      </c>
      <c r="C357" t="str">
        <v>Zomerstage 2026 (Blankenberge)</v>
      </c>
      <c r="D357" t="str">
        <f t="shared" si="5"/>
        <v>Zomerstage 2026 (Blankenberge)</v>
      </c>
      <c r="E357" t="str">
        <f>'Sorted by Team'!B357</f>
        <v>tine_de_smet90@hotmail.com</v>
      </c>
      <c r="F357" t="str">
        <f>'Sorted by Team'!C357</f>
        <v>+32468142508</v>
      </c>
    </row>
    <row r="358" spans="1:6" x14ac:dyDescent="0.3">
      <c r="A358" t="str">
        <v>Lucas Vanderstraeten</v>
      </c>
      <c r="B358" t="str">
        <v>https://app.twizzit.com/public/photos/3447788/s/a21b510884c5e068d9fd07894f967e10ecef7568.png</v>
      </c>
      <c r="C358" t="str">
        <v>Zomerstage 2026 (Blankenberge)</v>
      </c>
      <c r="D358" t="str">
        <f t="shared" si="5"/>
        <v>Zomerstage 2026 (Blankenberge)</v>
      </c>
      <c r="E358" t="str">
        <f>'Sorted by Team'!B358</f>
        <v/>
      </c>
      <c r="F358" t="str">
        <f>'Sorted by Team'!C358</f>
        <v>+32496654860</v>
      </c>
    </row>
    <row r="359" spans="1:6" x14ac:dyDescent="0.3">
      <c r="A359" t="str">
        <v>Anaïs Vanhessche</v>
      </c>
      <c r="B359" t="str">
        <v>https://app.twizzit.com/public/photos/2183392/s/3035381a43296f702255c02c3c99c4303bd9ab17.png</v>
      </c>
      <c r="C359" t="str">
        <v>Zomerstage 2026 (Blankenberge)</v>
      </c>
      <c r="D359" t="str">
        <f t="shared" si="5"/>
        <v>Zomerstage 2026 (Blankenberge)</v>
      </c>
      <c r="E359" t="str">
        <f>'Sorted by Team'!B359</f>
        <v>miekevanderhaeghen@gmail.com</v>
      </c>
      <c r="F359" t="str">
        <f>'Sorted by Team'!C359</f>
        <v>+32477741955</v>
      </c>
    </row>
    <row r="360" spans="1:6" x14ac:dyDescent="0.3">
      <c r="A360" t="str">
        <v>Lente Verhaeghe</v>
      </c>
      <c r="B360" t="str">
        <v>https://app.twizzit.com/public/photos/3706826/s/7283d518f82547e0fb530790cddedb0edf0a5785.jpeg</v>
      </c>
      <c r="C360" t="str">
        <v>Zomerstage 2026 (Blankenberge)</v>
      </c>
      <c r="D360" t="str">
        <f t="shared" si="5"/>
        <v>Zomerstage 2026 (Blankenberge)</v>
      </c>
      <c r="E360" t="str">
        <f>'Sorted by Team'!B360</f>
        <v>verhaeghelente@gmail.com</v>
      </c>
      <c r="F360" t="str">
        <f>'Sorted by Team'!C360</f>
        <v/>
      </c>
    </row>
    <row r="361" spans="1:6" x14ac:dyDescent="0.3">
      <c r="A361" t="str">
        <v>Emma Verleyen</v>
      </c>
      <c r="B361" t="str">
        <v/>
      </c>
      <c r="C361" t="str">
        <v>Zomerstage 2026 (Blankenberge)</v>
      </c>
      <c r="D361" t="str">
        <f t="shared" si="5"/>
        <v>Zomerstage 2026 (Blankenberge)</v>
      </c>
      <c r="E361" t="str">
        <f>'Sorted by Team'!B361</f>
        <v>emma.verleyen094@gmail.com</v>
      </c>
      <c r="F361" t="str">
        <f>'Sorted by Team'!C361</f>
        <v>+32496129595</v>
      </c>
    </row>
    <row r="362" spans="1:6" x14ac:dyDescent="0.3">
      <c r="A362" t="str">
        <v>Lucas Verlinden</v>
      </c>
      <c r="B362" t="str">
        <v/>
      </c>
      <c r="C362" t="str">
        <v>Zomerstage 2026 (Blankenberge)</v>
      </c>
      <c r="D362" t="str">
        <f t="shared" si="5"/>
        <v>Zomerstage 2026 (Blankenberge)</v>
      </c>
      <c r="E362" t="str">
        <f>'Sorted by Team'!B362</f>
        <v/>
      </c>
      <c r="F362" t="str">
        <f>'Sorted by Team'!C362</f>
        <v>+32486682066</v>
      </c>
    </row>
    <row r="363" spans="1:6" x14ac:dyDescent="0.3">
      <c r="A363" t="str">
        <v>Nathan Vermassen</v>
      </c>
      <c r="B363" t="str">
        <v/>
      </c>
      <c r="C363" t="str">
        <v>Zomerstage 2026 (Blankenberge)</v>
      </c>
      <c r="D363" t="str">
        <f t="shared" si="5"/>
        <v>Zomerstage 2026 (Blankenberge)</v>
      </c>
      <c r="E363" t="str">
        <f>'Sorted by Team'!B363</f>
        <v/>
      </c>
      <c r="F363" t="str">
        <f>'Sorted by Team'!C363</f>
        <v>+32498493330</v>
      </c>
    </row>
    <row r="364" spans="1:6" x14ac:dyDescent="0.3">
      <c r="A364" t="str">
        <v>Matz Vermeerschen</v>
      </c>
      <c r="B364" t="str">
        <v/>
      </c>
      <c r="C364" t="str">
        <v>Zomerstage 2026 (Blankenberge)</v>
      </c>
      <c r="D364" t="str">
        <f t="shared" si="5"/>
        <v>Zomerstage 2026 (Blankenberge)</v>
      </c>
      <c r="E364" t="str">
        <f>'Sorted by Team'!B364</f>
        <v>charlotte.vanmoorleghem1@gmail.com</v>
      </c>
      <c r="F364" t="str">
        <f>'Sorted by Team'!C364</f>
        <v/>
      </c>
    </row>
    <row r="365" spans="1:6" x14ac:dyDescent="0.3">
      <c r="A365" t="str">
        <v>Lena Verschatse</v>
      </c>
      <c r="B365" t="str">
        <v/>
      </c>
      <c r="C365" t="str">
        <v>Zomerstage 2026 (Blankenberge)</v>
      </c>
      <c r="D365" t="str">
        <f t="shared" si="5"/>
        <v>Zomerstage 2026 (Blankenberge)</v>
      </c>
      <c r="E365" t="str">
        <f>'Sorted by Team'!B365</f>
        <v/>
      </c>
      <c r="F365" t="str">
        <f>'Sorted by Team'!C365</f>
        <v>+32468516883</v>
      </c>
    </row>
    <row r="366" spans="1:6" x14ac:dyDescent="0.3">
      <c r="A366" t="str">
        <v>Thomas Viaene</v>
      </c>
      <c r="B366" t="str">
        <v/>
      </c>
      <c r="C366" t="str">
        <v>Zomerstage 2026 (Blankenberge)</v>
      </c>
      <c r="D366" t="str">
        <f t="shared" si="5"/>
        <v>Zomerstage 2026 (Blankenberge)</v>
      </c>
      <c r="E366" t="str">
        <f>'Sorted by Team'!B366</f>
        <v/>
      </c>
      <c r="F366" t="str">
        <f>'Sorted by Team'!C366</f>
        <v>+32497313727</v>
      </c>
    </row>
    <row r="367" spans="1:6" x14ac:dyDescent="0.3">
      <c r="A367" t="str">
        <v>Lenn Altruy</v>
      </c>
      <c r="B367" t="str">
        <v/>
      </c>
      <c r="C367" t="str">
        <v>Zomerstage 2026 U10 &amp; U12 (Oudenaarde)</v>
      </c>
      <c r="D367" t="str">
        <f t="shared" si="5"/>
        <v>Zomerstage 2026 U10 &amp; U12 (Oudenaarde)</v>
      </c>
      <c r="E367" t="str">
        <f>'Sorted by Team'!B367</f>
        <v>David.altruy@outlook.be</v>
      </c>
      <c r="F367" t="str">
        <f>'Sorted by Team'!C367</f>
        <v>+32475950308</v>
      </c>
    </row>
    <row r="368" spans="1:6" x14ac:dyDescent="0.3">
      <c r="A368" t="str">
        <v>Senn Anseeuw</v>
      </c>
      <c r="B368" t="str">
        <v>https://app.twizzit.com/public/photos/4421954/s/39c1d6c08bc84b336f4c340a175719810e926066.png</v>
      </c>
      <c r="C368" t="str">
        <v>Zomerstage 2026 U10 &amp; U12 (Oudenaarde)</v>
      </c>
      <c r="D368" t="str">
        <f t="shared" si="5"/>
        <v>Zomerstage 2026 U10 &amp; U12 (Oudenaarde)</v>
      </c>
      <c r="E368" t="str">
        <f>'Sorted by Team'!B368</f>
        <v>matthias.anseeuw@telenet.be</v>
      </c>
      <c r="F368" t="str">
        <f>'Sorted by Team'!C368</f>
        <v>+32497023380</v>
      </c>
    </row>
    <row r="369" spans="1:6" x14ac:dyDescent="0.3">
      <c r="A369" t="str">
        <v>Leon Castelain</v>
      </c>
      <c r="B369" t="str">
        <v>https://app.twizzit.com/public/photos/3486565/s/dbc5287e080bfa9acd16205b0ef6339800e0ffb6.png</v>
      </c>
      <c r="C369" t="str">
        <v>Zomerstage 2026 U10 &amp; U12 (Oudenaarde)</v>
      </c>
      <c r="D369" t="str">
        <f t="shared" si="5"/>
        <v>Zomerstage 2026 U10 &amp; U12 (Oudenaarde)</v>
      </c>
      <c r="E369" t="str">
        <f>'Sorted by Team'!B369</f>
        <v/>
      </c>
      <c r="F369" t="str">
        <f>'Sorted by Team'!C369</f>
        <v>+32495228616</v>
      </c>
    </row>
    <row r="370" spans="1:6" x14ac:dyDescent="0.3">
      <c r="A370" t="str">
        <v>Renée Deraedt</v>
      </c>
      <c r="B370" t="str">
        <v>https://app.twizzit.com/public/photos/7328300/s/7e2d6dfb7100b0ca8feb8f22a68ce2009271348a.png</v>
      </c>
      <c r="C370" t="str">
        <v>Zomerstage 2026 U10 &amp; U12 (Oudenaarde)</v>
      </c>
      <c r="D370" t="str">
        <f t="shared" si="5"/>
        <v>Zomerstage 2026 U10 &amp; U12 (Oudenaarde)</v>
      </c>
      <c r="E370" t="str">
        <f>'Sorted by Team'!B370</f>
        <v/>
      </c>
      <c r="F370" t="str">
        <f>'Sorted by Team'!C370</f>
        <v>+32477714035</v>
      </c>
    </row>
    <row r="371" spans="1:6" x14ac:dyDescent="0.3">
      <c r="A371" t="str">
        <v>Vinke Derycke</v>
      </c>
      <c r="B371" t="str">
        <v/>
      </c>
      <c r="C371" t="str">
        <v>Zomerstage 2026 U10 &amp; U12 (Oudenaarde)</v>
      </c>
      <c r="D371" t="str">
        <f t="shared" si="5"/>
        <v>Zomerstage 2026 U10 &amp; U12 (Oudenaarde)</v>
      </c>
      <c r="E371" t="str">
        <f>'Sorted by Team'!B371</f>
        <v>stevenderycke244@gmail.com</v>
      </c>
      <c r="F371" t="str">
        <f>'Sorted by Team'!C371</f>
        <v>+32496478968</v>
      </c>
    </row>
    <row r="372" spans="1:6" x14ac:dyDescent="0.3">
      <c r="A372" t="str">
        <v>Kenneth Dhont</v>
      </c>
      <c r="B372" t="str">
        <v/>
      </c>
      <c r="C372" t="str">
        <v>Zomerstage 2026 U10 &amp; U12 (Oudenaarde)</v>
      </c>
      <c r="D372" t="str">
        <f t="shared" si="5"/>
        <v>Zomerstage 2026 U10 &amp; U12 (Oudenaarde)</v>
      </c>
      <c r="E372" t="str">
        <f>'Sorted by Team'!B372</f>
        <v/>
      </c>
      <c r="F372" t="str">
        <f>'Sorted by Team'!C372</f>
        <v>+32477485789</v>
      </c>
    </row>
    <row r="373" spans="1:6" x14ac:dyDescent="0.3">
      <c r="A373" t="str">
        <v>Miel Elyn</v>
      </c>
      <c r="B373" t="str">
        <v/>
      </c>
      <c r="C373" t="str">
        <v>Zomerstage 2026 U10 &amp; U12 (Oudenaarde)</v>
      </c>
      <c r="D373" t="str">
        <f t="shared" si="5"/>
        <v>Zomerstage 2026 U10 &amp; U12 (Oudenaarde)</v>
      </c>
      <c r="E373" t="str">
        <f>'Sorted by Team'!B373</f>
        <v>Lievemoyaert@icloud.com</v>
      </c>
      <c r="F373" t="str">
        <f>'Sorted by Team'!C373</f>
        <v/>
      </c>
    </row>
    <row r="374" spans="1:6" x14ac:dyDescent="0.3">
      <c r="A374" t="str">
        <v>Alixe Geenens</v>
      </c>
      <c r="B374" t="str">
        <v/>
      </c>
      <c r="C374" t="str">
        <v>Zomerstage 2026 U10 &amp; U12 (Oudenaarde)</v>
      </c>
      <c r="D374" t="str">
        <f t="shared" si="5"/>
        <v>Zomerstage 2026 U10 &amp; U12 (Oudenaarde)</v>
      </c>
      <c r="E374" t="str">
        <f>'Sorted by Team'!B374</f>
        <v>stephengeenens@gmail.com</v>
      </c>
      <c r="F374" t="str">
        <f>'Sorted by Team'!C374</f>
        <v>+32494195355</v>
      </c>
    </row>
    <row r="375" spans="1:6" x14ac:dyDescent="0.3">
      <c r="A375" t="str">
        <v>Emiel Opsomer</v>
      </c>
      <c r="B375" t="str">
        <v/>
      </c>
      <c r="C375" t="str">
        <v>Zomerstage 2026 U10 &amp; U12 (Oudenaarde)</v>
      </c>
      <c r="D375" t="str">
        <f t="shared" si="5"/>
        <v>Zomerstage 2026 U10 &amp; U12 (Oudenaarde)</v>
      </c>
      <c r="E375" t="str">
        <f>'Sorted by Team'!B375</f>
        <v>meirlaen.evelien@gmail.com</v>
      </c>
      <c r="F375" t="str">
        <f>'Sorted by Team'!C375</f>
        <v>+32478767261</v>
      </c>
    </row>
    <row r="376" spans="1:6" x14ac:dyDescent="0.3">
      <c r="A376" t="str">
        <v>Brent Pollet</v>
      </c>
      <c r="B376" t="str">
        <v>https://app.twizzit.com/public/photos/3454870/s/e7fdcf5140d5e910d15662f873e9aafb78eb7d4f.jpeg</v>
      </c>
      <c r="C376" t="str">
        <v>Zomerstage 2026 U10 &amp; U12 (Oudenaarde)</v>
      </c>
      <c r="D376" t="str">
        <f t="shared" si="5"/>
        <v>Zomerstage 2026 U10 &amp; U12 (Oudenaarde)</v>
      </c>
      <c r="E376" t="str">
        <f>'Sorted by Team'!B376</f>
        <v>pollet.jelle@gmail.com</v>
      </c>
      <c r="F376" t="str">
        <f>'Sorted by Team'!C376</f>
        <v>+32474223155</v>
      </c>
    </row>
    <row r="377" spans="1:6" x14ac:dyDescent="0.3">
      <c r="A377" t="str">
        <v>Magalie Stevens</v>
      </c>
      <c r="B377" t="str">
        <v/>
      </c>
      <c r="C377" t="str">
        <v>Zomerstage 2026 U10 &amp; U12 (Oudenaarde)</v>
      </c>
      <c r="D377" t="str">
        <f t="shared" si="5"/>
        <v>Zomerstage 2026 U10 &amp; U12 (Oudenaarde)</v>
      </c>
      <c r="E377" t="str">
        <f>'Sorted by Team'!B377</f>
        <v>safadorote3@gmail.com</v>
      </c>
      <c r="F377" t="str">
        <f>'Sorted by Team'!C377</f>
        <v>+32477968913</v>
      </c>
    </row>
    <row r="378" spans="1:6" x14ac:dyDescent="0.3">
      <c r="A378" t="str">
        <v>Maiga Stevens</v>
      </c>
      <c r="B378" t="str">
        <v/>
      </c>
      <c r="C378" t="str">
        <v>Zomerstage 2026 U10 &amp; U12 (Oudenaarde)</v>
      </c>
      <c r="D378" t="str">
        <f t="shared" si="5"/>
        <v>Zomerstage 2026 U10 &amp; U12 (Oudenaarde)</v>
      </c>
      <c r="E378" t="str">
        <f>'Sorted by Team'!B378</f>
        <v>safadorote3@gmail.com</v>
      </c>
      <c r="F378" t="str">
        <f>'Sorted by Team'!C378</f>
        <v>+32477968913</v>
      </c>
    </row>
    <row r="379" spans="1:6" x14ac:dyDescent="0.3">
      <c r="A379" t="str">
        <v>Ella Van de zande</v>
      </c>
      <c r="B379" t="str">
        <v>https://app.twizzit.com/public/photos/7665003/s/5ed58413208ebbb451d8f9179fc6141b44a190fa.png</v>
      </c>
      <c r="C379" t="str">
        <v>Zomerstage 2026 U10 &amp; U12 (Oudenaarde)</v>
      </c>
      <c r="D379" t="str">
        <f t="shared" si="5"/>
        <v>Zomerstage 2026 U10 &amp; U12 (Oudenaarde)</v>
      </c>
      <c r="E379" t="str">
        <f>'Sorted by Team'!B379</f>
        <v>piekske007@yahoo.com</v>
      </c>
      <c r="F379" t="str">
        <f>'Sorted by Team'!C379</f>
        <v>+32486372617</v>
      </c>
    </row>
    <row r="380" spans="1:6" x14ac:dyDescent="0.3">
      <c r="A380" t="str">
        <v>Emma Van Nieuwenhuyze</v>
      </c>
      <c r="B380" t="str">
        <v/>
      </c>
      <c r="C380" t="str">
        <v>Zomerstage 2026 U10 &amp; U12 (Oudenaarde)</v>
      </c>
      <c r="D380" t="str">
        <f t="shared" si="5"/>
        <v>Zomerstage 2026 U10 &amp; U12 (Oudenaarde)</v>
      </c>
      <c r="E380" t="str">
        <f>'Sorted by Team'!B380</f>
        <v>maaikeschiettecatte@gmail.com</v>
      </c>
      <c r="F380" t="str">
        <f>'Sorted by Team'!C380</f>
        <v>+32477259667</v>
      </c>
    </row>
    <row r="381" spans="1:6" x14ac:dyDescent="0.3">
      <c r="A381" t="str">
        <v>Lucas Vanderstraeten</v>
      </c>
      <c r="B381" t="str">
        <v>https://app.twizzit.com/public/photos/3447788/s/a21b510884c5e068d9fd07894f967e10ecef7568.png</v>
      </c>
      <c r="C381" t="str">
        <v>Zomerstage 2026 U10 &amp; U12 (Oudenaarde)</v>
      </c>
      <c r="D381" t="str">
        <f t="shared" si="5"/>
        <v>Zomerstage 2026 U10 &amp; U12 (Oudenaarde)</v>
      </c>
      <c r="E381" t="str">
        <f>'Sorted by Team'!B381</f>
        <v/>
      </c>
      <c r="F381" t="str">
        <f>'Sorted by Team'!C381</f>
        <v>+32496654860</v>
      </c>
    </row>
    <row r="382" spans="1:6" x14ac:dyDescent="0.3">
      <c r="A382" t="str">
        <v>Nand Versmessen</v>
      </c>
      <c r="B382" t="str">
        <v>https://app.twizzit.com/public/photos/3447367/s/f6e635bb7022dfc6607d762d0f4b7b25a59a85c4.png</v>
      </c>
      <c r="C382" t="str">
        <v>Zomerstage 2026 U10 &amp; U12 (Oudenaarde)</v>
      </c>
      <c r="D382" t="str">
        <f t="shared" si="5"/>
        <v>Zomerstage 2026 U10 &amp; U12 (Oudenaarde)</v>
      </c>
      <c r="E382" t="str">
        <f>'Sorted by Team'!B382</f>
        <v>veerle_coussement@hotmail.com</v>
      </c>
      <c r="F382" t="str">
        <f>'Sorted by Team'!C382</f>
        <v>+32499030802</v>
      </c>
    </row>
    <row r="383" spans="1:6" x14ac:dyDescent="0.3">
      <c r="A383" t="str">
        <v>Maurice Boonaert</v>
      </c>
      <c r="B383" t="str">
        <v/>
      </c>
      <c r="C383" t="str">
        <v>Zomerstage 2026 U8 (Oudenaarde)</v>
      </c>
      <c r="D383" t="str">
        <f t="shared" si="5"/>
        <v>Zomerstage 2026 U8 (Oudenaarde)</v>
      </c>
      <c r="E383" t="str">
        <f>'Sorted by Team'!B383</f>
        <v>reggyboonaert@outlook.be</v>
      </c>
      <c r="F383" t="str">
        <f>'Sorted by Team'!C383</f>
        <v>+32478731137</v>
      </c>
    </row>
    <row r="384" spans="1:6" x14ac:dyDescent="0.3">
      <c r="A384" t="str">
        <v>Lasse Cattoir</v>
      </c>
      <c r="B384" t="str">
        <v>https://app.twizzit.com/public/photos/9522553/s/70d508b65eaba88af49f20bd545e119d36420c07.png</v>
      </c>
      <c r="C384" t="str">
        <v>Zomerstage 2026 U8 (Oudenaarde)</v>
      </c>
      <c r="D384" t="str">
        <f t="shared" si="5"/>
        <v>Zomerstage 2026 U8 (Oudenaarde)</v>
      </c>
      <c r="E384" t="str">
        <f>'Sorted by Team'!B384</f>
        <v/>
      </c>
      <c r="F384" t="str">
        <f>'Sorted by Team'!C384</f>
        <v/>
      </c>
    </row>
    <row r="385" spans="1:6" x14ac:dyDescent="0.3">
      <c r="A385" t="str">
        <v>Tybe De Clercq</v>
      </c>
      <c r="B385" t="str">
        <v/>
      </c>
      <c r="C385" t="str">
        <v>Zomerstage 2026 U8 (Oudenaarde)</v>
      </c>
      <c r="D385" t="str">
        <f t="shared" si="5"/>
        <v>Zomerstage 2026 U8 (Oudenaarde)</v>
      </c>
      <c r="E385" t="str">
        <f>'Sorted by Team'!B385</f>
        <v>freyadesmet@hotmail.com</v>
      </c>
      <c r="F385" t="str">
        <f>'Sorted by Team'!C385</f>
        <v>+32476214551</v>
      </c>
    </row>
    <row r="386" spans="1:6" x14ac:dyDescent="0.3">
      <c r="A386" t="str">
        <v>Elli De Zitter</v>
      </c>
      <c r="B386" t="str">
        <v/>
      </c>
      <c r="C386" t="str">
        <v>Zomerstage 2026 U8 (Oudenaarde)</v>
      </c>
      <c r="D386" t="str">
        <f t="shared" si="5"/>
        <v>Zomerstage 2026 U8 (Oudenaarde)</v>
      </c>
      <c r="E386" t="str">
        <f>'Sorted by Team'!B386</f>
        <v>de.zitter.steve@gmail.com</v>
      </c>
      <c r="F386" t="str">
        <f>'Sorted by Team'!C386</f>
        <v>+32473423222</v>
      </c>
    </row>
    <row r="387" spans="1:6" x14ac:dyDescent="0.3">
      <c r="A387" t="str">
        <v>Kenneth Dhont</v>
      </c>
      <c r="B387" t="str">
        <v/>
      </c>
      <c r="C387" t="str">
        <v>Zomerstage 2026 U8 (Oudenaarde)</v>
      </c>
      <c r="D387" t="str">
        <f t="shared" ref="D387:D394" si="6">TRIM(SUBSTITUTE(SUBSTITUTE(SUBSTITUTE(SUBSTITUTE(TRIM(SUBSTITUTE(SUBSTITUTE(SUBSTITUTE(C387,"  "," "),"HAANTJES CERTIFISC OUDENAARDE",""),"Haantjes CERTIFISC Oudenaarde",""))," Geel","")," Blauw","")," Groen",""),"Haantjes Certifisc Oudenaarde",""))</f>
        <v>Zomerstage 2026 U8 (Oudenaarde)</v>
      </c>
      <c r="E387" t="str">
        <f>'Sorted by Team'!B387</f>
        <v/>
      </c>
      <c r="F387" t="str">
        <f>'Sorted by Team'!C387</f>
        <v>+32477485789</v>
      </c>
    </row>
    <row r="388" spans="1:6" x14ac:dyDescent="0.3">
      <c r="A388" t="str">
        <v>Jef Lauwereins</v>
      </c>
      <c r="B388" t="str">
        <v/>
      </c>
      <c r="C388" t="str">
        <v>Zomerstage 2026 U8 (Oudenaarde)</v>
      </c>
      <c r="D388" t="str">
        <f t="shared" si="6"/>
        <v>Zomerstage 2026 U8 (Oudenaarde)</v>
      </c>
      <c r="E388" t="str">
        <f>'Sorted by Team'!B388</f>
        <v>lauwereins.steven@gmail.com</v>
      </c>
      <c r="F388" t="str">
        <f>'Sorted by Team'!C388</f>
        <v>+32474317844</v>
      </c>
    </row>
    <row r="389" spans="1:6" x14ac:dyDescent="0.3">
      <c r="A389" t="str">
        <v>Rover Naessens</v>
      </c>
      <c r="B389" t="str">
        <v>https://app.twizzit.com/public/photos/7328405/s/a238a3bac0fa83cb173f769b5ce64dd7bdebab6d.jpeg</v>
      </c>
      <c r="C389" t="str">
        <v>Zomerstage 2026 U8 (Oudenaarde)</v>
      </c>
      <c r="D389" t="str">
        <f t="shared" si="6"/>
        <v>Zomerstage 2026 U8 (Oudenaarde)</v>
      </c>
      <c r="E389" t="str">
        <f>'Sorted by Team'!B389</f>
        <v>deesnaessens@hotmail.com</v>
      </c>
      <c r="F389" t="str">
        <f>'Sorted by Team'!C389</f>
        <v>+32495844733</v>
      </c>
    </row>
    <row r="390" spans="1:6" x14ac:dyDescent="0.3">
      <c r="A390" t="str">
        <v>Théo Parmentier</v>
      </c>
      <c r="B390" t="str">
        <v/>
      </c>
      <c r="C390" t="str">
        <v>Zomerstage 2026 U8 (Oudenaarde)</v>
      </c>
      <c r="D390" t="str">
        <f t="shared" si="6"/>
        <v>Zomerstage 2026 U8 (Oudenaarde)</v>
      </c>
      <c r="E390" t="str">
        <f>'Sorted by Team'!B390</f>
        <v>jensparmentier@gmail.com</v>
      </c>
      <c r="F390" t="str">
        <f>'Sorted by Team'!C390</f>
        <v>+32498076133</v>
      </c>
    </row>
    <row r="391" spans="1:6" x14ac:dyDescent="0.3">
      <c r="A391" t="str">
        <v>Lander Van De Maele</v>
      </c>
      <c r="B391" t="str">
        <v>https://app.twizzit.com/public/photos/10715682/s/9ac40a7d3bcb76b36d9290dcb9c3bcdc167e2add.jpeg</v>
      </c>
      <c r="C391" t="str">
        <v>Zomerstage 2026 U8 (Oudenaarde)</v>
      </c>
      <c r="D391" t="str">
        <f t="shared" si="6"/>
        <v>Zomerstage 2026 U8 (Oudenaarde)</v>
      </c>
      <c r="E391" t="str">
        <f>'Sorted by Team'!B391</f>
        <v>jensvdmaele@gmail.com</v>
      </c>
      <c r="F391" t="str">
        <f>'Sorted by Team'!C391</f>
        <v>+32479246218</v>
      </c>
    </row>
    <row r="392" spans="1:6" x14ac:dyDescent="0.3">
      <c r="A392" t="str">
        <v>Mali-June Van Dorpe</v>
      </c>
      <c r="B392" t="str">
        <v/>
      </c>
      <c r="C392" t="str">
        <v>Zomerstage 2026 U8 (Oudenaarde)</v>
      </c>
      <c r="D392" t="str">
        <f t="shared" si="6"/>
        <v>Zomerstage 2026 U8 (Oudenaarde)</v>
      </c>
      <c r="E392" t="str">
        <f>'Sorted by Team'!B392</f>
        <v>tracy.desmet@hotmail.com</v>
      </c>
      <c r="F392" t="str">
        <f>'Sorted by Team'!C392</f>
        <v>+32485650671</v>
      </c>
    </row>
    <row r="393" spans="1:6" x14ac:dyDescent="0.3">
      <c r="A393" t="str">
        <v>Lowie Van Nieuwenhuyze</v>
      </c>
      <c r="B393" t="str">
        <v/>
      </c>
      <c r="C393" t="str">
        <v>Zomerstage 2026 U8 (Oudenaarde)</v>
      </c>
      <c r="D393" t="str">
        <f t="shared" si="6"/>
        <v>Zomerstage 2026 U8 (Oudenaarde)</v>
      </c>
      <c r="E393" t="str">
        <f>'Sorted by Team'!B393</f>
        <v>pietervannieuwenhuyze1984@gmail.com</v>
      </c>
      <c r="F393" t="str">
        <f>'Sorted by Team'!C393</f>
        <v>+32477259667</v>
      </c>
    </row>
    <row r="394" spans="1:6" x14ac:dyDescent="0.3">
      <c r="A394" t="str">
        <v>Ronan Vanneste</v>
      </c>
      <c r="B394" t="str">
        <v>https://app.twizzit.com/public/photos/7992424/s/7741759047d554aed7aaac84a694a4ea4a62b085.jpeg</v>
      </c>
      <c r="C394" t="str">
        <v>Zomerstage 2026 U8 (Oudenaarde)</v>
      </c>
      <c r="D394" t="str">
        <f t="shared" si="6"/>
        <v>Zomerstage 2026 U8 (Oudenaarde)</v>
      </c>
      <c r="E394" t="str">
        <f>'Sorted by Team'!B394</f>
        <v>Koen.vanneste.k@gmail.com</v>
      </c>
      <c r="F394" t="str">
        <f>'Sorted by Team'!C394</f>
        <v>+32472817695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35B8A-C4E7-495F-BFC8-4DB2B08B1A1F}">
  <dimension ref="A1:G201"/>
  <sheetViews>
    <sheetView topLeftCell="C1" workbookViewId="0">
      <pane ySplit="1" topLeftCell="A2" activePane="bottomLeft" state="frozen"/>
      <selection pane="bottomLeft" activeCell="F7" sqref="F7"/>
    </sheetView>
  </sheetViews>
  <sheetFormatPr defaultRowHeight="14.4" x14ac:dyDescent="0.3"/>
  <cols>
    <col min="1" max="1" width="29.6640625" customWidth="1"/>
    <col min="2" max="2" width="51.88671875" customWidth="1"/>
    <col min="3" max="3" width="40.6640625" customWidth="1"/>
    <col min="4" max="4" width="10.77734375" customWidth="1"/>
    <col min="5" max="5" width="30.109375" customWidth="1"/>
    <col min="6" max="6" width="28.44140625" customWidth="1"/>
  </cols>
  <sheetData>
    <row r="1" spans="1:7" x14ac:dyDescent="0.3">
      <c r="A1" s="1" t="s">
        <v>1</v>
      </c>
      <c r="B1" s="1" t="s">
        <v>29</v>
      </c>
      <c r="C1" s="1" t="s">
        <v>2884</v>
      </c>
      <c r="D1" s="1" t="s">
        <v>2885</v>
      </c>
      <c r="E1" s="1" t="s">
        <v>2880</v>
      </c>
      <c r="F1" s="1" t="s">
        <v>2891</v>
      </c>
      <c r="G1" s="1" t="s">
        <v>2886</v>
      </c>
    </row>
    <row r="2" spans="1:7" x14ac:dyDescent="0.3">
      <c r="A2" t="str" cm="1">
        <f t="array" ref="A2:G201">_xlfn._xlws.FILTER(_xlfn.HSTACK('Naam-Foto-Ploeg'!A2:D394,'Naam-Foto-Ploeg'!E2:E394,'Naam-Foto-Ploeg'!F2:F394,'Sorted by Team'!G2:G394),((ISNUMBER(SEARCH("G08",'Naam-Foto-Ploeg'!D2:D394))+ISNUMBER(SEARCH("G10",'Naam-Foto-Ploeg'!D2:D394))+ISNUMBER(SEARCH("G12",'Naam-Foto-Ploeg'!D2:D394))+ISNUMBER(SEARCH("Balschool",'Naam-Foto-Ploeg'!D2:D394))+ISNUMBER(SEARCH("Zomerstage",'Naam-Foto-Ploeg'!D2:D394))+ISNUMBER(SEARCH("M10",'Naam-Foto-Ploeg'!D2:D394)))=0)+('Sorted by Team'!G2:G394="Coach")&gt;0)</f>
        <v>Lily Adam</v>
      </c>
      <c r="B2" t="str">
        <v>https://app.twizzit.com/public/photos/2182441/s/eec7946e1a9e80461f26752840c4aedc7d235bab.jpeg</v>
      </c>
      <c r="C2" t="str">
        <v>DSE A Haantjes Certifisc Oudenaarde</v>
      </c>
      <c r="D2" t="str">
        <v>DSE A</v>
      </c>
      <c r="E2" t="str">
        <v>Koenadam78@gmail.com</v>
      </c>
      <c r="F2" s="3" t="str">
        <v>+32456558867</v>
      </c>
      <c r="G2" t="str">
        <v>Speler</v>
      </c>
    </row>
    <row r="3" spans="1:7" x14ac:dyDescent="0.3">
      <c r="A3" t="str">
        <v>Janna Bauters</v>
      </c>
      <c r="B3" t="str">
        <v>https://app.twizzit.com/public/photos/2182476/s/d120dcfc0ec82f0d803829f917b4287681f3dd01.png</v>
      </c>
      <c r="C3" t="str">
        <v>DSE A Haantjes Certifisc Oudenaarde</v>
      </c>
      <c r="D3" t="str">
        <v>DSE A</v>
      </c>
      <c r="E3" t="str">
        <v/>
      </c>
      <c r="F3" s="3" t="str">
        <v>+32474344132</v>
      </c>
      <c r="G3" t="str">
        <v>Speler</v>
      </c>
    </row>
    <row r="4" spans="1:7" x14ac:dyDescent="0.3">
      <c r="A4" t="str">
        <v>Marie Bourdeaud'hui</v>
      </c>
      <c r="B4" t="str">
        <v>https://app.twizzit.com/public/photos/2182516/s/0d7291570c9e5cf142cd892c8fd7ace8c517270a.png</v>
      </c>
      <c r="C4" t="str">
        <v>DSE A Haantjes Certifisc Oudenaarde</v>
      </c>
      <c r="D4" t="str">
        <v>DSE A</v>
      </c>
      <c r="E4" t="str">
        <v/>
      </c>
      <c r="F4" s="3" t="str">
        <v>+32572791</v>
      </c>
      <c r="G4" t="str">
        <v>Speler</v>
      </c>
    </row>
    <row r="5" spans="1:7" x14ac:dyDescent="0.3">
      <c r="A5" t="str">
        <v>Aishatu Lieve Buadee</v>
      </c>
      <c r="B5" t="str">
        <v/>
      </c>
      <c r="C5" t="str">
        <v>DSE A Haantjes Certifisc Oudenaarde</v>
      </c>
      <c r="D5" t="str">
        <v>DSE A</v>
      </c>
      <c r="E5" t="str">
        <v/>
      </c>
      <c r="F5" s="3" t="str">
        <v>+32496745543</v>
      </c>
      <c r="G5" t="str">
        <v>Speler</v>
      </c>
    </row>
    <row r="6" spans="1:7" x14ac:dyDescent="0.3">
      <c r="A6" t="str">
        <v>Iris Calewaert</v>
      </c>
      <c r="B6" t="str">
        <v/>
      </c>
      <c r="C6" t="str">
        <v>DSE A Haantjes Certifisc Oudenaarde</v>
      </c>
      <c r="D6" t="str">
        <v>DSE A</v>
      </c>
      <c r="E6" t="str">
        <v/>
      </c>
      <c r="F6" s="3" t="str">
        <v>+32479373164</v>
      </c>
      <c r="G6" t="str">
        <v>Speler</v>
      </c>
    </row>
    <row r="7" spans="1:7" x14ac:dyDescent="0.3">
      <c r="A7" t="str">
        <v>Bart Cattoir</v>
      </c>
      <c r="B7" t="str">
        <v/>
      </c>
      <c r="C7" t="str">
        <v>DSE A Haantjes Certifisc Oudenaarde</v>
      </c>
      <c r="D7" t="str">
        <v>DSE A</v>
      </c>
      <c r="E7" t="str">
        <v/>
      </c>
      <c r="F7" s="3" t="str">
        <v>+32499214775</v>
      </c>
      <c r="G7" t="str">
        <v>Coach</v>
      </c>
    </row>
    <row r="8" spans="1:7" x14ac:dyDescent="0.3">
      <c r="A8" t="str">
        <v>Alice Cokelaere</v>
      </c>
      <c r="B8" t="str">
        <v/>
      </c>
      <c r="C8" t="str">
        <v>DSE A Haantjes Certifisc Oudenaarde</v>
      </c>
      <c r="D8" t="str">
        <v>DSE A</v>
      </c>
      <c r="E8" t="str">
        <v>sofie.pattyn@telenet.be</v>
      </c>
      <c r="F8" s="3" t="str">
        <v>+32477681738</v>
      </c>
      <c r="G8" t="str">
        <v>Speler</v>
      </c>
    </row>
    <row r="9" spans="1:7" x14ac:dyDescent="0.3">
      <c r="A9" t="str">
        <v>Karen Dans</v>
      </c>
      <c r="B9" t="str">
        <v>https://app.twizzit.com/public/photos/2182586/s/3c061ecaa7eb60b4e8b27f2490fa3fff24778b0c.png</v>
      </c>
      <c r="C9" t="str">
        <v>DSE A Haantjes Certifisc Oudenaarde</v>
      </c>
      <c r="D9" t="str">
        <v>DSE A</v>
      </c>
      <c r="E9" t="str">
        <v/>
      </c>
      <c r="F9" s="3" t="str">
        <v>+32494698322</v>
      </c>
      <c r="G9" t="str">
        <v>Speler</v>
      </c>
    </row>
    <row r="10" spans="1:7" x14ac:dyDescent="0.3">
      <c r="A10" t="str">
        <v>Kimberley De Smet</v>
      </c>
      <c r="B10" t="str">
        <v>https://app.twizzit.com/public/photos/2182696/s/b3404003062e85e1b45f5fca9b0565fe70029286.png</v>
      </c>
      <c r="C10" t="str">
        <v>DSE A Haantjes Certifisc Oudenaarde</v>
      </c>
      <c r="D10" t="str">
        <v>DSE A</v>
      </c>
      <c r="E10" t="str">
        <v/>
      </c>
      <c r="F10" s="3" t="str">
        <v/>
      </c>
      <c r="G10" t="str">
        <v>Speler</v>
      </c>
    </row>
    <row r="11" spans="1:7" x14ac:dyDescent="0.3">
      <c r="A11" t="str">
        <v>Heike Guenter</v>
      </c>
      <c r="B11" t="str">
        <v/>
      </c>
      <c r="C11" t="str">
        <v>DSE A Haantjes Certifisc Oudenaarde</v>
      </c>
      <c r="D11" t="str">
        <v>DSE A</v>
      </c>
      <c r="E11" t="str">
        <v>Heike.guenter@telenet.be</v>
      </c>
      <c r="F11" s="3" t="str">
        <v>+32456085054</v>
      </c>
      <c r="G11" t="str">
        <v>Speler</v>
      </c>
    </row>
    <row r="12" spans="1:7" x14ac:dyDescent="0.3">
      <c r="A12" t="str">
        <v>Lente Verhaeghe</v>
      </c>
      <c r="B12" t="str">
        <v>https://app.twizzit.com/public/photos/3706826/s/7283d518f82547e0fb530790cddedb0edf0a5785.jpeg</v>
      </c>
      <c r="C12" t="str">
        <v>DSE A Haantjes Certifisc Oudenaarde</v>
      </c>
      <c r="D12" t="str">
        <v>DSE A</v>
      </c>
      <c r="E12" t="str">
        <v>verhaeghelente@gmail.com</v>
      </c>
      <c r="F12" s="3" t="str">
        <v/>
      </c>
      <c r="G12" t="str">
        <v>Speler</v>
      </c>
    </row>
    <row r="13" spans="1:7" x14ac:dyDescent="0.3">
      <c r="A13" t="str">
        <v>Jonah Cattoir</v>
      </c>
      <c r="B13" t="str">
        <v/>
      </c>
      <c r="C13" t="str">
        <v>G08 Geel HAANTJES CERTIFISC OUDENAARDE</v>
      </c>
      <c r="D13" t="str">
        <v>G08</v>
      </c>
      <c r="E13" t="str">
        <v/>
      </c>
      <c r="F13" s="3" t="str">
        <v/>
      </c>
      <c r="G13" t="str">
        <v>Coach</v>
      </c>
    </row>
    <row r="14" spans="1:7" x14ac:dyDescent="0.3">
      <c r="A14" t="str">
        <v>Debbie Verhelst</v>
      </c>
      <c r="B14" t="str">
        <v/>
      </c>
      <c r="C14" t="str">
        <v>G08 Geel HAANTJES CERTIFISC OUDENAARDE</v>
      </c>
      <c r="D14" t="str">
        <v>G08</v>
      </c>
      <c r="E14" t="str">
        <v/>
      </c>
      <c r="F14" s="3" t="str">
        <v/>
      </c>
      <c r="G14" t="str">
        <v>Coach</v>
      </c>
    </row>
    <row r="15" spans="1:7" x14ac:dyDescent="0.3">
      <c r="A15" t="str">
        <v>Charlotte Verschueren</v>
      </c>
      <c r="B15" t="str">
        <v>https://app.twizzit.com/public/photos/2183447/s/1f201bfdf86762e0642c70c1aa487baf5ab852bb.png</v>
      </c>
      <c r="C15" t="str">
        <v>G08 Groen HAANTJES CERTIFISC OUDENAARDE</v>
      </c>
      <c r="D15" t="str">
        <v>G08</v>
      </c>
      <c r="E15" t="str">
        <v/>
      </c>
      <c r="F15" s="3" t="str">
        <v>+32474278078</v>
      </c>
      <c r="G15" t="str">
        <v>Coach</v>
      </c>
    </row>
    <row r="16" spans="1:7" x14ac:dyDescent="0.3">
      <c r="A16" t="str">
        <v>Marte Mechant</v>
      </c>
      <c r="B16" t="str">
        <v/>
      </c>
      <c r="C16" t="str">
        <v>G10 Blauw HAANTJES CERTIFISC OUDENAARDE</v>
      </c>
      <c r="D16" t="str">
        <v>G10</v>
      </c>
      <c r="E16" t="str">
        <v>jme.basket@telenet.be</v>
      </c>
      <c r="F16" s="3" t="str">
        <v>+32470449365</v>
      </c>
      <c r="G16" t="str">
        <v>Coach</v>
      </c>
    </row>
    <row r="17" spans="1:7" x14ac:dyDescent="0.3">
      <c r="A17" t="str">
        <v>Ryan Debouverie</v>
      </c>
      <c r="B17" t="str">
        <v/>
      </c>
      <c r="C17" t="str">
        <v>G10 Geel HAANTJES CERTIFISC OUDENAARDE</v>
      </c>
      <c r="D17" t="str">
        <v>G10</v>
      </c>
      <c r="E17" t="str">
        <v/>
      </c>
      <c r="F17" s="3" t="str">
        <v>+32496247133</v>
      </c>
      <c r="G17" t="str">
        <v>Coach</v>
      </c>
    </row>
    <row r="18" spans="1:7" x14ac:dyDescent="0.3">
      <c r="A18" t="str">
        <v>Kenneth Dhont</v>
      </c>
      <c r="B18" t="str">
        <v/>
      </c>
      <c r="C18" t="str">
        <v>G12 Blauw HAANTJES CERTIFISC OUDENAARDE</v>
      </c>
      <c r="D18" t="str">
        <v>G12</v>
      </c>
      <c r="E18" t="str">
        <v/>
      </c>
      <c r="F18" s="3" t="str">
        <v>+32477485789</v>
      </c>
      <c r="G18" t="str">
        <v>Coach</v>
      </c>
    </row>
    <row r="19" spans="1:7" x14ac:dyDescent="0.3">
      <c r="A19" t="str">
        <v>Niels De Lepeleire</v>
      </c>
      <c r="B19" t="str">
        <v/>
      </c>
      <c r="C19" t="str">
        <v>G12 Geel HAANTJES CERTIFISC OUDENAARDE</v>
      </c>
      <c r="D19" t="str">
        <v>G12</v>
      </c>
      <c r="E19" t="str">
        <v/>
      </c>
      <c r="F19" s="3" t="str">
        <v>+32470775058</v>
      </c>
      <c r="G19" t="str">
        <v>Coach</v>
      </c>
    </row>
    <row r="20" spans="1:7" x14ac:dyDescent="0.3">
      <c r="A20" t="str">
        <v>Kledion Alia</v>
      </c>
      <c r="B20" t="str">
        <v>https://app.twizzit.com/public/photos/2650601/s/f885f644ea63bcfe0579c08cf537df8dcbb43ecc.png</v>
      </c>
      <c r="C20" t="str">
        <v>G14 A Haantjes CERTIFISC Oudenaarde</v>
      </c>
      <c r="D20" t="str">
        <v>G14 A</v>
      </c>
      <c r="E20" t="str">
        <v/>
      </c>
      <c r="F20" s="3" t="str">
        <v>+32499284650</v>
      </c>
      <c r="G20" t="str">
        <v>Speler</v>
      </c>
    </row>
    <row r="21" spans="1:7" x14ac:dyDescent="0.3">
      <c r="A21" t="str">
        <v>Jules Dekkar</v>
      </c>
      <c r="B21" t="str">
        <v>https://app.twizzit.com/public/photos/3451601/s/35fd5f537189934e8013cbeb18029ae3e97fcdcc.jpeg</v>
      </c>
      <c r="C21" t="str">
        <v>G14 A Haantjes CERTIFISC Oudenaarde</v>
      </c>
      <c r="D21" t="str">
        <v>G14 A</v>
      </c>
      <c r="E21" t="str">
        <v>hakim.dekkar@icloud.com</v>
      </c>
      <c r="F21" s="3" t="str">
        <v>+32476488212</v>
      </c>
      <c r="G21" t="str">
        <v>Speler</v>
      </c>
    </row>
    <row r="22" spans="1:7" x14ac:dyDescent="0.3">
      <c r="A22" t="str">
        <v>Jules Dewilde</v>
      </c>
      <c r="B22" t="str">
        <v/>
      </c>
      <c r="C22" t="str">
        <v>G14 A Haantjes CERTIFISC Oudenaarde</v>
      </c>
      <c r="D22" t="str">
        <v>G14 A</v>
      </c>
      <c r="E22" t="str">
        <v>niekdewilde@hotmail.be</v>
      </c>
      <c r="F22" s="3" t="str">
        <v>+32474562569</v>
      </c>
      <c r="G22" t="str">
        <v>Speler</v>
      </c>
    </row>
    <row r="23" spans="1:7" x14ac:dyDescent="0.3">
      <c r="A23" t="str">
        <v>Kobe Espeel</v>
      </c>
      <c r="B23" t="str">
        <v/>
      </c>
      <c r="C23" t="str">
        <v>G14 A Haantjes CERTIFISC Oudenaarde</v>
      </c>
      <c r="D23" t="str">
        <v>G14 A</v>
      </c>
      <c r="E23" t="str">
        <v/>
      </c>
      <c r="F23" s="3" t="str">
        <v>+32485070328</v>
      </c>
      <c r="G23" t="str">
        <v>Speler</v>
      </c>
    </row>
    <row r="24" spans="1:7" x14ac:dyDescent="0.3">
      <c r="A24" t="str">
        <v>Lennert Huys</v>
      </c>
      <c r="B24" t="str">
        <v/>
      </c>
      <c r="C24" t="str">
        <v>G14 A Haantjes CERTIFISC Oudenaarde</v>
      </c>
      <c r="D24" t="str">
        <v>G14 A</v>
      </c>
      <c r="E24" t="str">
        <v/>
      </c>
      <c r="F24" s="3" t="str">
        <v>+32498103578</v>
      </c>
      <c r="G24" t="str">
        <v>Speler</v>
      </c>
    </row>
    <row r="25" spans="1:7" x14ac:dyDescent="0.3">
      <c r="A25" t="str">
        <v>Filip L'Hommelet</v>
      </c>
      <c r="B25" t="str">
        <v/>
      </c>
      <c r="C25" t="str">
        <v>G14 A Haantjes CERTIFISC Oudenaarde</v>
      </c>
      <c r="D25" t="str">
        <v>G14 A</v>
      </c>
      <c r="E25" t="str">
        <v>filip.lhommelet@myweb4u.be</v>
      </c>
      <c r="F25" s="3" t="str">
        <v>+32479376759</v>
      </c>
      <c r="G25" t="str">
        <v>Coach</v>
      </c>
    </row>
    <row r="26" spans="1:7" x14ac:dyDescent="0.3">
      <c r="A26" t="str">
        <v>Leon L'Hommelet</v>
      </c>
      <c r="B26" t="str">
        <v/>
      </c>
      <c r="C26" t="str">
        <v>G14 A Haantjes CERTIFISC Oudenaarde</v>
      </c>
      <c r="D26" t="str">
        <v>G14 A</v>
      </c>
      <c r="E26" t="str">
        <v>els.bourgois@gmail.com</v>
      </c>
      <c r="F26" s="3" t="str">
        <v>+32479376759</v>
      </c>
      <c r="G26" t="str">
        <v>Speler</v>
      </c>
    </row>
    <row r="27" spans="1:7" x14ac:dyDescent="0.3">
      <c r="A27" t="str">
        <v>Ruube Lagae</v>
      </c>
      <c r="B27" t="str">
        <v/>
      </c>
      <c r="C27" t="str">
        <v>G14 A Haantjes CERTIFISC Oudenaarde</v>
      </c>
      <c r="D27" t="str">
        <v>G14 A</v>
      </c>
      <c r="E27" t="str">
        <v>Ruubelagae@gmail.com</v>
      </c>
      <c r="F27" s="3" t="str">
        <v>+32471247514</v>
      </c>
      <c r="G27" t="str">
        <v>Speler</v>
      </c>
    </row>
    <row r="28" spans="1:7" x14ac:dyDescent="0.3">
      <c r="A28" t="str">
        <v>Nathan Maenhout</v>
      </c>
      <c r="B28" t="str">
        <v>https://app.twizzit.com/public/photos/9359547/s/0986374ba59a462685344af411da25079641e82d.jpeg</v>
      </c>
      <c r="C28" t="str">
        <v>G14 A Haantjes CERTIFISC Oudenaarde</v>
      </c>
      <c r="D28" t="str">
        <v>G14 A</v>
      </c>
      <c r="E28" t="str">
        <v>jokespies@hotmail.com</v>
      </c>
      <c r="F28" s="3" t="str">
        <v>+32489178706</v>
      </c>
      <c r="G28" t="str">
        <v>Speler</v>
      </c>
    </row>
    <row r="29" spans="1:7" x14ac:dyDescent="0.3">
      <c r="A29" t="str">
        <v>Jules Ternoot</v>
      </c>
      <c r="B29" t="str">
        <v>https://app.twizzit.com/public/photos/9499964/s/ff5f984b647838e4bd7563b356e5c206230b1763.jpeg</v>
      </c>
      <c r="C29" t="str">
        <v>G14 A Haantjes CERTIFISC Oudenaarde</v>
      </c>
      <c r="D29" t="str">
        <v>G14 A</v>
      </c>
      <c r="E29" t="str">
        <v/>
      </c>
      <c r="F29" s="3" t="str">
        <v>+32468539021</v>
      </c>
      <c r="G29" t="str">
        <v>Speler</v>
      </c>
    </row>
    <row r="30" spans="1:7" x14ac:dyDescent="0.3">
      <c r="A30" t="str">
        <v>Mattis Van Assche</v>
      </c>
      <c r="B30" t="str">
        <v>https://app.twizzit.com/public/photos/2183242/s/024b94ee0589d7797c4da7bd2e98266bcdb2677a.png</v>
      </c>
      <c r="C30" t="str">
        <v>G14 A Haantjes CERTIFISC Oudenaarde</v>
      </c>
      <c r="D30" t="str">
        <v>G14 A</v>
      </c>
      <c r="E30" t="str">
        <v/>
      </c>
      <c r="F30" s="3" t="str">
        <v>+32451022949</v>
      </c>
      <c r="G30" t="str">
        <v>Speler</v>
      </c>
    </row>
    <row r="31" spans="1:7" x14ac:dyDescent="0.3">
      <c r="A31" t="str">
        <v>Edouard Van de Weghe</v>
      </c>
      <c r="B31" t="str">
        <v/>
      </c>
      <c r="C31" t="str">
        <v>G14 A Haantjes CERTIFISC Oudenaarde</v>
      </c>
      <c r="D31" t="str">
        <v>G14 A</v>
      </c>
      <c r="E31" t="str">
        <v/>
      </c>
      <c r="F31" s="3" t="str">
        <v>+32479793011</v>
      </c>
      <c r="G31" t="str">
        <v>Speler</v>
      </c>
    </row>
    <row r="32" spans="1:7" x14ac:dyDescent="0.3">
      <c r="A32" t="str">
        <v>Matz Vermeerschen</v>
      </c>
      <c r="B32" t="str">
        <v/>
      </c>
      <c r="C32" t="str">
        <v>G14 A Haantjes CERTIFISC Oudenaarde</v>
      </c>
      <c r="D32" t="str">
        <v>G14 A</v>
      </c>
      <c r="E32" t="str">
        <v>charlotte.vanmoorleghem1@gmail.com</v>
      </c>
      <c r="F32" s="3" t="str">
        <v/>
      </c>
      <c r="G32" t="str">
        <v>Speler</v>
      </c>
    </row>
    <row r="33" spans="1:7" x14ac:dyDescent="0.3">
      <c r="A33" t="str">
        <v>Kors Altruy</v>
      </c>
      <c r="B33" t="str">
        <v/>
      </c>
      <c r="C33" t="str">
        <v>G14 B Haantjes CERTIFISC Oudenaarde</v>
      </c>
      <c r="D33" t="str">
        <v>G14 B</v>
      </c>
      <c r="E33" t="str">
        <v>David.altruy@outlook.be</v>
      </c>
      <c r="F33" s="3" t="str">
        <v>+32475950308</v>
      </c>
      <c r="G33" t="str">
        <v>Speler</v>
      </c>
    </row>
    <row r="34" spans="1:7" x14ac:dyDescent="0.3">
      <c r="A34" t="str">
        <v>Matisse Buda Meirlaen</v>
      </c>
      <c r="B34" t="str">
        <v>https://app.twizzit.com/public/photos/7666112/s/28beee7a2b02560648d49ec2140a1cc079666b2a.png</v>
      </c>
      <c r="C34" t="str">
        <v>G14 B Haantjes CERTIFISC Oudenaarde</v>
      </c>
      <c r="D34" t="str">
        <v>G14 B</v>
      </c>
      <c r="E34" t="str">
        <v/>
      </c>
      <c r="F34" s="3" t="str">
        <v>+32490467800</v>
      </c>
      <c r="G34" t="str">
        <v>Speler</v>
      </c>
    </row>
    <row r="35" spans="1:7" x14ac:dyDescent="0.3">
      <c r="A35" t="str">
        <v>Niklas Creteur</v>
      </c>
      <c r="B35" t="str">
        <v/>
      </c>
      <c r="C35" t="str">
        <v>G14 B Haantjes CERTIFISC Oudenaarde</v>
      </c>
      <c r="D35" t="str">
        <v>G14 B</v>
      </c>
      <c r="E35" t="str">
        <v/>
      </c>
      <c r="F35" s="3" t="str">
        <v>+32496211659</v>
      </c>
      <c r="G35" t="str">
        <v>Speler</v>
      </c>
    </row>
    <row r="36" spans="1:7" x14ac:dyDescent="0.3">
      <c r="A36" t="str">
        <v>Mauro Darragas</v>
      </c>
      <c r="B36" t="str">
        <v/>
      </c>
      <c r="C36" t="str">
        <v>G14 B Haantjes CERTIFISC Oudenaarde</v>
      </c>
      <c r="D36" t="str">
        <v>G14 B</v>
      </c>
      <c r="E36" t="str">
        <v>Ben_darragas@hotmail.com</v>
      </c>
      <c r="F36" s="3" t="str">
        <v>+32473628241</v>
      </c>
      <c r="G36" t="str">
        <v>Speler</v>
      </c>
    </row>
    <row r="37" spans="1:7" x14ac:dyDescent="0.3">
      <c r="A37" t="str">
        <v>Arthur Debisschop</v>
      </c>
      <c r="B37" t="str">
        <v/>
      </c>
      <c r="C37" t="str">
        <v>G14 B Haantjes CERTIFISC Oudenaarde</v>
      </c>
      <c r="D37" t="str">
        <v>G14 B</v>
      </c>
      <c r="E37" t="str">
        <v/>
      </c>
      <c r="F37" s="3" t="str">
        <v>+32486445874</v>
      </c>
      <c r="G37" t="str">
        <v>Speler</v>
      </c>
    </row>
    <row r="38" spans="1:7" x14ac:dyDescent="0.3">
      <c r="A38" t="str">
        <v>Alexis Devos</v>
      </c>
      <c r="B38" t="str">
        <v>https://app.twizzit.com/public/photos/6106676/s/2ae43246aa8142b23f5743a7efbb9e280e512170.png</v>
      </c>
      <c r="C38" t="str">
        <v>G14 B Haantjes CERTIFISC Oudenaarde</v>
      </c>
      <c r="D38" t="str">
        <v>G14 B</v>
      </c>
      <c r="E38" t="str">
        <v/>
      </c>
      <c r="F38" s="3" t="str">
        <v>+32495886987</v>
      </c>
      <c r="G38" t="str">
        <v>Speler</v>
      </c>
    </row>
    <row r="39" spans="1:7" x14ac:dyDescent="0.3">
      <c r="A39" t="str">
        <v>Oben Godpower</v>
      </c>
      <c r="B39" t="str">
        <v/>
      </c>
      <c r="C39" t="str">
        <v>G14 B Haantjes CERTIFISC Oudenaarde</v>
      </c>
      <c r="D39" t="str">
        <v>G14 B</v>
      </c>
      <c r="E39" t="str">
        <v/>
      </c>
      <c r="F39" s="3" t="str">
        <v>+32497885450</v>
      </c>
      <c r="G39" t="str">
        <v>Speler</v>
      </c>
    </row>
    <row r="40" spans="1:7" x14ac:dyDescent="0.3">
      <c r="A40" t="str">
        <v>Tuur Goossens</v>
      </c>
      <c r="B40" t="str">
        <v/>
      </c>
      <c r="C40" t="str">
        <v>G14 B Haantjes CERTIFISC Oudenaarde</v>
      </c>
      <c r="D40" t="str">
        <v>G14 B</v>
      </c>
      <c r="E40" t="str">
        <v>vrolijke.tuur@gmail.com</v>
      </c>
      <c r="F40" s="3" t="str">
        <v>+32478766076</v>
      </c>
      <c r="G40" t="str">
        <v>Speler</v>
      </c>
    </row>
    <row r="41" spans="1:7" x14ac:dyDescent="0.3">
      <c r="A41" t="str">
        <v>Steppe Matthys</v>
      </c>
      <c r="B41" t="str">
        <v>https://app.twizzit.com/public/photos/10488364/s/177c95b9932dcdda23e09eda7b0298c34ca94551.jpeg</v>
      </c>
      <c r="C41" t="str">
        <v>G14 B Haantjes CERTIFISC Oudenaarde</v>
      </c>
      <c r="D41" t="str">
        <v>G14 B</v>
      </c>
      <c r="E41" t="str">
        <v/>
      </c>
      <c r="F41" s="3" t="str">
        <v>+32468429871</v>
      </c>
      <c r="G41" t="str">
        <v>Speler</v>
      </c>
    </row>
    <row r="42" spans="1:7" x14ac:dyDescent="0.3">
      <c r="A42" t="str">
        <v>Mauro Van Sande</v>
      </c>
      <c r="B42" t="str">
        <v>https://app.twizzit.com/public/photos/2650608/s/9cebeb89f0d68fff18c1faf3be6be5621d757adb.png</v>
      </c>
      <c r="C42" t="str">
        <v>G14 B Haantjes CERTIFISC Oudenaarde</v>
      </c>
      <c r="D42" t="str">
        <v>G14 B</v>
      </c>
      <c r="E42" t="str">
        <v>Sylvie.mincke@outlook.com</v>
      </c>
      <c r="F42" s="3" t="str">
        <v>+32494744847</v>
      </c>
      <c r="G42" t="str">
        <v>Speler</v>
      </c>
    </row>
    <row r="43" spans="1:7" x14ac:dyDescent="0.3">
      <c r="A43" t="str">
        <v>Viek Verhoeyen</v>
      </c>
      <c r="B43" t="str">
        <v/>
      </c>
      <c r="C43" t="str">
        <v>G14 B Haantjes CERTIFISC Oudenaarde</v>
      </c>
      <c r="D43" t="str">
        <v>G14 B</v>
      </c>
      <c r="E43" t="str">
        <v/>
      </c>
      <c r="F43" s="3" t="str">
        <v>+32470229908</v>
      </c>
      <c r="G43" t="str">
        <v>Speler</v>
      </c>
    </row>
    <row r="44" spans="1:7" x14ac:dyDescent="0.3">
      <c r="A44" t="str">
        <v>Mauro Vermassen</v>
      </c>
      <c r="B44" t="str">
        <v/>
      </c>
      <c r="C44" t="str">
        <v>G14 B Haantjes CERTIFISC Oudenaarde</v>
      </c>
      <c r="D44" t="str">
        <v>G14 B</v>
      </c>
      <c r="E44" t="str">
        <v>twizzit@kevinvermassen.be</v>
      </c>
      <c r="F44" s="3" t="str">
        <v>+32497427216</v>
      </c>
      <c r="G44" t="str">
        <v>Speler</v>
      </c>
    </row>
    <row r="45" spans="1:7" x14ac:dyDescent="0.3">
      <c r="A45" t="str">
        <v>Jules Cokelaere</v>
      </c>
      <c r="B45" t="str">
        <v/>
      </c>
      <c r="C45" t="str">
        <v>HSE  C Haantjes Certifisc Oudenaarde</v>
      </c>
      <c r="D45" t="str">
        <v>HSE C</v>
      </c>
      <c r="E45" t="str">
        <v/>
      </c>
      <c r="F45" s="3" t="str">
        <v>+32477681738</v>
      </c>
      <c r="G45" t="str">
        <v>Speler</v>
      </c>
    </row>
    <row r="46" spans="1:7" x14ac:dyDescent="0.3">
      <c r="A46" t="str">
        <v>Louis De Baere</v>
      </c>
      <c r="B46" t="str">
        <v/>
      </c>
      <c r="C46" t="str">
        <v>HSE  C Haantjes Certifisc Oudenaarde</v>
      </c>
      <c r="D46" t="str">
        <v>HSE C</v>
      </c>
      <c r="E46" t="str">
        <v/>
      </c>
      <c r="F46" s="3" t="str">
        <v>+32491029558</v>
      </c>
      <c r="G46" t="str">
        <v>Speler</v>
      </c>
    </row>
    <row r="47" spans="1:7" x14ac:dyDescent="0.3">
      <c r="A47" t="str">
        <v xml:space="preserve">Camiel De Clercq </v>
      </c>
      <c r="B47" t="str">
        <v/>
      </c>
      <c r="C47" t="str">
        <v>HSE  C Haantjes Certifisc Oudenaarde</v>
      </c>
      <c r="D47" t="str">
        <v>HSE C</v>
      </c>
      <c r="E47" t="str">
        <v/>
      </c>
      <c r="F47" s="3" t="str">
        <v>+32499129081</v>
      </c>
      <c r="G47" t="str">
        <v>Speler</v>
      </c>
    </row>
    <row r="48" spans="1:7" x14ac:dyDescent="0.3">
      <c r="A48" t="str">
        <v>Robbe De Clercq</v>
      </c>
      <c r="B48" t="str">
        <v/>
      </c>
      <c r="C48" t="str">
        <v>HSE  C Haantjes Certifisc Oudenaarde</v>
      </c>
      <c r="D48" t="str">
        <v>HSE C</v>
      </c>
      <c r="E48" t="str">
        <v/>
      </c>
      <c r="F48" s="3" t="str">
        <v/>
      </c>
      <c r="G48" t="str">
        <v>Speler</v>
      </c>
    </row>
    <row r="49" spans="1:7" x14ac:dyDescent="0.3">
      <c r="A49" t="str">
        <v>Siebe De Meyer</v>
      </c>
      <c r="B49" t="str">
        <v/>
      </c>
      <c r="C49" t="str">
        <v>HSE  C Haantjes Certifisc Oudenaarde</v>
      </c>
      <c r="D49" t="str">
        <v>HSE C</v>
      </c>
      <c r="E49" t="str">
        <v/>
      </c>
      <c r="F49" s="3" t="str">
        <v/>
      </c>
      <c r="G49" t="str">
        <v>Speler</v>
      </c>
    </row>
    <row r="50" spans="1:7" x14ac:dyDescent="0.3">
      <c r="A50" t="str">
        <v>Ryan Debouverie</v>
      </c>
      <c r="B50" t="str">
        <v/>
      </c>
      <c r="C50" t="str">
        <v>HSE  C Haantjes Certifisc Oudenaarde</v>
      </c>
      <c r="D50" t="str">
        <v>HSE C</v>
      </c>
      <c r="E50" t="str">
        <v/>
      </c>
      <c r="F50" s="3" t="str">
        <v>+32496247133</v>
      </c>
      <c r="G50" t="str">
        <v>Coach</v>
      </c>
    </row>
    <row r="51" spans="1:7" x14ac:dyDescent="0.3">
      <c r="A51" t="str">
        <v>Quentin Debruyne</v>
      </c>
      <c r="B51" t="str">
        <v/>
      </c>
      <c r="C51" t="str">
        <v>HSE  C Haantjes Certifisc Oudenaarde</v>
      </c>
      <c r="D51" t="str">
        <v>HSE C</v>
      </c>
      <c r="E51" t="str">
        <v/>
      </c>
      <c r="F51" s="3" t="str">
        <v>+32471753995</v>
      </c>
      <c r="G51" t="str">
        <v>Speler</v>
      </c>
    </row>
    <row r="52" spans="1:7" x14ac:dyDescent="0.3">
      <c r="A52" t="str">
        <v>Jarno Dhont</v>
      </c>
      <c r="B52" t="str">
        <v/>
      </c>
      <c r="C52" t="str">
        <v>HSE  C Haantjes Certifisc Oudenaarde</v>
      </c>
      <c r="D52" t="str">
        <v>HSE C</v>
      </c>
      <c r="E52" t="str">
        <v>dhont.lieven1@gmail.com</v>
      </c>
      <c r="F52" s="3" t="str">
        <v>+32468292174</v>
      </c>
      <c r="G52" t="str">
        <v>Speler</v>
      </c>
    </row>
    <row r="53" spans="1:7" x14ac:dyDescent="0.3">
      <c r="A53" t="str">
        <v>Mathis Dhont</v>
      </c>
      <c r="B53" t="str">
        <v/>
      </c>
      <c r="C53" t="str">
        <v>HSE  C Haantjes Certifisc Oudenaarde</v>
      </c>
      <c r="D53" t="str">
        <v>HSE C</v>
      </c>
      <c r="E53" t="str">
        <v/>
      </c>
      <c r="F53" s="3" t="str">
        <v/>
      </c>
      <c r="G53" t="str">
        <v>Speler</v>
      </c>
    </row>
    <row r="54" spans="1:7" x14ac:dyDescent="0.3">
      <c r="A54" t="str">
        <v>Joël Peeters</v>
      </c>
      <c r="B54" t="str">
        <v/>
      </c>
      <c r="C54" t="str">
        <v>HSE  C Haantjes Certifisc Oudenaarde</v>
      </c>
      <c r="D54" t="str">
        <v>HSE C</v>
      </c>
      <c r="E54" t="str">
        <v/>
      </c>
      <c r="F54" s="3" t="str">
        <v/>
      </c>
      <c r="G54" t="str">
        <v>Speler</v>
      </c>
    </row>
    <row r="55" spans="1:7" x14ac:dyDescent="0.3">
      <c r="A55" t="str">
        <v>Tristan Van Meenen</v>
      </c>
      <c r="B55" t="str">
        <v/>
      </c>
      <c r="C55" t="str">
        <v>HSE  C Haantjes Certifisc Oudenaarde</v>
      </c>
      <c r="D55" t="str">
        <v>HSE C</v>
      </c>
      <c r="E55" t="str">
        <v>jzvanmeenen@telenet.be</v>
      </c>
      <c r="F55" s="3" t="str">
        <v>+32468153046</v>
      </c>
      <c r="G55" t="str">
        <v>Speler</v>
      </c>
    </row>
    <row r="56" spans="1:7" x14ac:dyDescent="0.3">
      <c r="A56" t="str">
        <v>Giles Van Merhaeghe</v>
      </c>
      <c r="B56" t="str">
        <v/>
      </c>
      <c r="C56" t="str">
        <v>HSE  C Haantjes Certifisc Oudenaarde</v>
      </c>
      <c r="D56" t="str">
        <v>HSE C</v>
      </c>
      <c r="E56" t="str">
        <v/>
      </c>
      <c r="F56" s="3" t="str">
        <v/>
      </c>
      <c r="G56" t="str">
        <v>Speler</v>
      </c>
    </row>
    <row r="57" spans="1:7" x14ac:dyDescent="0.3">
      <c r="A57" t="str">
        <v>Kenny Volkaert</v>
      </c>
      <c r="B57" t="str">
        <v/>
      </c>
      <c r="C57" t="str">
        <v>HSE  C Haantjes Certifisc Oudenaarde</v>
      </c>
      <c r="D57" t="str">
        <v>HSE C</v>
      </c>
      <c r="E57" t="str">
        <v/>
      </c>
      <c r="F57" s="3" t="str">
        <v>+32483038837</v>
      </c>
      <c r="G57" t="str">
        <v>Speler</v>
      </c>
    </row>
    <row r="58" spans="1:7" x14ac:dyDescent="0.3">
      <c r="A58" t="str">
        <v>Niels De Lepeleire</v>
      </c>
      <c r="B58" t="str">
        <v/>
      </c>
      <c r="C58" t="str">
        <v>HSE A Haantjes Certifisc Oudenaarde</v>
      </c>
      <c r="D58" t="str">
        <v>HSE A</v>
      </c>
      <c r="E58" t="str">
        <v/>
      </c>
      <c r="F58" s="3" t="str">
        <v>+32470775058</v>
      </c>
      <c r="G58" t="str">
        <v>Speler</v>
      </c>
    </row>
    <row r="59" spans="1:7" x14ac:dyDescent="0.3">
      <c r="A59" t="str">
        <v>Quinten Derous</v>
      </c>
      <c r="B59" t="str">
        <v/>
      </c>
      <c r="C59" t="str">
        <v>HSE A Haantjes Certifisc Oudenaarde</v>
      </c>
      <c r="D59" t="str">
        <v>HSE A</v>
      </c>
      <c r="E59" t="str">
        <v/>
      </c>
      <c r="F59" s="3" t="str">
        <v>+32468258571</v>
      </c>
      <c r="G59" t="str">
        <v>Speler</v>
      </c>
    </row>
    <row r="60" spans="1:7" x14ac:dyDescent="0.3">
      <c r="A60" t="str">
        <v>Marco Dick</v>
      </c>
      <c r="B60" t="str">
        <v/>
      </c>
      <c r="C60" t="str">
        <v>HSE A Haantjes Certifisc Oudenaarde</v>
      </c>
      <c r="D60" t="str">
        <v>HSE A</v>
      </c>
      <c r="E60" t="str">
        <v/>
      </c>
      <c r="F60" s="3" t="str">
        <v>+32499754251</v>
      </c>
      <c r="G60" t="str">
        <v>Speler</v>
      </c>
    </row>
    <row r="61" spans="1:7" x14ac:dyDescent="0.3">
      <c r="A61" t="str">
        <v>Ukeme Essien</v>
      </c>
      <c r="B61" t="str">
        <v/>
      </c>
      <c r="C61" t="str">
        <v>HSE A Haantjes Certifisc Oudenaarde</v>
      </c>
      <c r="D61" t="str">
        <v>HSE A</v>
      </c>
      <c r="E61" t="str">
        <v/>
      </c>
      <c r="F61" s="3" t="str">
        <v>+32493339044</v>
      </c>
      <c r="G61" t="str">
        <v>Speler</v>
      </c>
    </row>
    <row r="62" spans="1:7" x14ac:dyDescent="0.3">
      <c r="A62" t="str">
        <v>Andreas Lippens</v>
      </c>
      <c r="B62" t="str">
        <v/>
      </c>
      <c r="C62" t="str">
        <v>HSE A Haantjes Certifisc Oudenaarde</v>
      </c>
      <c r="D62" t="str">
        <v>HSE A</v>
      </c>
      <c r="E62" t="str">
        <v/>
      </c>
      <c r="F62" s="3" t="str">
        <v>+32492223206</v>
      </c>
      <c r="G62" t="str">
        <v>Speler</v>
      </c>
    </row>
    <row r="63" spans="1:7" x14ac:dyDescent="0.3">
      <c r="A63" t="str">
        <v>Jakob Marcou</v>
      </c>
      <c r="B63" t="str">
        <v/>
      </c>
      <c r="C63" t="str">
        <v>HSE A Haantjes Certifisc Oudenaarde</v>
      </c>
      <c r="D63" t="str">
        <v>HSE A</v>
      </c>
      <c r="E63" t="str">
        <v/>
      </c>
      <c r="F63" s="3" t="str">
        <v>+32474234134</v>
      </c>
      <c r="G63" t="str">
        <v>Speler</v>
      </c>
    </row>
    <row r="64" spans="1:7" x14ac:dyDescent="0.3">
      <c r="A64" t="str">
        <v>Bleys Maxime</v>
      </c>
      <c r="B64" t="str">
        <v/>
      </c>
      <c r="C64" t="str">
        <v>HSE A Haantjes Certifisc Oudenaarde</v>
      </c>
      <c r="D64" t="str">
        <v>HSE A</v>
      </c>
      <c r="E64" t="str">
        <v/>
      </c>
      <c r="F64" s="3" t="str">
        <v>+32495940240</v>
      </c>
      <c r="G64" t="str">
        <v>Speler</v>
      </c>
    </row>
    <row r="65" spans="1:7" x14ac:dyDescent="0.3">
      <c r="A65" t="str">
        <v>Robin Spaens</v>
      </c>
      <c r="B65" t="str">
        <v/>
      </c>
      <c r="C65" t="str">
        <v>HSE A Haantjes Certifisc Oudenaarde</v>
      </c>
      <c r="D65" t="str">
        <v>HSE A</v>
      </c>
      <c r="E65" t="str">
        <v/>
      </c>
      <c r="F65" s="3" t="str">
        <v>+32476359988</v>
      </c>
      <c r="G65" t="str">
        <v>Speler</v>
      </c>
    </row>
    <row r="66" spans="1:7" x14ac:dyDescent="0.3">
      <c r="A66" t="str">
        <v>Bram Van Wyngene</v>
      </c>
      <c r="B66" t="str">
        <v/>
      </c>
      <c r="C66" t="str">
        <v>HSE A Haantjes Certifisc Oudenaarde</v>
      </c>
      <c r="D66" t="str">
        <v>HSE A</v>
      </c>
      <c r="E66" t="str">
        <v/>
      </c>
      <c r="F66" s="3" t="str">
        <v>+32477349575</v>
      </c>
      <c r="G66" t="str">
        <v>Coach</v>
      </c>
    </row>
    <row r="67" spans="1:7" x14ac:dyDescent="0.3">
      <c r="A67" t="str">
        <v>Cedric Watteyn</v>
      </c>
      <c r="B67" t="str">
        <v/>
      </c>
      <c r="C67" t="str">
        <v>HSE A Haantjes Certifisc Oudenaarde</v>
      </c>
      <c r="D67" t="str">
        <v>HSE A</v>
      </c>
      <c r="E67" t="str">
        <v/>
      </c>
      <c r="F67" s="3" t="str">
        <v>+32471244684</v>
      </c>
      <c r="G67" t="str">
        <v>Speler</v>
      </c>
    </row>
    <row r="68" spans="1:7" x14ac:dyDescent="0.3">
      <c r="A68" t="str">
        <v>Rémi Bauters</v>
      </c>
      <c r="B68" t="str">
        <v/>
      </c>
      <c r="C68" t="str">
        <v>HSE B Haantjes Certifisc Oudenaarde</v>
      </c>
      <c r="D68" t="str">
        <v>HSE B</v>
      </c>
      <c r="E68" t="str">
        <v/>
      </c>
      <c r="F68" s="3" t="str">
        <v>+32497078444</v>
      </c>
      <c r="G68" t="str">
        <v>Speler</v>
      </c>
    </row>
    <row r="69" spans="1:7" x14ac:dyDescent="0.3">
      <c r="A69" t="str">
        <v>Matti Bogaert</v>
      </c>
      <c r="B69" t="str">
        <v/>
      </c>
      <c r="C69" t="str">
        <v>HSE B Haantjes Certifisc Oudenaarde</v>
      </c>
      <c r="D69" t="str">
        <v>HSE B</v>
      </c>
      <c r="E69" t="str">
        <v>mboogie800@hotmail.com</v>
      </c>
      <c r="F69" s="3" t="str">
        <v>+32465007097</v>
      </c>
      <c r="G69" t="str">
        <v>Speler</v>
      </c>
    </row>
    <row r="70" spans="1:7" x14ac:dyDescent="0.3">
      <c r="A70" t="str">
        <v>Dylann Bufkens</v>
      </c>
      <c r="B70" t="str">
        <v/>
      </c>
      <c r="C70" t="str">
        <v>HSE B Haantjes Certifisc Oudenaarde</v>
      </c>
      <c r="D70" t="str">
        <v>HSE B</v>
      </c>
      <c r="E70" t="str">
        <v/>
      </c>
      <c r="F70" s="3" t="str">
        <v>+32493561486</v>
      </c>
      <c r="G70" t="str">
        <v>Speler</v>
      </c>
    </row>
    <row r="71" spans="1:7" x14ac:dyDescent="0.3">
      <c r="A71" t="str">
        <v>Sofian D'Haenen</v>
      </c>
      <c r="B71" t="str">
        <v/>
      </c>
      <c r="C71" t="str">
        <v>HSE B Haantjes Certifisc Oudenaarde</v>
      </c>
      <c r="D71" t="str">
        <v>HSE B</v>
      </c>
      <c r="E71" t="str">
        <v/>
      </c>
      <c r="F71" s="3" t="str">
        <v/>
      </c>
      <c r="G71" t="str">
        <v>Speler</v>
      </c>
    </row>
    <row r="72" spans="1:7" x14ac:dyDescent="0.3">
      <c r="A72" t="str">
        <v>David De Brabander</v>
      </c>
      <c r="B72" t="str">
        <v>https://app.twizzit.com/public/photos/4024795/s/7af12ff114d5d53515b4f220ddc6cdb6ff121519.png</v>
      </c>
      <c r="C72" t="str">
        <v>HSE B Haantjes Certifisc Oudenaarde</v>
      </c>
      <c r="D72" t="str">
        <v>HSE B</v>
      </c>
      <c r="E72" t="str">
        <v/>
      </c>
      <c r="F72" s="3" t="str">
        <v>+32478251758</v>
      </c>
      <c r="G72" t="str">
        <v>Coach</v>
      </c>
    </row>
    <row r="73" spans="1:7" x14ac:dyDescent="0.3">
      <c r="A73" t="str">
        <v>Milan De Brabander</v>
      </c>
      <c r="B73" t="str">
        <v>https://app.twizzit.com/public/photos/3519915/s/cb4bbdba90c700302dcd9548901e284ce021df92.jpeg</v>
      </c>
      <c r="C73" t="str">
        <v>HSE B Haantjes Certifisc Oudenaarde</v>
      </c>
      <c r="D73" t="str">
        <v>HSE B</v>
      </c>
      <c r="E73" t="str">
        <v>de.brabander.david@telenet.be</v>
      </c>
      <c r="F73" s="3" t="str">
        <v>+32468348603</v>
      </c>
      <c r="G73" t="str">
        <v>Speler</v>
      </c>
    </row>
    <row r="74" spans="1:7" x14ac:dyDescent="0.3">
      <c r="A74" t="str">
        <v>Mathieu De Clercq</v>
      </c>
      <c r="B74" t="str">
        <v/>
      </c>
      <c r="C74" t="str">
        <v>HSE B Haantjes Certifisc Oudenaarde</v>
      </c>
      <c r="D74" t="str">
        <v>HSE B</v>
      </c>
      <c r="E74" t="str">
        <v/>
      </c>
      <c r="F74" s="3" t="str">
        <v>+32495786491</v>
      </c>
      <c r="G74" t="str">
        <v>Speler</v>
      </c>
    </row>
    <row r="75" spans="1:7" x14ac:dyDescent="0.3">
      <c r="A75" t="str">
        <v>Ryan Debouverie</v>
      </c>
      <c r="B75" t="str">
        <v/>
      </c>
      <c r="C75" t="str">
        <v>HSE B Haantjes Certifisc Oudenaarde</v>
      </c>
      <c r="D75" t="str">
        <v>HSE B</v>
      </c>
      <c r="E75" t="str">
        <v/>
      </c>
      <c r="F75" s="3" t="str">
        <v>+32496247133</v>
      </c>
      <c r="G75" t="str">
        <v>Speler</v>
      </c>
    </row>
    <row r="76" spans="1:7" x14ac:dyDescent="0.3">
      <c r="A76" t="str">
        <v>Yves Bellard Giriteka</v>
      </c>
      <c r="B76" t="str">
        <v/>
      </c>
      <c r="C76" t="str">
        <v>HSE B Haantjes Certifisc Oudenaarde</v>
      </c>
      <c r="D76" t="str">
        <v>HSE B</v>
      </c>
      <c r="E76" t="str">
        <v/>
      </c>
      <c r="F76" s="3" t="str">
        <v>+32466419783</v>
      </c>
      <c r="G76" t="str">
        <v>Speler</v>
      </c>
    </row>
    <row r="77" spans="1:7" x14ac:dyDescent="0.3">
      <c r="A77" t="str">
        <v>Thomas Goossens</v>
      </c>
      <c r="B77" t="str">
        <v>https://app.twizzit.com/public/photos/2182921/s/d5ec4bbccbaf575bfa3a597df60827a1e6809d4b.png</v>
      </c>
      <c r="C77" t="str">
        <v>HSE B Haantjes Certifisc Oudenaarde</v>
      </c>
      <c r="D77" t="str">
        <v>HSE B</v>
      </c>
      <c r="E77" t="str">
        <v/>
      </c>
      <c r="F77" s="3" t="str">
        <v>+32477281468</v>
      </c>
      <c r="G77" t="str">
        <v>Speler</v>
      </c>
    </row>
    <row r="78" spans="1:7" x14ac:dyDescent="0.3">
      <c r="A78" t="str">
        <v>Sander Hakuzimana</v>
      </c>
      <c r="B78" t="str">
        <v/>
      </c>
      <c r="C78" t="str">
        <v>HSE B Haantjes Certifisc Oudenaarde</v>
      </c>
      <c r="D78" t="str">
        <v>HSE B</v>
      </c>
      <c r="E78" t="str">
        <v/>
      </c>
      <c r="F78" s="3" t="str">
        <v>+32467059655</v>
      </c>
      <c r="G78" t="str">
        <v>Speler</v>
      </c>
    </row>
    <row r="79" spans="1:7" x14ac:dyDescent="0.3">
      <c r="A79" t="str">
        <v>Arno Heyerick</v>
      </c>
      <c r="B79" t="str">
        <v/>
      </c>
      <c r="C79" t="str">
        <v>HSE B Haantjes Certifisc Oudenaarde</v>
      </c>
      <c r="D79" t="str">
        <v>HSE B</v>
      </c>
      <c r="E79" t="str">
        <v/>
      </c>
      <c r="F79" s="3" t="str">
        <v>+32479480500</v>
      </c>
      <c r="G79" t="str">
        <v>Speler</v>
      </c>
    </row>
    <row r="80" spans="1:7" x14ac:dyDescent="0.3">
      <c r="A80" t="str">
        <v>Vic Huysman</v>
      </c>
      <c r="B80" t="str">
        <v>https://app.twizzit.com/public/photos/2936186/s/c4015a6cfb380c1e7090d66488ca6326fa9caa7a.png</v>
      </c>
      <c r="C80" t="str">
        <v>HSE B Haantjes Certifisc Oudenaarde</v>
      </c>
      <c r="D80" t="str">
        <v>HSE B</v>
      </c>
      <c r="E80" t="str">
        <v/>
      </c>
      <c r="F80" s="3" t="str">
        <v>+32474884540</v>
      </c>
      <c r="G80" t="str">
        <v>Speler</v>
      </c>
    </row>
    <row r="81" spans="1:7" x14ac:dyDescent="0.3">
      <c r="A81" t="str">
        <v>Aleksandr Kazmenko</v>
      </c>
      <c r="B81" t="str">
        <v/>
      </c>
      <c r="C81" t="str">
        <v>HSE B Haantjes Certifisc Oudenaarde</v>
      </c>
      <c r="D81" t="str">
        <v>HSE B</v>
      </c>
      <c r="E81" t="str">
        <v>alex@inolel.com</v>
      </c>
      <c r="F81" s="3" t="str">
        <v/>
      </c>
      <c r="G81" t="str">
        <v>Speler</v>
      </c>
    </row>
    <row r="82" spans="1:7" x14ac:dyDescent="0.3">
      <c r="A82" t="str">
        <v>Brecht Van Glabeke</v>
      </c>
      <c r="B82" t="str">
        <v/>
      </c>
      <c r="C82" t="str">
        <v>HSE B Haantjes Certifisc Oudenaarde</v>
      </c>
      <c r="D82" t="str">
        <v>HSE B</v>
      </c>
      <c r="E82" t="str">
        <v/>
      </c>
      <c r="F82" s="3" t="str">
        <v>+32470671727</v>
      </c>
      <c r="G82" t="str">
        <v>Speler</v>
      </c>
    </row>
    <row r="83" spans="1:7" x14ac:dyDescent="0.3">
      <c r="A83" t="str">
        <v>Thomas Viaene</v>
      </c>
      <c r="B83" t="str">
        <v/>
      </c>
      <c r="C83" t="str">
        <v>HSE B Haantjes Certifisc Oudenaarde</v>
      </c>
      <c r="D83" t="str">
        <v>HSE B</v>
      </c>
      <c r="E83" t="str">
        <v/>
      </c>
      <c r="F83" s="3" t="str">
        <v>+32497313727</v>
      </c>
      <c r="G83" t="str">
        <v>Speler</v>
      </c>
    </row>
    <row r="84" spans="1:7" x14ac:dyDescent="0.3">
      <c r="A84" t="str">
        <v>Torre Beeckman</v>
      </c>
      <c r="B84" t="str">
        <v>https://app.twizzit.com/public/photos/2182491/s/9cf26edd91096e59f19c665e2f0a4528adc17aa7.png</v>
      </c>
      <c r="C84" t="str">
        <v>J16 A Haantjes CERTIFISC Oudenaarde</v>
      </c>
      <c r="D84" t="str">
        <v>J16 A</v>
      </c>
      <c r="E84" t="str">
        <v/>
      </c>
      <c r="F84" s="3" t="str">
        <v>+32486440775</v>
      </c>
      <c r="G84" t="str">
        <v>Speler</v>
      </c>
    </row>
    <row r="85" spans="1:7" x14ac:dyDescent="0.3">
      <c r="A85" t="str">
        <v>Liam Bufkens</v>
      </c>
      <c r="B85" t="str">
        <v/>
      </c>
      <c r="C85" t="str">
        <v>J16 A Haantjes CERTIFISC Oudenaarde</v>
      </c>
      <c r="D85" t="str">
        <v>J16 A</v>
      </c>
      <c r="E85" t="str">
        <v>vanbael_ijlie@hotmail.com</v>
      </c>
      <c r="F85" s="3" t="str">
        <v/>
      </c>
      <c r="G85" t="str">
        <v>Speler</v>
      </c>
    </row>
    <row r="86" spans="1:7" x14ac:dyDescent="0.3">
      <c r="A86" t="str">
        <v>Jonah Cattoir</v>
      </c>
      <c r="B86" t="str">
        <v/>
      </c>
      <c r="C86" t="str">
        <v>J16 A Haantjes CERTIFISC Oudenaarde</v>
      </c>
      <c r="D86" t="str">
        <v>J16 A</v>
      </c>
      <c r="E86" t="str">
        <v/>
      </c>
      <c r="F86" s="3" t="str">
        <v/>
      </c>
      <c r="G86" t="str">
        <v>Speler</v>
      </c>
    </row>
    <row r="87" spans="1:7" x14ac:dyDescent="0.3">
      <c r="A87" t="str">
        <v>Tibo Despriet</v>
      </c>
      <c r="B87" t="str">
        <v>https://app.twizzit.com/public/photos/3884890/s/99828396af5826db82003655528894a4f299045f.jpeg</v>
      </c>
      <c r="C87" t="str">
        <v>J16 A Haantjes CERTIFISC Oudenaarde</v>
      </c>
      <c r="D87" t="str">
        <v>J16 A</v>
      </c>
      <c r="E87" t="str">
        <v>Tibo.despriet@gmail.com</v>
      </c>
      <c r="F87" s="3" t="str">
        <v/>
      </c>
      <c r="G87" t="str">
        <v>Speler</v>
      </c>
    </row>
    <row r="88" spans="1:7" x14ac:dyDescent="0.3">
      <c r="A88" t="str">
        <v>Nathan Dewaele</v>
      </c>
      <c r="B88" t="str">
        <v>https://app.twizzit.com/public/photos/2182816/s/c00a73a61de05b1991d5eac8f8ad498e97a90e40.png</v>
      </c>
      <c r="C88" t="str">
        <v>J16 A Haantjes CERTIFISC Oudenaarde</v>
      </c>
      <c r="D88" t="str">
        <v>J16 A</v>
      </c>
      <c r="E88" t="str">
        <v>wesleydewaele@yahoo.co.uk</v>
      </c>
      <c r="F88" s="3" t="str">
        <v>+32470540240</v>
      </c>
      <c r="G88" t="str">
        <v>Speler</v>
      </c>
    </row>
    <row r="89" spans="1:7" x14ac:dyDescent="0.3">
      <c r="A89" t="str">
        <v>Basiel Genbrugge</v>
      </c>
      <c r="B89" t="str">
        <v>https://app.twizzit.com/public/photos/8579142/s/db8d4000b96831e0c69a1f9ee9bb0955ce673dba.png</v>
      </c>
      <c r="C89" t="str">
        <v>J16 A Haantjes CERTIFISC Oudenaarde</v>
      </c>
      <c r="D89" t="str">
        <v>J16 A</v>
      </c>
      <c r="E89" t="str">
        <v>basiel.genbrugge@gmail.com</v>
      </c>
      <c r="F89" s="3" t="str">
        <v>+32486314030</v>
      </c>
      <c r="G89" t="str">
        <v>Speler</v>
      </c>
    </row>
    <row r="90" spans="1:7" x14ac:dyDescent="0.3">
      <c r="A90" t="str">
        <v>Briek Goossens</v>
      </c>
      <c r="B90" t="str">
        <v/>
      </c>
      <c r="C90" t="str">
        <v>J16 A Haantjes CERTIFISC Oudenaarde</v>
      </c>
      <c r="D90" t="str">
        <v>J16 A</v>
      </c>
      <c r="E90" t="str">
        <v>slimmerik.briek@gmail.com</v>
      </c>
      <c r="F90" s="3" t="str">
        <v>+32495362023</v>
      </c>
      <c r="G90" t="str">
        <v>Speler</v>
      </c>
    </row>
    <row r="91" spans="1:7" x14ac:dyDescent="0.3">
      <c r="A91" t="str">
        <v>Viktor L’Hommelet</v>
      </c>
      <c r="B91" t="str">
        <v/>
      </c>
      <c r="C91" t="str">
        <v>J16 A Haantjes CERTIFISC Oudenaarde</v>
      </c>
      <c r="D91" t="str">
        <v>J16 A</v>
      </c>
      <c r="E91" t="str">
        <v>els.bourgois@gmail.com</v>
      </c>
      <c r="F91" s="3" t="str">
        <v>+32479376759</v>
      </c>
      <c r="G91" t="str">
        <v>Speler</v>
      </c>
    </row>
    <row r="92" spans="1:7" x14ac:dyDescent="0.3">
      <c r="A92" t="str">
        <v>Kasper Mees</v>
      </c>
      <c r="B92" t="str">
        <v>https://app.twizzit.com/public/photos/2183112/s/07942e4161d7a20864d1fbcf54b9a6dda331637e.png</v>
      </c>
      <c r="C92" t="str">
        <v>J16 A Haantjes CERTIFISC Oudenaarde</v>
      </c>
      <c r="D92" t="str">
        <v>J16 A</v>
      </c>
      <c r="E92" t="str">
        <v/>
      </c>
      <c r="F92" s="3" t="str">
        <v>+32474721420</v>
      </c>
      <c r="G92" t="str">
        <v>Speler</v>
      </c>
    </row>
    <row r="93" spans="1:7" x14ac:dyDescent="0.3">
      <c r="A93" t="str">
        <v>Gust Ottevaere</v>
      </c>
      <c r="B93" t="str">
        <v/>
      </c>
      <c r="C93" t="str">
        <v>J16 A Haantjes CERTIFISC Oudenaarde</v>
      </c>
      <c r="D93" t="str">
        <v>J16 A</v>
      </c>
      <c r="E93" t="str">
        <v>gust.ottevaere@telenet.be</v>
      </c>
      <c r="F93" s="3" t="str">
        <v>+32467011927</v>
      </c>
      <c r="G93" t="str">
        <v>Speler</v>
      </c>
    </row>
    <row r="94" spans="1:7" x14ac:dyDescent="0.3">
      <c r="A94" t="str">
        <v>Anoek Van Caeneghem</v>
      </c>
      <c r="B94" t="str">
        <v>https://app.twizzit.com/public/photos/11917018/s/e098521fbafba2a80a9ddb8d7c06f83cdbae52a9.png</v>
      </c>
      <c r="C94" t="str">
        <v>J16 A Haantjes CERTIFISC Oudenaarde</v>
      </c>
      <c r="D94" t="str">
        <v>J16 A</v>
      </c>
      <c r="E94" t="str">
        <v/>
      </c>
      <c r="F94" s="3" t="str">
        <v>+32498086024</v>
      </c>
      <c r="G94" t="str">
        <v>Coach</v>
      </c>
    </row>
    <row r="95" spans="1:7" x14ac:dyDescent="0.3">
      <c r="A95" t="str">
        <v>Joao Arickx</v>
      </c>
      <c r="B95" t="str">
        <v/>
      </c>
      <c r="C95" t="str">
        <v>J16 B Haantjes CERTIFISC Oudenaarde</v>
      </c>
      <c r="D95" t="str">
        <v>J16 B</v>
      </c>
      <c r="E95" t="str">
        <v/>
      </c>
      <c r="F95" s="3" t="str">
        <v>+32489669827</v>
      </c>
      <c r="G95" t="str">
        <v>Speler</v>
      </c>
    </row>
    <row r="96" spans="1:7" x14ac:dyDescent="0.3">
      <c r="A96" t="str">
        <v>Jasper Baert</v>
      </c>
      <c r="B96" t="str">
        <v>https://app.twizzit.com/public/photos/2650780/s/77c3f1ac992ce48307c6c7ab431ab89e2bd37774.png</v>
      </c>
      <c r="C96" t="str">
        <v>J16 B Haantjes CERTIFISC Oudenaarde</v>
      </c>
      <c r="D96" t="str">
        <v>J16 B</v>
      </c>
      <c r="E96" t="str">
        <v>baert_stijn@hotmail.com</v>
      </c>
      <c r="F96" s="3" t="str">
        <v>+32485376691</v>
      </c>
      <c r="G96" t="str">
        <v>Speler</v>
      </c>
    </row>
    <row r="97" spans="1:7" x14ac:dyDescent="0.3">
      <c r="A97" t="str">
        <v>Emile Berkvens</v>
      </c>
      <c r="B97" t="str">
        <v>https://app.twizzit.com/public/photos/2650778/s/15d2f475817dbbc2474d7d1a8b8b6a06ed3f6c72.png</v>
      </c>
      <c r="C97" t="str">
        <v>J16 B Haantjes CERTIFISC Oudenaarde</v>
      </c>
      <c r="D97" t="str">
        <v>J16 B</v>
      </c>
      <c r="E97" t="str">
        <v/>
      </c>
      <c r="F97" s="3" t="str">
        <v>+32474613344</v>
      </c>
      <c r="G97" t="str">
        <v>Speler</v>
      </c>
    </row>
    <row r="98" spans="1:7" x14ac:dyDescent="0.3">
      <c r="A98" t="str">
        <v>Len De Coussemaker</v>
      </c>
      <c r="B98" t="str">
        <v>https://app.twizzit.com/public/photos/2182636/s/ac8133dfa6021f95e4cb86240c3d9e68218f8a83.png</v>
      </c>
      <c r="C98" t="str">
        <v>J16 B Haantjes CERTIFISC Oudenaarde</v>
      </c>
      <c r="D98" t="str">
        <v>J16 B</v>
      </c>
      <c r="E98" t="str">
        <v>kristien.vdv@telenet.be</v>
      </c>
      <c r="F98" s="3" t="str">
        <v>+32468280854</v>
      </c>
      <c r="G98" t="str">
        <v>Speler</v>
      </c>
    </row>
    <row r="99" spans="1:7" x14ac:dyDescent="0.3">
      <c r="A99" t="str">
        <v>Niels De Lepeleire</v>
      </c>
      <c r="B99" t="str">
        <v/>
      </c>
      <c r="C99" t="str">
        <v>J16 B Haantjes CERTIFISC Oudenaarde</v>
      </c>
      <c r="D99" t="str">
        <v>J16 B</v>
      </c>
      <c r="E99" t="str">
        <v/>
      </c>
      <c r="F99" s="3" t="str">
        <v>+32470775058</v>
      </c>
      <c r="G99" t="str">
        <v>Coach</v>
      </c>
    </row>
    <row r="100" spans="1:7" x14ac:dyDescent="0.3">
      <c r="A100" t="str">
        <v>Emmanuel Dull</v>
      </c>
      <c r="B100" t="str">
        <v/>
      </c>
      <c r="C100" t="str">
        <v>J16 B Haantjes CERTIFISC Oudenaarde</v>
      </c>
      <c r="D100" t="str">
        <v>J16 B</v>
      </c>
      <c r="E100" t="str">
        <v/>
      </c>
      <c r="F100" s="3" t="str">
        <v>+32472172783</v>
      </c>
      <c r="G100" t="str">
        <v>Speler</v>
      </c>
    </row>
    <row r="101" spans="1:7" x14ac:dyDescent="0.3">
      <c r="A101" t="str">
        <v>Victor Geiregat</v>
      </c>
      <c r="B101" t="str">
        <v/>
      </c>
      <c r="C101" t="str">
        <v>J16 B Haantjes CERTIFISC Oudenaarde</v>
      </c>
      <c r="D101" t="str">
        <v>J16 B</v>
      </c>
      <c r="E101" t="str">
        <v>victorgeiregat@gmail.com</v>
      </c>
      <c r="F101" s="3" t="str">
        <v>+32467007382</v>
      </c>
      <c r="G101" t="str">
        <v>Speler</v>
      </c>
    </row>
    <row r="102" spans="1:7" x14ac:dyDescent="0.3">
      <c r="A102" t="str">
        <v>Alexander Libert</v>
      </c>
      <c r="B102" t="str">
        <v/>
      </c>
      <c r="C102" t="str">
        <v>J16 B Haantjes CERTIFISC Oudenaarde</v>
      </c>
      <c r="D102" t="str">
        <v>J16 B</v>
      </c>
      <c r="E102" t="str">
        <v>s_ardenois@hotmail.com</v>
      </c>
      <c r="F102" s="3" t="str">
        <v>+32471396733</v>
      </c>
      <c r="G102" t="str">
        <v>Speler</v>
      </c>
    </row>
    <row r="103" spans="1:7" x14ac:dyDescent="0.3">
      <c r="A103" t="str">
        <v>Jean-Reno Neyrinck</v>
      </c>
      <c r="B103" t="str">
        <v>https://app.twizzit.com/public/photos/3543437/s/4b4d34aba7c38171a5f39885d89d2a702bb4c5c8.jpeg</v>
      </c>
      <c r="C103" t="str">
        <v>J16 B Haantjes CERTIFISC Oudenaarde</v>
      </c>
      <c r="D103" t="str">
        <v>J16 B</v>
      </c>
      <c r="E103" t="str">
        <v/>
      </c>
      <c r="F103" s="3" t="str">
        <v>+32474078109</v>
      </c>
      <c r="G103" t="str">
        <v>Speler</v>
      </c>
    </row>
    <row r="104" spans="1:7" x14ac:dyDescent="0.3">
      <c r="A104" t="str">
        <v>Maro Thas</v>
      </c>
      <c r="B104" t="str">
        <v>https://app.twizzit.com/public/photos/3451572/s/f7bd7e0dc5dd014e64108bf9fe43059bbb6a9a41.png</v>
      </c>
      <c r="C104" t="str">
        <v>J16 B Haantjes CERTIFISC Oudenaarde</v>
      </c>
      <c r="D104" t="str">
        <v>J16 B</v>
      </c>
      <c r="E104" t="str">
        <v/>
      </c>
      <c r="F104" s="3" t="str">
        <v>+32472433051</v>
      </c>
      <c r="G104" t="str">
        <v>Speler</v>
      </c>
    </row>
    <row r="105" spans="1:7" x14ac:dyDescent="0.3">
      <c r="A105" t="str">
        <v>Kobe Vandaele</v>
      </c>
      <c r="B105" t="str">
        <v/>
      </c>
      <c r="C105" t="str">
        <v>J16 B Haantjes CERTIFISC Oudenaarde</v>
      </c>
      <c r="D105" t="str">
        <v>J16 B</v>
      </c>
      <c r="E105" t="str">
        <v/>
      </c>
      <c r="F105" s="3" t="str">
        <v>+32478439213</v>
      </c>
      <c r="G105" t="str">
        <v>Speler</v>
      </c>
    </row>
    <row r="106" spans="1:7" x14ac:dyDescent="0.3">
      <c r="A106" t="str">
        <v>Lukas Vandemaele</v>
      </c>
      <c r="B106" t="str">
        <v/>
      </c>
      <c r="C106" t="str">
        <v>J16 B Haantjes CERTIFISC Oudenaarde</v>
      </c>
      <c r="D106" t="str">
        <v>J16 B</v>
      </c>
      <c r="E106" t="str">
        <v>Wimvandemaele@hotmail.com</v>
      </c>
      <c r="F106" s="3" t="str">
        <v>+32491941753</v>
      </c>
      <c r="G106" t="str">
        <v>Speler</v>
      </c>
    </row>
    <row r="107" spans="1:7" x14ac:dyDescent="0.3">
      <c r="A107" t="str">
        <v>Mats Verstraeten</v>
      </c>
      <c r="B107" t="str">
        <v/>
      </c>
      <c r="C107" t="str">
        <v>J16 B Haantjes CERTIFISC Oudenaarde</v>
      </c>
      <c r="D107" t="str">
        <v>J16 B</v>
      </c>
      <c r="E107" t="str">
        <v/>
      </c>
      <c r="F107" s="3" t="str">
        <v>+32497152857</v>
      </c>
      <c r="G107" t="str">
        <v>Speler</v>
      </c>
    </row>
    <row r="108" spans="1:7" x14ac:dyDescent="0.3">
      <c r="A108" t="str">
        <v>Matti Bogaert</v>
      </c>
      <c r="B108" t="str">
        <v/>
      </c>
      <c r="C108" t="str">
        <v>J18 A Haantjes CERTIFISC Oudenaarde</v>
      </c>
      <c r="D108" t="str">
        <v>J18 A</v>
      </c>
      <c r="E108" t="str">
        <v>mboogie800@hotmail.com</v>
      </c>
      <c r="F108" s="3" t="str">
        <v>+32465007097</v>
      </c>
      <c r="G108" t="str">
        <v>Speler</v>
      </c>
    </row>
    <row r="109" spans="1:7" x14ac:dyDescent="0.3">
      <c r="A109" t="str">
        <v>Sofian D'Haenen</v>
      </c>
      <c r="B109" t="str">
        <v/>
      </c>
      <c r="C109" t="str">
        <v>J18 A Haantjes CERTIFISC Oudenaarde</v>
      </c>
      <c r="D109" t="str">
        <v>J18 A</v>
      </c>
      <c r="E109" t="str">
        <v/>
      </c>
      <c r="F109" s="3" t="str">
        <v/>
      </c>
      <c r="G109" t="str">
        <v>Speler</v>
      </c>
    </row>
    <row r="110" spans="1:7" x14ac:dyDescent="0.3">
      <c r="A110" t="str">
        <v>Yunus D'Haenen</v>
      </c>
      <c r="B110" t="str">
        <v/>
      </c>
      <c r="C110" t="str">
        <v>J18 A Haantjes CERTIFISC Oudenaarde</v>
      </c>
      <c r="D110" t="str">
        <v>J18 A</v>
      </c>
      <c r="E110" t="str">
        <v/>
      </c>
      <c r="F110" s="3" t="str">
        <v/>
      </c>
      <c r="G110" t="str">
        <v>Speler</v>
      </c>
    </row>
    <row r="111" spans="1:7" x14ac:dyDescent="0.3">
      <c r="A111" t="str">
        <v>David De Brabander</v>
      </c>
      <c r="B111" t="str">
        <v>https://app.twizzit.com/public/photos/4024795/s/7af12ff114d5d53515b4f220ddc6cdb6ff121519.png</v>
      </c>
      <c r="C111" t="str">
        <v>J18 A Haantjes CERTIFISC Oudenaarde</v>
      </c>
      <c r="D111" t="str">
        <v>J18 A</v>
      </c>
      <c r="E111" t="str">
        <v/>
      </c>
      <c r="F111" s="3" t="str">
        <v>+32478251758</v>
      </c>
      <c r="G111" t="str">
        <v>Coach</v>
      </c>
    </row>
    <row r="112" spans="1:7" x14ac:dyDescent="0.3">
      <c r="A112" t="str">
        <v>Milan De Brabander</v>
      </c>
      <c r="B112" t="str">
        <v>https://app.twizzit.com/public/photos/3519915/s/cb4bbdba90c700302dcd9548901e284ce021df92.jpeg</v>
      </c>
      <c r="C112" t="str">
        <v>J18 A Haantjes CERTIFISC Oudenaarde</v>
      </c>
      <c r="D112" t="str">
        <v>J18 A</v>
      </c>
      <c r="E112" t="str">
        <v>de.brabander.david@telenet.be</v>
      </c>
      <c r="F112" s="3" t="str">
        <v>+32468348603</v>
      </c>
      <c r="G112" t="str">
        <v>Speler</v>
      </c>
    </row>
    <row r="113" spans="1:7" x14ac:dyDescent="0.3">
      <c r="A113" t="str">
        <v>Emile-Louis De Windt</v>
      </c>
      <c r="B113" t="str">
        <v>https://app.twizzit.com/public/photos/3463928/s/65ba284a6aa8f67e5b08f396e397206e4afd6e82.png</v>
      </c>
      <c r="C113" t="str">
        <v>J18 A Haantjes CERTIFISC Oudenaarde</v>
      </c>
      <c r="D113" t="str">
        <v>J18 A</v>
      </c>
      <c r="E113" t="str">
        <v>dwingrey@gmail.com</v>
      </c>
      <c r="F113" s="3" t="str">
        <v>+32485843240</v>
      </c>
      <c r="G113" t="str">
        <v>Speler</v>
      </c>
    </row>
    <row r="114" spans="1:7" x14ac:dyDescent="0.3">
      <c r="A114" t="str">
        <v>Jasper Espeel</v>
      </c>
      <c r="B114" t="str">
        <v/>
      </c>
      <c r="C114" t="str">
        <v>J18 A Haantjes CERTIFISC Oudenaarde</v>
      </c>
      <c r="D114" t="str">
        <v>J18 A</v>
      </c>
      <c r="E114" t="str">
        <v>jasper.espeel@gmail.com</v>
      </c>
      <c r="F114" s="3" t="str">
        <v>+32496150874</v>
      </c>
      <c r="G114" t="str">
        <v>Speler</v>
      </c>
    </row>
    <row r="115" spans="1:7" x14ac:dyDescent="0.3">
      <c r="A115" t="str">
        <v>Vic Huysman</v>
      </c>
      <c r="B115" t="str">
        <v>https://app.twizzit.com/public/photos/2936186/s/c4015a6cfb380c1e7090d66488ca6326fa9caa7a.png</v>
      </c>
      <c r="C115" t="str">
        <v>J18 A Haantjes CERTIFISC Oudenaarde</v>
      </c>
      <c r="D115" t="str">
        <v>J18 A</v>
      </c>
      <c r="E115" t="str">
        <v/>
      </c>
      <c r="F115" s="3" t="str">
        <v>+32474884540</v>
      </c>
      <c r="G115" t="str">
        <v>Speler</v>
      </c>
    </row>
    <row r="116" spans="1:7" x14ac:dyDescent="0.3">
      <c r="A116" t="str">
        <v>Rayan Lebrouchi Poddubnaya</v>
      </c>
      <c r="B116" t="str">
        <v/>
      </c>
      <c r="C116" t="str">
        <v>J18 A Haantjes CERTIFISC Oudenaarde</v>
      </c>
      <c r="D116" t="str">
        <v>J18 A</v>
      </c>
      <c r="E116" t="str">
        <v>marina.pd34@gmail</v>
      </c>
      <c r="F116" s="3" t="str">
        <v>+32492948427</v>
      </c>
      <c r="G116" t="str">
        <v>Speler</v>
      </c>
    </row>
    <row r="117" spans="1:7" x14ac:dyDescent="0.3">
      <c r="A117" t="str">
        <v>Brecht Van Glabeke</v>
      </c>
      <c r="B117" t="str">
        <v/>
      </c>
      <c r="C117" t="str">
        <v>J18 A Haantjes CERTIFISC Oudenaarde</v>
      </c>
      <c r="D117" t="str">
        <v>J18 A</v>
      </c>
      <c r="E117" t="str">
        <v/>
      </c>
      <c r="F117" s="3" t="str">
        <v>+32470671727</v>
      </c>
      <c r="G117" t="str">
        <v>Speler</v>
      </c>
    </row>
    <row r="118" spans="1:7" x14ac:dyDescent="0.3">
      <c r="A118" t="str">
        <v>Miro Van Schoorisse</v>
      </c>
      <c r="B118" t="str">
        <v/>
      </c>
      <c r="C118" t="str">
        <v>J18 A Haantjes CERTIFISC Oudenaarde</v>
      </c>
      <c r="D118" t="str">
        <v>J18 A</v>
      </c>
      <c r="E118" t="str">
        <v>mirovanschoorisse@gmail.com</v>
      </c>
      <c r="F118" s="3" t="str">
        <v>+32496771030</v>
      </c>
      <c r="G118" t="str">
        <v>Speler</v>
      </c>
    </row>
    <row r="119" spans="1:7" x14ac:dyDescent="0.3">
      <c r="A119" t="str">
        <v>Bram Van Wyngene</v>
      </c>
      <c r="B119" t="str">
        <v/>
      </c>
      <c r="C119" t="str">
        <v>J18 A Haantjes CERTIFISC Oudenaarde</v>
      </c>
      <c r="D119" t="str">
        <v>J18 A</v>
      </c>
      <c r="E119" t="str">
        <v/>
      </c>
      <c r="F119" s="3" t="str">
        <v>+32477349575</v>
      </c>
      <c r="G119" t="str">
        <v>Coach</v>
      </c>
    </row>
    <row r="120" spans="1:7" x14ac:dyDescent="0.3">
      <c r="A120" t="str">
        <v>Lowie Vande Kerckhove</v>
      </c>
      <c r="B120" t="str">
        <v/>
      </c>
      <c r="C120" t="str">
        <v>J18 A Haantjes CERTIFISC Oudenaarde</v>
      </c>
      <c r="D120" t="str">
        <v>J18 A</v>
      </c>
      <c r="E120" t="str">
        <v/>
      </c>
      <c r="F120" s="3" t="str">
        <v>+32498621224</v>
      </c>
      <c r="G120" t="str">
        <v>Speler</v>
      </c>
    </row>
    <row r="121" spans="1:7" x14ac:dyDescent="0.3">
      <c r="A121" t="str">
        <v>Thomas Viaene</v>
      </c>
      <c r="B121" t="str">
        <v/>
      </c>
      <c r="C121" t="str">
        <v>J18 A Haantjes CERTIFISC Oudenaarde</v>
      </c>
      <c r="D121" t="str">
        <v>J18 A</v>
      </c>
      <c r="E121" t="str">
        <v/>
      </c>
      <c r="F121" s="3" t="str">
        <v>+32497313727</v>
      </c>
      <c r="G121" t="str">
        <v>Speler</v>
      </c>
    </row>
    <row r="122" spans="1:7" x14ac:dyDescent="0.3">
      <c r="A122" t="str">
        <v>Bent Anseeuw</v>
      </c>
      <c r="B122" t="str">
        <v>https://app.twizzit.com/public/photos/2182451/s/d40702514c4affc118f06eee4555b1ca966c4e65.png</v>
      </c>
      <c r="C122" t="str">
        <v>J18 B Haantjes CERTIFISC Oudenaarde</v>
      </c>
      <c r="D122" t="str">
        <v>J18 B</v>
      </c>
      <c r="E122" t="str">
        <v>bent.anseeuw@gmail.com</v>
      </c>
      <c r="F122" s="3" t="str">
        <v>+32497023380</v>
      </c>
      <c r="G122" t="str">
        <v>Speler</v>
      </c>
    </row>
    <row r="123" spans="1:7" x14ac:dyDescent="0.3">
      <c r="A123" t="str">
        <v>Vince Beke</v>
      </c>
      <c r="B123" t="str">
        <v>https://app.twizzit.com/public/photos/2182501/s/ff9efabb61fd27d35070a050abd98c15c9bfe6c5.png</v>
      </c>
      <c r="C123" t="str">
        <v>J18 B Haantjes CERTIFISC Oudenaarde</v>
      </c>
      <c r="D123" t="str">
        <v>J18 B</v>
      </c>
      <c r="E123" t="str">
        <v>wim.beke@telenet.be</v>
      </c>
      <c r="F123" s="3" t="str">
        <v>+32494534565</v>
      </c>
      <c r="G123" t="str">
        <v>Speler</v>
      </c>
    </row>
    <row r="124" spans="1:7" x14ac:dyDescent="0.3">
      <c r="A124" t="str">
        <v>Quinten Benoot</v>
      </c>
      <c r="B124" t="str">
        <v>https://app.twizzit.com/public/photos/4080393/s/fc77b80b0f519cf2bcaae55fec7f11c92e5c4d9f.jpeg</v>
      </c>
      <c r="C124" t="str">
        <v>J18 B Haantjes CERTIFISC Oudenaarde</v>
      </c>
      <c r="D124" t="str">
        <v>J18 B</v>
      </c>
      <c r="E124" t="str">
        <v>Quintenmaetha@gmail.com</v>
      </c>
      <c r="F124" s="3" t="str">
        <v>+32485287357</v>
      </c>
      <c r="G124" t="str">
        <v>Speler</v>
      </c>
    </row>
    <row r="125" spans="1:7" x14ac:dyDescent="0.3">
      <c r="A125" t="str">
        <v>Liam Bourgeois</v>
      </c>
      <c r="B125" t="str">
        <v/>
      </c>
      <c r="C125" t="str">
        <v>J18 B Haantjes CERTIFISC Oudenaarde</v>
      </c>
      <c r="D125" t="str">
        <v>J18 B</v>
      </c>
      <c r="E125" t="str">
        <v/>
      </c>
      <c r="F125" s="3" t="str">
        <v>+32471543824</v>
      </c>
      <c r="G125" t="str">
        <v>Speler</v>
      </c>
    </row>
    <row r="126" spans="1:7" x14ac:dyDescent="0.3">
      <c r="A126" t="str">
        <v>Kobe Boutmans</v>
      </c>
      <c r="B126" t="str">
        <v/>
      </c>
      <c r="C126" t="str">
        <v>J18 B Haantjes CERTIFISC Oudenaarde</v>
      </c>
      <c r="D126" t="str">
        <v>J18 B</v>
      </c>
      <c r="E126" t="str">
        <v/>
      </c>
      <c r="F126" s="3" t="str">
        <v>+32479888902</v>
      </c>
      <c r="G126" t="str">
        <v>Speler</v>
      </c>
    </row>
    <row r="127" spans="1:7" x14ac:dyDescent="0.3">
      <c r="A127" t="str">
        <v>Dylann Bufkens</v>
      </c>
      <c r="B127" t="str">
        <v/>
      </c>
      <c r="C127" t="str">
        <v>J18 B Haantjes CERTIFISC Oudenaarde</v>
      </c>
      <c r="D127" t="str">
        <v>J18 B</v>
      </c>
      <c r="E127" t="str">
        <v/>
      </c>
      <c r="F127" s="3" t="str">
        <v>+32493561486</v>
      </c>
      <c r="G127" t="str">
        <v>Coach</v>
      </c>
    </row>
    <row r="128" spans="1:7" x14ac:dyDescent="0.3">
      <c r="A128" t="str">
        <v>Mathis Cromheeke</v>
      </c>
      <c r="B128" t="str">
        <v/>
      </c>
      <c r="C128" t="str">
        <v>J18 B Haantjes CERTIFISC Oudenaarde</v>
      </c>
      <c r="D128" t="str">
        <v>J18 B</v>
      </c>
      <c r="E128" t="str">
        <v/>
      </c>
      <c r="F128" s="3" t="str">
        <v/>
      </c>
      <c r="G128" t="str">
        <v>Speler</v>
      </c>
    </row>
    <row r="129" spans="1:7" x14ac:dyDescent="0.3">
      <c r="A129" t="str">
        <v>Niels De Coussemaker</v>
      </c>
      <c r="B129" t="str">
        <v>https://app.twizzit.com/public/photos/2182641/s/bc2ed87ccb6bf61129b3522eabde4c5cff856719.png</v>
      </c>
      <c r="C129" t="str">
        <v>J18 B Haantjes CERTIFISC Oudenaarde</v>
      </c>
      <c r="D129" t="str">
        <v>J18 B</v>
      </c>
      <c r="E129" t="str">
        <v>kristien@coussies.be</v>
      </c>
      <c r="F129" s="3" t="str">
        <v>+32490195438</v>
      </c>
      <c r="G129" t="str">
        <v>Speler</v>
      </c>
    </row>
    <row r="130" spans="1:7" x14ac:dyDescent="0.3">
      <c r="A130" t="str">
        <v>Sam Liekens</v>
      </c>
      <c r="B130" t="str">
        <v>https://app.twizzit.com/public/photos/3475283/s/e532263ea43cddb59650656f3777387ca04d2de4.jpeg</v>
      </c>
      <c r="C130" t="str">
        <v>J18 B Haantjes CERTIFISC Oudenaarde</v>
      </c>
      <c r="D130" t="str">
        <v>J18 B</v>
      </c>
      <c r="E130" t="str">
        <v/>
      </c>
      <c r="F130" s="3" t="str">
        <v>+32478888243</v>
      </c>
      <c r="G130" t="str">
        <v>Speler</v>
      </c>
    </row>
    <row r="131" spans="1:7" x14ac:dyDescent="0.3">
      <c r="A131" t="str">
        <v>Kamiel Mahieu</v>
      </c>
      <c r="B131" t="str">
        <v/>
      </c>
      <c r="C131" t="str">
        <v>J18 B Haantjes CERTIFISC Oudenaarde</v>
      </c>
      <c r="D131" t="str">
        <v>J18 B</v>
      </c>
      <c r="E131" t="str">
        <v/>
      </c>
      <c r="F131" s="3" t="str">
        <v>+32473745981</v>
      </c>
      <c r="G131" t="str">
        <v>Speler</v>
      </c>
    </row>
    <row r="132" spans="1:7" x14ac:dyDescent="0.3">
      <c r="A132" t="str">
        <v>Ziano Schoenmaekers</v>
      </c>
      <c r="B132" t="str">
        <v>https://app.twizzit.com/public/photos/2650796/s/806ce17769fd3d29fc435d865a5b302b6c25c6ca.png</v>
      </c>
      <c r="C132" t="str">
        <v>J18 B Haantjes CERTIFISC Oudenaarde</v>
      </c>
      <c r="D132" t="str">
        <v>J18 B</v>
      </c>
      <c r="E132" t="str">
        <v>pedro.schoenmaekers@hotmail.com</v>
      </c>
      <c r="F132" s="3" t="str">
        <v>+32476935877</v>
      </c>
      <c r="G132" t="str">
        <v>Speler</v>
      </c>
    </row>
    <row r="133" spans="1:7" x14ac:dyDescent="0.3">
      <c r="A133" t="str">
        <v>Jaimie Van Marcke</v>
      </c>
      <c r="B133" t="str">
        <v>https://app.twizzit.com/public/photos/4080394/s/a0a6f7a1f3c9650e7b60b7c90fcc741fdb018fb0.png</v>
      </c>
      <c r="C133" t="str">
        <v>J18 B Haantjes CERTIFISC Oudenaarde</v>
      </c>
      <c r="D133" t="str">
        <v>J18 B</v>
      </c>
      <c r="E133" t="str">
        <v/>
      </c>
      <c r="F133" s="3" t="str">
        <v>+32472516116</v>
      </c>
      <c r="G133" t="str">
        <v>Speler</v>
      </c>
    </row>
    <row r="134" spans="1:7" x14ac:dyDescent="0.3">
      <c r="A134" t="str">
        <v>Emiel Verlinden</v>
      </c>
      <c r="B134" t="str">
        <v/>
      </c>
      <c r="C134" t="str">
        <v>J18 B Haantjes CERTIFISC Oudenaarde</v>
      </c>
      <c r="D134" t="str">
        <v>J18 B</v>
      </c>
      <c r="E134" t="str">
        <v/>
      </c>
      <c r="F134" s="3" t="str">
        <v>+32478376691</v>
      </c>
      <c r="G134" t="str">
        <v>Speler</v>
      </c>
    </row>
    <row r="135" spans="1:7" x14ac:dyDescent="0.3">
      <c r="A135" t="str">
        <v>Rémi Bauters</v>
      </c>
      <c r="B135" t="str">
        <v/>
      </c>
      <c r="C135" t="str">
        <v>J21 A HAANTJES CERTIFISC OUDENAARDE</v>
      </c>
      <c r="D135" t="str">
        <v>J21 A</v>
      </c>
      <c r="E135" t="str">
        <v/>
      </c>
      <c r="F135" s="3" t="str">
        <v>+32497078444</v>
      </c>
      <c r="G135" t="str">
        <v>Speler</v>
      </c>
    </row>
    <row r="136" spans="1:7" x14ac:dyDescent="0.3">
      <c r="A136" t="str">
        <v>Luka Coryn</v>
      </c>
      <c r="B136" t="str">
        <v/>
      </c>
      <c r="C136" t="str">
        <v>J21 A HAANTJES CERTIFISC OUDENAARDE</v>
      </c>
      <c r="D136" t="str">
        <v>J21 A</v>
      </c>
      <c r="E136" t="str">
        <v>luka.coryn@gmail.com</v>
      </c>
      <c r="F136" s="3" t="str">
        <v>+32471737015</v>
      </c>
      <c r="G136" t="str">
        <v>Speler</v>
      </c>
    </row>
    <row r="137" spans="1:7" x14ac:dyDescent="0.3">
      <c r="A137" t="str">
        <v>Tanguy Creteur</v>
      </c>
      <c r="B137" t="str">
        <v/>
      </c>
      <c r="C137" t="str">
        <v>J21 A HAANTJES CERTIFISC OUDENAARDE</v>
      </c>
      <c r="D137" t="str">
        <v>J21 A</v>
      </c>
      <c r="E137" t="str">
        <v>david@credelec.be</v>
      </c>
      <c r="F137" s="3" t="str">
        <v>+32470535338</v>
      </c>
      <c r="G137" t="str">
        <v>Speler</v>
      </c>
    </row>
    <row r="138" spans="1:7" x14ac:dyDescent="0.3">
      <c r="A138" t="str">
        <v>David De Brabander</v>
      </c>
      <c r="B138" t="str">
        <v>https://app.twizzit.com/public/photos/4024795/s/7af12ff114d5d53515b4f220ddc6cdb6ff121519.png</v>
      </c>
      <c r="C138" t="str">
        <v>J21 A HAANTJES CERTIFISC OUDENAARDE</v>
      </c>
      <c r="D138" t="str">
        <v>J21 A</v>
      </c>
      <c r="E138" t="str">
        <v/>
      </c>
      <c r="F138" s="3" t="str">
        <v>+32478251758</v>
      </c>
      <c r="G138" t="str">
        <v>Coach</v>
      </c>
    </row>
    <row r="139" spans="1:7" x14ac:dyDescent="0.3">
      <c r="A139" t="str">
        <v>Pieter Diependaele</v>
      </c>
      <c r="B139" t="str">
        <v>https://app.twizzit.com/public/photos/3239965/s/944ad53074c1441abd98efedc98fef813d2f093f.png</v>
      </c>
      <c r="C139" t="str">
        <v>J21 A HAANTJES CERTIFISC OUDENAARDE</v>
      </c>
      <c r="D139" t="str">
        <v>J21 A</v>
      </c>
      <c r="E139" t="str">
        <v>coachpieter.basket@gmail.com</v>
      </c>
      <c r="F139" s="3" t="str">
        <v>+32479044986</v>
      </c>
      <c r="G139" t="str">
        <v>Speler</v>
      </c>
    </row>
    <row r="140" spans="1:7" x14ac:dyDescent="0.3">
      <c r="A140" t="str">
        <v>Thomas Goossens</v>
      </c>
      <c r="B140" t="str">
        <v>https://app.twizzit.com/public/photos/2182921/s/d5ec4bbccbaf575bfa3a597df60827a1e6809d4b.png</v>
      </c>
      <c r="C140" t="str">
        <v>J21 A HAANTJES CERTIFISC OUDENAARDE</v>
      </c>
      <c r="D140" t="str">
        <v>J21 A</v>
      </c>
      <c r="E140" t="str">
        <v/>
      </c>
      <c r="F140" s="3" t="str">
        <v>+32477281468</v>
      </c>
      <c r="G140" t="str">
        <v>Speler</v>
      </c>
    </row>
    <row r="141" spans="1:7" x14ac:dyDescent="0.3">
      <c r="A141" t="str">
        <v>Sander Hakuzimana</v>
      </c>
      <c r="B141" t="str">
        <v/>
      </c>
      <c r="C141" t="str">
        <v>J21 A HAANTJES CERTIFISC OUDENAARDE</v>
      </c>
      <c r="D141" t="str">
        <v>J21 A</v>
      </c>
      <c r="E141" t="str">
        <v/>
      </c>
      <c r="F141" s="3" t="str">
        <v>+32467059655</v>
      </c>
      <c r="G141" t="str">
        <v>Speler</v>
      </c>
    </row>
    <row r="142" spans="1:7" x14ac:dyDescent="0.3">
      <c r="A142" t="str">
        <v>Arno Heyerick</v>
      </c>
      <c r="B142" t="str">
        <v/>
      </c>
      <c r="C142" t="str">
        <v>J21 A HAANTJES CERTIFISC OUDENAARDE</v>
      </c>
      <c r="D142" t="str">
        <v>J21 A</v>
      </c>
      <c r="E142" t="str">
        <v/>
      </c>
      <c r="F142" s="3" t="str">
        <v>+32479480500</v>
      </c>
      <c r="G142" t="str">
        <v>Speler</v>
      </c>
    </row>
    <row r="143" spans="1:7" x14ac:dyDescent="0.3">
      <c r="A143" t="str">
        <v>Rayan Lebrouchi Poddubnaya</v>
      </c>
      <c r="B143" t="str">
        <v/>
      </c>
      <c r="C143" t="str">
        <v>J21 A HAANTJES CERTIFISC OUDENAARDE</v>
      </c>
      <c r="D143" t="str">
        <v>J21 A</v>
      </c>
      <c r="E143" t="str">
        <v>marina.pd34@gmail</v>
      </c>
      <c r="F143" s="3" t="str">
        <v>+32492948427</v>
      </c>
      <c r="G143" t="str">
        <v>Speler</v>
      </c>
    </row>
    <row r="144" spans="1:7" x14ac:dyDescent="0.3">
      <c r="A144" t="str">
        <v>Emiel Vanderhelstraeten</v>
      </c>
      <c r="B144" t="str">
        <v/>
      </c>
      <c r="C144" t="str">
        <v>J21 A HAANTJES CERTIFISC OUDENAARDE</v>
      </c>
      <c r="D144" t="str">
        <v>J21 A</v>
      </c>
      <c r="E144" t="str">
        <v>anneleendesmet1978@outlook.com</v>
      </c>
      <c r="F144" s="3" t="str">
        <v/>
      </c>
      <c r="G144" t="str">
        <v>Speler</v>
      </c>
    </row>
    <row r="145" spans="1:7" x14ac:dyDescent="0.3">
      <c r="A145" t="str">
        <v>Bogdan Verstraete</v>
      </c>
      <c r="B145" t="str">
        <v/>
      </c>
      <c r="C145" t="str">
        <v>J21 A HAANTJES CERTIFISC OUDENAARDE</v>
      </c>
      <c r="D145" t="str">
        <v>J21 A</v>
      </c>
      <c r="E145" t="str">
        <v>wtbi.verstraete@gmail.com</v>
      </c>
      <c r="F145" s="3" t="str">
        <v>+32468305290</v>
      </c>
      <c r="G145" t="str">
        <v>Speler</v>
      </c>
    </row>
    <row r="146" spans="1:7" x14ac:dyDescent="0.3">
      <c r="A146" t="str">
        <v>Karen Dans</v>
      </c>
      <c r="B146" t="str">
        <v>https://app.twizzit.com/public/photos/2182586/s/3c061ecaa7eb60b4e8b27f2490fa3fff24778b0c.png</v>
      </c>
      <c r="C146" t="str">
        <v>M10 HAANTJES CERTIFISC OUDENAARDE</v>
      </c>
      <c r="D146" t="str">
        <v>M10</v>
      </c>
      <c r="E146" t="str">
        <v/>
      </c>
      <c r="F146" s="3" t="str">
        <v>+32494698322</v>
      </c>
      <c r="G146" t="str">
        <v>Coach</v>
      </c>
    </row>
    <row r="147" spans="1:7" x14ac:dyDescent="0.3">
      <c r="A147" t="str">
        <v>Noa Bauters</v>
      </c>
      <c r="B147" t="str">
        <v>https://app.twizzit.com/public/photos/11846410/s/0498863fb0a62c783eced92596a817e3339dca11.jpeg</v>
      </c>
      <c r="C147" t="str">
        <v>M12 A HAANTJES CERTIFISC OUDENAARDE</v>
      </c>
      <c r="D147" t="str">
        <v>M12 A</v>
      </c>
      <c r="E147" t="str">
        <v>Jurgenbauters@gmail.com</v>
      </c>
      <c r="F147" s="3" t="str">
        <v>+32497533520</v>
      </c>
      <c r="G147" t="str">
        <v>Speler</v>
      </c>
    </row>
    <row r="148" spans="1:7" x14ac:dyDescent="0.3">
      <c r="A148" t="str">
        <v>Iris Calewaert</v>
      </c>
      <c r="B148" t="str">
        <v/>
      </c>
      <c r="C148" t="str">
        <v>M12 A HAANTJES CERTIFISC OUDENAARDE</v>
      </c>
      <c r="D148" t="str">
        <v>M12 A</v>
      </c>
      <c r="E148" t="str">
        <v/>
      </c>
      <c r="F148" s="3" t="str">
        <v>+32479373164</v>
      </c>
      <c r="G148" t="str">
        <v>Coach</v>
      </c>
    </row>
    <row r="149" spans="1:7" x14ac:dyDescent="0.3">
      <c r="A149" t="str">
        <v>Minne De Coninck</v>
      </c>
      <c r="B149" t="str">
        <v/>
      </c>
      <c r="C149" t="str">
        <v>M12 A HAANTJES CERTIFISC OUDENAARDE</v>
      </c>
      <c r="D149" t="str">
        <v>M12 A</v>
      </c>
      <c r="E149" t="str">
        <v>joosdeconinck@hotmail.com</v>
      </c>
      <c r="F149" s="3" t="str">
        <v>+32479602944</v>
      </c>
      <c r="G149" t="str">
        <v>Speler</v>
      </c>
    </row>
    <row r="150" spans="1:7" x14ac:dyDescent="0.3">
      <c r="A150" t="str">
        <v>Mary-Lou De Keukeleire</v>
      </c>
      <c r="B150" t="str">
        <v>https://app.twizzit.com/public/photos/7663442/s/a1e4c1d99d71fda9ac80bca383a3ddb377005195.png</v>
      </c>
      <c r="C150" t="str">
        <v>M12 A HAANTJES CERTIFISC OUDENAARDE</v>
      </c>
      <c r="D150" t="str">
        <v>M12 A</v>
      </c>
      <c r="E150" t="str">
        <v/>
      </c>
      <c r="F150" s="3" t="str">
        <v>+32498363470</v>
      </c>
      <c r="G150" t="str">
        <v>Speler</v>
      </c>
    </row>
    <row r="151" spans="1:7" x14ac:dyDescent="0.3">
      <c r="A151" t="str">
        <v>Gaëlle de la Rivière</v>
      </c>
      <c r="B151" t="str">
        <v/>
      </c>
      <c r="C151" t="str">
        <v>M12 A HAANTJES CERTIFISC OUDENAARDE</v>
      </c>
      <c r="D151" t="str">
        <v>M12 A</v>
      </c>
      <c r="E151" t="str">
        <v>dlrgeoffrey@gmail.com</v>
      </c>
      <c r="F151" s="3" t="str">
        <v>+32494773553</v>
      </c>
      <c r="G151" t="str">
        <v>Speler</v>
      </c>
    </row>
    <row r="152" spans="1:7" x14ac:dyDescent="0.3">
      <c r="A152" t="str">
        <v>Emmanuelle Dewaele</v>
      </c>
      <c r="B152" t="str">
        <v/>
      </c>
      <c r="C152" t="str">
        <v>M12 A HAANTJES CERTIFISC OUDENAARDE</v>
      </c>
      <c r="D152" t="str">
        <v>M12 A</v>
      </c>
      <c r="E152" t="str">
        <v/>
      </c>
      <c r="F152" s="3" t="str">
        <v>+32498070140</v>
      </c>
      <c r="G152" t="str">
        <v>Speler</v>
      </c>
    </row>
    <row r="153" spans="1:7" x14ac:dyDescent="0.3">
      <c r="A153" t="str">
        <v>Maud Lacres</v>
      </c>
      <c r="B153" t="str">
        <v>https://app.twizzit.com/public/photos/7284400/s/788dc5308deee743b8d2d9764e0824010b7633fe.png</v>
      </c>
      <c r="C153" t="str">
        <v>M12 A HAANTJES CERTIFISC OUDENAARDE</v>
      </c>
      <c r="D153" t="str">
        <v>M12 A</v>
      </c>
      <c r="E153" t="str">
        <v>taelman.elke@gmail.com</v>
      </c>
      <c r="F153" s="3" t="str">
        <v>+32486264195</v>
      </c>
      <c r="G153" t="str">
        <v>Speler</v>
      </c>
    </row>
    <row r="154" spans="1:7" x14ac:dyDescent="0.3">
      <c r="A154" t="str">
        <v>Babet Laurez</v>
      </c>
      <c r="B154" t="str">
        <v/>
      </c>
      <c r="C154" t="str">
        <v>M12 A HAANTJES CERTIFISC OUDENAARDE</v>
      </c>
      <c r="D154" t="str">
        <v>M12 A</v>
      </c>
      <c r="E154" t="str">
        <v/>
      </c>
      <c r="F154" s="3" t="str">
        <v>+32477501978</v>
      </c>
      <c r="G154" t="str">
        <v>Speler</v>
      </c>
    </row>
    <row r="155" spans="1:7" x14ac:dyDescent="0.3">
      <c r="A155" t="str">
        <v>Felice Libert</v>
      </c>
      <c r="B155" t="str">
        <v>https://app.twizzit.com/public/photos/7279180/s/1c5d9fda02031baa486ebec940b4c251ec4b6762.png</v>
      </c>
      <c r="C155" t="str">
        <v>M12 A HAANTJES CERTIFISC OUDENAARDE</v>
      </c>
      <c r="D155" t="str">
        <v>M12 A</v>
      </c>
      <c r="E155" t="str">
        <v/>
      </c>
      <c r="F155" s="3" t="str">
        <v>+32473780275</v>
      </c>
      <c r="G155" t="str">
        <v>Speler</v>
      </c>
    </row>
    <row r="156" spans="1:7" x14ac:dyDescent="0.3">
      <c r="A156" t="str">
        <v>Loes Van de Populiere</v>
      </c>
      <c r="B156" t="str">
        <v/>
      </c>
      <c r="C156" t="str">
        <v>M12 A HAANTJES CERTIFISC OUDENAARDE</v>
      </c>
      <c r="D156" t="str">
        <v>M12 A</v>
      </c>
      <c r="E156" t="str">
        <v>biekemoone@hotmail.com</v>
      </c>
      <c r="F156" s="3" t="str">
        <v>+32477353878</v>
      </c>
      <c r="G156" t="str">
        <v>Speler</v>
      </c>
    </row>
    <row r="157" spans="1:7" x14ac:dyDescent="0.3">
      <c r="A157" t="str">
        <v>Emma Van Nieuwenhuyze</v>
      </c>
      <c r="B157" t="str">
        <v/>
      </c>
      <c r="C157" t="str">
        <v>M12 A HAANTJES CERTIFISC OUDENAARDE</v>
      </c>
      <c r="D157" t="str">
        <v>M12 A</v>
      </c>
      <c r="E157" t="str">
        <v>maaikeschiettecatte@gmail.com</v>
      </c>
      <c r="F157" s="3" t="str">
        <v>+32477259667</v>
      </c>
      <c r="G157" t="str">
        <v>Speler</v>
      </c>
    </row>
    <row r="158" spans="1:7" x14ac:dyDescent="0.3">
      <c r="A158" t="str">
        <v>Joselien Vannieuwenhuyze</v>
      </c>
      <c r="B158" t="str">
        <v>https://app.twizzit.com/public/photos/7500726/s/2eff7ed0f6739149e998067c7d82dda70894fc63.png</v>
      </c>
      <c r="C158" t="str">
        <v>M12 A HAANTJES CERTIFISC OUDENAARDE</v>
      </c>
      <c r="D158" t="str">
        <v>M12 A</v>
      </c>
      <c r="E158" t="str">
        <v>elisabeth.vercammen@outlook.com</v>
      </c>
      <c r="F158" s="3" t="str">
        <v>+32494645568</v>
      </c>
      <c r="G158" t="str">
        <v>Speler</v>
      </c>
    </row>
    <row r="159" spans="1:7" x14ac:dyDescent="0.3">
      <c r="A159" t="str">
        <v>Mare Anseeuw</v>
      </c>
      <c r="B159" t="str">
        <v>https://app.twizzit.com/public/photos/2182456/s/112b54676bd1e925e699cce3ec7a25a94902a3a2.png</v>
      </c>
      <c r="C159" t="str">
        <v>M14 A Haantjes CERTIFISC  Oudenaarde</v>
      </c>
      <c r="D159" t="str">
        <v>M14 A</v>
      </c>
      <c r="E159" t="str">
        <v>matthias.anseeuw@telenet.be</v>
      </c>
      <c r="F159" s="3" t="str">
        <v>+32497023380</v>
      </c>
      <c r="G159" t="str">
        <v>Speler</v>
      </c>
    </row>
    <row r="160" spans="1:7" x14ac:dyDescent="0.3">
      <c r="A160" t="str">
        <v>Janna Bauters</v>
      </c>
      <c r="B160" t="str">
        <v>https://app.twizzit.com/public/photos/2182476/s/d120dcfc0ec82f0d803829f917b4287681f3dd01.png</v>
      </c>
      <c r="C160" t="str">
        <v>M14 A Haantjes CERTIFISC  Oudenaarde</v>
      </c>
      <c r="D160" t="str">
        <v>M14 A</v>
      </c>
      <c r="E160" t="str">
        <v/>
      </c>
      <c r="F160" s="3" t="str">
        <v>+32474344132</v>
      </c>
      <c r="G160" t="str">
        <v>Coach</v>
      </c>
    </row>
    <row r="161" spans="1:7" x14ac:dyDescent="0.3">
      <c r="A161" t="str">
        <v>Celeste Blancke</v>
      </c>
      <c r="B161" t="str">
        <v>https://app.twizzit.com/public/photos/3500953/s/601083ebf506787be01432d1e891039519c5d9b6.jpeg</v>
      </c>
      <c r="C161" t="str">
        <v>M14 A Haantjes CERTIFISC  Oudenaarde</v>
      </c>
      <c r="D161" t="str">
        <v>M14 A</v>
      </c>
      <c r="E161" t="str">
        <v/>
      </c>
      <c r="F161" s="3" t="str">
        <v>+32473412540</v>
      </c>
      <c r="G161" t="str">
        <v>Speler</v>
      </c>
    </row>
    <row r="162" spans="1:7" x14ac:dyDescent="0.3">
      <c r="A162" t="str">
        <v>Ella-Marie Crombez</v>
      </c>
      <c r="B162" t="str">
        <v/>
      </c>
      <c r="C162" t="str">
        <v>M14 A Haantjes CERTIFISC  Oudenaarde</v>
      </c>
      <c r="D162" t="str">
        <v>M14 A</v>
      </c>
      <c r="E162" t="str">
        <v>Tom.crombez@gmail.com</v>
      </c>
      <c r="F162" s="3" t="str">
        <v>+32474828659</v>
      </c>
      <c r="G162" t="str">
        <v>Speler</v>
      </c>
    </row>
    <row r="163" spans="1:7" x14ac:dyDescent="0.3">
      <c r="A163" t="str">
        <v>Limme De Zitter</v>
      </c>
      <c r="B163" t="str">
        <v/>
      </c>
      <c r="C163" t="str">
        <v>M14 A Haantjes CERTIFISC  Oudenaarde</v>
      </c>
      <c r="D163" t="str">
        <v>M14 A</v>
      </c>
      <c r="E163" t="str">
        <v>de.zitter.steve@gmail.com</v>
      </c>
      <c r="F163" s="3" t="str">
        <v>+32473423222</v>
      </c>
      <c r="G163" t="str">
        <v>Speler</v>
      </c>
    </row>
    <row r="164" spans="1:7" x14ac:dyDescent="0.3">
      <c r="A164" t="str">
        <v>Ode Desmet</v>
      </c>
      <c r="B164" t="str">
        <v>https://app.twizzit.com/public/photos/2650916/s/be89217f1fc3b11d85c4b13abcca39bae64798e5.png</v>
      </c>
      <c r="C164" t="str">
        <v>M14 A Haantjes CERTIFISC  Oudenaarde</v>
      </c>
      <c r="D164" t="str">
        <v>M14 A</v>
      </c>
      <c r="E164" t="str">
        <v>freyamalfait@icloud.com</v>
      </c>
      <c r="F164" s="3" t="str">
        <v>+32472832063</v>
      </c>
      <c r="G164" t="str">
        <v>Speler</v>
      </c>
    </row>
    <row r="165" spans="1:7" x14ac:dyDescent="0.3">
      <c r="A165" t="str">
        <v>Celeste Geenens</v>
      </c>
      <c r="B165" t="str">
        <v/>
      </c>
      <c r="C165" t="str">
        <v>M14 A Haantjes CERTIFISC  Oudenaarde</v>
      </c>
      <c r="D165" t="str">
        <v>M14 A</v>
      </c>
      <c r="E165" t="str">
        <v>stephengeenens@gmail.com</v>
      </c>
      <c r="F165" s="3" t="str">
        <v>+32494195355</v>
      </c>
      <c r="G165" t="str">
        <v>Speler</v>
      </c>
    </row>
    <row r="166" spans="1:7" x14ac:dyDescent="0.3">
      <c r="A166" t="str">
        <v>Julie Orbie</v>
      </c>
      <c r="B166" t="str">
        <v/>
      </c>
      <c r="C166" t="str">
        <v>M14 A Haantjes CERTIFISC  Oudenaarde</v>
      </c>
      <c r="D166" t="str">
        <v>M14 A</v>
      </c>
      <c r="E166" t="str">
        <v/>
      </c>
      <c r="F166" s="3" t="str">
        <v>+32472656820</v>
      </c>
      <c r="G166" t="str">
        <v>Speler</v>
      </c>
    </row>
    <row r="167" spans="1:7" x14ac:dyDescent="0.3">
      <c r="A167" t="str">
        <v>Emlin Rommens</v>
      </c>
      <c r="B167" t="str">
        <v>https://app.twizzit.com/public/photos/2650641/s/248b205ecc69fd455c13ac7cc9deb76d11e361a0.png</v>
      </c>
      <c r="C167" t="str">
        <v>M14 A Haantjes CERTIFISC  Oudenaarde</v>
      </c>
      <c r="D167" t="str">
        <v>M14 A</v>
      </c>
      <c r="E167" t="str">
        <v>pieterrommens@hotmail.be</v>
      </c>
      <c r="F167" s="3" t="str">
        <v>+32470513652</v>
      </c>
      <c r="G167" t="str">
        <v>Speler</v>
      </c>
    </row>
    <row r="168" spans="1:7" x14ac:dyDescent="0.3">
      <c r="A168" t="str">
        <v>Merel Spiessens</v>
      </c>
      <c r="B168" t="str">
        <v>https://app.twizzit.com/public/photos/2183207/s/cd9fd40cf38cd1eb62df0198f102c2154c08c604.jpeg</v>
      </c>
      <c r="C168" t="str">
        <v>M14 A Haantjes CERTIFISC  Oudenaarde</v>
      </c>
      <c r="D168" t="str">
        <v>M14 A</v>
      </c>
      <c r="E168" t="str">
        <v>Me@opcd.net</v>
      </c>
      <c r="F168" s="3" t="str">
        <v>+32474655154</v>
      </c>
      <c r="G168" t="str">
        <v>Speler</v>
      </c>
    </row>
    <row r="169" spans="1:7" x14ac:dyDescent="0.3">
      <c r="A169" t="str">
        <v>Olivia Vanbutsele</v>
      </c>
      <c r="B169" t="str">
        <v>https://app.twizzit.com/public/photos/4292310/s/063d2ce017539cf8df316f28e3a639739d1c1148.jpeg</v>
      </c>
      <c r="C169" t="str">
        <v>M14 A Haantjes CERTIFISC  Oudenaarde</v>
      </c>
      <c r="D169" t="str">
        <v>M14 A</v>
      </c>
      <c r="E169" t="str">
        <v>Mike.vb@telenet.be</v>
      </c>
      <c r="F169" s="3" t="str">
        <v>+32483081624</v>
      </c>
      <c r="G169" t="str">
        <v>Speler</v>
      </c>
    </row>
    <row r="170" spans="1:7" x14ac:dyDescent="0.3">
      <c r="A170" t="str">
        <v>Isa Ameloot-Vanhove</v>
      </c>
      <c r="B170" t="str">
        <v>https://app.twizzit.com/public/photos/5115343/s/0e6908415a8d44c9a80019c8bc87b39596577cc5.jpeg</v>
      </c>
      <c r="C170" t="str">
        <v>M16 A Haantjes CERTIFISC  Oudenaarde</v>
      </c>
      <c r="D170" t="str">
        <v>M16 A</v>
      </c>
      <c r="E170" t="str">
        <v>sofie.ameloot@huurland.be</v>
      </c>
      <c r="F170" s="3" t="str">
        <v>+32483203613</v>
      </c>
      <c r="G170" t="str">
        <v>Speler</v>
      </c>
    </row>
    <row r="171" spans="1:7" x14ac:dyDescent="0.3">
      <c r="A171" t="str">
        <v>Merel Blancke</v>
      </c>
      <c r="B171" t="str">
        <v>https://app.twizzit.com/public/photos/5568565/s/d285ba208d969f77d6c249fb61359c50c614e6ac.png</v>
      </c>
      <c r="C171" t="str">
        <v>M16 A Haantjes CERTIFISC  Oudenaarde</v>
      </c>
      <c r="D171" t="str">
        <v>M16 A</v>
      </c>
      <c r="E171" t="str">
        <v/>
      </c>
      <c r="F171" s="3" t="str">
        <v>+32478385011</v>
      </c>
      <c r="G171" t="str">
        <v>Speler</v>
      </c>
    </row>
    <row r="172" spans="1:7" x14ac:dyDescent="0.3">
      <c r="A172" t="str">
        <v>Luca Boullart</v>
      </c>
      <c r="B172" t="str">
        <v/>
      </c>
      <c r="C172" t="str">
        <v>M16 A Haantjes CERTIFISC  Oudenaarde</v>
      </c>
      <c r="D172" t="str">
        <v>M16 A</v>
      </c>
      <c r="E172" t="str">
        <v>maggy.hombecq@hotmail.com</v>
      </c>
      <c r="F172" s="3" t="str">
        <v>+32475558448</v>
      </c>
      <c r="G172" t="str">
        <v>Speler</v>
      </c>
    </row>
    <row r="173" spans="1:7" x14ac:dyDescent="0.3">
      <c r="A173" t="str">
        <v>Pip Dawyndt</v>
      </c>
      <c r="B173" t="str">
        <v/>
      </c>
      <c r="C173" t="str">
        <v>M16 A Haantjes CERTIFISC  Oudenaarde</v>
      </c>
      <c r="D173" t="str">
        <v>M16 A</v>
      </c>
      <c r="E173" t="str">
        <v/>
      </c>
      <c r="F173" s="3" t="str">
        <v>+32473746819</v>
      </c>
      <c r="G173" t="str">
        <v>Speler</v>
      </c>
    </row>
    <row r="174" spans="1:7" x14ac:dyDescent="0.3">
      <c r="A174" t="str">
        <v>Maure De Coen</v>
      </c>
      <c r="B174" t="str">
        <v/>
      </c>
      <c r="C174" t="str">
        <v>M16 A Haantjes CERTIFISC  Oudenaarde</v>
      </c>
      <c r="D174" t="str">
        <v>M16 A</v>
      </c>
      <c r="E174" t="str">
        <v>Achimdecoen@hotmail.com</v>
      </c>
      <c r="F174" s="3" t="str">
        <v>+32479655812</v>
      </c>
      <c r="G174" t="str">
        <v>Speler</v>
      </c>
    </row>
    <row r="175" spans="1:7" x14ac:dyDescent="0.3">
      <c r="A175" t="str">
        <v>Jamila Ettijrini</v>
      </c>
      <c r="B175" t="str">
        <v/>
      </c>
      <c r="C175" t="str">
        <v>M16 A Haantjes CERTIFISC  Oudenaarde</v>
      </c>
      <c r="D175" t="str">
        <v>M16 A</v>
      </c>
      <c r="E175" t="str">
        <v/>
      </c>
      <c r="F175" s="3" t="str">
        <v>+32470221432</v>
      </c>
      <c r="G175" t="str">
        <v>Speler</v>
      </c>
    </row>
    <row r="176" spans="1:7" x14ac:dyDescent="0.3">
      <c r="A176" t="str">
        <v>Chloé Faelens</v>
      </c>
      <c r="B176" t="str">
        <v>https://app.twizzit.com/public/photos/4276094/s/88cd5d3554278fc03aae2c2a9989ae19589b1181.png</v>
      </c>
      <c r="C176" t="str">
        <v>M16 A Haantjes CERTIFISC  Oudenaarde</v>
      </c>
      <c r="D176" t="str">
        <v>M16 A</v>
      </c>
      <c r="E176" t="str">
        <v/>
      </c>
      <c r="F176" s="3" t="str">
        <v>+32472960602</v>
      </c>
      <c r="G176" t="str">
        <v>Speler</v>
      </c>
    </row>
    <row r="177" spans="1:7" x14ac:dyDescent="0.3">
      <c r="A177" t="str">
        <v>Laura Hakuzimana</v>
      </c>
      <c r="B177" t="str">
        <v/>
      </c>
      <c r="C177" t="str">
        <v>M16 A Haantjes CERTIFISC  Oudenaarde</v>
      </c>
      <c r="D177" t="str">
        <v>M16 A</v>
      </c>
      <c r="E177" t="str">
        <v/>
      </c>
      <c r="F177" s="3" t="str">
        <v>+32496950967</v>
      </c>
      <c r="G177" t="str">
        <v>Speler</v>
      </c>
    </row>
    <row r="178" spans="1:7" x14ac:dyDescent="0.3">
      <c r="A178" t="str">
        <v>Ron Heestermans</v>
      </c>
      <c r="B178" t="str">
        <v/>
      </c>
      <c r="C178" t="str">
        <v>M16 A Haantjes CERTIFISC  Oudenaarde</v>
      </c>
      <c r="D178" t="str">
        <v>M16 A</v>
      </c>
      <c r="E178" t="str">
        <v/>
      </c>
      <c r="F178" s="3" t="str">
        <v>+32468152536</v>
      </c>
      <c r="G178" t="str">
        <v>Coach</v>
      </c>
    </row>
    <row r="179" spans="1:7" x14ac:dyDescent="0.3">
      <c r="A179" t="str">
        <v>Dréa Maes</v>
      </c>
      <c r="B179" t="str">
        <v>https://app.twizzit.com/public/photos/3412861/s/5d2322ba0de7264fd5ba0170cc29e82844de05d5.png</v>
      </c>
      <c r="C179" t="str">
        <v>M16 A Haantjes CERTIFISC  Oudenaarde</v>
      </c>
      <c r="D179" t="str">
        <v>M16 A</v>
      </c>
      <c r="E179" t="str">
        <v>Joke.merlaen@gmail.com</v>
      </c>
      <c r="F179" s="3" t="str">
        <v/>
      </c>
      <c r="G179" t="str">
        <v>Speler</v>
      </c>
    </row>
    <row r="180" spans="1:7" x14ac:dyDescent="0.3">
      <c r="A180" t="str">
        <v>Elisabeth Saveyn</v>
      </c>
      <c r="B180" t="str">
        <v/>
      </c>
      <c r="C180" t="str">
        <v>M16 A Haantjes CERTIFISC  Oudenaarde</v>
      </c>
      <c r="D180" t="str">
        <v>M16 A</v>
      </c>
      <c r="E180" t="str">
        <v>moonvanneste@hotmail.com</v>
      </c>
      <c r="F180" s="3" t="str">
        <v>+32496392369</v>
      </c>
      <c r="G180" t="str">
        <v>Speler</v>
      </c>
    </row>
    <row r="181" spans="1:7" x14ac:dyDescent="0.3">
      <c r="A181" t="str">
        <v>Nona Schmitt</v>
      </c>
      <c r="B181" t="str">
        <v/>
      </c>
      <c r="C181" t="str">
        <v>M16 A Haantjes CERTIFISC  Oudenaarde</v>
      </c>
      <c r="D181" t="str">
        <v>M16 A</v>
      </c>
      <c r="E181" t="str">
        <v>alexander.schmitt@authority.biz</v>
      </c>
      <c r="F181" s="3" t="str">
        <v>+32473761554</v>
      </c>
      <c r="G181" t="str">
        <v>Speler</v>
      </c>
    </row>
    <row r="182" spans="1:7" x14ac:dyDescent="0.3">
      <c r="A182" t="str">
        <v>Anaïs Vanhessche</v>
      </c>
      <c r="B182" t="str">
        <v>https://app.twizzit.com/public/photos/2183392/s/3035381a43296f702255c02c3c99c4303bd9ab17.png</v>
      </c>
      <c r="C182" t="str">
        <v>M16 A Haantjes CERTIFISC  Oudenaarde</v>
      </c>
      <c r="D182" t="str">
        <v>M16 A</v>
      </c>
      <c r="E182" t="str">
        <v>miekevanderhaeghen@gmail.com</v>
      </c>
      <c r="F182" s="3" t="str">
        <v>+32477741955</v>
      </c>
      <c r="G182" t="str">
        <v>Speler</v>
      </c>
    </row>
    <row r="183" spans="1:7" x14ac:dyDescent="0.3">
      <c r="A183" t="str">
        <v>Emma Verleyen</v>
      </c>
      <c r="B183" t="str">
        <v/>
      </c>
      <c r="C183" t="str">
        <v>M16 A Haantjes CERTIFISC  Oudenaarde</v>
      </c>
      <c r="D183" t="str">
        <v>M16 A</v>
      </c>
      <c r="E183" t="str">
        <v>emma.verleyen094@gmail.com</v>
      </c>
      <c r="F183" s="3" t="str">
        <v>+32496129595</v>
      </c>
      <c r="G183" t="str">
        <v>Speler</v>
      </c>
    </row>
    <row r="184" spans="1:7" x14ac:dyDescent="0.3">
      <c r="A184" t="str">
        <v>Marie Bourdeaud'hui</v>
      </c>
      <c r="B184" t="str">
        <v>https://app.twizzit.com/public/photos/2182516/s/0d7291570c9e5cf142cd892c8fd7ace8c517270a.png</v>
      </c>
      <c r="C184" t="str">
        <v>M19 A Haantjes CERTIFISC Oudenaarde</v>
      </c>
      <c r="D184" t="str">
        <v>M19 A</v>
      </c>
      <c r="E184" t="str">
        <v/>
      </c>
      <c r="F184" s="3" t="str">
        <v>+32572791</v>
      </c>
      <c r="G184" t="str">
        <v>Speler</v>
      </c>
    </row>
    <row r="185" spans="1:7" x14ac:dyDescent="0.3">
      <c r="A185" t="str">
        <v>Lise Braem</v>
      </c>
      <c r="B185" t="str">
        <v>https://app.twizzit.com/public/photos/2182526/s/a821912bbd87d29337fbfbb0be2e91298bc55869.jpeg</v>
      </c>
      <c r="C185" t="str">
        <v>M19 A Haantjes CERTIFISC Oudenaarde</v>
      </c>
      <c r="D185" t="str">
        <v>M19 A</v>
      </c>
      <c r="E185" t="str">
        <v>Braem.lise@gmail.com</v>
      </c>
      <c r="F185" s="3" t="str">
        <v/>
      </c>
      <c r="G185" t="str">
        <v>Speler</v>
      </c>
    </row>
    <row r="186" spans="1:7" x14ac:dyDescent="0.3">
      <c r="A186" t="str">
        <v>Alice Cokelaere</v>
      </c>
      <c r="B186" t="str">
        <v/>
      </c>
      <c r="C186" t="str">
        <v>M19 A Haantjes CERTIFISC Oudenaarde</v>
      </c>
      <c r="D186" t="str">
        <v>M19 A</v>
      </c>
      <c r="E186" t="str">
        <v>sofie.pattyn@telenet.be</v>
      </c>
      <c r="F186" s="3" t="str">
        <v>+32477681738</v>
      </c>
      <c r="G186" t="str">
        <v>Speler</v>
      </c>
    </row>
    <row r="187" spans="1:7" x14ac:dyDescent="0.3">
      <c r="A187" t="str">
        <v>Dieuwke Decroix</v>
      </c>
      <c r="B187" t="str">
        <v/>
      </c>
      <c r="C187" t="str">
        <v>M19 A Haantjes CERTIFISC Oudenaarde</v>
      </c>
      <c r="D187" t="str">
        <v>M19 A</v>
      </c>
      <c r="E187" t="str">
        <v>decroix.willem@gmail.com</v>
      </c>
      <c r="F187" s="3" t="str">
        <v>+32483596928</v>
      </c>
      <c r="G187" t="str">
        <v>Speler</v>
      </c>
    </row>
    <row r="188" spans="1:7" x14ac:dyDescent="0.3">
      <c r="A188" t="str">
        <v>Lora Demets</v>
      </c>
      <c r="B188" t="str">
        <v/>
      </c>
      <c r="C188" t="str">
        <v>M19 A Haantjes CERTIFISC Oudenaarde</v>
      </c>
      <c r="D188" t="str">
        <v>M19 A</v>
      </c>
      <c r="E188" t="str">
        <v>Lowie.demets@telenet.be</v>
      </c>
      <c r="F188" s="3" t="str">
        <v>+32474450168</v>
      </c>
      <c r="G188" t="str">
        <v>Speler</v>
      </c>
    </row>
    <row r="189" spans="1:7" x14ac:dyDescent="0.3">
      <c r="A189" t="str">
        <v>Kenneth Dhont</v>
      </c>
      <c r="B189" t="str">
        <v/>
      </c>
      <c r="C189" t="str">
        <v>M19 A Haantjes CERTIFISC Oudenaarde</v>
      </c>
      <c r="D189" t="str">
        <v>M19 A</v>
      </c>
      <c r="E189" t="str">
        <v/>
      </c>
      <c r="F189" s="3" t="str">
        <v>+32477485789</v>
      </c>
      <c r="G189" t="str">
        <v>Coach</v>
      </c>
    </row>
    <row r="190" spans="1:7" x14ac:dyDescent="0.3">
      <c r="A190" t="str">
        <v>Heike Guenter</v>
      </c>
      <c r="B190" t="str">
        <v/>
      </c>
      <c r="C190" t="str">
        <v>M19 A Haantjes CERTIFISC Oudenaarde</v>
      </c>
      <c r="D190" t="str">
        <v>M19 A</v>
      </c>
      <c r="E190" t="str">
        <v>Heike.guenter@telenet.be</v>
      </c>
      <c r="F190" s="3" t="str">
        <v>+32456085054</v>
      </c>
      <c r="G190" t="str">
        <v>Speler</v>
      </c>
    </row>
    <row r="191" spans="1:7" x14ac:dyDescent="0.3">
      <c r="A191" t="str">
        <v>Janne Vandriessche</v>
      </c>
      <c r="B191" t="str">
        <v/>
      </c>
      <c r="C191" t="str">
        <v>M19 A Haantjes CERTIFISC Oudenaarde</v>
      </c>
      <c r="D191" t="str">
        <v>M19 A</v>
      </c>
      <c r="E191" t="str">
        <v>wout.vandriessche@telenet.be</v>
      </c>
      <c r="F191" s="3" t="str">
        <v>+32474875556</v>
      </c>
      <c r="G191" t="str">
        <v>Speler</v>
      </c>
    </row>
    <row r="192" spans="1:7" x14ac:dyDescent="0.3">
      <c r="A192" t="str">
        <v>Lente Verhaeghe</v>
      </c>
      <c r="B192" t="str">
        <v>https://app.twizzit.com/public/photos/3706826/s/7283d518f82547e0fb530790cddedb0edf0a5785.jpeg</v>
      </c>
      <c r="C192" t="str">
        <v>M19 A Haantjes CERTIFISC Oudenaarde</v>
      </c>
      <c r="D192" t="str">
        <v>M19 A</v>
      </c>
      <c r="E192" t="str">
        <v>verhaeghelente@gmail.com</v>
      </c>
      <c r="F192" s="3" t="str">
        <v/>
      </c>
      <c r="G192" t="str">
        <v>Speler</v>
      </c>
    </row>
    <row r="193" spans="1:7" x14ac:dyDescent="0.3">
      <c r="A193" t="str">
        <v>Lena Verschatse</v>
      </c>
      <c r="B193" t="str">
        <v/>
      </c>
      <c r="C193" t="str">
        <v>M19 A Haantjes CERTIFISC Oudenaarde</v>
      </c>
      <c r="D193" t="str">
        <v>M19 A</v>
      </c>
      <c r="E193" t="str">
        <v/>
      </c>
      <c r="F193" s="3" t="str">
        <v>+32468516883</v>
      </c>
      <c r="G193" t="str">
        <v>Speler</v>
      </c>
    </row>
    <row r="194" spans="1:7" x14ac:dyDescent="0.3">
      <c r="A194" t="str">
        <v>Lily Adam</v>
      </c>
      <c r="B194" t="str">
        <v>https://app.twizzit.com/public/photos/2182441/s/eec7946e1a9e80461f26752840c4aedc7d235bab.jpeg</v>
      </c>
      <c r="C194" t="str">
        <v xml:space="preserve">Trainerspoule </v>
      </c>
      <c r="D194" t="str">
        <v>Trainerspoule</v>
      </c>
      <c r="E194" t="str">
        <v>Koenadam78@gmail.com</v>
      </c>
      <c r="F194" s="3" t="str">
        <v>+32456558867</v>
      </c>
      <c r="G194" t="str">
        <v>Coach</v>
      </c>
    </row>
    <row r="195" spans="1:7" x14ac:dyDescent="0.3">
      <c r="A195" t="str">
        <v>Kimberley De Smet</v>
      </c>
      <c r="B195" t="str">
        <v>https://app.twizzit.com/public/photos/2182696/s/b3404003062e85e1b45f5fca9b0565fe70029286.png</v>
      </c>
      <c r="C195" t="str">
        <v xml:space="preserve">Trainerspoule </v>
      </c>
      <c r="D195" t="str">
        <v>Trainerspoule</v>
      </c>
      <c r="E195" t="str">
        <v/>
      </c>
      <c r="F195" s="3" t="str">
        <v/>
      </c>
      <c r="G195" t="str">
        <v>Coach</v>
      </c>
    </row>
    <row r="196" spans="1:7" x14ac:dyDescent="0.3">
      <c r="A196" t="str">
        <v>Tuur Genbrugge</v>
      </c>
      <c r="B196" t="str">
        <v/>
      </c>
      <c r="C196" t="str">
        <v xml:space="preserve">Trainerspoule </v>
      </c>
      <c r="D196" t="str">
        <v>Trainerspoule</v>
      </c>
      <c r="E196" t="str">
        <v/>
      </c>
      <c r="F196" s="3" t="str">
        <v>+32486314030</v>
      </c>
      <c r="G196" t="str">
        <v>Coach</v>
      </c>
    </row>
    <row r="197" spans="1:7" x14ac:dyDescent="0.3">
      <c r="A197" t="str">
        <v>Charlotte Van Moorleghem</v>
      </c>
      <c r="B197" t="str">
        <v/>
      </c>
      <c r="C197" t="str">
        <v xml:space="preserve">Trainerspoule </v>
      </c>
      <c r="D197" t="str">
        <v>Trainerspoule</v>
      </c>
      <c r="E197" t="str">
        <v>charlotte.vanmoorleghem1@gmail.com</v>
      </c>
      <c r="F197" s="3" t="str">
        <v/>
      </c>
      <c r="G197" t="str">
        <v>Coach</v>
      </c>
    </row>
    <row r="198" spans="1:7" x14ac:dyDescent="0.3">
      <c r="A198" t="str">
        <v>David De Brabander</v>
      </c>
      <c r="B198" t="str">
        <v>https://app.twizzit.com/public/photos/4024795/s/7af12ff114d5d53515b4f220ddc6cdb6ff121519.png</v>
      </c>
      <c r="C198" t="str">
        <v>Zomerstage 2026 (Blankenberge)</v>
      </c>
      <c r="D198" t="str">
        <v>Zomerstage 2026 (Blankenberge)</v>
      </c>
      <c r="E198" t="str">
        <v/>
      </c>
      <c r="F198" s="3" t="str">
        <v>+32478251758</v>
      </c>
      <c r="G198" t="str">
        <v>Coach</v>
      </c>
    </row>
    <row r="199" spans="1:7" x14ac:dyDescent="0.3">
      <c r="A199" t="str">
        <v>Kenneth Dhont</v>
      </c>
      <c r="B199" t="str">
        <v/>
      </c>
      <c r="C199" t="str">
        <v>Zomerstage 2026 (Blankenberge)</v>
      </c>
      <c r="D199" t="str">
        <v>Zomerstage 2026 (Blankenberge)</v>
      </c>
      <c r="E199" t="str">
        <v/>
      </c>
      <c r="F199" s="3" t="str">
        <v>+32477485789</v>
      </c>
      <c r="G199" t="str">
        <v>Coach</v>
      </c>
    </row>
    <row r="200" spans="1:7" x14ac:dyDescent="0.3">
      <c r="A200" t="str">
        <v>Kenneth Dhont</v>
      </c>
      <c r="B200" t="str">
        <v/>
      </c>
      <c r="C200" t="str">
        <v>Zomerstage 2026 U10 &amp; U12 (Oudenaarde)</v>
      </c>
      <c r="D200" t="str">
        <v>Zomerstage 2026 U10 &amp; U12 (Oudenaarde)</v>
      </c>
      <c r="E200" t="str">
        <v/>
      </c>
      <c r="F200" s="3" t="str">
        <v>+32477485789</v>
      </c>
      <c r="G200" t="str">
        <v>Coach</v>
      </c>
    </row>
    <row r="201" spans="1:7" x14ac:dyDescent="0.3">
      <c r="A201" t="str">
        <v>Kenneth Dhont</v>
      </c>
      <c r="B201" t="str">
        <v/>
      </c>
      <c r="C201" t="str">
        <v>Zomerstage 2026 U8 (Oudenaarde)</v>
      </c>
      <c r="D201" t="str">
        <v>Zomerstage 2026 U8 (Oudenaarde)</v>
      </c>
      <c r="E201" t="str">
        <v/>
      </c>
      <c r="F201" s="3" t="str">
        <v>+32477485789</v>
      </c>
      <c r="G201" t="str">
        <v>Coach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7CCA9-155B-41FB-9BFA-E2AB951254E6}">
  <dimension ref="A1:E200"/>
  <sheetViews>
    <sheetView workbookViewId="0">
      <selection activeCell="A8" sqref="A8"/>
    </sheetView>
  </sheetViews>
  <sheetFormatPr defaultRowHeight="14.4" x14ac:dyDescent="0.3"/>
  <cols>
    <col min="1" max="1" width="40.109375" bestFit="1" customWidth="1"/>
    <col min="2" max="2" width="23.44140625" bestFit="1" customWidth="1"/>
    <col min="3" max="3" width="34.109375" bestFit="1" customWidth="1"/>
    <col min="4" max="4" width="12.88671875" bestFit="1" customWidth="1"/>
  </cols>
  <sheetData>
    <row r="1" spans="1:5" x14ac:dyDescent="0.3">
      <c r="A1" s="4" t="s">
        <v>2884</v>
      </c>
      <c r="B1" s="4" t="s">
        <v>65</v>
      </c>
      <c r="C1" s="4" t="s">
        <v>2880</v>
      </c>
      <c r="D1" s="4" t="s">
        <v>2895</v>
      </c>
      <c r="E1" s="1" t="s">
        <v>2896</v>
      </c>
    </row>
    <row r="2" spans="1:5" x14ac:dyDescent="0.3">
      <c r="A2" s="5" t="str" cm="1">
        <f t="array" ref="A2:D32">_xlfn._xlws.FILTER(_xlfn.HSTACK(Jeugdrefs!C2:C201,Jeugdrefs!A2:A201,Jeugdrefs!E2:E201,Jeugdrefs!F2:F201),Jeugdrefs!G2:G201="Coach")</f>
        <v>DSE A Haantjes Certifisc Oudenaarde</v>
      </c>
      <c r="B2" s="5" t="str">
        <v>Bart Cattoir</v>
      </c>
      <c r="C2" s="5" t="str">
        <v/>
      </c>
      <c r="D2" s="6" t="str">
        <v>+32499214775</v>
      </c>
      <c r="E2">
        <v>1</v>
      </c>
    </row>
    <row r="3" spans="1:5" x14ac:dyDescent="0.3">
      <c r="A3" t="str">
        <v>G08 Geel HAANTJES CERTIFISC OUDENAARDE</v>
      </c>
      <c r="B3" t="str">
        <v>Jonah Cattoir</v>
      </c>
      <c r="C3" t="str">
        <v/>
      </c>
      <c r="D3" s="3" t="str">
        <v/>
      </c>
    </row>
    <row r="4" spans="1:5" x14ac:dyDescent="0.3">
      <c r="A4" t="str">
        <v>G08 Geel HAANTJES CERTIFISC OUDENAARDE</v>
      </c>
      <c r="B4" t="str">
        <v>Debbie Verhelst</v>
      </c>
      <c r="C4" t="str">
        <v/>
      </c>
      <c r="D4" s="3" t="str">
        <v/>
      </c>
    </row>
    <row r="5" spans="1:5" x14ac:dyDescent="0.3">
      <c r="A5" t="str">
        <v>G08 Groen HAANTJES CERTIFISC OUDENAARDE</v>
      </c>
      <c r="B5" t="str">
        <v>Charlotte Verschueren</v>
      </c>
      <c r="C5" t="str">
        <v/>
      </c>
      <c r="D5" s="3" t="str">
        <v>+32474278078</v>
      </c>
    </row>
    <row r="6" spans="1:5" x14ac:dyDescent="0.3">
      <c r="A6" t="str">
        <v>G10 Blauw HAANTJES CERTIFISC OUDENAARDE</v>
      </c>
      <c r="B6" t="str">
        <v>Marte Mechant</v>
      </c>
      <c r="C6" t="str">
        <v>jme.basket@telenet.be</v>
      </c>
      <c r="D6" s="3" t="str">
        <v>+32470449365</v>
      </c>
    </row>
    <row r="7" spans="1:5" x14ac:dyDescent="0.3">
      <c r="A7" t="str">
        <v>G10 Geel HAANTJES CERTIFISC OUDENAARDE</v>
      </c>
      <c r="B7" t="str">
        <v>Ryan Debouverie</v>
      </c>
      <c r="C7" t="str">
        <v/>
      </c>
      <c r="D7" s="3" t="str">
        <v>+32496247133</v>
      </c>
    </row>
    <row r="8" spans="1:5" x14ac:dyDescent="0.3">
      <c r="A8" s="5" t="str">
        <v>G12 Blauw HAANTJES CERTIFISC OUDENAARDE</v>
      </c>
      <c r="B8" s="5" t="str">
        <v>Kenneth Dhont</v>
      </c>
      <c r="C8" s="5" t="str">
        <v/>
      </c>
      <c r="D8" s="6" t="str">
        <v>+32477485789</v>
      </c>
    </row>
    <row r="9" spans="1:5" x14ac:dyDescent="0.3">
      <c r="A9" s="5" t="str">
        <v>G12 Geel HAANTJES CERTIFISC OUDENAARDE</v>
      </c>
      <c r="B9" s="5" t="str">
        <v>Niels De Lepeleire</v>
      </c>
      <c r="C9" s="5" t="str">
        <v/>
      </c>
      <c r="D9" s="6" t="str">
        <v>+32470775058</v>
      </c>
    </row>
    <row r="10" spans="1:5" x14ac:dyDescent="0.3">
      <c r="A10" s="5" t="str">
        <v>G14 A Haantjes CERTIFISC Oudenaarde</v>
      </c>
      <c r="B10" s="5" t="str">
        <v>Filip L'Hommelet</v>
      </c>
      <c r="C10" s="5" t="str">
        <v>filip.lhommelet@myweb4u.be</v>
      </c>
      <c r="D10" s="6" t="str">
        <v>+32479376759</v>
      </c>
      <c r="E10">
        <v>1</v>
      </c>
    </row>
    <row r="11" spans="1:5" x14ac:dyDescent="0.3">
      <c r="A11" s="5" t="str">
        <v>HSE  C Haantjes Certifisc Oudenaarde</v>
      </c>
      <c r="B11" s="5" t="str">
        <v>Ryan Debouverie</v>
      </c>
      <c r="C11" s="5" t="str">
        <v/>
      </c>
      <c r="D11" s="6" t="str">
        <v>+32496247133</v>
      </c>
      <c r="E11">
        <v>1</v>
      </c>
    </row>
    <row r="12" spans="1:5" x14ac:dyDescent="0.3">
      <c r="A12" s="5" t="str">
        <v>HSE A Haantjes Certifisc Oudenaarde</v>
      </c>
      <c r="B12" s="5" t="str">
        <v>Bram Van Wyngene</v>
      </c>
      <c r="C12" s="5" t="str">
        <v/>
      </c>
      <c r="D12" s="6" t="str">
        <v>+32477349575</v>
      </c>
      <c r="E12">
        <v>1</v>
      </c>
    </row>
    <row r="13" spans="1:5" x14ac:dyDescent="0.3">
      <c r="A13" s="5" t="str">
        <v>HSE B Haantjes Certifisc Oudenaarde</v>
      </c>
      <c r="B13" s="5" t="str">
        <v>David De Brabander</v>
      </c>
      <c r="C13" s="5" t="str">
        <v/>
      </c>
      <c r="D13" s="6" t="str">
        <v>+32478251758</v>
      </c>
      <c r="E13">
        <v>1</v>
      </c>
    </row>
    <row r="14" spans="1:5" x14ac:dyDescent="0.3">
      <c r="A14" s="5" t="str">
        <v>J16 A Haantjes CERTIFISC Oudenaarde</v>
      </c>
      <c r="B14" s="5" t="str">
        <v>Anoek Van Caeneghem</v>
      </c>
      <c r="C14" s="5" t="str">
        <v/>
      </c>
      <c r="D14" s="6" t="str">
        <v>+32498086024</v>
      </c>
      <c r="E14">
        <v>1</v>
      </c>
    </row>
    <row r="15" spans="1:5" x14ac:dyDescent="0.3">
      <c r="A15" s="5" t="str">
        <v>J16 B Haantjes CERTIFISC Oudenaarde</v>
      </c>
      <c r="B15" s="5" t="str">
        <v>Niels De Lepeleire</v>
      </c>
      <c r="C15" s="5" t="str">
        <v/>
      </c>
      <c r="D15" s="6" t="str">
        <v>+32470775058</v>
      </c>
      <c r="E15">
        <v>1</v>
      </c>
    </row>
    <row r="16" spans="1:5" x14ac:dyDescent="0.3">
      <c r="A16" s="5" t="str">
        <v>J18 A Haantjes CERTIFISC Oudenaarde</v>
      </c>
      <c r="B16" s="5" t="str">
        <v>David De Brabander</v>
      </c>
      <c r="C16" s="5" t="str">
        <v/>
      </c>
      <c r="D16" s="6" t="str">
        <v>+32478251758</v>
      </c>
      <c r="E16">
        <v>1</v>
      </c>
    </row>
    <row r="17" spans="1:5" x14ac:dyDescent="0.3">
      <c r="A17" s="5" t="str">
        <v>J18 A Haantjes CERTIFISC Oudenaarde</v>
      </c>
      <c r="B17" s="5" t="str">
        <v>Bram Van Wyngene</v>
      </c>
      <c r="C17" s="5" t="str">
        <v/>
      </c>
      <c r="D17" s="6" t="str">
        <v>+32477349575</v>
      </c>
      <c r="E17">
        <v>1</v>
      </c>
    </row>
    <row r="18" spans="1:5" x14ac:dyDescent="0.3">
      <c r="A18" s="5" t="str">
        <v>J18 B Haantjes CERTIFISC Oudenaarde</v>
      </c>
      <c r="B18" s="5" t="str">
        <v>Dylann Bufkens</v>
      </c>
      <c r="C18" s="5" t="str">
        <v/>
      </c>
      <c r="D18" s="6" t="str">
        <v>+32493561486</v>
      </c>
      <c r="E18">
        <v>1</v>
      </c>
    </row>
    <row r="19" spans="1:5" x14ac:dyDescent="0.3">
      <c r="A19" s="5" t="str">
        <v>J21 A HAANTJES CERTIFISC OUDENAARDE</v>
      </c>
      <c r="B19" s="5" t="str">
        <v>David De Brabander</v>
      </c>
      <c r="C19" s="5" t="str">
        <v/>
      </c>
      <c r="D19" s="6" t="str">
        <v>+32478251758</v>
      </c>
      <c r="E19">
        <v>1</v>
      </c>
    </row>
    <row r="20" spans="1:5" x14ac:dyDescent="0.3">
      <c r="A20" s="5" t="str">
        <v>M10 HAANTJES CERTIFISC OUDENAARDE</v>
      </c>
      <c r="B20" s="5" t="str">
        <v>Karen Dans</v>
      </c>
      <c r="C20" s="5" t="str">
        <v/>
      </c>
      <c r="D20" s="6" t="str">
        <v>+32494698322</v>
      </c>
    </row>
    <row r="21" spans="1:5" x14ac:dyDescent="0.3">
      <c r="A21" s="5" t="str">
        <v>M12 A HAANTJES CERTIFISC OUDENAARDE</v>
      </c>
      <c r="B21" s="5" t="str">
        <v>Iris Calewaert</v>
      </c>
      <c r="C21" s="5" t="str">
        <v/>
      </c>
      <c r="D21" s="6" t="str">
        <v>+32479373164</v>
      </c>
    </row>
    <row r="22" spans="1:5" x14ac:dyDescent="0.3">
      <c r="A22" s="5" t="str">
        <v>M14 A Haantjes CERTIFISC  Oudenaarde</v>
      </c>
      <c r="B22" s="5" t="str">
        <v>Janna Bauters</v>
      </c>
      <c r="C22" s="5" t="str">
        <v/>
      </c>
      <c r="D22" s="6" t="str">
        <v>+32474344132</v>
      </c>
      <c r="E22">
        <v>1</v>
      </c>
    </row>
    <row r="23" spans="1:5" x14ac:dyDescent="0.3">
      <c r="A23" s="5" t="str">
        <v>M16 A Haantjes CERTIFISC  Oudenaarde</v>
      </c>
      <c r="B23" s="5" t="str">
        <v>Ron Heestermans</v>
      </c>
      <c r="C23" s="5" t="str">
        <v/>
      </c>
      <c r="D23" s="6" t="str">
        <v>+32468152536</v>
      </c>
      <c r="E23">
        <v>1</v>
      </c>
    </row>
    <row r="24" spans="1:5" x14ac:dyDescent="0.3">
      <c r="A24" s="5" t="str">
        <v>M19 A Haantjes CERTIFISC Oudenaarde</v>
      </c>
      <c r="B24" s="5" t="str">
        <v>Kenneth Dhont</v>
      </c>
      <c r="C24" s="5" t="str">
        <v/>
      </c>
      <c r="D24" s="6" t="str">
        <v>+32477485789</v>
      </c>
      <c r="E24">
        <v>1</v>
      </c>
    </row>
    <row r="25" spans="1:5" x14ac:dyDescent="0.3">
      <c r="A25" t="str">
        <v xml:space="preserve">Trainerspoule </v>
      </c>
      <c r="B25" t="str">
        <v>Lily Adam</v>
      </c>
      <c r="C25" t="str">
        <v>Koenadam78@gmail.com</v>
      </c>
      <c r="D25" s="3" t="str">
        <v>+32456558867</v>
      </c>
    </row>
    <row r="26" spans="1:5" x14ac:dyDescent="0.3">
      <c r="A26" t="str">
        <v xml:space="preserve">Trainerspoule </v>
      </c>
      <c r="B26" t="str">
        <v>Kimberley De Smet</v>
      </c>
      <c r="C26" t="str">
        <v/>
      </c>
      <c r="D26" s="3" t="str">
        <v/>
      </c>
    </row>
    <row r="27" spans="1:5" x14ac:dyDescent="0.3">
      <c r="A27" t="str">
        <v xml:space="preserve">Trainerspoule </v>
      </c>
      <c r="B27" t="str">
        <v>Tuur Genbrugge</v>
      </c>
      <c r="C27" t="str">
        <v/>
      </c>
      <c r="D27" s="3" t="str">
        <v>+32486314030</v>
      </c>
    </row>
    <row r="28" spans="1:5" x14ac:dyDescent="0.3">
      <c r="A28" t="str">
        <v xml:space="preserve">Trainerspoule </v>
      </c>
      <c r="B28" t="str">
        <v>Charlotte Van Moorleghem</v>
      </c>
      <c r="C28" t="str">
        <v>charlotte.vanmoorleghem1@gmail.com</v>
      </c>
      <c r="D28" s="3" t="str">
        <v/>
      </c>
    </row>
    <row r="29" spans="1:5" x14ac:dyDescent="0.3">
      <c r="A29" t="str">
        <v>Zomerstage 2026 (Blankenberge)</v>
      </c>
      <c r="B29" t="str">
        <v>David De Brabander</v>
      </c>
      <c r="C29" t="str">
        <v/>
      </c>
      <c r="D29" s="3" t="str">
        <v>+32478251758</v>
      </c>
    </row>
    <row r="30" spans="1:5" x14ac:dyDescent="0.3">
      <c r="A30" t="str">
        <v>Zomerstage 2026 (Blankenberge)</v>
      </c>
      <c r="B30" t="str">
        <v>Kenneth Dhont</v>
      </c>
      <c r="C30" t="str">
        <v/>
      </c>
      <c r="D30" s="3" t="str">
        <v>+32477485789</v>
      </c>
    </row>
    <row r="31" spans="1:5" x14ac:dyDescent="0.3">
      <c r="A31" t="str">
        <v>Zomerstage 2026 U10 &amp; U12 (Oudenaarde)</v>
      </c>
      <c r="B31" t="str">
        <v>Kenneth Dhont</v>
      </c>
      <c r="C31" t="str">
        <v/>
      </c>
      <c r="D31" s="3" t="str">
        <v>+32477485789</v>
      </c>
    </row>
    <row r="32" spans="1:5" x14ac:dyDescent="0.3">
      <c r="A32" t="str">
        <v>Zomerstage 2026 U8 (Oudenaarde)</v>
      </c>
      <c r="B32" t="str">
        <v>Kenneth Dhont</v>
      </c>
      <c r="C32" t="str">
        <v/>
      </c>
      <c r="D32" s="3" t="str">
        <v>+32477485789</v>
      </c>
    </row>
    <row r="33" spans="4:4" x14ac:dyDescent="0.3">
      <c r="D33" s="3"/>
    </row>
    <row r="34" spans="4:4" x14ac:dyDescent="0.3">
      <c r="D34" s="3"/>
    </row>
    <row r="35" spans="4:4" x14ac:dyDescent="0.3">
      <c r="D35" s="3"/>
    </row>
    <row r="36" spans="4:4" x14ac:dyDescent="0.3">
      <c r="D36" s="3"/>
    </row>
    <row r="37" spans="4:4" x14ac:dyDescent="0.3">
      <c r="D37" s="3"/>
    </row>
    <row r="38" spans="4:4" x14ac:dyDescent="0.3">
      <c r="D38" s="3"/>
    </row>
    <row r="39" spans="4:4" x14ac:dyDescent="0.3">
      <c r="D39" s="3"/>
    </row>
    <row r="40" spans="4:4" x14ac:dyDescent="0.3">
      <c r="D40" s="3"/>
    </row>
    <row r="41" spans="4:4" x14ac:dyDescent="0.3">
      <c r="D41" s="3"/>
    </row>
    <row r="42" spans="4:4" x14ac:dyDescent="0.3">
      <c r="D42" s="3"/>
    </row>
    <row r="43" spans="4:4" x14ac:dyDescent="0.3">
      <c r="D43" s="3"/>
    </row>
    <row r="44" spans="4:4" x14ac:dyDescent="0.3">
      <c r="D44" s="3"/>
    </row>
    <row r="45" spans="4:4" x14ac:dyDescent="0.3">
      <c r="D45" s="3"/>
    </row>
    <row r="46" spans="4:4" x14ac:dyDescent="0.3">
      <c r="D46" s="3"/>
    </row>
    <row r="47" spans="4:4" x14ac:dyDescent="0.3">
      <c r="D47" s="3"/>
    </row>
    <row r="48" spans="4:4" x14ac:dyDescent="0.3">
      <c r="D48" s="3"/>
    </row>
    <row r="49" spans="4:4" x14ac:dyDescent="0.3">
      <c r="D49" s="3"/>
    </row>
    <row r="50" spans="4:4" x14ac:dyDescent="0.3">
      <c r="D50" s="3"/>
    </row>
    <row r="51" spans="4:4" x14ac:dyDescent="0.3">
      <c r="D51" s="3"/>
    </row>
    <row r="52" spans="4:4" x14ac:dyDescent="0.3">
      <c r="D52" s="3"/>
    </row>
    <row r="53" spans="4:4" x14ac:dyDescent="0.3">
      <c r="D53" s="3"/>
    </row>
    <row r="54" spans="4:4" x14ac:dyDescent="0.3">
      <c r="D54" s="3"/>
    </row>
    <row r="55" spans="4:4" x14ac:dyDescent="0.3">
      <c r="D55" s="3"/>
    </row>
    <row r="56" spans="4:4" x14ac:dyDescent="0.3">
      <c r="D56" s="3"/>
    </row>
    <row r="57" spans="4:4" x14ac:dyDescent="0.3">
      <c r="D57" s="3"/>
    </row>
    <row r="58" spans="4:4" x14ac:dyDescent="0.3">
      <c r="D58" s="3"/>
    </row>
    <row r="59" spans="4:4" x14ac:dyDescent="0.3">
      <c r="D59" s="3"/>
    </row>
    <row r="60" spans="4:4" x14ac:dyDescent="0.3">
      <c r="D60" s="3"/>
    </row>
    <row r="61" spans="4:4" x14ac:dyDescent="0.3">
      <c r="D61" s="3"/>
    </row>
    <row r="62" spans="4:4" x14ac:dyDescent="0.3">
      <c r="D62" s="3"/>
    </row>
    <row r="63" spans="4:4" x14ac:dyDescent="0.3">
      <c r="D63" s="3"/>
    </row>
    <row r="64" spans="4:4" x14ac:dyDescent="0.3">
      <c r="D64" s="3"/>
    </row>
    <row r="65" spans="4:4" x14ac:dyDescent="0.3">
      <c r="D65" s="3"/>
    </row>
    <row r="66" spans="4:4" x14ac:dyDescent="0.3">
      <c r="D66" s="3"/>
    </row>
    <row r="67" spans="4:4" x14ac:dyDescent="0.3">
      <c r="D67" s="3"/>
    </row>
    <row r="68" spans="4:4" x14ac:dyDescent="0.3">
      <c r="D68" s="3"/>
    </row>
    <row r="69" spans="4:4" x14ac:dyDescent="0.3">
      <c r="D69" s="3"/>
    </row>
    <row r="70" spans="4:4" x14ac:dyDescent="0.3">
      <c r="D70" s="3"/>
    </row>
    <row r="71" spans="4:4" x14ac:dyDescent="0.3">
      <c r="D71" s="3"/>
    </row>
    <row r="72" spans="4:4" x14ac:dyDescent="0.3">
      <c r="D72" s="3"/>
    </row>
    <row r="73" spans="4:4" x14ac:dyDescent="0.3">
      <c r="D73" s="3"/>
    </row>
    <row r="74" spans="4:4" x14ac:dyDescent="0.3">
      <c r="D74" s="3"/>
    </row>
    <row r="75" spans="4:4" x14ac:dyDescent="0.3">
      <c r="D75" s="3"/>
    </row>
    <row r="76" spans="4:4" x14ac:dyDescent="0.3">
      <c r="D76" s="3"/>
    </row>
    <row r="77" spans="4:4" x14ac:dyDescent="0.3">
      <c r="D77" s="3"/>
    </row>
    <row r="78" spans="4:4" x14ac:dyDescent="0.3">
      <c r="D78" s="3"/>
    </row>
    <row r="79" spans="4:4" x14ac:dyDescent="0.3">
      <c r="D79" s="3"/>
    </row>
    <row r="80" spans="4:4" x14ac:dyDescent="0.3">
      <c r="D80" s="3"/>
    </row>
    <row r="81" spans="4:4" x14ac:dyDescent="0.3">
      <c r="D81" s="3"/>
    </row>
    <row r="82" spans="4:4" x14ac:dyDescent="0.3">
      <c r="D82" s="3"/>
    </row>
    <row r="83" spans="4:4" x14ac:dyDescent="0.3">
      <c r="D83" s="3"/>
    </row>
    <row r="84" spans="4:4" x14ac:dyDescent="0.3">
      <c r="D84" s="3"/>
    </row>
    <row r="85" spans="4:4" x14ac:dyDescent="0.3">
      <c r="D85" s="3"/>
    </row>
    <row r="86" spans="4:4" x14ac:dyDescent="0.3">
      <c r="D86" s="3"/>
    </row>
    <row r="87" spans="4:4" x14ac:dyDescent="0.3">
      <c r="D87" s="3"/>
    </row>
    <row r="88" spans="4:4" x14ac:dyDescent="0.3">
      <c r="D88" s="3"/>
    </row>
    <row r="89" spans="4:4" x14ac:dyDescent="0.3">
      <c r="D89" s="3"/>
    </row>
    <row r="90" spans="4:4" x14ac:dyDescent="0.3">
      <c r="D90" s="3"/>
    </row>
    <row r="91" spans="4:4" x14ac:dyDescent="0.3">
      <c r="D91" s="3"/>
    </row>
    <row r="92" spans="4:4" x14ac:dyDescent="0.3">
      <c r="D92" s="3"/>
    </row>
    <row r="93" spans="4:4" x14ac:dyDescent="0.3">
      <c r="D93" s="3"/>
    </row>
    <row r="94" spans="4:4" x14ac:dyDescent="0.3">
      <c r="D94" s="3"/>
    </row>
    <row r="95" spans="4:4" x14ac:dyDescent="0.3">
      <c r="D95" s="3"/>
    </row>
    <row r="96" spans="4:4" x14ac:dyDescent="0.3">
      <c r="D96" s="3"/>
    </row>
    <row r="97" spans="4:4" x14ac:dyDescent="0.3">
      <c r="D97" s="3"/>
    </row>
    <row r="98" spans="4:4" x14ac:dyDescent="0.3">
      <c r="D98" s="3"/>
    </row>
    <row r="99" spans="4:4" x14ac:dyDescent="0.3">
      <c r="D99" s="3"/>
    </row>
    <row r="100" spans="4:4" x14ac:dyDescent="0.3">
      <c r="D100" s="3"/>
    </row>
    <row r="101" spans="4:4" x14ac:dyDescent="0.3">
      <c r="D101" s="3"/>
    </row>
    <row r="102" spans="4:4" x14ac:dyDescent="0.3">
      <c r="D102" s="3"/>
    </row>
    <row r="103" spans="4:4" x14ac:dyDescent="0.3">
      <c r="D103" s="3"/>
    </row>
    <row r="104" spans="4:4" x14ac:dyDescent="0.3">
      <c r="D104" s="3"/>
    </row>
    <row r="105" spans="4:4" x14ac:dyDescent="0.3">
      <c r="D105" s="3"/>
    </row>
    <row r="106" spans="4:4" x14ac:dyDescent="0.3">
      <c r="D106" s="3"/>
    </row>
    <row r="107" spans="4:4" x14ac:dyDescent="0.3">
      <c r="D107" s="3"/>
    </row>
    <row r="108" spans="4:4" x14ac:dyDescent="0.3">
      <c r="D108" s="3"/>
    </row>
    <row r="109" spans="4:4" x14ac:dyDescent="0.3">
      <c r="D109" s="3"/>
    </row>
    <row r="110" spans="4:4" x14ac:dyDescent="0.3">
      <c r="D110" s="3"/>
    </row>
    <row r="111" spans="4:4" x14ac:dyDescent="0.3">
      <c r="D111" s="3"/>
    </row>
    <row r="112" spans="4:4" x14ac:dyDescent="0.3">
      <c r="D112" s="3"/>
    </row>
    <row r="113" spans="4:4" x14ac:dyDescent="0.3">
      <c r="D113" s="3"/>
    </row>
    <row r="114" spans="4:4" x14ac:dyDescent="0.3">
      <c r="D114" s="3"/>
    </row>
    <row r="115" spans="4:4" x14ac:dyDescent="0.3">
      <c r="D115" s="3"/>
    </row>
    <row r="116" spans="4:4" x14ac:dyDescent="0.3">
      <c r="D116" s="3"/>
    </row>
    <row r="117" spans="4:4" x14ac:dyDescent="0.3">
      <c r="D117" s="3"/>
    </row>
    <row r="118" spans="4:4" x14ac:dyDescent="0.3">
      <c r="D118" s="3"/>
    </row>
    <row r="119" spans="4:4" x14ac:dyDescent="0.3">
      <c r="D119" s="3"/>
    </row>
    <row r="120" spans="4:4" x14ac:dyDescent="0.3">
      <c r="D120" s="3"/>
    </row>
    <row r="121" spans="4:4" x14ac:dyDescent="0.3">
      <c r="D121" s="3"/>
    </row>
    <row r="122" spans="4:4" x14ac:dyDescent="0.3">
      <c r="D122" s="3"/>
    </row>
    <row r="123" spans="4:4" x14ac:dyDescent="0.3">
      <c r="D123" s="3"/>
    </row>
    <row r="124" spans="4:4" x14ac:dyDescent="0.3">
      <c r="D124" s="3"/>
    </row>
    <row r="125" spans="4:4" x14ac:dyDescent="0.3">
      <c r="D125" s="3"/>
    </row>
    <row r="126" spans="4:4" x14ac:dyDescent="0.3">
      <c r="D126" s="3"/>
    </row>
    <row r="127" spans="4:4" x14ac:dyDescent="0.3">
      <c r="D127" s="3"/>
    </row>
    <row r="128" spans="4:4" x14ac:dyDescent="0.3">
      <c r="D128" s="3"/>
    </row>
    <row r="129" spans="4:4" x14ac:dyDescent="0.3">
      <c r="D129" s="3"/>
    </row>
    <row r="130" spans="4:4" x14ac:dyDescent="0.3">
      <c r="D130" s="3"/>
    </row>
    <row r="131" spans="4:4" x14ac:dyDescent="0.3">
      <c r="D131" s="3"/>
    </row>
    <row r="132" spans="4:4" x14ac:dyDescent="0.3">
      <c r="D132" s="3"/>
    </row>
    <row r="133" spans="4:4" x14ac:dyDescent="0.3">
      <c r="D133" s="3"/>
    </row>
    <row r="134" spans="4:4" x14ac:dyDescent="0.3">
      <c r="D134" s="3"/>
    </row>
    <row r="135" spans="4:4" x14ac:dyDescent="0.3">
      <c r="D135" s="3"/>
    </row>
    <row r="136" spans="4:4" x14ac:dyDescent="0.3">
      <c r="D136" s="3"/>
    </row>
    <row r="137" spans="4:4" x14ac:dyDescent="0.3">
      <c r="D137" s="3"/>
    </row>
    <row r="138" spans="4:4" x14ac:dyDescent="0.3">
      <c r="D138" s="3"/>
    </row>
    <row r="139" spans="4:4" x14ac:dyDescent="0.3">
      <c r="D139" s="3"/>
    </row>
    <row r="140" spans="4:4" x14ac:dyDescent="0.3">
      <c r="D140" s="3"/>
    </row>
    <row r="141" spans="4:4" x14ac:dyDescent="0.3">
      <c r="D141" s="3"/>
    </row>
    <row r="142" spans="4:4" x14ac:dyDescent="0.3">
      <c r="D142" s="3"/>
    </row>
    <row r="143" spans="4:4" x14ac:dyDescent="0.3">
      <c r="D143" s="3"/>
    </row>
    <row r="144" spans="4:4" x14ac:dyDescent="0.3">
      <c r="D144" s="3"/>
    </row>
    <row r="145" spans="4:4" x14ac:dyDescent="0.3">
      <c r="D145" s="3"/>
    </row>
    <row r="146" spans="4:4" x14ac:dyDescent="0.3">
      <c r="D146" s="3"/>
    </row>
    <row r="147" spans="4:4" x14ac:dyDescent="0.3">
      <c r="D147" s="3"/>
    </row>
    <row r="148" spans="4:4" x14ac:dyDescent="0.3">
      <c r="D148" s="3"/>
    </row>
    <row r="149" spans="4:4" x14ac:dyDescent="0.3">
      <c r="D149" s="3"/>
    </row>
    <row r="150" spans="4:4" x14ac:dyDescent="0.3">
      <c r="D150" s="3"/>
    </row>
    <row r="151" spans="4:4" x14ac:dyDescent="0.3">
      <c r="D151" s="3"/>
    </row>
    <row r="152" spans="4:4" x14ac:dyDescent="0.3">
      <c r="D152" s="3"/>
    </row>
    <row r="153" spans="4:4" x14ac:dyDescent="0.3">
      <c r="D153" s="3"/>
    </row>
    <row r="154" spans="4:4" x14ac:dyDescent="0.3">
      <c r="D154" s="3"/>
    </row>
    <row r="155" spans="4:4" x14ac:dyDescent="0.3">
      <c r="D155" s="3"/>
    </row>
    <row r="156" spans="4:4" x14ac:dyDescent="0.3">
      <c r="D156" s="3"/>
    </row>
    <row r="157" spans="4:4" x14ac:dyDescent="0.3">
      <c r="D157" s="3"/>
    </row>
    <row r="158" spans="4:4" x14ac:dyDescent="0.3">
      <c r="D158" s="3"/>
    </row>
    <row r="159" spans="4:4" x14ac:dyDescent="0.3">
      <c r="D159" s="3"/>
    </row>
    <row r="160" spans="4:4" x14ac:dyDescent="0.3">
      <c r="D160" s="3"/>
    </row>
    <row r="161" spans="4:4" x14ac:dyDescent="0.3">
      <c r="D161" s="3"/>
    </row>
    <row r="162" spans="4:4" x14ac:dyDescent="0.3">
      <c r="D162" s="3"/>
    </row>
    <row r="163" spans="4:4" x14ac:dyDescent="0.3">
      <c r="D163" s="3"/>
    </row>
    <row r="164" spans="4:4" x14ac:dyDescent="0.3">
      <c r="D164" s="3"/>
    </row>
    <row r="165" spans="4:4" x14ac:dyDescent="0.3">
      <c r="D165" s="3"/>
    </row>
    <row r="166" spans="4:4" x14ac:dyDescent="0.3">
      <c r="D166" s="3"/>
    </row>
    <row r="167" spans="4:4" x14ac:dyDescent="0.3">
      <c r="D167" s="3"/>
    </row>
    <row r="168" spans="4:4" x14ac:dyDescent="0.3">
      <c r="D168" s="3"/>
    </row>
    <row r="169" spans="4:4" x14ac:dyDescent="0.3">
      <c r="D169" s="3"/>
    </row>
    <row r="170" spans="4:4" x14ac:dyDescent="0.3">
      <c r="D170" s="3"/>
    </row>
    <row r="171" spans="4:4" x14ac:dyDescent="0.3">
      <c r="D171" s="3"/>
    </row>
    <row r="172" spans="4:4" x14ac:dyDescent="0.3">
      <c r="D172" s="3"/>
    </row>
    <row r="173" spans="4:4" x14ac:dyDescent="0.3">
      <c r="D173" s="3"/>
    </row>
    <row r="174" spans="4:4" x14ac:dyDescent="0.3">
      <c r="D174" s="3"/>
    </row>
    <row r="175" spans="4:4" x14ac:dyDescent="0.3">
      <c r="D175" s="3"/>
    </row>
    <row r="176" spans="4:4" x14ac:dyDescent="0.3">
      <c r="D176" s="3"/>
    </row>
    <row r="177" spans="4:4" x14ac:dyDescent="0.3">
      <c r="D177" s="3"/>
    </row>
    <row r="178" spans="4:4" x14ac:dyDescent="0.3">
      <c r="D178" s="3"/>
    </row>
    <row r="179" spans="4:4" x14ac:dyDescent="0.3">
      <c r="D179" s="3"/>
    </row>
    <row r="180" spans="4:4" x14ac:dyDescent="0.3">
      <c r="D180" s="3"/>
    </row>
    <row r="181" spans="4:4" x14ac:dyDescent="0.3">
      <c r="D181" s="3"/>
    </row>
    <row r="182" spans="4:4" x14ac:dyDescent="0.3">
      <c r="D182" s="3"/>
    </row>
    <row r="183" spans="4:4" x14ac:dyDescent="0.3">
      <c r="D183" s="3"/>
    </row>
    <row r="184" spans="4:4" x14ac:dyDescent="0.3">
      <c r="D184" s="3"/>
    </row>
    <row r="185" spans="4:4" x14ac:dyDescent="0.3">
      <c r="D185" s="3"/>
    </row>
    <row r="186" spans="4:4" x14ac:dyDescent="0.3">
      <c r="D186" s="3"/>
    </row>
    <row r="187" spans="4:4" x14ac:dyDescent="0.3">
      <c r="D187" s="3"/>
    </row>
    <row r="188" spans="4:4" x14ac:dyDescent="0.3">
      <c r="D188" s="3"/>
    </row>
    <row r="189" spans="4:4" x14ac:dyDescent="0.3">
      <c r="D189" s="3"/>
    </row>
    <row r="190" spans="4:4" x14ac:dyDescent="0.3">
      <c r="D190" s="3"/>
    </row>
    <row r="191" spans="4:4" x14ac:dyDescent="0.3">
      <c r="D191" s="3"/>
    </row>
    <row r="192" spans="4:4" x14ac:dyDescent="0.3">
      <c r="D192" s="3"/>
    </row>
    <row r="193" spans="4:4" x14ac:dyDescent="0.3">
      <c r="D193" s="3"/>
    </row>
    <row r="194" spans="4:4" x14ac:dyDescent="0.3">
      <c r="D194" s="3"/>
    </row>
    <row r="195" spans="4:4" x14ac:dyDescent="0.3">
      <c r="D195" s="3"/>
    </row>
    <row r="196" spans="4:4" x14ac:dyDescent="0.3">
      <c r="D196" s="3"/>
    </row>
    <row r="197" spans="4:4" x14ac:dyDescent="0.3">
      <c r="D197" s="3"/>
    </row>
    <row r="198" spans="4:4" x14ac:dyDescent="0.3">
      <c r="D198" s="3"/>
    </row>
    <row r="199" spans="4:4" x14ac:dyDescent="0.3">
      <c r="D199" s="3"/>
    </row>
    <row r="200" spans="4:4" x14ac:dyDescent="0.3">
      <c r="D200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1BAAD-D450-4814-875F-EEE5DDE2DE5C}">
  <dimension ref="A1:A23"/>
  <sheetViews>
    <sheetView workbookViewId="0"/>
  </sheetViews>
  <sheetFormatPr defaultRowHeight="14.4" x14ac:dyDescent="0.3"/>
  <sheetData>
    <row r="1" spans="1:1" x14ac:dyDescent="0.3">
      <c r="A1" s="6" t="s">
        <v>2897</v>
      </c>
    </row>
    <row r="2" spans="1:1" x14ac:dyDescent="0.3">
      <c r="A2" s="3"/>
    </row>
    <row r="3" spans="1:1" x14ac:dyDescent="0.3">
      <c r="A3" s="3"/>
    </row>
    <row r="4" spans="1:1" x14ac:dyDescent="0.3">
      <c r="A4" s="3"/>
    </row>
    <row r="5" spans="1:1" x14ac:dyDescent="0.3">
      <c r="A5" s="3"/>
    </row>
    <row r="6" spans="1:1" x14ac:dyDescent="0.3">
      <c r="A6" s="3"/>
    </row>
    <row r="7" spans="1:1" x14ac:dyDescent="0.3">
      <c r="A7" s="6"/>
    </row>
    <row r="8" spans="1:1" x14ac:dyDescent="0.3">
      <c r="A8" s="6"/>
    </row>
    <row r="9" spans="1:1" x14ac:dyDescent="0.3">
      <c r="A9" s="6"/>
    </row>
    <row r="10" spans="1:1" x14ac:dyDescent="0.3">
      <c r="A10" s="6"/>
    </row>
    <row r="11" spans="1:1" x14ac:dyDescent="0.3">
      <c r="A11" s="6"/>
    </row>
    <row r="12" spans="1:1" x14ac:dyDescent="0.3">
      <c r="A12" s="6"/>
    </row>
    <row r="13" spans="1:1" x14ac:dyDescent="0.3">
      <c r="A13" s="6"/>
    </row>
    <row r="14" spans="1:1" x14ac:dyDescent="0.3">
      <c r="A14" s="6"/>
    </row>
    <row r="15" spans="1:1" x14ac:dyDescent="0.3">
      <c r="A15" s="6"/>
    </row>
    <row r="16" spans="1:1" x14ac:dyDescent="0.3">
      <c r="A16" s="6"/>
    </row>
    <row r="17" spans="1:1" x14ac:dyDescent="0.3">
      <c r="A17" s="6"/>
    </row>
    <row r="18" spans="1:1" x14ac:dyDescent="0.3">
      <c r="A18" s="6"/>
    </row>
    <row r="19" spans="1:1" x14ac:dyDescent="0.3">
      <c r="A19" s="6"/>
    </row>
    <row r="20" spans="1:1" x14ac:dyDescent="0.3">
      <c r="A20" s="6"/>
    </row>
    <row r="21" spans="1:1" x14ac:dyDescent="0.3">
      <c r="A21" s="6"/>
    </row>
    <row r="22" spans="1:1" x14ac:dyDescent="0.3">
      <c r="A22" s="6"/>
    </row>
    <row r="23" spans="1:1" x14ac:dyDescent="0.3">
      <c r="A23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670FE-999F-421D-A31B-363E40ADFAA9}">
  <dimension ref="A1:E50"/>
  <sheetViews>
    <sheetView tabSelected="1" workbookViewId="0">
      <selection activeCell="E8" sqref="E8"/>
    </sheetView>
  </sheetViews>
  <sheetFormatPr defaultRowHeight="14.4" x14ac:dyDescent="0.3"/>
  <cols>
    <col min="1" max="1" width="40.109375" bestFit="1" customWidth="1"/>
    <col min="2" max="2" width="19.88671875" bestFit="1" customWidth="1"/>
    <col min="3" max="3" width="13.109375" bestFit="1" customWidth="1"/>
  </cols>
  <sheetData>
    <row r="1" spans="1:5" x14ac:dyDescent="0.3">
      <c r="A1" s="1" t="s">
        <v>2884</v>
      </c>
      <c r="B1" s="1" t="s">
        <v>65</v>
      </c>
      <c r="C1" s="1" t="s">
        <v>2895</v>
      </c>
      <c r="D1" s="1" t="s">
        <v>2898</v>
      </c>
    </row>
    <row r="2" spans="1:5" x14ac:dyDescent="0.3">
      <c r="A2" t="str" cm="1">
        <f t="array" ref="A2:C15">_xlfn._xlws.FILTER(_xlfn.HSTACK('Coach Contact'!A2:A32,'Coach Contact'!B2:B32,'Coach Contact'!D2:D32),'Coach Contact'!E2:E32=1)</f>
        <v>DSE A Haantjes Certifisc Oudenaarde</v>
      </c>
      <c r="B2" t="str">
        <v>Bart Cattoir</v>
      </c>
      <c r="C2" s="3" t="str">
        <v>+32499214775</v>
      </c>
      <c r="D2" t="str">
        <f>LEFT(A2,5)</f>
        <v>DSE A</v>
      </c>
    </row>
    <row r="3" spans="1:5" x14ac:dyDescent="0.3">
      <c r="A3" t="str">
        <v>G14 A Haantjes CERTIFISC Oudenaarde</v>
      </c>
      <c r="B3" t="str">
        <v>Filip L'Hommelet</v>
      </c>
      <c r="C3" s="3" t="str">
        <v>+32479376759</v>
      </c>
      <c r="D3" t="str">
        <f t="shared" ref="D3:D19" si="0">LEFT(A3,5)</f>
        <v>G14 A</v>
      </c>
    </row>
    <row r="4" spans="1:5" x14ac:dyDescent="0.3">
      <c r="A4" t="str">
        <v>HSE  C Haantjes Certifisc Oudenaarde</v>
      </c>
      <c r="B4" t="str">
        <v>Ryan Debouverie</v>
      </c>
      <c r="C4" s="3" t="str">
        <v>+32496247133</v>
      </c>
      <c r="D4" t="str">
        <f>LEFT(A4,6)</f>
        <v>HSE  C</v>
      </c>
    </row>
    <row r="5" spans="1:5" x14ac:dyDescent="0.3">
      <c r="A5" t="str">
        <v>HSE A Haantjes Certifisc Oudenaarde</v>
      </c>
      <c r="B5" t="str">
        <v>Bram Van Wyngene</v>
      </c>
      <c r="C5" s="3" t="str">
        <v>+32477349575</v>
      </c>
      <c r="D5" t="str">
        <f t="shared" si="0"/>
        <v>HSE A</v>
      </c>
    </row>
    <row r="6" spans="1:5" x14ac:dyDescent="0.3">
      <c r="A6" t="str">
        <v>HSE B Haantjes Certifisc Oudenaarde</v>
      </c>
      <c r="B6" t="str">
        <v>David De Brabander</v>
      </c>
      <c r="C6" s="3" t="str">
        <v>+32478251758</v>
      </c>
      <c r="D6" t="str">
        <f>LEFT(A6,6)</f>
        <v xml:space="preserve">HSE B </v>
      </c>
    </row>
    <row r="7" spans="1:5" x14ac:dyDescent="0.3">
      <c r="A7" t="str">
        <v>J16 A Haantjes CERTIFISC Oudenaarde</v>
      </c>
      <c r="B7" t="str">
        <v>Anoek Van Caeneghem</v>
      </c>
      <c r="C7" s="3" t="str">
        <v>+32498086024</v>
      </c>
      <c r="D7" t="str">
        <f t="shared" si="0"/>
        <v>J16 A</v>
      </c>
    </row>
    <row r="8" spans="1:5" x14ac:dyDescent="0.3">
      <c r="A8" t="str">
        <v>J16 B Haantjes CERTIFISC Oudenaarde</v>
      </c>
      <c r="B8" t="str">
        <v>Niels De Lepeleire</v>
      </c>
      <c r="C8" s="3" t="str">
        <v>+32470775058</v>
      </c>
      <c r="D8" t="str">
        <f t="shared" si="0"/>
        <v>J16 B</v>
      </c>
      <c r="E8" t="s">
        <v>2899</v>
      </c>
    </row>
    <row r="9" spans="1:5" x14ac:dyDescent="0.3">
      <c r="A9" t="str">
        <v>J18 A Haantjes CERTIFISC Oudenaarde</v>
      </c>
      <c r="B9" t="str">
        <v>David De Brabander</v>
      </c>
      <c r="C9" s="3" t="str">
        <v>+32478251758</v>
      </c>
      <c r="D9" t="str">
        <f t="shared" si="0"/>
        <v>J18 A</v>
      </c>
    </row>
    <row r="10" spans="1:5" x14ac:dyDescent="0.3">
      <c r="A10" t="str">
        <v>J18 A Haantjes CERTIFISC Oudenaarde</v>
      </c>
      <c r="B10" t="str">
        <v>Bram Van Wyngene</v>
      </c>
      <c r="C10" s="3" t="str">
        <v>+32477349575</v>
      </c>
      <c r="D10" t="str">
        <f t="shared" si="0"/>
        <v>J18 A</v>
      </c>
    </row>
    <row r="11" spans="1:5" x14ac:dyDescent="0.3">
      <c r="A11" t="str">
        <v>J18 B Haantjes CERTIFISC Oudenaarde</v>
      </c>
      <c r="B11" t="str">
        <v>Dylann Bufkens</v>
      </c>
      <c r="C11" s="3" t="str">
        <v>+32493561486</v>
      </c>
      <c r="D11" t="str">
        <f t="shared" si="0"/>
        <v>J18 B</v>
      </c>
    </row>
    <row r="12" spans="1:5" x14ac:dyDescent="0.3">
      <c r="A12" t="str">
        <v>J21 A HAANTJES CERTIFISC OUDENAARDE</v>
      </c>
      <c r="B12" t="str">
        <v>David De Brabander</v>
      </c>
      <c r="C12" s="3" t="str">
        <v>+32478251758</v>
      </c>
      <c r="D12" t="str">
        <f t="shared" si="0"/>
        <v>J21 A</v>
      </c>
    </row>
    <row r="13" spans="1:5" x14ac:dyDescent="0.3">
      <c r="A13" t="str">
        <v>M14 A Haantjes CERTIFISC  Oudenaarde</v>
      </c>
      <c r="B13" t="str">
        <v>Janna Bauters</v>
      </c>
      <c r="C13" s="3" t="str">
        <v>+32474344132</v>
      </c>
      <c r="D13" t="str">
        <f t="shared" si="0"/>
        <v>M14 A</v>
      </c>
    </row>
    <row r="14" spans="1:5" x14ac:dyDescent="0.3">
      <c r="A14" t="str">
        <v>M16 A Haantjes CERTIFISC  Oudenaarde</v>
      </c>
      <c r="B14" t="str">
        <v>Ron Heestermans</v>
      </c>
      <c r="C14" s="3" t="str">
        <v>+32468152536</v>
      </c>
      <c r="D14" t="str">
        <f t="shared" si="0"/>
        <v>M16 A</v>
      </c>
    </row>
    <row r="15" spans="1:5" x14ac:dyDescent="0.3">
      <c r="A15" t="str">
        <v>M19 A Haantjes CERTIFISC Oudenaarde</v>
      </c>
      <c r="B15" t="str">
        <v>Kenneth Dhont</v>
      </c>
      <c r="C15" s="3" t="str">
        <v>+32477485789</v>
      </c>
      <c r="D15" t="str">
        <f>LEFT(A15,5)</f>
        <v>M19 A</v>
      </c>
    </row>
    <row r="16" spans="1:5" x14ac:dyDescent="0.3">
      <c r="C16" s="3"/>
      <c r="D16" t="str">
        <f t="shared" si="0"/>
        <v/>
      </c>
    </row>
    <row r="17" spans="3:4" x14ac:dyDescent="0.3">
      <c r="C17" s="3"/>
      <c r="D17" t="str">
        <f t="shared" si="0"/>
        <v/>
      </c>
    </row>
    <row r="18" spans="3:4" x14ac:dyDescent="0.3">
      <c r="C18" s="3"/>
      <c r="D18" t="str">
        <f t="shared" si="0"/>
        <v/>
      </c>
    </row>
    <row r="19" spans="3:4" x14ac:dyDescent="0.3">
      <c r="C19" s="3"/>
      <c r="D19" t="str">
        <f t="shared" si="0"/>
        <v/>
      </c>
    </row>
    <row r="20" spans="3:4" x14ac:dyDescent="0.3">
      <c r="C20" s="3"/>
    </row>
    <row r="21" spans="3:4" x14ac:dyDescent="0.3">
      <c r="C21" s="3"/>
    </row>
    <row r="22" spans="3:4" x14ac:dyDescent="0.3">
      <c r="C22" s="3"/>
    </row>
    <row r="23" spans="3:4" x14ac:dyDescent="0.3">
      <c r="C23" s="3"/>
    </row>
    <row r="24" spans="3:4" x14ac:dyDescent="0.3">
      <c r="C24" s="3"/>
    </row>
    <row r="25" spans="3:4" x14ac:dyDescent="0.3">
      <c r="C25" s="3"/>
    </row>
    <row r="26" spans="3:4" x14ac:dyDescent="0.3">
      <c r="C26" s="3"/>
    </row>
    <row r="27" spans="3:4" x14ac:dyDescent="0.3">
      <c r="C27" s="3"/>
    </row>
    <row r="28" spans="3:4" x14ac:dyDescent="0.3">
      <c r="C28" s="3"/>
    </row>
    <row r="29" spans="3:4" x14ac:dyDescent="0.3">
      <c r="C29" s="3"/>
    </row>
    <row r="30" spans="3:4" x14ac:dyDescent="0.3">
      <c r="C30" s="3"/>
    </row>
    <row r="31" spans="3:4" x14ac:dyDescent="0.3">
      <c r="C31" s="3"/>
    </row>
    <row r="32" spans="3:4" x14ac:dyDescent="0.3">
      <c r="C32" s="3"/>
    </row>
    <row r="33" spans="3:3" x14ac:dyDescent="0.3">
      <c r="C33" s="3"/>
    </row>
    <row r="34" spans="3:3" x14ac:dyDescent="0.3">
      <c r="C34" s="3"/>
    </row>
    <row r="35" spans="3:3" x14ac:dyDescent="0.3">
      <c r="C35" s="3"/>
    </row>
    <row r="36" spans="3:3" x14ac:dyDescent="0.3">
      <c r="C36" s="3"/>
    </row>
    <row r="37" spans="3:3" x14ac:dyDescent="0.3">
      <c r="C37" s="3"/>
    </row>
    <row r="38" spans="3:3" x14ac:dyDescent="0.3">
      <c r="C38" s="3"/>
    </row>
    <row r="39" spans="3:3" x14ac:dyDescent="0.3">
      <c r="C39" s="3"/>
    </row>
    <row r="40" spans="3:3" x14ac:dyDescent="0.3">
      <c r="C40" s="3"/>
    </row>
    <row r="41" spans="3:3" x14ac:dyDescent="0.3">
      <c r="C41" s="3"/>
    </row>
    <row r="42" spans="3:3" x14ac:dyDescent="0.3">
      <c r="C42" s="3"/>
    </row>
    <row r="43" spans="3:3" x14ac:dyDescent="0.3">
      <c r="C43" s="3"/>
    </row>
    <row r="44" spans="3:3" x14ac:dyDescent="0.3">
      <c r="C44" s="3"/>
    </row>
    <row r="45" spans="3:3" x14ac:dyDescent="0.3">
      <c r="C45" s="3"/>
    </row>
    <row r="46" spans="3:3" x14ac:dyDescent="0.3">
      <c r="C46" s="3"/>
    </row>
    <row r="47" spans="3:3" x14ac:dyDescent="0.3">
      <c r="C47" s="3"/>
    </row>
    <row r="48" spans="3:3" x14ac:dyDescent="0.3">
      <c r="C48" s="3"/>
    </row>
    <row r="49" spans="3:3" x14ac:dyDescent="0.3">
      <c r="C49" s="3"/>
    </row>
    <row r="50" spans="3:3" x14ac:dyDescent="0.3">
      <c r="C5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Worksheet</vt:lpstr>
      <vt:lpstr>Speler-Coach</vt:lpstr>
      <vt:lpstr>Sorted by Team</vt:lpstr>
      <vt:lpstr>Naam-Foto-Ploeg</vt:lpstr>
      <vt:lpstr>Jeugdrefs</vt:lpstr>
      <vt:lpstr>Coach Contact</vt:lpstr>
      <vt:lpstr>Sheet2</vt:lpstr>
      <vt:lpstr>WhatsApp Coaches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Stijn Huysman</cp:lastModifiedBy>
  <dcterms:created xsi:type="dcterms:W3CDTF">2026-08-21T07:04:05Z</dcterms:created>
  <dcterms:modified xsi:type="dcterms:W3CDTF">2026-08-26T05:46:35Z</dcterms:modified>
  <cp:category/>
</cp:coreProperties>
</file>