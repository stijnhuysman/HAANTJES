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matecoBB/HAANTJES/REFEREEE/"/>
    </mc:Choice>
  </mc:AlternateContent>
  <xr:revisionPtr revIDLastSave="10" documentId="8_{9DEDC3FF-B470-4F26-8069-1C33D053651A}" xr6:coauthVersionLast="47" xr6:coauthVersionMax="47" xr10:uidLastSave="{A687D1F6-2A40-4FDD-B05B-F73C645418D1}"/>
  <bookViews>
    <workbookView xWindow="-20868" yWindow="14292" windowWidth="23256" windowHeight="12456" activeTab="2" xr2:uid="{00000000-000D-0000-FFFF-FFFF00000000}"/>
  </bookViews>
  <sheets>
    <sheet name="Worksheet" sheetId="1" r:id="rId1"/>
    <sheet name="Speler-Coach" sheetId="3" r:id="rId2"/>
    <sheet name="Sorted by Team" sheetId="4" r:id="rId3"/>
    <sheet name="Naam-Foto-Ploeg" sheetId="5" r:id="rId4"/>
    <sheet name="Jeugdref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A2" i="5" a="1"/>
  <c r="A2" i="5" s="1"/>
  <c r="A2" i="4" a="1"/>
  <c r="A2" i="4" s="1"/>
  <c r="J2" i="3"/>
  <c r="K2" i="3"/>
  <c r="L2" i="3"/>
  <c r="M2" i="3"/>
  <c r="N2" i="3"/>
  <c r="O2" i="3"/>
  <c r="P2" i="3"/>
  <c r="J3" i="3"/>
  <c r="K3" i="3"/>
  <c r="L3" i="3"/>
  <c r="M3" i="3"/>
  <c r="N3" i="3"/>
  <c r="O3" i="3"/>
  <c r="P3" i="3"/>
  <c r="A2" i="3" s="1" a="1"/>
  <c r="A2" i="3" s="1"/>
  <c r="J4" i="3"/>
  <c r="K4" i="3"/>
  <c r="L4" i="3"/>
  <c r="M4" i="3"/>
  <c r="N4" i="3"/>
  <c r="O4" i="3"/>
  <c r="P4" i="3"/>
  <c r="J5" i="3"/>
  <c r="K5" i="3"/>
  <c r="L5" i="3"/>
  <c r="M5" i="3"/>
  <c r="N5" i="3"/>
  <c r="O5" i="3"/>
  <c r="P5" i="3"/>
  <c r="J6" i="3"/>
  <c r="K6" i="3"/>
  <c r="L6" i="3"/>
  <c r="M6" i="3"/>
  <c r="N6" i="3"/>
  <c r="O6" i="3"/>
  <c r="P6" i="3"/>
  <c r="J7" i="3"/>
  <c r="K7" i="3"/>
  <c r="L7" i="3"/>
  <c r="M7" i="3"/>
  <c r="N7" i="3"/>
  <c r="O7" i="3"/>
  <c r="P7" i="3"/>
  <c r="J8" i="3"/>
  <c r="K8" i="3"/>
  <c r="L8" i="3"/>
  <c r="M8" i="3"/>
  <c r="N8" i="3"/>
  <c r="O8" i="3"/>
  <c r="P8" i="3"/>
  <c r="J9" i="3"/>
  <c r="K9" i="3"/>
  <c r="L9" i="3"/>
  <c r="M9" i="3"/>
  <c r="N9" i="3"/>
  <c r="O9" i="3"/>
  <c r="P9" i="3"/>
  <c r="J10" i="3"/>
  <c r="K10" i="3"/>
  <c r="L10" i="3"/>
  <c r="M10" i="3"/>
  <c r="N10" i="3"/>
  <c r="O10" i="3"/>
  <c r="P10" i="3"/>
  <c r="J11" i="3"/>
  <c r="K11" i="3"/>
  <c r="L11" i="3"/>
  <c r="M11" i="3"/>
  <c r="N11" i="3"/>
  <c r="O11" i="3"/>
  <c r="P11" i="3"/>
  <c r="J12" i="3"/>
  <c r="K12" i="3"/>
  <c r="L12" i="3"/>
  <c r="M12" i="3"/>
  <c r="N12" i="3"/>
  <c r="O12" i="3"/>
  <c r="P12" i="3"/>
  <c r="J13" i="3"/>
  <c r="K13" i="3"/>
  <c r="L13" i="3"/>
  <c r="M13" i="3"/>
  <c r="N13" i="3"/>
  <c r="O13" i="3"/>
  <c r="P13" i="3"/>
  <c r="J14" i="3"/>
  <c r="K14" i="3"/>
  <c r="L14" i="3"/>
  <c r="M14" i="3"/>
  <c r="N14" i="3"/>
  <c r="O14" i="3"/>
  <c r="P14" i="3"/>
  <c r="J15" i="3"/>
  <c r="K15" i="3"/>
  <c r="L15" i="3"/>
  <c r="M15" i="3"/>
  <c r="N15" i="3"/>
  <c r="O15" i="3"/>
  <c r="P15" i="3"/>
  <c r="J16" i="3"/>
  <c r="K16" i="3"/>
  <c r="L16" i="3"/>
  <c r="M16" i="3"/>
  <c r="N16" i="3"/>
  <c r="O16" i="3"/>
  <c r="P16" i="3"/>
  <c r="J17" i="3"/>
  <c r="K17" i="3"/>
  <c r="L17" i="3"/>
  <c r="M17" i="3"/>
  <c r="N17" i="3"/>
  <c r="O17" i="3"/>
  <c r="P17" i="3"/>
  <c r="J18" i="3"/>
  <c r="K18" i="3"/>
  <c r="L18" i="3"/>
  <c r="M18" i="3"/>
  <c r="N18" i="3"/>
  <c r="O18" i="3"/>
  <c r="P18" i="3"/>
  <c r="J19" i="3"/>
  <c r="K19" i="3"/>
  <c r="L19" i="3"/>
  <c r="M19" i="3"/>
  <c r="N19" i="3"/>
  <c r="O19" i="3"/>
  <c r="P19" i="3"/>
  <c r="J20" i="3"/>
  <c r="K20" i="3"/>
  <c r="L20" i="3"/>
  <c r="M20" i="3"/>
  <c r="N20" i="3"/>
  <c r="O20" i="3"/>
  <c r="P20" i="3"/>
  <c r="J21" i="3"/>
  <c r="K21" i="3"/>
  <c r="L21" i="3"/>
  <c r="M21" i="3"/>
  <c r="N21" i="3"/>
  <c r="O21" i="3"/>
  <c r="P21" i="3"/>
  <c r="J22" i="3"/>
  <c r="K22" i="3"/>
  <c r="L22" i="3"/>
  <c r="M22" i="3"/>
  <c r="N22" i="3"/>
  <c r="O22" i="3"/>
  <c r="P22" i="3"/>
  <c r="J23" i="3"/>
  <c r="K23" i="3"/>
  <c r="L23" i="3"/>
  <c r="M23" i="3"/>
  <c r="N23" i="3"/>
  <c r="O23" i="3"/>
  <c r="P23" i="3"/>
  <c r="J24" i="3"/>
  <c r="K24" i="3"/>
  <c r="L24" i="3"/>
  <c r="M24" i="3"/>
  <c r="N24" i="3"/>
  <c r="O24" i="3"/>
  <c r="P24" i="3"/>
  <c r="J25" i="3"/>
  <c r="K25" i="3"/>
  <c r="L25" i="3"/>
  <c r="M25" i="3"/>
  <c r="N25" i="3"/>
  <c r="O25" i="3"/>
  <c r="P25" i="3"/>
  <c r="J26" i="3"/>
  <c r="K26" i="3"/>
  <c r="L26" i="3"/>
  <c r="M26" i="3"/>
  <c r="N26" i="3"/>
  <c r="O26" i="3"/>
  <c r="P26" i="3"/>
  <c r="J27" i="3"/>
  <c r="K27" i="3"/>
  <c r="L27" i="3"/>
  <c r="M27" i="3"/>
  <c r="N27" i="3"/>
  <c r="O27" i="3"/>
  <c r="P27" i="3"/>
  <c r="J28" i="3"/>
  <c r="K28" i="3"/>
  <c r="L28" i="3"/>
  <c r="M28" i="3"/>
  <c r="N28" i="3"/>
  <c r="O28" i="3"/>
  <c r="P28" i="3"/>
  <c r="J29" i="3"/>
  <c r="K29" i="3"/>
  <c r="L29" i="3"/>
  <c r="M29" i="3"/>
  <c r="N29" i="3"/>
  <c r="O29" i="3"/>
  <c r="P29" i="3"/>
  <c r="J30" i="3"/>
  <c r="K30" i="3"/>
  <c r="L30" i="3"/>
  <c r="M30" i="3"/>
  <c r="N30" i="3"/>
  <c r="O30" i="3"/>
  <c r="P30" i="3"/>
  <c r="J31" i="3"/>
  <c r="K31" i="3"/>
  <c r="L31" i="3"/>
  <c r="M31" i="3"/>
  <c r="N31" i="3"/>
  <c r="O31" i="3"/>
  <c r="P31" i="3"/>
  <c r="J32" i="3"/>
  <c r="K32" i="3"/>
  <c r="L32" i="3"/>
  <c r="M32" i="3"/>
  <c r="N32" i="3"/>
  <c r="O32" i="3"/>
  <c r="P32" i="3"/>
  <c r="J33" i="3"/>
  <c r="K33" i="3"/>
  <c r="L33" i="3"/>
  <c r="M33" i="3"/>
  <c r="N33" i="3"/>
  <c r="O33" i="3"/>
  <c r="P33" i="3"/>
  <c r="J34" i="3"/>
  <c r="K34" i="3"/>
  <c r="L34" i="3"/>
  <c r="M34" i="3"/>
  <c r="N34" i="3"/>
  <c r="O34" i="3"/>
  <c r="P34" i="3"/>
  <c r="J35" i="3"/>
  <c r="K35" i="3"/>
  <c r="L35" i="3"/>
  <c r="M35" i="3"/>
  <c r="N35" i="3"/>
  <c r="O35" i="3"/>
  <c r="P35" i="3"/>
  <c r="J36" i="3"/>
  <c r="K36" i="3"/>
  <c r="L36" i="3"/>
  <c r="M36" i="3"/>
  <c r="N36" i="3"/>
  <c r="O36" i="3"/>
  <c r="P36" i="3"/>
  <c r="J37" i="3"/>
  <c r="K37" i="3"/>
  <c r="L37" i="3"/>
  <c r="M37" i="3"/>
  <c r="N37" i="3"/>
  <c r="O37" i="3"/>
  <c r="P37" i="3"/>
  <c r="J38" i="3"/>
  <c r="K38" i="3"/>
  <c r="L38" i="3"/>
  <c r="M38" i="3"/>
  <c r="N38" i="3"/>
  <c r="O38" i="3"/>
  <c r="P38" i="3"/>
  <c r="J39" i="3"/>
  <c r="K39" i="3"/>
  <c r="L39" i="3"/>
  <c r="M39" i="3"/>
  <c r="N39" i="3"/>
  <c r="O39" i="3"/>
  <c r="P39" i="3"/>
  <c r="J40" i="3"/>
  <c r="K40" i="3"/>
  <c r="L40" i="3"/>
  <c r="M40" i="3"/>
  <c r="N40" i="3"/>
  <c r="O40" i="3"/>
  <c r="P40" i="3"/>
  <c r="J41" i="3"/>
  <c r="K41" i="3"/>
  <c r="L41" i="3"/>
  <c r="M41" i="3"/>
  <c r="N41" i="3"/>
  <c r="O41" i="3"/>
  <c r="P41" i="3"/>
  <c r="J42" i="3"/>
  <c r="K42" i="3"/>
  <c r="L42" i="3"/>
  <c r="M42" i="3"/>
  <c r="N42" i="3"/>
  <c r="O42" i="3"/>
  <c r="P42" i="3"/>
  <c r="J43" i="3"/>
  <c r="K43" i="3"/>
  <c r="L43" i="3"/>
  <c r="M43" i="3"/>
  <c r="N43" i="3"/>
  <c r="O43" i="3"/>
  <c r="P43" i="3"/>
  <c r="J44" i="3"/>
  <c r="K44" i="3"/>
  <c r="L44" i="3"/>
  <c r="M44" i="3"/>
  <c r="N44" i="3"/>
  <c r="O44" i="3"/>
  <c r="P44" i="3"/>
  <c r="J45" i="3"/>
  <c r="K45" i="3"/>
  <c r="L45" i="3"/>
  <c r="M45" i="3"/>
  <c r="N45" i="3"/>
  <c r="O45" i="3"/>
  <c r="P45" i="3"/>
  <c r="J46" i="3"/>
  <c r="K46" i="3"/>
  <c r="L46" i="3"/>
  <c r="M46" i="3"/>
  <c r="N46" i="3"/>
  <c r="O46" i="3"/>
  <c r="P46" i="3"/>
  <c r="J47" i="3"/>
  <c r="K47" i="3"/>
  <c r="L47" i="3"/>
  <c r="M47" i="3"/>
  <c r="N47" i="3"/>
  <c r="O47" i="3"/>
  <c r="P47" i="3"/>
  <c r="J48" i="3"/>
  <c r="K48" i="3"/>
  <c r="L48" i="3"/>
  <c r="M48" i="3"/>
  <c r="N48" i="3"/>
  <c r="O48" i="3"/>
  <c r="P48" i="3"/>
  <c r="J49" i="3"/>
  <c r="K49" i="3"/>
  <c r="L49" i="3"/>
  <c r="M49" i="3"/>
  <c r="N49" i="3"/>
  <c r="O49" i="3"/>
  <c r="P49" i="3"/>
  <c r="J50" i="3"/>
  <c r="K50" i="3"/>
  <c r="L50" i="3"/>
  <c r="M50" i="3"/>
  <c r="N50" i="3"/>
  <c r="O50" i="3"/>
  <c r="P50" i="3"/>
  <c r="J51" i="3"/>
  <c r="K51" i="3"/>
  <c r="L51" i="3"/>
  <c r="M51" i="3"/>
  <c r="N51" i="3"/>
  <c r="O51" i="3"/>
  <c r="P51" i="3"/>
  <c r="J52" i="3"/>
  <c r="K52" i="3"/>
  <c r="L52" i="3"/>
  <c r="M52" i="3"/>
  <c r="N52" i="3"/>
  <c r="O52" i="3"/>
  <c r="P52" i="3"/>
  <c r="J53" i="3"/>
  <c r="K53" i="3"/>
  <c r="L53" i="3"/>
  <c r="M53" i="3"/>
  <c r="N53" i="3"/>
  <c r="O53" i="3"/>
  <c r="P53" i="3"/>
  <c r="J54" i="3"/>
  <c r="K54" i="3"/>
  <c r="L54" i="3"/>
  <c r="M54" i="3"/>
  <c r="N54" i="3"/>
  <c r="O54" i="3"/>
  <c r="P54" i="3"/>
  <c r="J55" i="3"/>
  <c r="K55" i="3"/>
  <c r="L55" i="3"/>
  <c r="M55" i="3"/>
  <c r="N55" i="3"/>
  <c r="O55" i="3"/>
  <c r="P55" i="3"/>
  <c r="J56" i="3"/>
  <c r="K56" i="3"/>
  <c r="L56" i="3"/>
  <c r="M56" i="3"/>
  <c r="N56" i="3"/>
  <c r="O56" i="3"/>
  <c r="P56" i="3"/>
  <c r="J57" i="3"/>
  <c r="K57" i="3"/>
  <c r="L57" i="3"/>
  <c r="M57" i="3"/>
  <c r="N57" i="3"/>
  <c r="O57" i="3"/>
  <c r="P57" i="3"/>
  <c r="J58" i="3"/>
  <c r="K58" i="3"/>
  <c r="L58" i="3"/>
  <c r="M58" i="3"/>
  <c r="N58" i="3"/>
  <c r="O58" i="3"/>
  <c r="P58" i="3"/>
  <c r="J59" i="3"/>
  <c r="K59" i="3"/>
  <c r="L59" i="3"/>
  <c r="M59" i="3"/>
  <c r="N59" i="3"/>
  <c r="O59" i="3"/>
  <c r="P59" i="3"/>
  <c r="J60" i="3"/>
  <c r="K60" i="3"/>
  <c r="L60" i="3"/>
  <c r="M60" i="3"/>
  <c r="N60" i="3"/>
  <c r="O60" i="3"/>
  <c r="P60" i="3"/>
  <c r="J61" i="3"/>
  <c r="K61" i="3"/>
  <c r="L61" i="3"/>
  <c r="M61" i="3"/>
  <c r="N61" i="3"/>
  <c r="O61" i="3"/>
  <c r="P61" i="3"/>
  <c r="J62" i="3"/>
  <c r="K62" i="3"/>
  <c r="L62" i="3"/>
  <c r="M62" i="3"/>
  <c r="N62" i="3"/>
  <c r="O62" i="3"/>
  <c r="P62" i="3"/>
  <c r="J63" i="3"/>
  <c r="K63" i="3"/>
  <c r="L63" i="3"/>
  <c r="M63" i="3"/>
  <c r="N63" i="3"/>
  <c r="O63" i="3"/>
  <c r="P63" i="3"/>
  <c r="J64" i="3"/>
  <c r="K64" i="3"/>
  <c r="L64" i="3"/>
  <c r="M64" i="3"/>
  <c r="N64" i="3"/>
  <c r="O64" i="3"/>
  <c r="P64" i="3"/>
  <c r="J65" i="3"/>
  <c r="K65" i="3"/>
  <c r="L65" i="3"/>
  <c r="M65" i="3"/>
  <c r="N65" i="3"/>
  <c r="O65" i="3"/>
  <c r="P65" i="3"/>
  <c r="J66" i="3"/>
  <c r="K66" i="3"/>
  <c r="L66" i="3"/>
  <c r="M66" i="3"/>
  <c r="N66" i="3"/>
  <c r="O66" i="3"/>
  <c r="P66" i="3"/>
  <c r="J67" i="3"/>
  <c r="K67" i="3"/>
  <c r="L67" i="3"/>
  <c r="M67" i="3"/>
  <c r="N67" i="3"/>
  <c r="O67" i="3"/>
  <c r="P67" i="3"/>
  <c r="J68" i="3"/>
  <c r="K68" i="3"/>
  <c r="L68" i="3"/>
  <c r="M68" i="3"/>
  <c r="N68" i="3"/>
  <c r="O68" i="3"/>
  <c r="P68" i="3"/>
  <c r="J69" i="3"/>
  <c r="K69" i="3"/>
  <c r="L69" i="3"/>
  <c r="M69" i="3"/>
  <c r="N69" i="3"/>
  <c r="O69" i="3"/>
  <c r="P69" i="3"/>
  <c r="J70" i="3"/>
  <c r="K70" i="3"/>
  <c r="L70" i="3"/>
  <c r="M70" i="3"/>
  <c r="N70" i="3"/>
  <c r="O70" i="3"/>
  <c r="P70" i="3"/>
  <c r="J71" i="3"/>
  <c r="K71" i="3"/>
  <c r="L71" i="3"/>
  <c r="M71" i="3"/>
  <c r="N71" i="3"/>
  <c r="O71" i="3"/>
  <c r="P71" i="3"/>
  <c r="J72" i="3"/>
  <c r="K72" i="3"/>
  <c r="L72" i="3"/>
  <c r="M72" i="3"/>
  <c r="N72" i="3"/>
  <c r="O72" i="3"/>
  <c r="P72" i="3"/>
  <c r="J73" i="3"/>
  <c r="K73" i="3"/>
  <c r="L73" i="3"/>
  <c r="M73" i="3"/>
  <c r="N73" i="3"/>
  <c r="O73" i="3"/>
  <c r="P73" i="3"/>
  <c r="J74" i="3"/>
  <c r="K74" i="3"/>
  <c r="L74" i="3"/>
  <c r="M74" i="3"/>
  <c r="N74" i="3"/>
  <c r="O74" i="3"/>
  <c r="P74" i="3"/>
  <c r="J75" i="3"/>
  <c r="K75" i="3"/>
  <c r="L75" i="3"/>
  <c r="M75" i="3"/>
  <c r="N75" i="3"/>
  <c r="O75" i="3"/>
  <c r="P75" i="3"/>
  <c r="J76" i="3"/>
  <c r="K76" i="3"/>
  <c r="L76" i="3"/>
  <c r="M76" i="3"/>
  <c r="N76" i="3"/>
  <c r="O76" i="3"/>
  <c r="P76" i="3"/>
  <c r="J77" i="3"/>
  <c r="K77" i="3"/>
  <c r="L77" i="3"/>
  <c r="M77" i="3"/>
  <c r="N77" i="3"/>
  <c r="O77" i="3"/>
  <c r="P77" i="3"/>
  <c r="J78" i="3"/>
  <c r="K78" i="3"/>
  <c r="L78" i="3"/>
  <c r="M78" i="3"/>
  <c r="N78" i="3"/>
  <c r="O78" i="3"/>
  <c r="P78" i="3"/>
  <c r="J79" i="3"/>
  <c r="K79" i="3"/>
  <c r="L79" i="3"/>
  <c r="M79" i="3"/>
  <c r="N79" i="3"/>
  <c r="O79" i="3"/>
  <c r="P79" i="3"/>
  <c r="J80" i="3"/>
  <c r="K80" i="3"/>
  <c r="L80" i="3"/>
  <c r="M80" i="3"/>
  <c r="N80" i="3"/>
  <c r="O80" i="3"/>
  <c r="P80" i="3"/>
  <c r="J81" i="3"/>
  <c r="K81" i="3"/>
  <c r="L81" i="3"/>
  <c r="M81" i="3"/>
  <c r="N81" i="3"/>
  <c r="O81" i="3"/>
  <c r="P81" i="3"/>
  <c r="J82" i="3"/>
  <c r="K82" i="3"/>
  <c r="L82" i="3"/>
  <c r="M82" i="3"/>
  <c r="N82" i="3"/>
  <c r="O82" i="3"/>
  <c r="P82" i="3"/>
  <c r="J83" i="3"/>
  <c r="K83" i="3"/>
  <c r="L83" i="3"/>
  <c r="M83" i="3"/>
  <c r="N83" i="3"/>
  <c r="O83" i="3"/>
  <c r="P83" i="3"/>
  <c r="J84" i="3"/>
  <c r="K84" i="3"/>
  <c r="L84" i="3"/>
  <c r="M84" i="3"/>
  <c r="N84" i="3"/>
  <c r="O84" i="3"/>
  <c r="P84" i="3"/>
  <c r="J85" i="3"/>
  <c r="K85" i="3"/>
  <c r="L85" i="3"/>
  <c r="M85" i="3"/>
  <c r="N85" i="3"/>
  <c r="O85" i="3"/>
  <c r="P85" i="3"/>
  <c r="J86" i="3"/>
  <c r="K86" i="3"/>
  <c r="L86" i="3"/>
  <c r="M86" i="3"/>
  <c r="N86" i="3"/>
  <c r="O86" i="3"/>
  <c r="P86" i="3"/>
  <c r="J87" i="3"/>
  <c r="K87" i="3"/>
  <c r="L87" i="3"/>
  <c r="M87" i="3"/>
  <c r="N87" i="3"/>
  <c r="O87" i="3"/>
  <c r="P87" i="3"/>
  <c r="J88" i="3"/>
  <c r="K88" i="3"/>
  <c r="L88" i="3"/>
  <c r="M88" i="3"/>
  <c r="N88" i="3"/>
  <c r="O88" i="3"/>
  <c r="P88" i="3"/>
  <c r="J89" i="3"/>
  <c r="K89" i="3"/>
  <c r="L89" i="3"/>
  <c r="M89" i="3"/>
  <c r="N89" i="3"/>
  <c r="O89" i="3"/>
  <c r="P89" i="3"/>
  <c r="J90" i="3"/>
  <c r="K90" i="3"/>
  <c r="L90" i="3"/>
  <c r="M90" i="3"/>
  <c r="N90" i="3"/>
  <c r="O90" i="3"/>
  <c r="P90" i="3"/>
  <c r="J91" i="3"/>
  <c r="K91" i="3"/>
  <c r="L91" i="3"/>
  <c r="M91" i="3"/>
  <c r="N91" i="3"/>
  <c r="O91" i="3"/>
  <c r="P91" i="3"/>
  <c r="J92" i="3"/>
  <c r="K92" i="3"/>
  <c r="L92" i="3"/>
  <c r="M92" i="3"/>
  <c r="N92" i="3"/>
  <c r="O92" i="3"/>
  <c r="P92" i="3"/>
  <c r="J93" i="3"/>
  <c r="K93" i="3"/>
  <c r="L93" i="3"/>
  <c r="M93" i="3"/>
  <c r="N93" i="3"/>
  <c r="O93" i="3"/>
  <c r="P93" i="3"/>
  <c r="J94" i="3"/>
  <c r="K94" i="3"/>
  <c r="L94" i="3"/>
  <c r="M94" i="3"/>
  <c r="N94" i="3"/>
  <c r="O94" i="3"/>
  <c r="P94" i="3"/>
  <c r="J95" i="3"/>
  <c r="K95" i="3"/>
  <c r="L95" i="3"/>
  <c r="M95" i="3"/>
  <c r="N95" i="3"/>
  <c r="O95" i="3"/>
  <c r="P95" i="3"/>
  <c r="J96" i="3"/>
  <c r="K96" i="3"/>
  <c r="L96" i="3"/>
  <c r="M96" i="3"/>
  <c r="N96" i="3"/>
  <c r="O96" i="3"/>
  <c r="P96" i="3"/>
  <c r="J97" i="3"/>
  <c r="K97" i="3"/>
  <c r="L97" i="3"/>
  <c r="M97" i="3"/>
  <c r="N97" i="3"/>
  <c r="O97" i="3"/>
  <c r="P97" i="3"/>
  <c r="J98" i="3"/>
  <c r="K98" i="3"/>
  <c r="L98" i="3"/>
  <c r="M98" i="3"/>
  <c r="N98" i="3"/>
  <c r="O98" i="3"/>
  <c r="P98" i="3"/>
  <c r="J99" i="3"/>
  <c r="K99" i="3"/>
  <c r="L99" i="3"/>
  <c r="M99" i="3"/>
  <c r="N99" i="3"/>
  <c r="O99" i="3"/>
  <c r="P99" i="3"/>
  <c r="J100" i="3"/>
  <c r="K100" i="3"/>
  <c r="L100" i="3"/>
  <c r="M100" i="3"/>
  <c r="N100" i="3"/>
  <c r="O100" i="3"/>
  <c r="P100" i="3"/>
  <c r="J101" i="3"/>
  <c r="K101" i="3"/>
  <c r="L101" i="3"/>
  <c r="M101" i="3"/>
  <c r="N101" i="3"/>
  <c r="O101" i="3"/>
  <c r="P101" i="3"/>
  <c r="J102" i="3"/>
  <c r="K102" i="3"/>
  <c r="L102" i="3"/>
  <c r="M102" i="3"/>
  <c r="N102" i="3"/>
  <c r="O102" i="3"/>
  <c r="P102" i="3"/>
  <c r="J103" i="3"/>
  <c r="K103" i="3"/>
  <c r="L103" i="3"/>
  <c r="M103" i="3"/>
  <c r="N103" i="3"/>
  <c r="O103" i="3"/>
  <c r="P103" i="3"/>
  <c r="J104" i="3"/>
  <c r="K104" i="3"/>
  <c r="L104" i="3"/>
  <c r="M104" i="3"/>
  <c r="N104" i="3"/>
  <c r="O104" i="3"/>
  <c r="P104" i="3"/>
  <c r="J105" i="3"/>
  <c r="K105" i="3"/>
  <c r="L105" i="3"/>
  <c r="M105" i="3"/>
  <c r="N105" i="3"/>
  <c r="O105" i="3"/>
  <c r="P105" i="3"/>
  <c r="J106" i="3"/>
  <c r="K106" i="3"/>
  <c r="L106" i="3"/>
  <c r="M106" i="3"/>
  <c r="N106" i="3"/>
  <c r="O106" i="3"/>
  <c r="P106" i="3"/>
  <c r="J107" i="3"/>
  <c r="K107" i="3"/>
  <c r="L107" i="3"/>
  <c r="M107" i="3"/>
  <c r="N107" i="3"/>
  <c r="O107" i="3"/>
  <c r="P107" i="3"/>
  <c r="J108" i="3"/>
  <c r="K108" i="3"/>
  <c r="L108" i="3"/>
  <c r="M108" i="3"/>
  <c r="N108" i="3"/>
  <c r="O108" i="3"/>
  <c r="P108" i="3"/>
  <c r="J109" i="3"/>
  <c r="K109" i="3"/>
  <c r="L109" i="3"/>
  <c r="M109" i="3"/>
  <c r="N109" i="3"/>
  <c r="O109" i="3"/>
  <c r="P109" i="3"/>
  <c r="J110" i="3"/>
  <c r="K110" i="3"/>
  <c r="L110" i="3"/>
  <c r="M110" i="3"/>
  <c r="N110" i="3"/>
  <c r="O110" i="3"/>
  <c r="P110" i="3"/>
  <c r="J111" i="3"/>
  <c r="K111" i="3"/>
  <c r="L111" i="3"/>
  <c r="M111" i="3"/>
  <c r="N111" i="3"/>
  <c r="O111" i="3"/>
  <c r="P111" i="3"/>
  <c r="J112" i="3"/>
  <c r="K112" i="3"/>
  <c r="L112" i="3"/>
  <c r="M112" i="3"/>
  <c r="N112" i="3"/>
  <c r="O112" i="3"/>
  <c r="P112" i="3"/>
  <c r="J113" i="3"/>
  <c r="K113" i="3"/>
  <c r="L113" i="3"/>
  <c r="M113" i="3"/>
  <c r="N113" i="3"/>
  <c r="O113" i="3"/>
  <c r="P113" i="3"/>
  <c r="J114" i="3"/>
  <c r="K114" i="3"/>
  <c r="L114" i="3"/>
  <c r="M114" i="3"/>
  <c r="N114" i="3"/>
  <c r="O114" i="3"/>
  <c r="P114" i="3"/>
  <c r="J115" i="3"/>
  <c r="K115" i="3"/>
  <c r="L115" i="3"/>
  <c r="M115" i="3"/>
  <c r="N115" i="3"/>
  <c r="O115" i="3"/>
  <c r="P115" i="3"/>
  <c r="J116" i="3"/>
  <c r="K116" i="3"/>
  <c r="L116" i="3"/>
  <c r="M116" i="3"/>
  <c r="N116" i="3"/>
  <c r="O116" i="3"/>
  <c r="P116" i="3"/>
  <c r="J117" i="3"/>
  <c r="K117" i="3"/>
  <c r="L117" i="3"/>
  <c r="M117" i="3"/>
  <c r="N117" i="3"/>
  <c r="O117" i="3"/>
  <c r="P117" i="3"/>
  <c r="J118" i="3"/>
  <c r="K118" i="3"/>
  <c r="L118" i="3"/>
  <c r="M118" i="3"/>
  <c r="N118" i="3"/>
  <c r="O118" i="3"/>
  <c r="P118" i="3"/>
  <c r="J119" i="3"/>
  <c r="K119" i="3"/>
  <c r="L119" i="3"/>
  <c r="M119" i="3"/>
  <c r="N119" i="3"/>
  <c r="O119" i="3"/>
  <c r="P119" i="3"/>
  <c r="J120" i="3"/>
  <c r="K120" i="3"/>
  <c r="L120" i="3"/>
  <c r="M120" i="3"/>
  <c r="N120" i="3"/>
  <c r="O120" i="3"/>
  <c r="P120" i="3"/>
  <c r="J121" i="3"/>
  <c r="K121" i="3"/>
  <c r="L121" i="3"/>
  <c r="M121" i="3"/>
  <c r="N121" i="3"/>
  <c r="O121" i="3"/>
  <c r="P121" i="3"/>
  <c r="J122" i="3"/>
  <c r="K122" i="3"/>
  <c r="L122" i="3"/>
  <c r="M122" i="3"/>
  <c r="N122" i="3"/>
  <c r="O122" i="3"/>
  <c r="P122" i="3"/>
  <c r="J123" i="3"/>
  <c r="K123" i="3"/>
  <c r="L123" i="3"/>
  <c r="M123" i="3"/>
  <c r="N123" i="3"/>
  <c r="O123" i="3"/>
  <c r="P123" i="3"/>
  <c r="J124" i="3"/>
  <c r="K124" i="3"/>
  <c r="L124" i="3"/>
  <c r="M124" i="3"/>
  <c r="N124" i="3"/>
  <c r="O124" i="3"/>
  <c r="P124" i="3"/>
  <c r="J125" i="3"/>
  <c r="K125" i="3"/>
  <c r="L125" i="3"/>
  <c r="M125" i="3"/>
  <c r="N125" i="3"/>
  <c r="O125" i="3"/>
  <c r="P125" i="3"/>
  <c r="J126" i="3"/>
  <c r="K126" i="3"/>
  <c r="L126" i="3"/>
  <c r="M126" i="3"/>
  <c r="N126" i="3"/>
  <c r="O126" i="3"/>
  <c r="P126" i="3"/>
  <c r="J127" i="3"/>
  <c r="K127" i="3"/>
  <c r="L127" i="3"/>
  <c r="M127" i="3"/>
  <c r="N127" i="3"/>
  <c r="O127" i="3"/>
  <c r="P127" i="3"/>
  <c r="J128" i="3"/>
  <c r="K128" i="3"/>
  <c r="L128" i="3"/>
  <c r="M128" i="3"/>
  <c r="N128" i="3"/>
  <c r="O128" i="3"/>
  <c r="P128" i="3"/>
  <c r="J129" i="3"/>
  <c r="K129" i="3"/>
  <c r="L129" i="3"/>
  <c r="M129" i="3"/>
  <c r="N129" i="3"/>
  <c r="O129" i="3"/>
  <c r="P129" i="3"/>
  <c r="J130" i="3"/>
  <c r="K130" i="3"/>
  <c r="L130" i="3"/>
  <c r="M130" i="3"/>
  <c r="N130" i="3"/>
  <c r="O130" i="3"/>
  <c r="P130" i="3"/>
  <c r="J131" i="3"/>
  <c r="K131" i="3"/>
  <c r="L131" i="3"/>
  <c r="M131" i="3"/>
  <c r="N131" i="3"/>
  <c r="O131" i="3"/>
  <c r="P131" i="3"/>
  <c r="J132" i="3"/>
  <c r="K132" i="3"/>
  <c r="L132" i="3"/>
  <c r="M132" i="3"/>
  <c r="N132" i="3"/>
  <c r="O132" i="3"/>
  <c r="P132" i="3"/>
  <c r="J133" i="3"/>
  <c r="K133" i="3"/>
  <c r="L133" i="3"/>
  <c r="M133" i="3"/>
  <c r="N133" i="3"/>
  <c r="O133" i="3"/>
  <c r="P133" i="3"/>
  <c r="J134" i="3"/>
  <c r="K134" i="3"/>
  <c r="L134" i="3"/>
  <c r="M134" i="3"/>
  <c r="N134" i="3"/>
  <c r="O134" i="3"/>
  <c r="P134" i="3"/>
  <c r="J135" i="3"/>
  <c r="K135" i="3"/>
  <c r="L135" i="3"/>
  <c r="M135" i="3"/>
  <c r="N135" i="3"/>
  <c r="O135" i="3"/>
  <c r="P135" i="3"/>
  <c r="J136" i="3"/>
  <c r="K136" i="3"/>
  <c r="L136" i="3"/>
  <c r="M136" i="3"/>
  <c r="N136" i="3"/>
  <c r="O136" i="3"/>
  <c r="P136" i="3"/>
  <c r="J137" i="3"/>
  <c r="K137" i="3"/>
  <c r="L137" i="3"/>
  <c r="M137" i="3"/>
  <c r="N137" i="3"/>
  <c r="O137" i="3"/>
  <c r="P137" i="3"/>
  <c r="J138" i="3"/>
  <c r="K138" i="3"/>
  <c r="L138" i="3"/>
  <c r="M138" i="3"/>
  <c r="N138" i="3"/>
  <c r="O138" i="3"/>
  <c r="P138" i="3"/>
  <c r="J139" i="3"/>
  <c r="K139" i="3"/>
  <c r="L139" i="3"/>
  <c r="M139" i="3"/>
  <c r="N139" i="3"/>
  <c r="O139" i="3"/>
  <c r="P139" i="3"/>
  <c r="J140" i="3"/>
  <c r="K140" i="3"/>
  <c r="L140" i="3"/>
  <c r="M140" i="3"/>
  <c r="N140" i="3"/>
  <c r="O140" i="3"/>
  <c r="P140" i="3"/>
  <c r="J141" i="3"/>
  <c r="K141" i="3"/>
  <c r="L141" i="3"/>
  <c r="M141" i="3"/>
  <c r="N141" i="3"/>
  <c r="O141" i="3"/>
  <c r="P141" i="3"/>
  <c r="J142" i="3"/>
  <c r="K142" i="3"/>
  <c r="L142" i="3"/>
  <c r="M142" i="3"/>
  <c r="N142" i="3"/>
  <c r="O142" i="3"/>
  <c r="P142" i="3"/>
  <c r="J143" i="3"/>
  <c r="K143" i="3"/>
  <c r="L143" i="3"/>
  <c r="M143" i="3"/>
  <c r="N143" i="3"/>
  <c r="O143" i="3"/>
  <c r="P143" i="3"/>
  <c r="J144" i="3"/>
  <c r="K144" i="3"/>
  <c r="L144" i="3"/>
  <c r="M144" i="3"/>
  <c r="N144" i="3"/>
  <c r="O144" i="3"/>
  <c r="P144" i="3"/>
  <c r="J145" i="3"/>
  <c r="K145" i="3"/>
  <c r="L145" i="3"/>
  <c r="M145" i="3"/>
  <c r="N145" i="3"/>
  <c r="O145" i="3"/>
  <c r="P145" i="3"/>
  <c r="J146" i="3"/>
  <c r="K146" i="3"/>
  <c r="L146" i="3"/>
  <c r="M146" i="3"/>
  <c r="N146" i="3"/>
  <c r="O146" i="3"/>
  <c r="P146" i="3"/>
  <c r="J147" i="3"/>
  <c r="K147" i="3"/>
  <c r="L147" i="3"/>
  <c r="M147" i="3"/>
  <c r="N147" i="3"/>
  <c r="O147" i="3"/>
  <c r="P147" i="3"/>
  <c r="J148" i="3"/>
  <c r="K148" i="3"/>
  <c r="L148" i="3"/>
  <c r="M148" i="3"/>
  <c r="N148" i="3"/>
  <c r="O148" i="3"/>
  <c r="P148" i="3"/>
  <c r="J149" i="3"/>
  <c r="K149" i="3"/>
  <c r="L149" i="3"/>
  <c r="M149" i="3"/>
  <c r="N149" i="3"/>
  <c r="O149" i="3"/>
  <c r="P149" i="3"/>
  <c r="J150" i="3"/>
  <c r="K150" i="3"/>
  <c r="L150" i="3"/>
  <c r="M150" i="3"/>
  <c r="N150" i="3"/>
  <c r="O150" i="3"/>
  <c r="P150" i="3"/>
  <c r="J151" i="3"/>
  <c r="K151" i="3"/>
  <c r="L151" i="3"/>
  <c r="M151" i="3"/>
  <c r="N151" i="3"/>
  <c r="O151" i="3"/>
  <c r="P151" i="3"/>
  <c r="J152" i="3"/>
  <c r="K152" i="3"/>
  <c r="L152" i="3"/>
  <c r="M152" i="3"/>
  <c r="N152" i="3"/>
  <c r="O152" i="3"/>
  <c r="P152" i="3"/>
  <c r="J153" i="3"/>
  <c r="K153" i="3"/>
  <c r="L153" i="3"/>
  <c r="M153" i="3"/>
  <c r="N153" i="3"/>
  <c r="O153" i="3"/>
  <c r="P153" i="3"/>
  <c r="J154" i="3"/>
  <c r="K154" i="3"/>
  <c r="L154" i="3"/>
  <c r="M154" i="3"/>
  <c r="N154" i="3"/>
  <c r="O154" i="3"/>
  <c r="P154" i="3"/>
  <c r="J155" i="3"/>
  <c r="K155" i="3"/>
  <c r="L155" i="3"/>
  <c r="M155" i="3"/>
  <c r="N155" i="3"/>
  <c r="O155" i="3"/>
  <c r="P155" i="3"/>
  <c r="J156" i="3"/>
  <c r="K156" i="3"/>
  <c r="L156" i="3"/>
  <c r="M156" i="3"/>
  <c r="N156" i="3"/>
  <c r="O156" i="3"/>
  <c r="P156" i="3"/>
  <c r="J157" i="3"/>
  <c r="K157" i="3"/>
  <c r="L157" i="3"/>
  <c r="M157" i="3"/>
  <c r="N157" i="3"/>
  <c r="O157" i="3"/>
  <c r="P157" i="3"/>
  <c r="J158" i="3"/>
  <c r="K158" i="3"/>
  <c r="L158" i="3"/>
  <c r="M158" i="3"/>
  <c r="N158" i="3"/>
  <c r="O158" i="3"/>
  <c r="P158" i="3"/>
  <c r="J159" i="3"/>
  <c r="K159" i="3"/>
  <c r="L159" i="3"/>
  <c r="M159" i="3"/>
  <c r="N159" i="3"/>
  <c r="O159" i="3"/>
  <c r="P159" i="3"/>
  <c r="J160" i="3"/>
  <c r="K160" i="3"/>
  <c r="L160" i="3"/>
  <c r="M160" i="3"/>
  <c r="N160" i="3"/>
  <c r="O160" i="3"/>
  <c r="P160" i="3"/>
  <c r="J161" i="3"/>
  <c r="K161" i="3"/>
  <c r="L161" i="3"/>
  <c r="M161" i="3"/>
  <c r="N161" i="3"/>
  <c r="O161" i="3"/>
  <c r="P161" i="3"/>
  <c r="J162" i="3"/>
  <c r="K162" i="3"/>
  <c r="L162" i="3"/>
  <c r="M162" i="3"/>
  <c r="N162" i="3"/>
  <c r="O162" i="3"/>
  <c r="P162" i="3"/>
  <c r="J163" i="3"/>
  <c r="K163" i="3"/>
  <c r="L163" i="3"/>
  <c r="M163" i="3"/>
  <c r="N163" i="3"/>
  <c r="O163" i="3"/>
  <c r="P163" i="3"/>
  <c r="J164" i="3"/>
  <c r="K164" i="3"/>
  <c r="L164" i="3"/>
  <c r="M164" i="3"/>
  <c r="N164" i="3"/>
  <c r="O164" i="3"/>
  <c r="P164" i="3"/>
  <c r="J165" i="3"/>
  <c r="K165" i="3"/>
  <c r="L165" i="3"/>
  <c r="M165" i="3"/>
  <c r="N165" i="3"/>
  <c r="O165" i="3"/>
  <c r="P165" i="3"/>
  <c r="J166" i="3"/>
  <c r="K166" i="3"/>
  <c r="L166" i="3"/>
  <c r="M166" i="3"/>
  <c r="N166" i="3"/>
  <c r="O166" i="3"/>
  <c r="P166" i="3"/>
  <c r="J167" i="3"/>
  <c r="K167" i="3"/>
  <c r="L167" i="3"/>
  <c r="M167" i="3"/>
  <c r="N167" i="3"/>
  <c r="O167" i="3"/>
  <c r="P167" i="3"/>
  <c r="J168" i="3"/>
  <c r="K168" i="3"/>
  <c r="L168" i="3"/>
  <c r="M168" i="3"/>
  <c r="N168" i="3"/>
  <c r="O168" i="3"/>
  <c r="P168" i="3"/>
  <c r="J169" i="3"/>
  <c r="K169" i="3"/>
  <c r="L169" i="3"/>
  <c r="M169" i="3"/>
  <c r="N169" i="3"/>
  <c r="O169" i="3"/>
  <c r="P169" i="3"/>
  <c r="J170" i="3"/>
  <c r="K170" i="3"/>
  <c r="L170" i="3"/>
  <c r="M170" i="3"/>
  <c r="N170" i="3"/>
  <c r="O170" i="3"/>
  <c r="P170" i="3"/>
  <c r="J171" i="3"/>
  <c r="K171" i="3"/>
  <c r="L171" i="3"/>
  <c r="M171" i="3"/>
  <c r="N171" i="3"/>
  <c r="O171" i="3"/>
  <c r="P171" i="3"/>
  <c r="J172" i="3"/>
  <c r="K172" i="3"/>
  <c r="L172" i="3"/>
  <c r="M172" i="3"/>
  <c r="N172" i="3"/>
  <c r="O172" i="3"/>
  <c r="P172" i="3"/>
  <c r="J173" i="3"/>
  <c r="K173" i="3"/>
  <c r="L173" i="3"/>
  <c r="M173" i="3"/>
  <c r="N173" i="3"/>
  <c r="O173" i="3"/>
  <c r="P173" i="3"/>
  <c r="J174" i="3"/>
  <c r="K174" i="3"/>
  <c r="L174" i="3"/>
  <c r="M174" i="3"/>
  <c r="N174" i="3"/>
  <c r="O174" i="3"/>
  <c r="P174" i="3"/>
  <c r="J175" i="3"/>
  <c r="K175" i="3"/>
  <c r="L175" i="3"/>
  <c r="M175" i="3"/>
  <c r="N175" i="3"/>
  <c r="O175" i="3"/>
  <c r="P175" i="3"/>
  <c r="J176" i="3"/>
  <c r="K176" i="3"/>
  <c r="L176" i="3"/>
  <c r="M176" i="3"/>
  <c r="N176" i="3"/>
  <c r="O176" i="3"/>
  <c r="P176" i="3"/>
  <c r="J177" i="3"/>
  <c r="K177" i="3"/>
  <c r="L177" i="3"/>
  <c r="M177" i="3"/>
  <c r="N177" i="3"/>
  <c r="O177" i="3"/>
  <c r="P177" i="3"/>
  <c r="J178" i="3"/>
  <c r="K178" i="3"/>
  <c r="L178" i="3"/>
  <c r="M178" i="3"/>
  <c r="N178" i="3"/>
  <c r="O178" i="3"/>
  <c r="P178" i="3"/>
  <c r="J179" i="3"/>
  <c r="K179" i="3"/>
  <c r="L179" i="3"/>
  <c r="M179" i="3"/>
  <c r="N179" i="3"/>
  <c r="O179" i="3"/>
  <c r="P179" i="3"/>
  <c r="J180" i="3"/>
  <c r="K180" i="3"/>
  <c r="L180" i="3"/>
  <c r="M180" i="3"/>
  <c r="N180" i="3"/>
  <c r="O180" i="3"/>
  <c r="P180" i="3"/>
  <c r="J181" i="3"/>
  <c r="K181" i="3"/>
  <c r="L181" i="3"/>
  <c r="M181" i="3"/>
  <c r="N181" i="3"/>
  <c r="O181" i="3"/>
  <c r="P181" i="3"/>
  <c r="J182" i="3"/>
  <c r="K182" i="3"/>
  <c r="L182" i="3"/>
  <c r="M182" i="3"/>
  <c r="N182" i="3"/>
  <c r="O182" i="3"/>
  <c r="P182" i="3"/>
  <c r="J183" i="3"/>
  <c r="K183" i="3"/>
  <c r="L183" i="3"/>
  <c r="M183" i="3"/>
  <c r="N183" i="3"/>
  <c r="O183" i="3"/>
  <c r="P183" i="3"/>
  <c r="J184" i="3"/>
  <c r="K184" i="3"/>
  <c r="L184" i="3"/>
  <c r="M184" i="3"/>
  <c r="N184" i="3"/>
  <c r="O184" i="3"/>
  <c r="P184" i="3"/>
  <c r="J185" i="3"/>
  <c r="K185" i="3"/>
  <c r="L185" i="3"/>
  <c r="M185" i="3"/>
  <c r="N185" i="3"/>
  <c r="O185" i="3"/>
  <c r="P185" i="3"/>
  <c r="J186" i="3"/>
  <c r="K186" i="3"/>
  <c r="L186" i="3"/>
  <c r="M186" i="3"/>
  <c r="N186" i="3"/>
  <c r="O186" i="3"/>
  <c r="P186" i="3"/>
  <c r="J187" i="3"/>
  <c r="K187" i="3"/>
  <c r="L187" i="3"/>
  <c r="M187" i="3"/>
  <c r="N187" i="3"/>
  <c r="O187" i="3"/>
  <c r="P187" i="3"/>
  <c r="J188" i="3"/>
  <c r="K188" i="3"/>
  <c r="L188" i="3"/>
  <c r="M188" i="3"/>
  <c r="N188" i="3"/>
  <c r="O188" i="3"/>
  <c r="P188" i="3"/>
  <c r="J189" i="3"/>
  <c r="K189" i="3"/>
  <c r="L189" i="3"/>
  <c r="M189" i="3"/>
  <c r="N189" i="3"/>
  <c r="O189" i="3"/>
  <c r="P189" i="3"/>
  <c r="J190" i="3"/>
  <c r="K190" i="3"/>
  <c r="L190" i="3"/>
  <c r="M190" i="3"/>
  <c r="N190" i="3"/>
  <c r="O190" i="3"/>
  <c r="P190" i="3"/>
  <c r="J191" i="3"/>
  <c r="K191" i="3"/>
  <c r="L191" i="3"/>
  <c r="M191" i="3"/>
  <c r="N191" i="3"/>
  <c r="O191" i="3"/>
  <c r="P191" i="3"/>
  <c r="J192" i="3"/>
  <c r="K192" i="3"/>
  <c r="L192" i="3"/>
  <c r="M192" i="3"/>
  <c r="N192" i="3"/>
  <c r="O192" i="3"/>
  <c r="P192" i="3"/>
  <c r="J193" i="3"/>
  <c r="K193" i="3"/>
  <c r="L193" i="3"/>
  <c r="M193" i="3"/>
  <c r="N193" i="3"/>
  <c r="O193" i="3"/>
  <c r="P193" i="3"/>
  <c r="J194" i="3"/>
  <c r="K194" i="3"/>
  <c r="L194" i="3"/>
  <c r="M194" i="3"/>
  <c r="N194" i="3"/>
  <c r="O194" i="3"/>
  <c r="P194" i="3"/>
  <c r="J195" i="3"/>
  <c r="K195" i="3"/>
  <c r="L195" i="3"/>
  <c r="M195" i="3"/>
  <c r="N195" i="3"/>
  <c r="O195" i="3"/>
  <c r="P195" i="3"/>
  <c r="J196" i="3"/>
  <c r="K196" i="3"/>
  <c r="L196" i="3"/>
  <c r="M196" i="3"/>
  <c r="N196" i="3"/>
  <c r="O196" i="3"/>
  <c r="P196" i="3"/>
  <c r="J197" i="3"/>
  <c r="K197" i="3"/>
  <c r="L197" i="3"/>
  <c r="M197" i="3"/>
  <c r="N197" i="3"/>
  <c r="O197" i="3"/>
  <c r="P197" i="3"/>
  <c r="J198" i="3"/>
  <c r="K198" i="3"/>
  <c r="L198" i="3"/>
  <c r="M198" i="3"/>
  <c r="N198" i="3"/>
  <c r="O198" i="3"/>
  <c r="P198" i="3"/>
  <c r="J199" i="3"/>
  <c r="K199" i="3"/>
  <c r="L199" i="3"/>
  <c r="M199" i="3"/>
  <c r="N199" i="3"/>
  <c r="O199" i="3"/>
  <c r="P199" i="3"/>
  <c r="J200" i="3"/>
  <c r="K200" i="3"/>
  <c r="L200" i="3"/>
  <c r="M200" i="3"/>
  <c r="N200" i="3"/>
  <c r="O200" i="3"/>
  <c r="P200" i="3"/>
  <c r="J201" i="3"/>
  <c r="K201" i="3"/>
  <c r="L201" i="3"/>
  <c r="M201" i="3"/>
  <c r="N201" i="3"/>
  <c r="O201" i="3"/>
  <c r="P201" i="3"/>
  <c r="J202" i="3"/>
  <c r="K202" i="3"/>
  <c r="L202" i="3"/>
  <c r="M202" i="3"/>
  <c r="N202" i="3"/>
  <c r="O202" i="3"/>
  <c r="P202" i="3"/>
  <c r="J203" i="3"/>
  <c r="K203" i="3"/>
  <c r="L203" i="3"/>
  <c r="M203" i="3"/>
  <c r="N203" i="3"/>
  <c r="O203" i="3"/>
  <c r="P203" i="3"/>
  <c r="J204" i="3"/>
  <c r="K204" i="3"/>
  <c r="L204" i="3"/>
  <c r="M204" i="3"/>
  <c r="N204" i="3"/>
  <c r="O204" i="3"/>
  <c r="P204" i="3"/>
  <c r="J205" i="3"/>
  <c r="K205" i="3"/>
  <c r="L205" i="3"/>
  <c r="M205" i="3"/>
  <c r="N205" i="3"/>
  <c r="O205" i="3"/>
  <c r="P205" i="3"/>
  <c r="J206" i="3"/>
  <c r="K206" i="3"/>
  <c r="L206" i="3"/>
  <c r="M206" i="3"/>
  <c r="N206" i="3"/>
  <c r="O206" i="3"/>
  <c r="P206" i="3"/>
  <c r="J207" i="3"/>
  <c r="K207" i="3"/>
  <c r="L207" i="3"/>
  <c r="M207" i="3"/>
  <c r="N207" i="3"/>
  <c r="O207" i="3"/>
  <c r="P207" i="3"/>
  <c r="J208" i="3"/>
  <c r="K208" i="3"/>
  <c r="L208" i="3"/>
  <c r="M208" i="3"/>
  <c r="N208" i="3"/>
  <c r="O208" i="3"/>
  <c r="P208" i="3"/>
  <c r="J209" i="3"/>
  <c r="K209" i="3"/>
  <c r="L209" i="3"/>
  <c r="M209" i="3"/>
  <c r="N209" i="3"/>
  <c r="O209" i="3"/>
  <c r="P209" i="3"/>
  <c r="J210" i="3"/>
  <c r="K210" i="3"/>
  <c r="L210" i="3"/>
  <c r="M210" i="3"/>
  <c r="N210" i="3"/>
  <c r="O210" i="3"/>
  <c r="P210" i="3"/>
  <c r="J211" i="3"/>
  <c r="K211" i="3"/>
  <c r="L211" i="3"/>
  <c r="M211" i="3"/>
  <c r="N211" i="3"/>
  <c r="O211" i="3"/>
  <c r="P211" i="3"/>
  <c r="J212" i="3"/>
  <c r="K212" i="3"/>
  <c r="L212" i="3"/>
  <c r="M212" i="3"/>
  <c r="N212" i="3"/>
  <c r="O212" i="3"/>
  <c r="P212" i="3"/>
  <c r="J213" i="3"/>
  <c r="K213" i="3"/>
  <c r="L213" i="3"/>
  <c r="M213" i="3"/>
  <c r="N213" i="3"/>
  <c r="O213" i="3"/>
  <c r="P213" i="3"/>
  <c r="J214" i="3"/>
  <c r="K214" i="3"/>
  <c r="L214" i="3"/>
  <c r="M214" i="3"/>
  <c r="N214" i="3"/>
  <c r="O214" i="3"/>
  <c r="P214" i="3"/>
  <c r="J215" i="3"/>
  <c r="K215" i="3"/>
  <c r="L215" i="3"/>
  <c r="M215" i="3"/>
  <c r="N215" i="3"/>
  <c r="O215" i="3"/>
  <c r="P215" i="3"/>
  <c r="J216" i="3"/>
  <c r="K216" i="3"/>
  <c r="L216" i="3"/>
  <c r="M216" i="3"/>
  <c r="N216" i="3"/>
  <c r="O216" i="3"/>
  <c r="P216" i="3"/>
  <c r="J217" i="3"/>
  <c r="K217" i="3"/>
  <c r="L217" i="3"/>
  <c r="M217" i="3"/>
  <c r="N217" i="3"/>
  <c r="O217" i="3"/>
  <c r="P217" i="3"/>
  <c r="J218" i="3"/>
  <c r="K218" i="3"/>
  <c r="L218" i="3"/>
  <c r="M218" i="3"/>
  <c r="N218" i="3"/>
  <c r="O218" i="3"/>
  <c r="P218" i="3"/>
  <c r="J219" i="3"/>
  <c r="K219" i="3"/>
  <c r="L219" i="3"/>
  <c r="M219" i="3"/>
  <c r="N219" i="3"/>
  <c r="O219" i="3"/>
  <c r="P219" i="3"/>
  <c r="J220" i="3"/>
  <c r="K220" i="3"/>
  <c r="L220" i="3"/>
  <c r="M220" i="3"/>
  <c r="N220" i="3"/>
  <c r="O220" i="3"/>
  <c r="P220" i="3"/>
  <c r="J221" i="3"/>
  <c r="K221" i="3"/>
  <c r="L221" i="3"/>
  <c r="M221" i="3"/>
  <c r="N221" i="3"/>
  <c r="O221" i="3"/>
  <c r="P221" i="3"/>
  <c r="J222" i="3"/>
  <c r="K222" i="3"/>
  <c r="L222" i="3"/>
  <c r="M222" i="3"/>
  <c r="N222" i="3"/>
  <c r="O222" i="3"/>
  <c r="P222" i="3"/>
  <c r="J223" i="3"/>
  <c r="K223" i="3"/>
  <c r="L223" i="3"/>
  <c r="M223" i="3"/>
  <c r="N223" i="3"/>
  <c r="O223" i="3"/>
  <c r="P223" i="3"/>
  <c r="J224" i="3"/>
  <c r="K224" i="3"/>
  <c r="L224" i="3"/>
  <c r="M224" i="3"/>
  <c r="N224" i="3"/>
  <c r="O224" i="3"/>
  <c r="P224" i="3"/>
  <c r="J225" i="3"/>
  <c r="K225" i="3"/>
  <c r="L225" i="3"/>
  <c r="M225" i="3"/>
  <c r="N225" i="3"/>
  <c r="O225" i="3"/>
  <c r="P225" i="3"/>
  <c r="J226" i="3"/>
  <c r="K226" i="3"/>
  <c r="L226" i="3"/>
  <c r="M226" i="3"/>
  <c r="N226" i="3"/>
  <c r="O226" i="3"/>
  <c r="P226" i="3"/>
  <c r="J227" i="3"/>
  <c r="K227" i="3"/>
  <c r="L227" i="3"/>
  <c r="M227" i="3"/>
  <c r="N227" i="3"/>
  <c r="O227" i="3"/>
  <c r="P227" i="3"/>
  <c r="J228" i="3"/>
  <c r="K228" i="3"/>
  <c r="L228" i="3"/>
  <c r="M228" i="3"/>
  <c r="N228" i="3"/>
  <c r="O228" i="3"/>
  <c r="P228" i="3"/>
  <c r="J229" i="3"/>
  <c r="K229" i="3"/>
  <c r="L229" i="3"/>
  <c r="M229" i="3"/>
  <c r="N229" i="3"/>
  <c r="O229" i="3"/>
  <c r="P229" i="3"/>
  <c r="J230" i="3"/>
  <c r="K230" i="3"/>
  <c r="L230" i="3"/>
  <c r="M230" i="3"/>
  <c r="N230" i="3"/>
  <c r="O230" i="3"/>
  <c r="P230" i="3"/>
  <c r="J231" i="3"/>
  <c r="K231" i="3"/>
  <c r="L231" i="3"/>
  <c r="M231" i="3"/>
  <c r="N231" i="3"/>
  <c r="O231" i="3"/>
  <c r="P231" i="3"/>
  <c r="J232" i="3"/>
  <c r="K232" i="3"/>
  <c r="L232" i="3"/>
  <c r="M232" i="3"/>
  <c r="N232" i="3"/>
  <c r="O232" i="3"/>
  <c r="P232" i="3"/>
  <c r="J233" i="3"/>
  <c r="K233" i="3"/>
  <c r="L233" i="3"/>
  <c r="M233" i="3"/>
  <c r="N233" i="3"/>
  <c r="O233" i="3"/>
  <c r="P233" i="3"/>
  <c r="J234" i="3"/>
  <c r="K234" i="3"/>
  <c r="L234" i="3"/>
  <c r="M234" i="3"/>
  <c r="N234" i="3"/>
  <c r="O234" i="3"/>
  <c r="P234" i="3"/>
  <c r="J235" i="3"/>
  <c r="K235" i="3"/>
  <c r="L235" i="3"/>
  <c r="M235" i="3"/>
  <c r="N235" i="3"/>
  <c r="O235" i="3"/>
  <c r="P235" i="3"/>
  <c r="J236" i="3"/>
  <c r="K236" i="3"/>
  <c r="L236" i="3"/>
  <c r="M236" i="3"/>
  <c r="N236" i="3"/>
  <c r="O236" i="3"/>
  <c r="P236" i="3"/>
  <c r="J237" i="3"/>
  <c r="K237" i="3"/>
  <c r="L237" i="3"/>
  <c r="M237" i="3"/>
  <c r="N237" i="3"/>
  <c r="O237" i="3"/>
  <c r="P237" i="3"/>
  <c r="J238" i="3"/>
  <c r="K238" i="3"/>
  <c r="L238" i="3"/>
  <c r="M238" i="3"/>
  <c r="N238" i="3"/>
  <c r="O238" i="3"/>
  <c r="P238" i="3"/>
  <c r="J239" i="3"/>
  <c r="K239" i="3"/>
  <c r="L239" i="3"/>
  <c r="M239" i="3"/>
  <c r="N239" i="3"/>
  <c r="O239" i="3"/>
  <c r="P239" i="3"/>
  <c r="J240" i="3"/>
  <c r="K240" i="3"/>
  <c r="L240" i="3"/>
  <c r="M240" i="3"/>
  <c r="N240" i="3"/>
  <c r="O240" i="3"/>
  <c r="P240" i="3"/>
  <c r="J241" i="3"/>
  <c r="K241" i="3"/>
  <c r="L241" i="3"/>
  <c r="M241" i="3"/>
  <c r="N241" i="3"/>
  <c r="O241" i="3"/>
  <c r="P241" i="3"/>
  <c r="J242" i="3"/>
  <c r="K242" i="3"/>
  <c r="L242" i="3"/>
  <c r="M242" i="3"/>
  <c r="N242" i="3"/>
  <c r="O242" i="3"/>
  <c r="P242" i="3"/>
  <c r="J243" i="3"/>
  <c r="K243" i="3"/>
  <c r="L243" i="3"/>
  <c r="M243" i="3"/>
  <c r="N243" i="3"/>
  <c r="O243" i="3"/>
  <c r="P243" i="3"/>
  <c r="J244" i="3"/>
  <c r="K244" i="3"/>
  <c r="L244" i="3"/>
  <c r="M244" i="3"/>
  <c r="N244" i="3"/>
  <c r="O244" i="3"/>
  <c r="P244" i="3"/>
  <c r="J245" i="3"/>
  <c r="K245" i="3"/>
  <c r="L245" i="3"/>
  <c r="M245" i="3"/>
  <c r="N245" i="3"/>
  <c r="O245" i="3"/>
  <c r="P245" i="3"/>
  <c r="J246" i="3"/>
  <c r="K246" i="3"/>
  <c r="L246" i="3"/>
  <c r="M246" i="3"/>
  <c r="N246" i="3"/>
  <c r="O246" i="3"/>
  <c r="P246" i="3"/>
  <c r="J247" i="3"/>
  <c r="K247" i="3"/>
  <c r="L247" i="3"/>
  <c r="M247" i="3"/>
  <c r="N247" i="3"/>
  <c r="O247" i="3"/>
  <c r="P247" i="3"/>
  <c r="J248" i="3"/>
  <c r="K248" i="3"/>
  <c r="L248" i="3"/>
  <c r="M248" i="3"/>
  <c r="N248" i="3"/>
  <c r="O248" i="3"/>
  <c r="P248" i="3"/>
  <c r="J249" i="3"/>
  <c r="K249" i="3"/>
  <c r="L249" i="3"/>
  <c r="M249" i="3"/>
  <c r="N249" i="3"/>
  <c r="O249" i="3"/>
  <c r="P249" i="3"/>
  <c r="J250" i="3"/>
  <c r="K250" i="3"/>
  <c r="L250" i="3"/>
  <c r="M250" i="3"/>
  <c r="N250" i="3"/>
  <c r="O250" i="3"/>
  <c r="P250" i="3"/>
  <c r="J251" i="3"/>
  <c r="K251" i="3"/>
  <c r="L251" i="3"/>
  <c r="M251" i="3"/>
  <c r="N251" i="3"/>
  <c r="O251" i="3"/>
  <c r="P251" i="3"/>
  <c r="J252" i="3"/>
  <c r="K252" i="3"/>
  <c r="L252" i="3"/>
  <c r="M252" i="3"/>
  <c r="N252" i="3"/>
  <c r="O252" i="3"/>
  <c r="P252" i="3"/>
  <c r="J253" i="3"/>
  <c r="K253" i="3"/>
  <c r="L253" i="3"/>
  <c r="M253" i="3"/>
  <c r="N253" i="3"/>
  <c r="O253" i="3"/>
  <c r="P253" i="3"/>
  <c r="J254" i="3"/>
  <c r="K254" i="3"/>
  <c r="L254" i="3"/>
  <c r="M254" i="3"/>
  <c r="N254" i="3"/>
  <c r="O254" i="3"/>
  <c r="P254" i="3"/>
  <c r="J255" i="3"/>
  <c r="K255" i="3"/>
  <c r="L255" i="3"/>
  <c r="M255" i="3"/>
  <c r="N255" i="3"/>
  <c r="O255" i="3"/>
  <c r="P255" i="3"/>
  <c r="J256" i="3"/>
  <c r="K256" i="3"/>
  <c r="L256" i="3"/>
  <c r="M256" i="3"/>
  <c r="N256" i="3"/>
  <c r="O256" i="3"/>
  <c r="P256" i="3"/>
  <c r="J257" i="3"/>
  <c r="K257" i="3"/>
  <c r="L257" i="3"/>
  <c r="M257" i="3"/>
  <c r="N257" i="3"/>
  <c r="O257" i="3"/>
  <c r="P257" i="3"/>
  <c r="J258" i="3"/>
  <c r="K258" i="3"/>
  <c r="L258" i="3"/>
  <c r="M258" i="3"/>
  <c r="N258" i="3"/>
  <c r="O258" i="3"/>
  <c r="P258" i="3"/>
  <c r="J259" i="3"/>
  <c r="K259" i="3"/>
  <c r="L259" i="3"/>
  <c r="M259" i="3"/>
  <c r="N259" i="3"/>
  <c r="O259" i="3"/>
  <c r="P259" i="3"/>
  <c r="J260" i="3"/>
  <c r="K260" i="3"/>
  <c r="L260" i="3"/>
  <c r="M260" i="3"/>
  <c r="N260" i="3"/>
  <c r="O260" i="3"/>
  <c r="P260" i="3"/>
  <c r="J261" i="3"/>
  <c r="K261" i="3"/>
  <c r="L261" i="3"/>
  <c r="M261" i="3"/>
  <c r="N261" i="3"/>
  <c r="O261" i="3"/>
  <c r="P261" i="3"/>
  <c r="J262" i="3"/>
  <c r="K262" i="3"/>
  <c r="L262" i="3"/>
  <c r="M262" i="3"/>
  <c r="N262" i="3"/>
  <c r="O262" i="3"/>
  <c r="P262" i="3"/>
  <c r="J263" i="3"/>
  <c r="K263" i="3"/>
  <c r="L263" i="3"/>
  <c r="M263" i="3"/>
  <c r="N263" i="3"/>
  <c r="O263" i="3"/>
  <c r="P263" i="3"/>
  <c r="J264" i="3"/>
  <c r="K264" i="3"/>
  <c r="L264" i="3"/>
  <c r="M264" i="3"/>
  <c r="N264" i="3"/>
  <c r="O264" i="3"/>
  <c r="P264" i="3"/>
  <c r="J265" i="3"/>
  <c r="K265" i="3"/>
  <c r="L265" i="3"/>
  <c r="M265" i="3"/>
  <c r="N265" i="3"/>
  <c r="O265" i="3"/>
  <c r="P265" i="3"/>
  <c r="J266" i="3"/>
  <c r="K266" i="3"/>
  <c r="L266" i="3"/>
  <c r="M266" i="3"/>
  <c r="N266" i="3"/>
  <c r="O266" i="3"/>
  <c r="P266" i="3"/>
  <c r="J267" i="3"/>
  <c r="K267" i="3"/>
  <c r="L267" i="3"/>
  <c r="M267" i="3"/>
  <c r="N267" i="3"/>
  <c r="O267" i="3"/>
  <c r="P267" i="3"/>
  <c r="J268" i="3"/>
  <c r="K268" i="3"/>
  <c r="L268" i="3"/>
  <c r="M268" i="3"/>
  <c r="N268" i="3"/>
  <c r="O268" i="3"/>
  <c r="P268" i="3"/>
  <c r="J269" i="3"/>
  <c r="K269" i="3"/>
  <c r="L269" i="3"/>
  <c r="M269" i="3"/>
  <c r="N269" i="3"/>
  <c r="O269" i="3"/>
  <c r="P269" i="3"/>
  <c r="J270" i="3"/>
  <c r="K270" i="3"/>
  <c r="L270" i="3"/>
  <c r="M270" i="3"/>
  <c r="N270" i="3"/>
  <c r="O270" i="3"/>
  <c r="P270" i="3"/>
  <c r="J271" i="3"/>
  <c r="K271" i="3"/>
  <c r="L271" i="3"/>
  <c r="M271" i="3"/>
  <c r="N271" i="3"/>
  <c r="O271" i="3"/>
  <c r="P271" i="3"/>
  <c r="J272" i="3"/>
  <c r="K272" i="3"/>
  <c r="L272" i="3"/>
  <c r="M272" i="3"/>
  <c r="N272" i="3"/>
  <c r="O272" i="3"/>
  <c r="P272" i="3"/>
  <c r="J273" i="3"/>
  <c r="K273" i="3"/>
  <c r="L273" i="3"/>
  <c r="M273" i="3"/>
  <c r="N273" i="3"/>
  <c r="O273" i="3"/>
  <c r="P273" i="3"/>
  <c r="J274" i="3"/>
  <c r="K274" i="3"/>
  <c r="L274" i="3"/>
  <c r="M274" i="3"/>
  <c r="N274" i="3"/>
  <c r="O274" i="3"/>
  <c r="P274" i="3"/>
  <c r="J275" i="3"/>
  <c r="K275" i="3"/>
  <c r="L275" i="3"/>
  <c r="M275" i="3"/>
  <c r="N275" i="3"/>
  <c r="O275" i="3"/>
  <c r="P275" i="3"/>
  <c r="J276" i="3"/>
  <c r="K276" i="3"/>
  <c r="L276" i="3"/>
  <c r="M276" i="3"/>
  <c r="N276" i="3"/>
  <c r="O276" i="3"/>
  <c r="P276" i="3"/>
  <c r="J277" i="3"/>
  <c r="K277" i="3"/>
  <c r="L277" i="3"/>
  <c r="M277" i="3"/>
  <c r="N277" i="3"/>
  <c r="O277" i="3"/>
  <c r="P277" i="3"/>
  <c r="J278" i="3"/>
  <c r="K278" i="3"/>
  <c r="L278" i="3"/>
  <c r="M278" i="3"/>
  <c r="N278" i="3"/>
  <c r="O278" i="3"/>
  <c r="P278" i="3"/>
  <c r="J279" i="3"/>
  <c r="K279" i="3"/>
  <c r="L279" i="3"/>
  <c r="M279" i="3"/>
  <c r="N279" i="3"/>
  <c r="O279" i="3"/>
  <c r="P279" i="3"/>
  <c r="J280" i="3"/>
  <c r="K280" i="3"/>
  <c r="L280" i="3"/>
  <c r="M280" i="3"/>
  <c r="N280" i="3"/>
  <c r="O280" i="3"/>
  <c r="P280" i="3"/>
  <c r="J281" i="3"/>
  <c r="K281" i="3"/>
  <c r="L281" i="3"/>
  <c r="M281" i="3"/>
  <c r="N281" i="3"/>
  <c r="O281" i="3"/>
  <c r="P281" i="3"/>
  <c r="J282" i="3"/>
  <c r="K282" i="3"/>
  <c r="L282" i="3"/>
  <c r="M282" i="3"/>
  <c r="N282" i="3"/>
  <c r="O282" i="3"/>
  <c r="P282" i="3"/>
  <c r="J283" i="3"/>
  <c r="K283" i="3"/>
  <c r="L283" i="3"/>
  <c r="M283" i="3"/>
  <c r="N283" i="3"/>
  <c r="O283" i="3"/>
  <c r="P283" i="3"/>
  <c r="J284" i="3"/>
  <c r="K284" i="3"/>
  <c r="L284" i="3"/>
  <c r="M284" i="3"/>
  <c r="N284" i="3"/>
  <c r="O284" i="3"/>
  <c r="P284" i="3"/>
  <c r="J285" i="3"/>
  <c r="K285" i="3"/>
  <c r="L285" i="3"/>
  <c r="M285" i="3"/>
  <c r="N285" i="3"/>
  <c r="O285" i="3"/>
  <c r="P285" i="3"/>
  <c r="J286" i="3"/>
  <c r="K286" i="3"/>
  <c r="L286" i="3"/>
  <c r="M286" i="3"/>
  <c r="N286" i="3"/>
  <c r="O286" i="3"/>
  <c r="P286" i="3"/>
  <c r="J287" i="3"/>
  <c r="K287" i="3"/>
  <c r="L287" i="3"/>
  <c r="M287" i="3"/>
  <c r="N287" i="3"/>
  <c r="O287" i="3"/>
  <c r="P287" i="3"/>
  <c r="J288" i="3"/>
  <c r="K288" i="3"/>
  <c r="L288" i="3"/>
  <c r="M288" i="3"/>
  <c r="N288" i="3"/>
  <c r="O288" i="3"/>
  <c r="P288" i="3"/>
  <c r="J289" i="3"/>
  <c r="K289" i="3"/>
  <c r="L289" i="3"/>
  <c r="M289" i="3"/>
  <c r="N289" i="3"/>
  <c r="O289" i="3"/>
  <c r="P289" i="3"/>
  <c r="J290" i="3"/>
  <c r="K290" i="3"/>
  <c r="L290" i="3"/>
  <c r="M290" i="3"/>
  <c r="N290" i="3"/>
  <c r="O290" i="3"/>
  <c r="P290" i="3"/>
  <c r="J291" i="3"/>
  <c r="K291" i="3"/>
  <c r="L291" i="3"/>
  <c r="M291" i="3"/>
  <c r="N291" i="3"/>
  <c r="O291" i="3"/>
  <c r="P291" i="3"/>
  <c r="J292" i="3"/>
  <c r="K292" i="3"/>
  <c r="L292" i="3"/>
  <c r="M292" i="3"/>
  <c r="N292" i="3"/>
  <c r="O292" i="3"/>
  <c r="P292" i="3"/>
  <c r="J293" i="3"/>
  <c r="K293" i="3"/>
  <c r="L293" i="3"/>
  <c r="M293" i="3"/>
  <c r="N293" i="3"/>
  <c r="O293" i="3"/>
  <c r="P293" i="3"/>
  <c r="J294" i="3"/>
  <c r="K294" i="3"/>
  <c r="L294" i="3"/>
  <c r="M294" i="3"/>
  <c r="N294" i="3"/>
  <c r="O294" i="3"/>
  <c r="P294" i="3"/>
  <c r="J295" i="3"/>
  <c r="K295" i="3"/>
  <c r="L295" i="3"/>
  <c r="M295" i="3"/>
  <c r="N295" i="3"/>
  <c r="O295" i="3"/>
  <c r="P295" i="3"/>
  <c r="J296" i="3"/>
  <c r="K296" i="3"/>
  <c r="L296" i="3"/>
  <c r="M296" i="3"/>
  <c r="N296" i="3"/>
  <c r="O296" i="3"/>
  <c r="P296" i="3"/>
  <c r="J297" i="3"/>
  <c r="K297" i="3"/>
  <c r="L297" i="3"/>
  <c r="M297" i="3"/>
  <c r="N297" i="3"/>
  <c r="O297" i="3"/>
  <c r="P297" i="3"/>
  <c r="J298" i="3"/>
  <c r="K298" i="3"/>
  <c r="L298" i="3"/>
  <c r="M298" i="3"/>
  <c r="N298" i="3"/>
  <c r="O298" i="3"/>
  <c r="P298" i="3"/>
  <c r="J299" i="3"/>
  <c r="K299" i="3"/>
  <c r="L299" i="3"/>
  <c r="M299" i="3"/>
  <c r="N299" i="3"/>
  <c r="O299" i="3"/>
  <c r="P299" i="3"/>
  <c r="J300" i="3"/>
  <c r="K300" i="3"/>
  <c r="L300" i="3"/>
  <c r="M300" i="3"/>
  <c r="N300" i="3"/>
  <c r="O300" i="3"/>
  <c r="P300" i="3"/>
  <c r="J301" i="3"/>
  <c r="K301" i="3"/>
  <c r="L301" i="3"/>
  <c r="M301" i="3"/>
  <c r="N301" i="3"/>
  <c r="O301" i="3"/>
  <c r="P301" i="3"/>
  <c r="J302" i="3"/>
  <c r="K302" i="3"/>
  <c r="L302" i="3"/>
  <c r="M302" i="3"/>
  <c r="N302" i="3"/>
  <c r="O302" i="3"/>
  <c r="P302" i="3"/>
  <c r="J303" i="3"/>
  <c r="K303" i="3"/>
  <c r="L303" i="3"/>
  <c r="M303" i="3"/>
  <c r="N303" i="3"/>
  <c r="O303" i="3"/>
  <c r="P303" i="3"/>
  <c r="J304" i="3"/>
  <c r="K304" i="3"/>
  <c r="L304" i="3"/>
  <c r="M304" i="3"/>
  <c r="N304" i="3"/>
  <c r="O304" i="3"/>
  <c r="P304" i="3"/>
  <c r="J305" i="3"/>
  <c r="K305" i="3"/>
  <c r="L305" i="3"/>
  <c r="M305" i="3"/>
  <c r="N305" i="3"/>
  <c r="O305" i="3"/>
  <c r="P305" i="3"/>
  <c r="J306" i="3"/>
  <c r="K306" i="3"/>
  <c r="L306" i="3"/>
  <c r="M306" i="3"/>
  <c r="N306" i="3"/>
  <c r="O306" i="3"/>
  <c r="P306" i="3"/>
  <c r="J307" i="3"/>
  <c r="K307" i="3"/>
  <c r="L307" i="3"/>
  <c r="M307" i="3"/>
  <c r="N307" i="3"/>
  <c r="O307" i="3"/>
  <c r="P307" i="3"/>
  <c r="J308" i="3"/>
  <c r="K308" i="3"/>
  <c r="L308" i="3"/>
  <c r="M308" i="3"/>
  <c r="N308" i="3"/>
  <c r="O308" i="3"/>
  <c r="P308" i="3"/>
  <c r="J309" i="3"/>
  <c r="K309" i="3"/>
  <c r="L309" i="3"/>
  <c r="M309" i="3"/>
  <c r="N309" i="3"/>
  <c r="O309" i="3"/>
  <c r="P309" i="3"/>
  <c r="J310" i="3"/>
  <c r="K310" i="3"/>
  <c r="L310" i="3"/>
  <c r="M310" i="3"/>
  <c r="N310" i="3"/>
  <c r="O310" i="3"/>
  <c r="P310" i="3"/>
  <c r="J311" i="3"/>
  <c r="K311" i="3"/>
  <c r="L311" i="3"/>
  <c r="M311" i="3"/>
  <c r="N311" i="3"/>
  <c r="O311" i="3"/>
  <c r="P311" i="3"/>
  <c r="J312" i="3"/>
  <c r="K312" i="3"/>
  <c r="L312" i="3"/>
  <c r="M312" i="3"/>
  <c r="N312" i="3"/>
  <c r="O312" i="3"/>
  <c r="P312" i="3"/>
  <c r="J313" i="3"/>
  <c r="K313" i="3"/>
  <c r="L313" i="3"/>
  <c r="M313" i="3"/>
  <c r="N313" i="3"/>
  <c r="O313" i="3"/>
  <c r="P313" i="3"/>
  <c r="J314" i="3"/>
  <c r="K314" i="3"/>
  <c r="L314" i="3"/>
  <c r="M314" i="3"/>
  <c r="N314" i="3"/>
  <c r="O314" i="3"/>
  <c r="P314" i="3"/>
  <c r="J315" i="3"/>
  <c r="K315" i="3"/>
  <c r="L315" i="3"/>
  <c r="M315" i="3"/>
  <c r="N315" i="3"/>
  <c r="O315" i="3"/>
  <c r="P315" i="3"/>
  <c r="J316" i="3"/>
  <c r="K316" i="3"/>
  <c r="L316" i="3"/>
  <c r="M316" i="3"/>
  <c r="N316" i="3"/>
  <c r="O316" i="3"/>
  <c r="P316" i="3"/>
  <c r="J317" i="3"/>
  <c r="K317" i="3"/>
  <c r="L317" i="3"/>
  <c r="M317" i="3"/>
  <c r="N317" i="3"/>
  <c r="O317" i="3"/>
  <c r="P317" i="3"/>
  <c r="J318" i="3"/>
  <c r="K318" i="3"/>
  <c r="L318" i="3"/>
  <c r="M318" i="3"/>
  <c r="N318" i="3"/>
  <c r="O318" i="3"/>
  <c r="P318" i="3"/>
  <c r="J319" i="3"/>
  <c r="K319" i="3"/>
  <c r="L319" i="3"/>
  <c r="M319" i="3"/>
  <c r="N319" i="3"/>
  <c r="O319" i="3"/>
  <c r="P319" i="3"/>
  <c r="J320" i="3"/>
  <c r="K320" i="3"/>
  <c r="L320" i="3"/>
  <c r="M320" i="3"/>
  <c r="N320" i="3"/>
  <c r="O320" i="3"/>
  <c r="P320" i="3"/>
  <c r="J321" i="3"/>
  <c r="K321" i="3"/>
  <c r="L321" i="3"/>
  <c r="M321" i="3"/>
  <c r="N321" i="3"/>
  <c r="O321" i="3"/>
  <c r="P321" i="3"/>
  <c r="J322" i="3"/>
  <c r="K322" i="3"/>
  <c r="L322" i="3"/>
  <c r="M322" i="3"/>
  <c r="N322" i="3"/>
  <c r="O322" i="3"/>
  <c r="P322" i="3"/>
  <c r="J323" i="3"/>
  <c r="K323" i="3"/>
  <c r="L323" i="3"/>
  <c r="M323" i="3"/>
  <c r="N323" i="3"/>
  <c r="O323" i="3"/>
  <c r="P323" i="3"/>
  <c r="J324" i="3"/>
  <c r="K324" i="3"/>
  <c r="L324" i="3"/>
  <c r="M324" i="3"/>
  <c r="N324" i="3"/>
  <c r="O324" i="3"/>
  <c r="P324" i="3"/>
  <c r="J325" i="3"/>
  <c r="K325" i="3"/>
  <c r="L325" i="3"/>
  <c r="M325" i="3"/>
  <c r="N325" i="3"/>
  <c r="O325" i="3"/>
  <c r="P325" i="3"/>
  <c r="J326" i="3"/>
  <c r="K326" i="3"/>
  <c r="L326" i="3"/>
  <c r="M326" i="3"/>
  <c r="N326" i="3"/>
  <c r="O326" i="3"/>
  <c r="P326" i="3"/>
  <c r="J327" i="3"/>
  <c r="K327" i="3"/>
  <c r="L327" i="3"/>
  <c r="M327" i="3"/>
  <c r="N327" i="3"/>
  <c r="O327" i="3"/>
  <c r="P327" i="3"/>
  <c r="J328" i="3"/>
  <c r="K328" i="3"/>
  <c r="L328" i="3"/>
  <c r="M328" i="3"/>
  <c r="N328" i="3"/>
  <c r="O328" i="3"/>
  <c r="P328" i="3"/>
  <c r="J329" i="3"/>
  <c r="K329" i="3"/>
  <c r="L329" i="3"/>
  <c r="M329" i="3"/>
  <c r="N329" i="3"/>
  <c r="O329" i="3"/>
  <c r="P329" i="3"/>
  <c r="J330" i="3"/>
  <c r="K330" i="3"/>
  <c r="L330" i="3"/>
  <c r="M330" i="3"/>
  <c r="N330" i="3"/>
  <c r="O330" i="3"/>
  <c r="P330" i="3"/>
  <c r="J331" i="3"/>
  <c r="K331" i="3"/>
  <c r="L331" i="3"/>
  <c r="M331" i="3"/>
  <c r="N331" i="3"/>
  <c r="O331" i="3"/>
  <c r="P331" i="3"/>
  <c r="J332" i="3"/>
  <c r="K332" i="3"/>
  <c r="L332" i="3"/>
  <c r="M332" i="3"/>
  <c r="N332" i="3"/>
  <c r="O332" i="3"/>
  <c r="P332" i="3"/>
  <c r="J333" i="3"/>
  <c r="K333" i="3"/>
  <c r="L333" i="3"/>
  <c r="M333" i="3"/>
  <c r="N333" i="3"/>
  <c r="O333" i="3"/>
  <c r="P333" i="3"/>
  <c r="J334" i="3"/>
  <c r="K334" i="3"/>
  <c r="L334" i="3"/>
  <c r="M334" i="3"/>
  <c r="N334" i="3"/>
  <c r="O334" i="3"/>
  <c r="P334" i="3"/>
  <c r="J335" i="3"/>
  <c r="K335" i="3"/>
  <c r="L335" i="3"/>
  <c r="M335" i="3"/>
  <c r="N335" i="3"/>
  <c r="O335" i="3"/>
  <c r="P335" i="3"/>
  <c r="J336" i="3"/>
  <c r="K336" i="3"/>
  <c r="L336" i="3"/>
  <c r="M336" i="3"/>
  <c r="N336" i="3"/>
  <c r="O336" i="3"/>
  <c r="P336" i="3"/>
  <c r="J337" i="3"/>
  <c r="K337" i="3"/>
  <c r="L337" i="3"/>
  <c r="M337" i="3"/>
  <c r="N337" i="3"/>
  <c r="O337" i="3"/>
  <c r="P337" i="3"/>
  <c r="J338" i="3"/>
  <c r="K338" i="3"/>
  <c r="L338" i="3"/>
  <c r="M338" i="3"/>
  <c r="N338" i="3"/>
  <c r="O338" i="3"/>
  <c r="P338" i="3"/>
  <c r="J339" i="3"/>
  <c r="K339" i="3"/>
  <c r="L339" i="3"/>
  <c r="M339" i="3"/>
  <c r="N339" i="3"/>
  <c r="O339" i="3"/>
  <c r="P339" i="3"/>
  <c r="J340" i="3"/>
  <c r="K340" i="3"/>
  <c r="L340" i="3"/>
  <c r="M340" i="3"/>
  <c r="N340" i="3"/>
  <c r="O340" i="3"/>
  <c r="P340" i="3"/>
  <c r="J341" i="3"/>
  <c r="K341" i="3"/>
  <c r="L341" i="3"/>
  <c r="M341" i="3"/>
  <c r="N341" i="3"/>
  <c r="O341" i="3"/>
  <c r="P341" i="3"/>
  <c r="J342" i="3"/>
  <c r="K342" i="3"/>
  <c r="L342" i="3"/>
  <c r="M342" i="3"/>
  <c r="N342" i="3"/>
  <c r="O342" i="3"/>
  <c r="P342" i="3"/>
  <c r="J343" i="3"/>
  <c r="K343" i="3"/>
  <c r="L343" i="3"/>
  <c r="M343" i="3"/>
  <c r="N343" i="3"/>
  <c r="O343" i="3"/>
  <c r="P343" i="3"/>
  <c r="J344" i="3"/>
  <c r="K344" i="3"/>
  <c r="L344" i="3"/>
  <c r="M344" i="3"/>
  <c r="N344" i="3"/>
  <c r="O344" i="3"/>
  <c r="P344" i="3"/>
  <c r="J345" i="3"/>
  <c r="K345" i="3"/>
  <c r="L345" i="3"/>
  <c r="M345" i="3"/>
  <c r="N345" i="3"/>
  <c r="O345" i="3"/>
  <c r="P345" i="3"/>
  <c r="J346" i="3"/>
  <c r="K346" i="3"/>
  <c r="L346" i="3"/>
  <c r="M346" i="3"/>
  <c r="N346" i="3"/>
  <c r="O346" i="3"/>
  <c r="P346" i="3"/>
  <c r="J347" i="3"/>
  <c r="K347" i="3"/>
  <c r="L347" i="3"/>
  <c r="M347" i="3"/>
  <c r="N347" i="3"/>
  <c r="O347" i="3"/>
  <c r="P347" i="3"/>
  <c r="J348" i="3"/>
  <c r="K348" i="3"/>
  <c r="L348" i="3"/>
  <c r="M348" i="3"/>
  <c r="N348" i="3"/>
  <c r="O348" i="3"/>
  <c r="P348" i="3"/>
  <c r="J349" i="3"/>
  <c r="K349" i="3"/>
  <c r="L349" i="3"/>
  <c r="M349" i="3"/>
  <c r="N349" i="3"/>
  <c r="O349" i="3"/>
  <c r="P349" i="3"/>
  <c r="J350" i="3"/>
  <c r="K350" i="3"/>
  <c r="L350" i="3"/>
  <c r="M350" i="3"/>
  <c r="N350" i="3"/>
  <c r="O350" i="3"/>
  <c r="P350" i="3"/>
  <c r="J351" i="3"/>
  <c r="K351" i="3"/>
  <c r="L351" i="3"/>
  <c r="M351" i="3"/>
  <c r="N351" i="3"/>
  <c r="O351" i="3"/>
  <c r="P351" i="3"/>
  <c r="J352" i="3"/>
  <c r="K352" i="3"/>
  <c r="L352" i="3"/>
  <c r="M352" i="3"/>
  <c r="N352" i="3"/>
  <c r="O352" i="3"/>
  <c r="P352" i="3"/>
  <c r="J353" i="3"/>
  <c r="K353" i="3"/>
  <c r="L353" i="3"/>
  <c r="M353" i="3"/>
  <c r="N353" i="3"/>
  <c r="O353" i="3"/>
  <c r="P353" i="3"/>
  <c r="J354" i="3"/>
  <c r="K354" i="3"/>
  <c r="L354" i="3"/>
  <c r="M354" i="3"/>
  <c r="N354" i="3"/>
  <c r="O354" i="3"/>
  <c r="P354" i="3"/>
  <c r="J355" i="3"/>
  <c r="K355" i="3"/>
  <c r="L355" i="3"/>
  <c r="M355" i="3"/>
  <c r="N355" i="3"/>
  <c r="O355" i="3"/>
  <c r="P355" i="3"/>
  <c r="J356" i="3"/>
  <c r="K356" i="3"/>
  <c r="L356" i="3"/>
  <c r="M356" i="3"/>
  <c r="N356" i="3"/>
  <c r="O356" i="3"/>
  <c r="P356" i="3"/>
  <c r="J357" i="3"/>
  <c r="K357" i="3"/>
  <c r="L357" i="3"/>
  <c r="M357" i="3"/>
  <c r="N357" i="3"/>
  <c r="O357" i="3"/>
  <c r="P357" i="3"/>
  <c r="J358" i="3"/>
  <c r="K358" i="3"/>
  <c r="L358" i="3"/>
  <c r="M358" i="3"/>
  <c r="N358" i="3"/>
  <c r="O358" i="3"/>
  <c r="P358" i="3"/>
  <c r="J359" i="3"/>
  <c r="K359" i="3"/>
  <c r="L359" i="3"/>
  <c r="M359" i="3"/>
  <c r="N359" i="3"/>
  <c r="O359" i="3"/>
  <c r="P359" i="3"/>
  <c r="J360" i="3"/>
  <c r="K360" i="3"/>
  <c r="L360" i="3"/>
  <c r="M360" i="3"/>
  <c r="N360" i="3"/>
  <c r="O360" i="3"/>
  <c r="P360" i="3"/>
  <c r="J361" i="3"/>
  <c r="K361" i="3"/>
  <c r="L361" i="3"/>
  <c r="M361" i="3"/>
  <c r="N361" i="3"/>
  <c r="O361" i="3"/>
  <c r="P361" i="3"/>
  <c r="J362" i="3"/>
  <c r="K362" i="3"/>
  <c r="L362" i="3"/>
  <c r="M362" i="3"/>
  <c r="N362" i="3"/>
  <c r="O362" i="3"/>
  <c r="P362" i="3"/>
  <c r="J363" i="3"/>
  <c r="K363" i="3"/>
  <c r="L363" i="3"/>
  <c r="M363" i="3"/>
  <c r="N363" i="3"/>
  <c r="O363" i="3"/>
  <c r="P363" i="3"/>
  <c r="J364" i="3"/>
  <c r="K364" i="3"/>
  <c r="L364" i="3"/>
  <c r="M364" i="3"/>
  <c r="N364" i="3"/>
  <c r="O364" i="3"/>
  <c r="P364" i="3"/>
  <c r="J365" i="3"/>
  <c r="K365" i="3"/>
  <c r="L365" i="3"/>
  <c r="M365" i="3"/>
  <c r="N365" i="3"/>
  <c r="O365" i="3"/>
  <c r="P365" i="3"/>
  <c r="J366" i="3"/>
  <c r="K366" i="3"/>
  <c r="L366" i="3"/>
  <c r="M366" i="3"/>
  <c r="N366" i="3"/>
  <c r="O366" i="3"/>
  <c r="P366" i="3"/>
  <c r="J367" i="3"/>
  <c r="K367" i="3"/>
  <c r="L367" i="3"/>
  <c r="M367" i="3"/>
  <c r="N367" i="3"/>
  <c r="O367" i="3"/>
  <c r="P367" i="3"/>
  <c r="J368" i="3"/>
  <c r="K368" i="3"/>
  <c r="L368" i="3"/>
  <c r="M368" i="3"/>
  <c r="N368" i="3"/>
  <c r="O368" i="3"/>
  <c r="P368" i="3"/>
  <c r="J369" i="3"/>
  <c r="K369" i="3"/>
  <c r="L369" i="3"/>
  <c r="M369" i="3"/>
  <c r="N369" i="3"/>
  <c r="O369" i="3"/>
  <c r="P369" i="3"/>
  <c r="J370" i="3"/>
  <c r="K370" i="3"/>
  <c r="L370" i="3"/>
  <c r="M370" i="3"/>
  <c r="N370" i="3"/>
  <c r="O370" i="3"/>
  <c r="P370" i="3"/>
  <c r="J371" i="3"/>
  <c r="K371" i="3"/>
  <c r="L371" i="3"/>
  <c r="M371" i="3"/>
  <c r="N371" i="3"/>
  <c r="O371" i="3"/>
  <c r="P371" i="3"/>
  <c r="J372" i="3"/>
  <c r="K372" i="3"/>
  <c r="L372" i="3"/>
  <c r="M372" i="3"/>
  <c r="N372" i="3"/>
  <c r="O372" i="3"/>
  <c r="P372" i="3"/>
  <c r="J373" i="3"/>
  <c r="K373" i="3"/>
  <c r="L373" i="3"/>
  <c r="M373" i="3"/>
  <c r="N373" i="3"/>
  <c r="O373" i="3"/>
  <c r="P373" i="3"/>
  <c r="J374" i="3"/>
  <c r="K374" i="3"/>
  <c r="L374" i="3"/>
  <c r="M374" i="3"/>
  <c r="N374" i="3"/>
  <c r="O374" i="3"/>
  <c r="P374" i="3"/>
  <c r="J375" i="3"/>
  <c r="K375" i="3"/>
  <c r="L375" i="3"/>
  <c r="M375" i="3"/>
  <c r="N375" i="3"/>
  <c r="O375" i="3"/>
  <c r="P375" i="3"/>
  <c r="J376" i="3"/>
  <c r="K376" i="3"/>
  <c r="L376" i="3"/>
  <c r="M376" i="3"/>
  <c r="N376" i="3"/>
  <c r="O376" i="3"/>
  <c r="P376" i="3"/>
  <c r="J377" i="3"/>
  <c r="K377" i="3"/>
  <c r="L377" i="3"/>
  <c r="M377" i="3"/>
  <c r="N377" i="3"/>
  <c r="O377" i="3"/>
  <c r="P377" i="3"/>
  <c r="J378" i="3"/>
  <c r="K378" i="3"/>
  <c r="L378" i="3"/>
  <c r="M378" i="3"/>
  <c r="N378" i="3"/>
  <c r="O378" i="3"/>
  <c r="P378" i="3"/>
  <c r="J379" i="3"/>
  <c r="K379" i="3"/>
  <c r="L379" i="3"/>
  <c r="M379" i="3"/>
  <c r="N379" i="3"/>
  <c r="O379" i="3"/>
  <c r="P379" i="3"/>
  <c r="J380" i="3"/>
  <c r="K380" i="3"/>
  <c r="L380" i="3"/>
  <c r="M380" i="3"/>
  <c r="N380" i="3"/>
  <c r="O380" i="3"/>
  <c r="P380" i="3"/>
  <c r="J381" i="3"/>
  <c r="K381" i="3"/>
  <c r="L381" i="3"/>
  <c r="M381" i="3"/>
  <c r="N381" i="3"/>
  <c r="O381" i="3"/>
  <c r="P381" i="3"/>
  <c r="J382" i="3"/>
  <c r="K382" i="3"/>
  <c r="L382" i="3"/>
  <c r="M382" i="3"/>
  <c r="N382" i="3"/>
  <c r="O382" i="3"/>
  <c r="P382" i="3"/>
  <c r="J383" i="3"/>
  <c r="K383" i="3"/>
  <c r="L383" i="3"/>
  <c r="M383" i="3"/>
  <c r="N383" i="3"/>
  <c r="O383" i="3"/>
  <c r="P383" i="3"/>
  <c r="J384" i="3"/>
  <c r="K384" i="3"/>
  <c r="L384" i="3"/>
  <c r="M384" i="3"/>
  <c r="N384" i="3"/>
  <c r="O384" i="3"/>
  <c r="P384" i="3"/>
  <c r="J385" i="3"/>
  <c r="K385" i="3"/>
  <c r="L385" i="3"/>
  <c r="M385" i="3"/>
  <c r="N385" i="3"/>
  <c r="O385" i="3"/>
  <c r="P385" i="3"/>
  <c r="J386" i="3"/>
  <c r="K386" i="3"/>
  <c r="L386" i="3"/>
  <c r="M386" i="3"/>
  <c r="N386" i="3"/>
  <c r="O386" i="3"/>
  <c r="P386" i="3"/>
  <c r="J387" i="3"/>
  <c r="K387" i="3"/>
  <c r="L387" i="3"/>
  <c r="M387" i="3"/>
  <c r="N387" i="3"/>
  <c r="O387" i="3"/>
  <c r="P387" i="3"/>
  <c r="J388" i="3"/>
  <c r="K388" i="3"/>
  <c r="L388" i="3"/>
  <c r="M388" i="3"/>
  <c r="N388" i="3"/>
  <c r="O388" i="3"/>
  <c r="P388" i="3"/>
  <c r="J389" i="3"/>
  <c r="K389" i="3"/>
  <c r="L389" i="3"/>
  <c r="M389" i="3"/>
  <c r="N389" i="3"/>
  <c r="O389" i="3"/>
  <c r="P389" i="3"/>
  <c r="J390" i="3"/>
  <c r="K390" i="3"/>
  <c r="L390" i="3"/>
  <c r="M390" i="3"/>
  <c r="N390" i="3"/>
  <c r="O390" i="3"/>
  <c r="P390" i="3"/>
  <c r="J391" i="3"/>
  <c r="K391" i="3"/>
  <c r="L391" i="3"/>
  <c r="M391" i="3"/>
  <c r="N391" i="3"/>
  <c r="O391" i="3"/>
  <c r="P391" i="3"/>
  <c r="J392" i="3"/>
  <c r="K392" i="3"/>
  <c r="L392" i="3"/>
  <c r="M392" i="3"/>
  <c r="N392" i="3"/>
  <c r="O392" i="3"/>
  <c r="P392" i="3"/>
  <c r="J393" i="3"/>
  <c r="K393" i="3"/>
  <c r="L393" i="3"/>
  <c r="M393" i="3"/>
  <c r="N393" i="3"/>
  <c r="O393" i="3"/>
  <c r="P393" i="3"/>
  <c r="J394" i="3"/>
  <c r="K394" i="3"/>
  <c r="L394" i="3"/>
  <c r="M394" i="3"/>
  <c r="N394" i="3"/>
  <c r="O394" i="3"/>
  <c r="P394" i="3"/>
  <c r="J395" i="3"/>
  <c r="K395" i="3"/>
  <c r="L395" i="3"/>
  <c r="M395" i="3"/>
  <c r="N395" i="3"/>
  <c r="O395" i="3"/>
  <c r="P395" i="3"/>
  <c r="J396" i="3"/>
  <c r="K396" i="3"/>
  <c r="L396" i="3"/>
  <c r="M396" i="3"/>
  <c r="N396" i="3"/>
  <c r="O396" i="3"/>
  <c r="P396" i="3"/>
  <c r="J397" i="3"/>
  <c r="K397" i="3"/>
  <c r="L397" i="3"/>
  <c r="M397" i="3"/>
  <c r="N397" i="3"/>
  <c r="O397" i="3"/>
  <c r="P397" i="3"/>
  <c r="J398" i="3"/>
  <c r="K398" i="3"/>
  <c r="L398" i="3"/>
  <c r="M398" i="3"/>
  <c r="N398" i="3"/>
  <c r="O398" i="3"/>
  <c r="P398" i="3"/>
  <c r="J399" i="3"/>
  <c r="K399" i="3"/>
  <c r="L399" i="3"/>
  <c r="M399" i="3"/>
  <c r="N399" i="3"/>
  <c r="O399" i="3"/>
  <c r="P399" i="3"/>
  <c r="J400" i="3"/>
  <c r="K400" i="3"/>
  <c r="L400" i="3"/>
  <c r="M400" i="3"/>
  <c r="N400" i="3"/>
  <c r="O400" i="3"/>
  <c r="P400" i="3"/>
  <c r="J401" i="3"/>
  <c r="K401" i="3"/>
  <c r="L401" i="3"/>
  <c r="M401" i="3"/>
  <c r="N401" i="3"/>
  <c r="O401" i="3"/>
  <c r="P401" i="3"/>
  <c r="J402" i="3"/>
  <c r="K402" i="3"/>
  <c r="L402" i="3"/>
  <c r="M402" i="3"/>
  <c r="N402" i="3"/>
  <c r="O402" i="3"/>
  <c r="P402" i="3"/>
  <c r="J403" i="3"/>
  <c r="K403" i="3"/>
  <c r="L403" i="3"/>
  <c r="M403" i="3"/>
  <c r="N403" i="3"/>
  <c r="O403" i="3"/>
  <c r="P403" i="3"/>
  <c r="J404" i="3"/>
  <c r="K404" i="3"/>
  <c r="L404" i="3"/>
  <c r="M404" i="3"/>
  <c r="N404" i="3"/>
  <c r="O404" i="3"/>
  <c r="P404" i="3"/>
  <c r="J405" i="3"/>
  <c r="K405" i="3"/>
  <c r="L405" i="3"/>
  <c r="M405" i="3"/>
  <c r="N405" i="3"/>
  <c r="O405" i="3"/>
  <c r="P405" i="3"/>
  <c r="J406" i="3"/>
  <c r="K406" i="3"/>
  <c r="L406" i="3"/>
  <c r="M406" i="3"/>
  <c r="N406" i="3"/>
  <c r="O406" i="3"/>
  <c r="P406" i="3"/>
  <c r="J407" i="3"/>
  <c r="K407" i="3"/>
  <c r="L407" i="3"/>
  <c r="M407" i="3"/>
  <c r="N407" i="3"/>
  <c r="O407" i="3"/>
  <c r="P407" i="3"/>
  <c r="J408" i="3"/>
  <c r="K408" i="3"/>
  <c r="L408" i="3"/>
  <c r="M408" i="3"/>
  <c r="N408" i="3"/>
  <c r="O408" i="3"/>
  <c r="P408" i="3"/>
  <c r="J409" i="3"/>
  <c r="K409" i="3"/>
  <c r="L409" i="3"/>
  <c r="M409" i="3"/>
  <c r="N409" i="3"/>
  <c r="O409" i="3"/>
  <c r="P409" i="3"/>
  <c r="J410" i="3"/>
  <c r="K410" i="3"/>
  <c r="L410" i="3"/>
  <c r="M410" i="3"/>
  <c r="N410" i="3"/>
  <c r="O410" i="3"/>
  <c r="P410" i="3"/>
  <c r="J411" i="3"/>
  <c r="K411" i="3"/>
  <c r="L411" i="3"/>
  <c r="M411" i="3"/>
  <c r="N411" i="3"/>
  <c r="O411" i="3"/>
  <c r="P411" i="3"/>
  <c r="J412" i="3"/>
  <c r="K412" i="3"/>
  <c r="L412" i="3"/>
  <c r="M412" i="3"/>
  <c r="N412" i="3"/>
  <c r="O412" i="3"/>
  <c r="P412" i="3"/>
  <c r="J413" i="3"/>
  <c r="K413" i="3"/>
  <c r="L413" i="3"/>
  <c r="M413" i="3"/>
  <c r="N413" i="3"/>
  <c r="O413" i="3"/>
  <c r="P413" i="3"/>
  <c r="J414" i="3"/>
  <c r="K414" i="3"/>
  <c r="L414" i="3"/>
  <c r="M414" i="3"/>
  <c r="N414" i="3"/>
  <c r="O414" i="3"/>
  <c r="P414" i="3"/>
  <c r="J415" i="3"/>
  <c r="K415" i="3"/>
  <c r="L415" i="3"/>
  <c r="M415" i="3"/>
  <c r="N415" i="3"/>
  <c r="O415" i="3"/>
  <c r="P415" i="3"/>
  <c r="J416" i="3"/>
  <c r="K416" i="3"/>
  <c r="L416" i="3"/>
  <c r="M416" i="3"/>
  <c r="N416" i="3"/>
  <c r="O416" i="3"/>
  <c r="P416" i="3"/>
  <c r="J417" i="3"/>
  <c r="K417" i="3"/>
  <c r="L417" i="3"/>
  <c r="M417" i="3"/>
  <c r="N417" i="3"/>
  <c r="O417" i="3"/>
  <c r="P417" i="3"/>
  <c r="J418" i="3"/>
  <c r="K418" i="3"/>
  <c r="L418" i="3"/>
  <c r="M418" i="3"/>
  <c r="N418" i="3"/>
  <c r="O418" i="3"/>
  <c r="P418" i="3"/>
  <c r="J419" i="3"/>
  <c r="K419" i="3"/>
  <c r="L419" i="3"/>
  <c r="M419" i="3"/>
  <c r="N419" i="3"/>
  <c r="O419" i="3"/>
  <c r="P419" i="3"/>
  <c r="J420" i="3"/>
  <c r="K420" i="3"/>
  <c r="L420" i="3"/>
  <c r="M420" i="3"/>
  <c r="N420" i="3"/>
  <c r="O420" i="3"/>
  <c r="P420" i="3"/>
  <c r="J421" i="3"/>
  <c r="K421" i="3"/>
  <c r="L421" i="3"/>
  <c r="M421" i="3"/>
  <c r="N421" i="3"/>
  <c r="O421" i="3"/>
  <c r="P421" i="3"/>
  <c r="J422" i="3"/>
  <c r="K422" i="3"/>
  <c r="L422" i="3"/>
  <c r="M422" i="3"/>
  <c r="N422" i="3"/>
  <c r="O422" i="3"/>
  <c r="P422" i="3"/>
  <c r="J423" i="3"/>
  <c r="K423" i="3"/>
  <c r="L423" i="3"/>
  <c r="M423" i="3"/>
  <c r="N423" i="3"/>
  <c r="O423" i="3"/>
  <c r="P423" i="3"/>
  <c r="J424" i="3"/>
  <c r="K424" i="3"/>
  <c r="L424" i="3"/>
  <c r="M424" i="3"/>
  <c r="N424" i="3"/>
  <c r="O424" i="3"/>
  <c r="P424" i="3"/>
  <c r="J425" i="3"/>
  <c r="K425" i="3"/>
  <c r="L425" i="3"/>
  <c r="M425" i="3"/>
  <c r="N425" i="3"/>
  <c r="O425" i="3"/>
  <c r="P425" i="3"/>
  <c r="J426" i="3"/>
  <c r="K426" i="3"/>
  <c r="L426" i="3"/>
  <c r="M426" i="3"/>
  <c r="N426" i="3"/>
  <c r="O426" i="3"/>
  <c r="P426" i="3"/>
  <c r="J427" i="3"/>
  <c r="K427" i="3"/>
  <c r="L427" i="3"/>
  <c r="M427" i="3"/>
  <c r="N427" i="3"/>
  <c r="O427" i="3"/>
  <c r="P427" i="3"/>
  <c r="J428" i="3"/>
  <c r="K428" i="3"/>
  <c r="L428" i="3"/>
  <c r="M428" i="3"/>
  <c r="N428" i="3"/>
  <c r="O428" i="3"/>
  <c r="P428" i="3"/>
  <c r="J429" i="3"/>
  <c r="K429" i="3"/>
  <c r="L429" i="3"/>
  <c r="M429" i="3"/>
  <c r="N429" i="3"/>
  <c r="O429" i="3"/>
  <c r="P429" i="3"/>
  <c r="J430" i="3"/>
  <c r="K430" i="3"/>
  <c r="L430" i="3"/>
  <c r="M430" i="3"/>
  <c r="N430" i="3"/>
  <c r="O430" i="3"/>
  <c r="P430" i="3"/>
  <c r="J431" i="3"/>
  <c r="K431" i="3"/>
  <c r="L431" i="3"/>
  <c r="M431" i="3"/>
  <c r="N431" i="3"/>
  <c r="O431" i="3"/>
  <c r="P431" i="3"/>
  <c r="J432" i="3"/>
  <c r="K432" i="3"/>
  <c r="L432" i="3"/>
  <c r="M432" i="3"/>
  <c r="N432" i="3"/>
  <c r="O432" i="3"/>
  <c r="P432" i="3"/>
  <c r="J433" i="3"/>
  <c r="K433" i="3"/>
  <c r="L433" i="3"/>
  <c r="M433" i="3"/>
  <c r="N433" i="3"/>
  <c r="O433" i="3"/>
  <c r="P433" i="3"/>
  <c r="J434" i="3"/>
  <c r="K434" i="3"/>
  <c r="L434" i="3"/>
  <c r="M434" i="3"/>
  <c r="N434" i="3"/>
  <c r="O434" i="3"/>
  <c r="P434" i="3"/>
  <c r="J435" i="3"/>
  <c r="K435" i="3"/>
  <c r="L435" i="3"/>
  <c r="M435" i="3"/>
  <c r="N435" i="3"/>
  <c r="O435" i="3"/>
  <c r="P435" i="3"/>
  <c r="J436" i="3"/>
  <c r="K436" i="3"/>
  <c r="L436" i="3"/>
  <c r="M436" i="3"/>
  <c r="N436" i="3"/>
  <c r="O436" i="3"/>
  <c r="P436" i="3"/>
  <c r="J437" i="3"/>
  <c r="K437" i="3"/>
  <c r="L437" i="3"/>
  <c r="M437" i="3"/>
  <c r="N437" i="3"/>
  <c r="O437" i="3"/>
  <c r="P437" i="3"/>
  <c r="J438" i="3"/>
  <c r="K438" i="3"/>
  <c r="L438" i="3"/>
  <c r="M438" i="3"/>
  <c r="N438" i="3"/>
  <c r="O438" i="3"/>
  <c r="P438" i="3"/>
  <c r="J439" i="3"/>
  <c r="K439" i="3"/>
  <c r="L439" i="3"/>
  <c r="M439" i="3"/>
  <c r="N439" i="3"/>
  <c r="O439" i="3"/>
  <c r="P439" i="3"/>
  <c r="J440" i="3"/>
  <c r="K440" i="3"/>
  <c r="L440" i="3"/>
  <c r="M440" i="3"/>
  <c r="N440" i="3"/>
  <c r="O440" i="3"/>
  <c r="P440" i="3"/>
  <c r="J441" i="3"/>
  <c r="K441" i="3"/>
  <c r="L441" i="3"/>
  <c r="M441" i="3"/>
  <c r="N441" i="3"/>
  <c r="O441" i="3"/>
  <c r="P441" i="3"/>
  <c r="J442" i="3"/>
  <c r="K442" i="3"/>
  <c r="L442" i="3"/>
  <c r="M442" i="3"/>
  <c r="N442" i="3"/>
  <c r="O442" i="3"/>
  <c r="P442" i="3"/>
  <c r="J443" i="3"/>
  <c r="K443" i="3"/>
  <c r="L443" i="3"/>
  <c r="M443" i="3"/>
  <c r="N443" i="3"/>
  <c r="O443" i="3"/>
  <c r="P443" i="3"/>
  <c r="J444" i="3"/>
  <c r="K444" i="3"/>
  <c r="L444" i="3"/>
  <c r="M444" i="3"/>
  <c r="N444" i="3"/>
  <c r="O444" i="3"/>
  <c r="P444" i="3"/>
  <c r="J445" i="3"/>
  <c r="K445" i="3"/>
  <c r="L445" i="3"/>
  <c r="M445" i="3"/>
  <c r="N445" i="3"/>
  <c r="O445" i="3"/>
  <c r="P445" i="3"/>
  <c r="J446" i="3"/>
  <c r="K446" i="3"/>
  <c r="L446" i="3"/>
  <c r="M446" i="3"/>
  <c r="N446" i="3"/>
  <c r="O446" i="3"/>
  <c r="P446" i="3"/>
  <c r="J447" i="3"/>
  <c r="K447" i="3"/>
  <c r="L447" i="3"/>
  <c r="M447" i="3"/>
  <c r="N447" i="3"/>
  <c r="O447" i="3"/>
  <c r="P447" i="3"/>
  <c r="J448" i="3"/>
  <c r="K448" i="3"/>
  <c r="L448" i="3"/>
  <c r="M448" i="3"/>
  <c r="N448" i="3"/>
  <c r="O448" i="3"/>
  <c r="P448" i="3"/>
  <c r="J449" i="3"/>
  <c r="K449" i="3"/>
  <c r="L449" i="3"/>
  <c r="M449" i="3"/>
  <c r="N449" i="3"/>
  <c r="O449" i="3"/>
  <c r="P449" i="3"/>
  <c r="J450" i="3"/>
  <c r="K450" i="3"/>
  <c r="L450" i="3"/>
  <c r="M450" i="3"/>
  <c r="N450" i="3"/>
  <c r="O450" i="3"/>
  <c r="P450" i="3"/>
  <c r="J451" i="3"/>
  <c r="K451" i="3"/>
  <c r="L451" i="3"/>
  <c r="M451" i="3"/>
  <c r="N451" i="3"/>
  <c r="O451" i="3"/>
  <c r="P451" i="3"/>
  <c r="J452" i="3"/>
  <c r="K452" i="3"/>
  <c r="L452" i="3"/>
  <c r="M452" i="3"/>
  <c r="N452" i="3"/>
  <c r="O452" i="3"/>
  <c r="P452" i="3"/>
  <c r="J453" i="3"/>
  <c r="K453" i="3"/>
  <c r="L453" i="3"/>
  <c r="M453" i="3"/>
  <c r="N453" i="3"/>
  <c r="O453" i="3"/>
  <c r="P453" i="3"/>
  <c r="J454" i="3"/>
  <c r="K454" i="3"/>
  <c r="L454" i="3"/>
  <c r="M454" i="3"/>
  <c r="N454" i="3"/>
  <c r="O454" i="3"/>
  <c r="P454" i="3"/>
  <c r="J455" i="3"/>
  <c r="K455" i="3"/>
  <c r="L455" i="3"/>
  <c r="M455" i="3"/>
  <c r="N455" i="3"/>
  <c r="O455" i="3"/>
  <c r="P455" i="3"/>
  <c r="J456" i="3"/>
  <c r="K456" i="3"/>
  <c r="L456" i="3"/>
  <c r="M456" i="3"/>
  <c r="N456" i="3"/>
  <c r="O456" i="3"/>
  <c r="P456" i="3"/>
  <c r="J457" i="3"/>
  <c r="K457" i="3"/>
  <c r="L457" i="3"/>
  <c r="M457" i="3"/>
  <c r="N457" i="3"/>
  <c r="O457" i="3"/>
  <c r="P457" i="3"/>
  <c r="J458" i="3"/>
  <c r="K458" i="3"/>
  <c r="L458" i="3"/>
  <c r="M458" i="3"/>
  <c r="N458" i="3"/>
  <c r="O458" i="3"/>
  <c r="P458" i="3"/>
  <c r="J459" i="3"/>
  <c r="K459" i="3"/>
  <c r="L459" i="3"/>
  <c r="M459" i="3"/>
  <c r="N459" i="3"/>
  <c r="O459" i="3"/>
  <c r="P459" i="3"/>
  <c r="J460" i="3"/>
  <c r="K460" i="3"/>
  <c r="L460" i="3"/>
  <c r="M460" i="3"/>
  <c r="N460" i="3"/>
  <c r="O460" i="3"/>
  <c r="P460" i="3"/>
  <c r="J461" i="3"/>
  <c r="K461" i="3"/>
  <c r="L461" i="3"/>
  <c r="M461" i="3"/>
  <c r="N461" i="3"/>
  <c r="O461" i="3"/>
  <c r="P461" i="3"/>
  <c r="J462" i="3"/>
  <c r="K462" i="3"/>
  <c r="L462" i="3"/>
  <c r="M462" i="3"/>
  <c r="N462" i="3"/>
  <c r="O462" i="3"/>
  <c r="P462" i="3"/>
  <c r="J463" i="3"/>
  <c r="K463" i="3"/>
  <c r="L463" i="3"/>
  <c r="M463" i="3"/>
  <c r="N463" i="3"/>
  <c r="O463" i="3"/>
  <c r="P463" i="3"/>
  <c r="J464" i="3"/>
  <c r="K464" i="3"/>
  <c r="L464" i="3"/>
  <c r="M464" i="3"/>
  <c r="N464" i="3"/>
  <c r="O464" i="3"/>
  <c r="P464" i="3"/>
  <c r="J465" i="3"/>
  <c r="K465" i="3"/>
  <c r="L465" i="3"/>
  <c r="M465" i="3"/>
  <c r="N465" i="3"/>
  <c r="O465" i="3"/>
  <c r="P465" i="3"/>
  <c r="J466" i="3"/>
  <c r="K466" i="3"/>
  <c r="L466" i="3"/>
  <c r="M466" i="3"/>
  <c r="N466" i="3"/>
  <c r="O466" i="3"/>
  <c r="P466" i="3"/>
  <c r="J467" i="3"/>
  <c r="K467" i="3"/>
  <c r="L467" i="3"/>
  <c r="M467" i="3"/>
  <c r="N467" i="3"/>
  <c r="O467" i="3"/>
  <c r="P467" i="3"/>
  <c r="J468" i="3"/>
  <c r="K468" i="3"/>
  <c r="L468" i="3"/>
  <c r="M468" i="3"/>
  <c r="N468" i="3"/>
  <c r="O468" i="3"/>
  <c r="P468" i="3"/>
  <c r="J469" i="3"/>
  <c r="K469" i="3"/>
  <c r="L469" i="3"/>
  <c r="M469" i="3"/>
  <c r="N469" i="3"/>
  <c r="O469" i="3"/>
  <c r="P469" i="3"/>
  <c r="J470" i="3"/>
  <c r="K470" i="3"/>
  <c r="L470" i="3"/>
  <c r="M470" i="3"/>
  <c r="N470" i="3"/>
  <c r="O470" i="3"/>
  <c r="P470" i="3"/>
  <c r="J471" i="3"/>
  <c r="K471" i="3"/>
  <c r="L471" i="3"/>
  <c r="M471" i="3"/>
  <c r="N471" i="3"/>
  <c r="O471" i="3"/>
  <c r="P471" i="3"/>
  <c r="J472" i="3"/>
  <c r="K472" i="3"/>
  <c r="L472" i="3"/>
  <c r="M472" i="3"/>
  <c r="N472" i="3"/>
  <c r="O472" i="3"/>
  <c r="P472" i="3"/>
  <c r="J473" i="3"/>
  <c r="K473" i="3"/>
  <c r="L473" i="3"/>
  <c r="M473" i="3"/>
  <c r="N473" i="3"/>
  <c r="O473" i="3"/>
  <c r="P473" i="3"/>
  <c r="J474" i="3"/>
  <c r="K474" i="3"/>
  <c r="L474" i="3"/>
  <c r="M474" i="3"/>
  <c r="N474" i="3"/>
  <c r="O474" i="3"/>
  <c r="P474" i="3"/>
  <c r="J475" i="3"/>
  <c r="K475" i="3"/>
  <c r="L475" i="3"/>
  <c r="M475" i="3"/>
  <c r="N475" i="3"/>
  <c r="O475" i="3"/>
  <c r="P475" i="3"/>
  <c r="J476" i="3"/>
  <c r="K476" i="3"/>
  <c r="L476" i="3"/>
  <c r="M476" i="3"/>
  <c r="N476" i="3"/>
  <c r="O476" i="3"/>
  <c r="P476" i="3"/>
  <c r="J477" i="3"/>
  <c r="K477" i="3"/>
  <c r="L477" i="3"/>
  <c r="M477" i="3"/>
  <c r="N477" i="3"/>
  <c r="O477" i="3"/>
  <c r="P477" i="3"/>
  <c r="J478" i="3"/>
  <c r="K478" i="3"/>
  <c r="L478" i="3"/>
  <c r="M478" i="3"/>
  <c r="N478" i="3"/>
  <c r="O478" i="3"/>
  <c r="P478" i="3"/>
  <c r="J479" i="3"/>
  <c r="K479" i="3"/>
  <c r="L479" i="3"/>
  <c r="M479" i="3"/>
  <c r="N479" i="3"/>
  <c r="O479" i="3"/>
  <c r="P479" i="3"/>
  <c r="J480" i="3"/>
  <c r="K480" i="3"/>
  <c r="L480" i="3"/>
  <c r="M480" i="3"/>
  <c r="N480" i="3"/>
  <c r="O480" i="3"/>
  <c r="P480" i="3"/>
  <c r="J481" i="3"/>
  <c r="K481" i="3"/>
  <c r="L481" i="3"/>
  <c r="M481" i="3"/>
  <c r="N481" i="3"/>
  <c r="O481" i="3"/>
  <c r="P481" i="3"/>
  <c r="J482" i="3"/>
  <c r="K482" i="3"/>
  <c r="L482" i="3"/>
  <c r="M482" i="3"/>
  <c r="N482" i="3"/>
  <c r="O482" i="3"/>
  <c r="P482" i="3"/>
  <c r="J483" i="3"/>
  <c r="K483" i="3"/>
  <c r="L483" i="3"/>
  <c r="M483" i="3"/>
  <c r="N483" i="3"/>
  <c r="O483" i="3"/>
  <c r="P483" i="3"/>
  <c r="J484" i="3"/>
  <c r="K484" i="3"/>
  <c r="L484" i="3"/>
  <c r="M484" i="3"/>
  <c r="N484" i="3"/>
  <c r="O484" i="3"/>
  <c r="P484" i="3"/>
  <c r="J485" i="3"/>
  <c r="K485" i="3"/>
  <c r="L485" i="3"/>
  <c r="M485" i="3"/>
  <c r="N485" i="3"/>
  <c r="O485" i="3"/>
  <c r="P485" i="3"/>
  <c r="J486" i="3"/>
  <c r="K486" i="3"/>
  <c r="L486" i="3"/>
  <c r="M486" i="3"/>
  <c r="N486" i="3"/>
  <c r="O486" i="3"/>
  <c r="P486" i="3"/>
  <c r="J487" i="3"/>
  <c r="K487" i="3"/>
  <c r="L487" i="3"/>
  <c r="M487" i="3"/>
  <c r="N487" i="3"/>
  <c r="O487" i="3"/>
  <c r="P487" i="3"/>
  <c r="J488" i="3"/>
  <c r="K488" i="3"/>
  <c r="L488" i="3"/>
  <c r="M488" i="3"/>
  <c r="N488" i="3"/>
  <c r="O488" i="3"/>
  <c r="P488" i="3"/>
  <c r="J489" i="3"/>
  <c r="K489" i="3"/>
  <c r="L489" i="3"/>
  <c r="M489" i="3"/>
  <c r="N489" i="3"/>
  <c r="O489" i="3"/>
  <c r="P489" i="3"/>
  <c r="J490" i="3"/>
  <c r="K490" i="3"/>
  <c r="L490" i="3"/>
  <c r="M490" i="3"/>
  <c r="N490" i="3"/>
  <c r="O490" i="3"/>
  <c r="P490" i="3"/>
  <c r="J491" i="3"/>
  <c r="K491" i="3"/>
  <c r="L491" i="3"/>
  <c r="M491" i="3"/>
  <c r="N491" i="3"/>
  <c r="O491" i="3"/>
  <c r="P491" i="3"/>
  <c r="J492" i="3"/>
  <c r="K492" i="3"/>
  <c r="L492" i="3"/>
  <c r="M492" i="3"/>
  <c r="N492" i="3"/>
  <c r="O492" i="3"/>
  <c r="P492" i="3"/>
  <c r="J493" i="3"/>
  <c r="K493" i="3"/>
  <c r="L493" i="3"/>
  <c r="M493" i="3"/>
  <c r="N493" i="3"/>
  <c r="O493" i="3"/>
  <c r="P493" i="3"/>
  <c r="J494" i="3"/>
  <c r="K494" i="3"/>
  <c r="L494" i="3"/>
  <c r="M494" i="3"/>
  <c r="N494" i="3"/>
  <c r="O494" i="3"/>
  <c r="P494" i="3"/>
  <c r="J495" i="3"/>
  <c r="K495" i="3"/>
  <c r="L495" i="3"/>
  <c r="M495" i="3"/>
  <c r="N495" i="3"/>
  <c r="O495" i="3"/>
  <c r="P495" i="3"/>
  <c r="J496" i="3"/>
  <c r="K496" i="3"/>
  <c r="L496" i="3"/>
  <c r="M496" i="3"/>
  <c r="N496" i="3"/>
  <c r="O496" i="3"/>
  <c r="P496" i="3"/>
  <c r="J497" i="3"/>
  <c r="K497" i="3"/>
  <c r="L497" i="3"/>
  <c r="M497" i="3"/>
  <c r="N497" i="3"/>
  <c r="O497" i="3"/>
  <c r="P497" i="3"/>
  <c r="J498" i="3"/>
  <c r="K498" i="3"/>
  <c r="L498" i="3"/>
  <c r="M498" i="3"/>
  <c r="N498" i="3"/>
  <c r="O498" i="3"/>
  <c r="P498" i="3"/>
  <c r="J499" i="3"/>
  <c r="K499" i="3"/>
  <c r="L499" i="3"/>
  <c r="M499" i="3"/>
  <c r="N499" i="3"/>
  <c r="O499" i="3"/>
  <c r="P499" i="3"/>
  <c r="J500" i="3"/>
  <c r="K500" i="3"/>
  <c r="L500" i="3"/>
  <c r="M500" i="3"/>
  <c r="N500" i="3"/>
  <c r="O500" i="3"/>
  <c r="P500" i="3"/>
  <c r="J501" i="3"/>
  <c r="K501" i="3"/>
  <c r="L501" i="3"/>
  <c r="M501" i="3"/>
  <c r="N501" i="3"/>
  <c r="O501" i="3"/>
  <c r="P501" i="3"/>
  <c r="J502" i="3"/>
  <c r="K502" i="3"/>
  <c r="L502" i="3"/>
  <c r="M502" i="3"/>
  <c r="N502" i="3"/>
  <c r="O502" i="3"/>
  <c r="P502" i="3"/>
  <c r="J503" i="3"/>
  <c r="K503" i="3"/>
  <c r="L503" i="3"/>
  <c r="M503" i="3"/>
  <c r="N503" i="3"/>
  <c r="O503" i="3"/>
  <c r="P503" i="3"/>
  <c r="J504" i="3"/>
  <c r="K504" i="3"/>
  <c r="L504" i="3"/>
  <c r="M504" i="3"/>
  <c r="N504" i="3"/>
  <c r="O504" i="3"/>
  <c r="P504" i="3"/>
  <c r="J505" i="3"/>
  <c r="K505" i="3"/>
  <c r="L505" i="3"/>
  <c r="M505" i="3"/>
  <c r="N505" i="3"/>
  <c r="O505" i="3"/>
  <c r="P505" i="3"/>
  <c r="J506" i="3"/>
  <c r="K506" i="3"/>
  <c r="L506" i="3"/>
  <c r="M506" i="3"/>
  <c r="N506" i="3"/>
  <c r="O506" i="3"/>
  <c r="P506" i="3"/>
  <c r="J507" i="3"/>
  <c r="K507" i="3"/>
  <c r="L507" i="3"/>
  <c r="M507" i="3"/>
  <c r="N507" i="3"/>
  <c r="O507" i="3"/>
  <c r="P507" i="3"/>
  <c r="J508" i="3"/>
  <c r="K508" i="3"/>
  <c r="L508" i="3"/>
  <c r="M508" i="3"/>
  <c r="N508" i="3"/>
  <c r="O508" i="3"/>
  <c r="P508" i="3"/>
  <c r="J509" i="3"/>
  <c r="K509" i="3"/>
  <c r="L509" i="3"/>
  <c r="M509" i="3"/>
  <c r="N509" i="3"/>
  <c r="O509" i="3"/>
  <c r="P509" i="3"/>
  <c r="J510" i="3"/>
  <c r="K510" i="3"/>
  <c r="L510" i="3"/>
  <c r="M510" i="3"/>
  <c r="N510" i="3"/>
  <c r="O510" i="3"/>
  <c r="P510" i="3"/>
  <c r="J511" i="3"/>
  <c r="K511" i="3"/>
  <c r="L511" i="3"/>
  <c r="M511" i="3"/>
  <c r="N511" i="3"/>
  <c r="O511" i="3"/>
  <c r="P511" i="3"/>
  <c r="J512" i="3"/>
  <c r="K512" i="3"/>
  <c r="L512" i="3"/>
  <c r="M512" i="3"/>
  <c r="N512" i="3"/>
  <c r="O512" i="3"/>
  <c r="P512" i="3"/>
  <c r="J513" i="3"/>
  <c r="K513" i="3"/>
  <c r="L513" i="3"/>
  <c r="M513" i="3"/>
  <c r="N513" i="3"/>
  <c r="O513" i="3"/>
  <c r="P513" i="3"/>
  <c r="J514" i="3"/>
  <c r="K514" i="3"/>
  <c r="L514" i="3"/>
  <c r="M514" i="3"/>
  <c r="N514" i="3"/>
  <c r="O514" i="3"/>
  <c r="P514" i="3"/>
  <c r="J515" i="3"/>
  <c r="K515" i="3"/>
  <c r="L515" i="3"/>
  <c r="M515" i="3"/>
  <c r="N515" i="3"/>
  <c r="O515" i="3"/>
  <c r="P515" i="3"/>
  <c r="J516" i="3"/>
  <c r="K516" i="3"/>
  <c r="L516" i="3"/>
  <c r="M516" i="3"/>
  <c r="N516" i="3"/>
  <c r="O516" i="3"/>
  <c r="P516" i="3"/>
  <c r="J517" i="3"/>
  <c r="K517" i="3"/>
  <c r="L517" i="3"/>
  <c r="M517" i="3"/>
  <c r="N517" i="3"/>
  <c r="O517" i="3"/>
  <c r="P517" i="3"/>
  <c r="J518" i="3"/>
  <c r="K518" i="3"/>
  <c r="L518" i="3"/>
  <c r="M518" i="3"/>
  <c r="N518" i="3"/>
  <c r="O518" i="3"/>
  <c r="P518" i="3"/>
  <c r="J519" i="3"/>
  <c r="K519" i="3"/>
  <c r="L519" i="3"/>
  <c r="M519" i="3"/>
  <c r="N519" i="3"/>
  <c r="O519" i="3"/>
  <c r="P519" i="3"/>
  <c r="J520" i="3"/>
  <c r="K520" i="3"/>
  <c r="L520" i="3"/>
  <c r="M520" i="3"/>
  <c r="N520" i="3"/>
  <c r="O520" i="3"/>
  <c r="P520" i="3"/>
  <c r="J521" i="3"/>
  <c r="K521" i="3"/>
  <c r="L521" i="3"/>
  <c r="M521" i="3"/>
  <c r="N521" i="3"/>
  <c r="O521" i="3"/>
  <c r="P521" i="3"/>
  <c r="J522" i="3"/>
  <c r="K522" i="3"/>
  <c r="L522" i="3"/>
  <c r="M522" i="3"/>
  <c r="N522" i="3"/>
  <c r="O522" i="3"/>
  <c r="P522" i="3"/>
  <c r="J523" i="3"/>
  <c r="K523" i="3"/>
  <c r="L523" i="3"/>
  <c r="M523" i="3"/>
  <c r="N523" i="3"/>
  <c r="O523" i="3"/>
  <c r="P523" i="3"/>
  <c r="J524" i="3"/>
  <c r="K524" i="3"/>
  <c r="L524" i="3"/>
  <c r="M524" i="3"/>
  <c r="N524" i="3"/>
  <c r="O524" i="3"/>
  <c r="P524" i="3"/>
  <c r="J525" i="3"/>
  <c r="K525" i="3"/>
  <c r="L525" i="3"/>
  <c r="M525" i="3"/>
  <c r="N525" i="3"/>
  <c r="O525" i="3"/>
  <c r="P525" i="3"/>
  <c r="J526" i="3"/>
  <c r="K526" i="3"/>
  <c r="L526" i="3"/>
  <c r="M526" i="3"/>
  <c r="N526" i="3"/>
  <c r="O526" i="3"/>
  <c r="P526" i="3"/>
  <c r="J527" i="3"/>
  <c r="K527" i="3"/>
  <c r="L527" i="3"/>
  <c r="M527" i="3"/>
  <c r="N527" i="3"/>
  <c r="O527" i="3"/>
  <c r="P527" i="3"/>
  <c r="J528" i="3"/>
  <c r="K528" i="3"/>
  <c r="L528" i="3"/>
  <c r="M528" i="3"/>
  <c r="N528" i="3"/>
  <c r="O528" i="3"/>
  <c r="P528" i="3"/>
  <c r="J529" i="3"/>
  <c r="K529" i="3"/>
  <c r="L529" i="3"/>
  <c r="M529" i="3"/>
  <c r="N529" i="3"/>
  <c r="O529" i="3"/>
  <c r="P529" i="3"/>
  <c r="J530" i="3"/>
  <c r="K530" i="3"/>
  <c r="L530" i="3"/>
  <c r="M530" i="3"/>
  <c r="N530" i="3"/>
  <c r="O530" i="3"/>
  <c r="P530" i="3"/>
  <c r="J531" i="3"/>
  <c r="K531" i="3"/>
  <c r="L531" i="3"/>
  <c r="M531" i="3"/>
  <c r="N531" i="3"/>
  <c r="O531" i="3"/>
  <c r="P531" i="3"/>
  <c r="J532" i="3"/>
  <c r="K532" i="3"/>
  <c r="L532" i="3"/>
  <c r="M532" i="3"/>
  <c r="N532" i="3"/>
  <c r="O532" i="3"/>
  <c r="P532" i="3"/>
  <c r="J533" i="3"/>
  <c r="K533" i="3"/>
  <c r="L533" i="3"/>
  <c r="M533" i="3"/>
  <c r="N533" i="3"/>
  <c r="O533" i="3"/>
  <c r="P533" i="3"/>
  <c r="J534" i="3"/>
  <c r="K534" i="3"/>
  <c r="L534" i="3"/>
  <c r="M534" i="3"/>
  <c r="N534" i="3"/>
  <c r="O534" i="3"/>
  <c r="P534" i="3"/>
  <c r="J535" i="3"/>
  <c r="K535" i="3"/>
  <c r="L535" i="3"/>
  <c r="M535" i="3"/>
  <c r="N535" i="3"/>
  <c r="O535" i="3"/>
  <c r="P535" i="3"/>
  <c r="J536" i="3"/>
  <c r="K536" i="3"/>
  <c r="L536" i="3"/>
  <c r="M536" i="3"/>
  <c r="N536" i="3"/>
  <c r="O536" i="3"/>
  <c r="P536" i="3"/>
  <c r="J537" i="3"/>
  <c r="K537" i="3"/>
  <c r="L537" i="3"/>
  <c r="M537" i="3"/>
  <c r="N537" i="3"/>
  <c r="O537" i="3"/>
  <c r="P537" i="3"/>
  <c r="J538" i="3"/>
  <c r="K538" i="3"/>
  <c r="L538" i="3"/>
  <c r="M538" i="3"/>
  <c r="N538" i="3"/>
  <c r="O538" i="3"/>
  <c r="P538" i="3"/>
  <c r="J539" i="3"/>
  <c r="K539" i="3"/>
  <c r="L539" i="3"/>
  <c r="M539" i="3"/>
  <c r="N539" i="3"/>
  <c r="O539" i="3"/>
  <c r="P539" i="3"/>
  <c r="J540" i="3"/>
  <c r="K540" i="3"/>
  <c r="L540" i="3"/>
  <c r="M540" i="3"/>
  <c r="N540" i="3"/>
  <c r="O540" i="3"/>
  <c r="P540" i="3"/>
  <c r="J541" i="3"/>
  <c r="K541" i="3"/>
  <c r="L541" i="3"/>
  <c r="M541" i="3"/>
  <c r="N541" i="3"/>
  <c r="O541" i="3"/>
  <c r="P541" i="3"/>
  <c r="J542" i="3"/>
  <c r="K542" i="3"/>
  <c r="L542" i="3"/>
  <c r="M542" i="3"/>
  <c r="N542" i="3"/>
  <c r="O542" i="3"/>
  <c r="P542" i="3"/>
  <c r="J543" i="3"/>
  <c r="K543" i="3"/>
  <c r="L543" i="3"/>
  <c r="M543" i="3"/>
  <c r="N543" i="3"/>
  <c r="O543" i="3"/>
  <c r="P543" i="3"/>
  <c r="J544" i="3"/>
  <c r="K544" i="3"/>
  <c r="L544" i="3"/>
  <c r="M544" i="3"/>
  <c r="N544" i="3"/>
  <c r="O544" i="3"/>
  <c r="P544" i="3"/>
  <c r="J545" i="3"/>
  <c r="K545" i="3"/>
  <c r="L545" i="3"/>
  <c r="M545" i="3"/>
  <c r="N545" i="3"/>
  <c r="O545" i="3"/>
  <c r="P545" i="3"/>
  <c r="J546" i="3"/>
  <c r="K546" i="3"/>
  <c r="L546" i="3"/>
  <c r="M546" i="3"/>
  <c r="N546" i="3"/>
  <c r="O546" i="3"/>
  <c r="P546" i="3"/>
  <c r="J547" i="3"/>
  <c r="K547" i="3"/>
  <c r="L547" i="3"/>
  <c r="M547" i="3"/>
  <c r="N547" i="3"/>
  <c r="O547" i="3"/>
  <c r="P547" i="3"/>
  <c r="J548" i="3"/>
  <c r="K548" i="3"/>
  <c r="L548" i="3"/>
  <c r="M548" i="3"/>
  <c r="N548" i="3"/>
  <c r="O548" i="3"/>
  <c r="P548" i="3"/>
  <c r="J549" i="3"/>
  <c r="K549" i="3"/>
  <c r="L549" i="3"/>
  <c r="M549" i="3"/>
  <c r="N549" i="3"/>
  <c r="O549" i="3"/>
  <c r="P549" i="3"/>
  <c r="J550" i="3"/>
  <c r="K550" i="3"/>
  <c r="L550" i="3"/>
  <c r="M550" i="3"/>
  <c r="N550" i="3"/>
  <c r="O550" i="3"/>
  <c r="P550" i="3"/>
  <c r="J551" i="3"/>
  <c r="K551" i="3"/>
  <c r="L551" i="3"/>
  <c r="M551" i="3"/>
  <c r="N551" i="3"/>
  <c r="O551" i="3"/>
  <c r="P551" i="3"/>
  <c r="J552" i="3"/>
  <c r="K552" i="3"/>
  <c r="L552" i="3"/>
  <c r="M552" i="3"/>
  <c r="N552" i="3"/>
  <c r="O552" i="3"/>
  <c r="P552" i="3"/>
  <c r="J553" i="3"/>
  <c r="K553" i="3"/>
  <c r="L553" i="3"/>
  <c r="M553" i="3"/>
  <c r="N553" i="3"/>
  <c r="O553" i="3"/>
  <c r="P553" i="3"/>
  <c r="J554" i="3"/>
  <c r="K554" i="3"/>
  <c r="L554" i="3"/>
  <c r="M554" i="3"/>
  <c r="N554" i="3"/>
  <c r="O554" i="3"/>
  <c r="P554" i="3"/>
  <c r="J555" i="3"/>
  <c r="K555" i="3"/>
  <c r="L555" i="3"/>
  <c r="M555" i="3"/>
  <c r="N555" i="3"/>
  <c r="O555" i="3"/>
  <c r="P555" i="3"/>
  <c r="J556" i="3"/>
  <c r="K556" i="3"/>
  <c r="L556" i="3"/>
  <c r="M556" i="3"/>
  <c r="N556" i="3"/>
  <c r="O556" i="3"/>
  <c r="P556" i="3"/>
  <c r="J557" i="3"/>
  <c r="K557" i="3"/>
  <c r="L557" i="3"/>
  <c r="M557" i="3"/>
  <c r="N557" i="3"/>
  <c r="O557" i="3"/>
  <c r="P557" i="3"/>
  <c r="J558" i="3"/>
  <c r="K558" i="3"/>
  <c r="L558" i="3"/>
  <c r="M558" i="3"/>
  <c r="N558" i="3"/>
  <c r="O558" i="3"/>
  <c r="P558" i="3"/>
  <c r="J559" i="3"/>
  <c r="K559" i="3"/>
  <c r="L559" i="3"/>
  <c r="M559" i="3"/>
  <c r="N559" i="3"/>
  <c r="O559" i="3"/>
  <c r="P559" i="3"/>
  <c r="J560" i="3"/>
  <c r="K560" i="3"/>
  <c r="L560" i="3"/>
  <c r="M560" i="3"/>
  <c r="N560" i="3"/>
  <c r="O560" i="3"/>
  <c r="P560" i="3"/>
  <c r="J561" i="3"/>
  <c r="K561" i="3"/>
  <c r="L561" i="3"/>
  <c r="M561" i="3"/>
  <c r="N561" i="3"/>
  <c r="O561" i="3"/>
  <c r="P561" i="3"/>
  <c r="J562" i="3"/>
  <c r="K562" i="3"/>
  <c r="L562" i="3"/>
  <c r="M562" i="3"/>
  <c r="N562" i="3"/>
  <c r="O562" i="3"/>
  <c r="P562" i="3"/>
  <c r="J563" i="3"/>
  <c r="K563" i="3"/>
  <c r="L563" i="3"/>
  <c r="M563" i="3"/>
  <c r="N563" i="3"/>
  <c r="O563" i="3"/>
  <c r="P563" i="3"/>
  <c r="J564" i="3"/>
  <c r="K564" i="3"/>
  <c r="L564" i="3"/>
  <c r="M564" i="3"/>
  <c r="N564" i="3"/>
  <c r="O564" i="3"/>
  <c r="P564" i="3"/>
  <c r="J565" i="3"/>
  <c r="K565" i="3"/>
  <c r="L565" i="3"/>
  <c r="M565" i="3"/>
  <c r="N565" i="3"/>
  <c r="O565" i="3"/>
  <c r="P565" i="3"/>
  <c r="J566" i="3"/>
  <c r="K566" i="3"/>
  <c r="L566" i="3"/>
  <c r="M566" i="3"/>
  <c r="N566" i="3"/>
  <c r="O566" i="3"/>
  <c r="P566" i="3"/>
  <c r="J567" i="3"/>
  <c r="K567" i="3"/>
  <c r="L567" i="3"/>
  <c r="M567" i="3"/>
  <c r="N567" i="3"/>
  <c r="O567" i="3"/>
  <c r="P567" i="3"/>
  <c r="J568" i="3"/>
  <c r="K568" i="3"/>
  <c r="L568" i="3"/>
  <c r="M568" i="3"/>
  <c r="N568" i="3"/>
  <c r="O568" i="3"/>
  <c r="P568" i="3"/>
  <c r="J569" i="3"/>
  <c r="K569" i="3"/>
  <c r="L569" i="3"/>
  <c r="M569" i="3"/>
  <c r="N569" i="3"/>
  <c r="O569" i="3"/>
  <c r="P569" i="3"/>
  <c r="J570" i="3"/>
  <c r="K570" i="3"/>
  <c r="L570" i="3"/>
  <c r="M570" i="3"/>
  <c r="N570" i="3"/>
  <c r="O570" i="3"/>
  <c r="P570" i="3"/>
  <c r="J571" i="3"/>
  <c r="K571" i="3"/>
  <c r="L571" i="3"/>
  <c r="M571" i="3"/>
  <c r="N571" i="3"/>
  <c r="O571" i="3"/>
  <c r="P571" i="3"/>
  <c r="J572" i="3"/>
  <c r="K572" i="3"/>
  <c r="L572" i="3"/>
  <c r="M572" i="3"/>
  <c r="N572" i="3"/>
  <c r="O572" i="3"/>
  <c r="P572" i="3"/>
  <c r="J573" i="3"/>
  <c r="K573" i="3"/>
  <c r="L573" i="3"/>
  <c r="M573" i="3"/>
  <c r="N573" i="3"/>
  <c r="O573" i="3"/>
  <c r="P573" i="3"/>
  <c r="J574" i="3"/>
  <c r="K574" i="3"/>
  <c r="L574" i="3"/>
  <c r="M574" i="3"/>
  <c r="N574" i="3"/>
  <c r="O574" i="3"/>
  <c r="P574" i="3"/>
  <c r="J575" i="3"/>
  <c r="K575" i="3"/>
  <c r="L575" i="3"/>
  <c r="M575" i="3"/>
  <c r="N575" i="3"/>
  <c r="O575" i="3"/>
  <c r="P575" i="3"/>
  <c r="J576" i="3"/>
  <c r="K576" i="3"/>
  <c r="L576" i="3"/>
  <c r="M576" i="3"/>
  <c r="N576" i="3"/>
  <c r="O576" i="3"/>
  <c r="P576" i="3"/>
  <c r="J577" i="3"/>
  <c r="K577" i="3"/>
  <c r="L577" i="3"/>
  <c r="M577" i="3"/>
  <c r="N577" i="3"/>
  <c r="O577" i="3"/>
  <c r="P577" i="3"/>
  <c r="J578" i="3"/>
  <c r="K578" i="3"/>
  <c r="L578" i="3"/>
  <c r="M578" i="3"/>
  <c r="N578" i="3"/>
  <c r="O578" i="3"/>
  <c r="P578" i="3"/>
  <c r="J579" i="3"/>
  <c r="K579" i="3"/>
  <c r="L579" i="3"/>
  <c r="M579" i="3"/>
  <c r="N579" i="3"/>
  <c r="O579" i="3"/>
  <c r="P579" i="3"/>
  <c r="J580" i="3"/>
  <c r="K580" i="3"/>
  <c r="L580" i="3"/>
  <c r="M580" i="3"/>
  <c r="N580" i="3"/>
  <c r="O580" i="3"/>
  <c r="P580" i="3"/>
  <c r="J581" i="3"/>
  <c r="K581" i="3"/>
  <c r="L581" i="3"/>
  <c r="M581" i="3"/>
  <c r="N581" i="3"/>
  <c r="O581" i="3"/>
  <c r="P581" i="3"/>
  <c r="J582" i="3"/>
  <c r="K582" i="3"/>
  <c r="L582" i="3"/>
  <c r="M582" i="3"/>
  <c r="N582" i="3"/>
  <c r="O582" i="3"/>
  <c r="P582" i="3"/>
  <c r="J583" i="3"/>
  <c r="K583" i="3"/>
  <c r="L583" i="3"/>
  <c r="M583" i="3"/>
  <c r="N583" i="3"/>
  <c r="O583" i="3"/>
  <c r="P583" i="3"/>
  <c r="J584" i="3"/>
  <c r="K584" i="3"/>
  <c r="L584" i="3"/>
  <c r="M584" i="3"/>
  <c r="N584" i="3"/>
  <c r="O584" i="3"/>
  <c r="P584" i="3"/>
  <c r="J585" i="3"/>
  <c r="K585" i="3"/>
  <c r="L585" i="3"/>
  <c r="M585" i="3"/>
  <c r="N585" i="3"/>
  <c r="O585" i="3"/>
  <c r="P585" i="3"/>
  <c r="J586" i="3"/>
  <c r="K586" i="3"/>
  <c r="L586" i="3"/>
  <c r="M586" i="3"/>
  <c r="N586" i="3"/>
  <c r="O586" i="3"/>
  <c r="P586" i="3"/>
  <c r="J587" i="3"/>
  <c r="K587" i="3"/>
  <c r="L587" i="3"/>
  <c r="M587" i="3"/>
  <c r="N587" i="3"/>
  <c r="O587" i="3"/>
  <c r="P587" i="3"/>
  <c r="J588" i="3"/>
  <c r="K588" i="3"/>
  <c r="L588" i="3"/>
  <c r="M588" i="3"/>
  <c r="N588" i="3"/>
  <c r="O588" i="3"/>
  <c r="P588" i="3"/>
  <c r="J589" i="3"/>
  <c r="K589" i="3"/>
  <c r="L589" i="3"/>
  <c r="M589" i="3"/>
  <c r="N589" i="3"/>
  <c r="O589" i="3"/>
  <c r="P589" i="3"/>
  <c r="J590" i="3"/>
  <c r="K590" i="3"/>
  <c r="L590" i="3"/>
  <c r="M590" i="3"/>
  <c r="N590" i="3"/>
  <c r="O590" i="3"/>
  <c r="P590" i="3"/>
  <c r="J591" i="3"/>
  <c r="K591" i="3"/>
  <c r="L591" i="3"/>
  <c r="M591" i="3"/>
  <c r="N591" i="3"/>
  <c r="O591" i="3"/>
  <c r="P591" i="3"/>
  <c r="J592" i="3"/>
  <c r="K592" i="3"/>
  <c r="L592" i="3"/>
  <c r="M592" i="3"/>
  <c r="N592" i="3"/>
  <c r="O592" i="3"/>
  <c r="P592" i="3"/>
  <c r="J593" i="3"/>
  <c r="K593" i="3"/>
  <c r="L593" i="3"/>
  <c r="M593" i="3"/>
  <c r="N593" i="3"/>
  <c r="O593" i="3"/>
  <c r="P593" i="3"/>
  <c r="J594" i="3"/>
  <c r="K594" i="3"/>
  <c r="L594" i="3"/>
  <c r="M594" i="3"/>
  <c r="N594" i="3"/>
  <c r="O594" i="3"/>
  <c r="P594" i="3"/>
  <c r="J595" i="3"/>
  <c r="K595" i="3"/>
  <c r="L595" i="3"/>
  <c r="M595" i="3"/>
  <c r="N595" i="3"/>
  <c r="O595" i="3"/>
  <c r="P595" i="3"/>
  <c r="J596" i="3"/>
  <c r="K596" i="3"/>
  <c r="L596" i="3"/>
  <c r="M596" i="3"/>
  <c r="N596" i="3"/>
  <c r="O596" i="3"/>
  <c r="P596" i="3"/>
  <c r="J597" i="3"/>
  <c r="K597" i="3"/>
  <c r="L597" i="3"/>
  <c r="M597" i="3"/>
  <c r="N597" i="3"/>
  <c r="O597" i="3"/>
  <c r="P597" i="3"/>
  <c r="J598" i="3"/>
  <c r="K598" i="3"/>
  <c r="L598" i="3"/>
  <c r="M598" i="3"/>
  <c r="N598" i="3"/>
  <c r="O598" i="3"/>
  <c r="P598" i="3"/>
  <c r="J599" i="3"/>
  <c r="K599" i="3"/>
  <c r="L599" i="3"/>
  <c r="M599" i="3"/>
  <c r="N599" i="3"/>
  <c r="O599" i="3"/>
  <c r="P599" i="3"/>
  <c r="J600" i="3"/>
  <c r="K600" i="3"/>
  <c r="L600" i="3"/>
  <c r="M600" i="3"/>
  <c r="N600" i="3"/>
  <c r="O600" i="3"/>
  <c r="P600" i="3"/>
  <c r="J601" i="3"/>
  <c r="K601" i="3"/>
  <c r="L601" i="3"/>
  <c r="M601" i="3"/>
  <c r="N601" i="3"/>
  <c r="O601" i="3"/>
  <c r="P601" i="3"/>
  <c r="J602" i="3"/>
  <c r="K602" i="3"/>
  <c r="L602" i="3"/>
  <c r="M602" i="3"/>
  <c r="N602" i="3"/>
  <c r="O602" i="3"/>
  <c r="P602" i="3"/>
  <c r="J603" i="3"/>
  <c r="K603" i="3"/>
  <c r="L603" i="3"/>
  <c r="M603" i="3"/>
  <c r="N603" i="3"/>
  <c r="O603" i="3"/>
  <c r="P603" i="3"/>
  <c r="J604" i="3"/>
  <c r="K604" i="3"/>
  <c r="L604" i="3"/>
  <c r="M604" i="3"/>
  <c r="N604" i="3"/>
  <c r="O604" i="3"/>
  <c r="P604" i="3"/>
  <c r="J605" i="3"/>
  <c r="K605" i="3"/>
  <c r="L605" i="3"/>
  <c r="M605" i="3"/>
  <c r="N605" i="3"/>
  <c r="O605" i="3"/>
  <c r="P605" i="3"/>
  <c r="J606" i="3"/>
  <c r="K606" i="3"/>
  <c r="L606" i="3"/>
  <c r="M606" i="3"/>
  <c r="N606" i="3"/>
  <c r="O606" i="3"/>
  <c r="P606" i="3"/>
  <c r="J607" i="3"/>
  <c r="K607" i="3"/>
  <c r="L607" i="3"/>
  <c r="M607" i="3"/>
  <c r="N607" i="3"/>
  <c r="O607" i="3"/>
  <c r="P607" i="3"/>
  <c r="J608" i="3"/>
  <c r="K608" i="3"/>
  <c r="L608" i="3"/>
  <c r="M608" i="3"/>
  <c r="N608" i="3"/>
  <c r="O608" i="3"/>
  <c r="P608" i="3"/>
  <c r="J609" i="3"/>
  <c r="K609" i="3"/>
  <c r="L609" i="3"/>
  <c r="M609" i="3"/>
  <c r="N609" i="3"/>
  <c r="O609" i="3"/>
  <c r="P609" i="3"/>
  <c r="J610" i="3"/>
  <c r="K610" i="3"/>
  <c r="L610" i="3"/>
  <c r="M610" i="3"/>
  <c r="N610" i="3"/>
  <c r="O610" i="3"/>
  <c r="P610" i="3"/>
  <c r="J611" i="3"/>
  <c r="K611" i="3"/>
  <c r="L611" i="3"/>
  <c r="M611" i="3"/>
  <c r="N611" i="3"/>
  <c r="O611" i="3"/>
  <c r="P611" i="3"/>
  <c r="J612" i="3"/>
  <c r="K612" i="3"/>
  <c r="L612" i="3"/>
  <c r="M612" i="3"/>
  <c r="N612" i="3"/>
  <c r="O612" i="3"/>
  <c r="P612" i="3"/>
  <c r="J613" i="3"/>
  <c r="K613" i="3"/>
  <c r="L613" i="3"/>
  <c r="M613" i="3"/>
  <c r="N613" i="3"/>
  <c r="O613" i="3"/>
  <c r="P613" i="3"/>
  <c r="J614" i="3"/>
  <c r="K614" i="3"/>
  <c r="L614" i="3"/>
  <c r="M614" i="3"/>
  <c r="N614" i="3"/>
  <c r="O614" i="3"/>
  <c r="P614" i="3"/>
  <c r="J615" i="3"/>
  <c r="K615" i="3"/>
  <c r="L615" i="3"/>
  <c r="M615" i="3"/>
  <c r="N615" i="3"/>
  <c r="O615" i="3"/>
  <c r="P615" i="3"/>
  <c r="J616" i="3"/>
  <c r="K616" i="3"/>
  <c r="L616" i="3"/>
  <c r="M616" i="3"/>
  <c r="N616" i="3"/>
  <c r="O616" i="3"/>
  <c r="P616" i="3"/>
  <c r="J617" i="3"/>
  <c r="K617" i="3"/>
  <c r="L617" i="3"/>
  <c r="M617" i="3"/>
  <c r="N617" i="3"/>
  <c r="O617" i="3"/>
  <c r="P617" i="3"/>
  <c r="J618" i="3"/>
  <c r="K618" i="3"/>
  <c r="L618" i="3"/>
  <c r="M618" i="3"/>
  <c r="N618" i="3"/>
  <c r="O618" i="3"/>
  <c r="P618" i="3"/>
  <c r="J619" i="3"/>
  <c r="K619" i="3"/>
  <c r="L619" i="3"/>
  <c r="M619" i="3"/>
  <c r="N619" i="3"/>
  <c r="O619" i="3"/>
  <c r="P619" i="3"/>
  <c r="J620" i="3"/>
  <c r="K620" i="3"/>
  <c r="L620" i="3"/>
  <c r="M620" i="3"/>
  <c r="N620" i="3"/>
  <c r="O620" i="3"/>
  <c r="P620" i="3"/>
  <c r="J621" i="3"/>
  <c r="K621" i="3"/>
  <c r="L621" i="3"/>
  <c r="M621" i="3"/>
  <c r="N621" i="3"/>
  <c r="O621" i="3"/>
  <c r="P621" i="3"/>
  <c r="J622" i="3"/>
  <c r="K622" i="3"/>
  <c r="L622" i="3"/>
  <c r="M622" i="3"/>
  <c r="N622" i="3"/>
  <c r="O622" i="3"/>
  <c r="P622" i="3"/>
  <c r="J623" i="3"/>
  <c r="K623" i="3"/>
  <c r="L623" i="3"/>
  <c r="M623" i="3"/>
  <c r="N623" i="3"/>
  <c r="O623" i="3"/>
  <c r="P623" i="3"/>
  <c r="J624" i="3"/>
  <c r="K624" i="3"/>
  <c r="L624" i="3"/>
  <c r="M624" i="3"/>
  <c r="N624" i="3"/>
  <c r="O624" i="3"/>
  <c r="P624" i="3"/>
  <c r="J625" i="3"/>
  <c r="K625" i="3"/>
  <c r="L625" i="3"/>
  <c r="M625" i="3"/>
  <c r="N625" i="3"/>
  <c r="O625" i="3"/>
  <c r="P625" i="3"/>
  <c r="J626" i="3"/>
  <c r="K626" i="3"/>
  <c r="L626" i="3"/>
  <c r="M626" i="3"/>
  <c r="N626" i="3"/>
  <c r="O626" i="3"/>
  <c r="P626" i="3"/>
  <c r="J627" i="3"/>
  <c r="K627" i="3"/>
  <c r="L627" i="3"/>
  <c r="M627" i="3"/>
  <c r="N627" i="3"/>
  <c r="O627" i="3"/>
  <c r="P627" i="3"/>
  <c r="J628" i="3"/>
  <c r="K628" i="3"/>
  <c r="L628" i="3"/>
  <c r="M628" i="3"/>
  <c r="N628" i="3"/>
  <c r="O628" i="3"/>
  <c r="P628" i="3"/>
  <c r="J629" i="3"/>
  <c r="K629" i="3"/>
  <c r="L629" i="3"/>
  <c r="M629" i="3"/>
  <c r="N629" i="3"/>
  <c r="O629" i="3"/>
  <c r="P629" i="3"/>
  <c r="J630" i="3"/>
  <c r="K630" i="3"/>
  <c r="L630" i="3"/>
  <c r="M630" i="3"/>
  <c r="N630" i="3"/>
  <c r="O630" i="3"/>
  <c r="P630" i="3"/>
  <c r="J631" i="3"/>
  <c r="K631" i="3"/>
  <c r="L631" i="3"/>
  <c r="M631" i="3"/>
  <c r="N631" i="3"/>
  <c r="O631" i="3"/>
  <c r="P631" i="3"/>
  <c r="J632" i="3"/>
  <c r="K632" i="3"/>
  <c r="L632" i="3"/>
  <c r="M632" i="3"/>
  <c r="N632" i="3"/>
  <c r="O632" i="3"/>
  <c r="P632" i="3"/>
  <c r="J633" i="3"/>
  <c r="K633" i="3"/>
  <c r="L633" i="3"/>
  <c r="M633" i="3"/>
  <c r="N633" i="3"/>
  <c r="O633" i="3"/>
  <c r="P633" i="3"/>
  <c r="J634" i="3"/>
  <c r="K634" i="3"/>
  <c r="L634" i="3"/>
  <c r="M634" i="3"/>
  <c r="N634" i="3"/>
  <c r="O634" i="3"/>
  <c r="P634" i="3"/>
  <c r="J635" i="3"/>
  <c r="K635" i="3"/>
  <c r="L635" i="3"/>
  <c r="M635" i="3"/>
  <c r="N635" i="3"/>
  <c r="O635" i="3"/>
  <c r="P635" i="3"/>
  <c r="J636" i="3"/>
  <c r="K636" i="3"/>
  <c r="L636" i="3"/>
  <c r="M636" i="3"/>
  <c r="N636" i="3"/>
  <c r="O636" i="3"/>
  <c r="P636" i="3"/>
  <c r="J637" i="3"/>
  <c r="K637" i="3"/>
  <c r="L637" i="3"/>
  <c r="M637" i="3"/>
  <c r="N637" i="3"/>
  <c r="O637" i="3"/>
  <c r="P637" i="3"/>
  <c r="J638" i="3"/>
  <c r="K638" i="3"/>
  <c r="L638" i="3"/>
  <c r="M638" i="3"/>
  <c r="N638" i="3"/>
  <c r="O638" i="3"/>
  <c r="P638" i="3"/>
  <c r="J639" i="3"/>
  <c r="K639" i="3"/>
  <c r="L639" i="3"/>
  <c r="M639" i="3"/>
  <c r="N639" i="3"/>
  <c r="O639" i="3"/>
  <c r="P639" i="3"/>
  <c r="J640" i="3"/>
  <c r="K640" i="3"/>
  <c r="L640" i="3"/>
  <c r="M640" i="3"/>
  <c r="N640" i="3"/>
  <c r="O640" i="3"/>
  <c r="P640" i="3"/>
  <c r="J641" i="3"/>
  <c r="K641" i="3"/>
  <c r="L641" i="3"/>
  <c r="M641" i="3"/>
  <c r="N641" i="3"/>
  <c r="O641" i="3"/>
  <c r="P641" i="3"/>
  <c r="J642" i="3"/>
  <c r="K642" i="3"/>
  <c r="L642" i="3"/>
  <c r="M642" i="3"/>
  <c r="N642" i="3"/>
  <c r="O642" i="3"/>
  <c r="P642" i="3"/>
  <c r="J643" i="3"/>
  <c r="K643" i="3"/>
  <c r="L643" i="3"/>
  <c r="M643" i="3"/>
  <c r="N643" i="3"/>
  <c r="O643" i="3"/>
  <c r="P643" i="3"/>
  <c r="J644" i="3"/>
  <c r="K644" i="3"/>
  <c r="L644" i="3"/>
  <c r="M644" i="3"/>
  <c r="N644" i="3"/>
  <c r="O644" i="3"/>
  <c r="P644" i="3"/>
  <c r="J645" i="3"/>
  <c r="K645" i="3"/>
  <c r="L645" i="3"/>
  <c r="M645" i="3"/>
  <c r="N645" i="3"/>
  <c r="O645" i="3"/>
  <c r="P645" i="3"/>
  <c r="J646" i="3"/>
  <c r="K646" i="3"/>
  <c r="L646" i="3"/>
  <c r="M646" i="3"/>
  <c r="N646" i="3"/>
  <c r="O646" i="3"/>
  <c r="P646" i="3"/>
  <c r="J647" i="3"/>
  <c r="K647" i="3"/>
  <c r="L647" i="3"/>
  <c r="M647" i="3"/>
  <c r="N647" i="3"/>
  <c r="O647" i="3"/>
  <c r="P647" i="3"/>
  <c r="J648" i="3"/>
  <c r="K648" i="3"/>
  <c r="L648" i="3"/>
  <c r="M648" i="3"/>
  <c r="N648" i="3"/>
  <c r="O648" i="3"/>
  <c r="P648" i="3"/>
  <c r="J649" i="3"/>
  <c r="K649" i="3"/>
  <c r="L649" i="3"/>
  <c r="M649" i="3"/>
  <c r="N649" i="3"/>
  <c r="O649" i="3"/>
  <c r="P649" i="3"/>
  <c r="J650" i="3"/>
  <c r="K650" i="3"/>
  <c r="L650" i="3"/>
  <c r="M650" i="3"/>
  <c r="N650" i="3"/>
  <c r="O650" i="3"/>
  <c r="P650" i="3"/>
  <c r="J651" i="3"/>
  <c r="K651" i="3"/>
  <c r="L651" i="3"/>
  <c r="M651" i="3"/>
  <c r="N651" i="3"/>
  <c r="O651" i="3"/>
  <c r="P651" i="3"/>
  <c r="J652" i="3"/>
  <c r="K652" i="3"/>
  <c r="L652" i="3"/>
  <c r="M652" i="3"/>
  <c r="N652" i="3"/>
  <c r="O652" i="3"/>
  <c r="P652" i="3"/>
  <c r="J653" i="3"/>
  <c r="K653" i="3"/>
  <c r="L653" i="3"/>
  <c r="M653" i="3"/>
  <c r="N653" i="3"/>
  <c r="O653" i="3"/>
  <c r="P653" i="3"/>
  <c r="J654" i="3"/>
  <c r="K654" i="3"/>
  <c r="L654" i="3"/>
  <c r="M654" i="3"/>
  <c r="N654" i="3"/>
  <c r="O654" i="3"/>
  <c r="P654" i="3"/>
  <c r="J655" i="3"/>
  <c r="K655" i="3"/>
  <c r="L655" i="3"/>
  <c r="M655" i="3"/>
  <c r="N655" i="3"/>
  <c r="O655" i="3"/>
  <c r="P655" i="3"/>
  <c r="J656" i="3"/>
  <c r="K656" i="3"/>
  <c r="L656" i="3"/>
  <c r="M656" i="3"/>
  <c r="N656" i="3"/>
  <c r="O656" i="3"/>
  <c r="P656" i="3"/>
  <c r="J657" i="3"/>
  <c r="K657" i="3"/>
  <c r="L657" i="3"/>
  <c r="M657" i="3"/>
  <c r="N657" i="3"/>
  <c r="O657" i="3"/>
  <c r="P657" i="3"/>
  <c r="J658" i="3"/>
  <c r="K658" i="3"/>
  <c r="L658" i="3"/>
  <c r="M658" i="3"/>
  <c r="N658" i="3"/>
  <c r="O658" i="3"/>
  <c r="P658" i="3"/>
  <c r="J659" i="3"/>
  <c r="K659" i="3"/>
  <c r="L659" i="3"/>
  <c r="M659" i="3"/>
  <c r="N659" i="3"/>
  <c r="O659" i="3"/>
  <c r="P659" i="3"/>
  <c r="J660" i="3"/>
  <c r="K660" i="3"/>
  <c r="L660" i="3"/>
  <c r="M660" i="3"/>
  <c r="N660" i="3"/>
  <c r="O660" i="3"/>
  <c r="P660" i="3"/>
  <c r="J661" i="3"/>
  <c r="K661" i="3"/>
  <c r="L661" i="3"/>
  <c r="M661" i="3"/>
  <c r="N661" i="3"/>
  <c r="O661" i="3"/>
  <c r="P661" i="3"/>
  <c r="J662" i="3"/>
  <c r="K662" i="3"/>
  <c r="L662" i="3"/>
  <c r="M662" i="3"/>
  <c r="N662" i="3"/>
  <c r="O662" i="3"/>
  <c r="P662" i="3"/>
  <c r="J663" i="3"/>
  <c r="K663" i="3"/>
  <c r="L663" i="3"/>
  <c r="M663" i="3"/>
  <c r="N663" i="3"/>
  <c r="O663" i="3"/>
  <c r="P663" i="3"/>
  <c r="J664" i="3"/>
  <c r="K664" i="3"/>
  <c r="L664" i="3"/>
  <c r="M664" i="3"/>
  <c r="N664" i="3"/>
  <c r="O664" i="3"/>
  <c r="P664" i="3"/>
  <c r="J665" i="3"/>
  <c r="K665" i="3"/>
  <c r="L665" i="3"/>
  <c r="M665" i="3"/>
  <c r="N665" i="3"/>
  <c r="O665" i="3"/>
  <c r="P665" i="3"/>
  <c r="J666" i="3"/>
  <c r="K666" i="3"/>
  <c r="L666" i="3"/>
  <c r="M666" i="3"/>
  <c r="N666" i="3"/>
  <c r="O666" i="3"/>
  <c r="P666" i="3"/>
  <c r="J667" i="3"/>
  <c r="K667" i="3"/>
  <c r="L667" i="3"/>
  <c r="M667" i="3"/>
  <c r="N667" i="3"/>
  <c r="O667" i="3"/>
  <c r="P667" i="3"/>
  <c r="J668" i="3"/>
  <c r="K668" i="3"/>
  <c r="L668" i="3"/>
  <c r="M668" i="3"/>
  <c r="N668" i="3"/>
  <c r="O668" i="3"/>
  <c r="P668" i="3"/>
  <c r="J669" i="3"/>
  <c r="K669" i="3"/>
  <c r="L669" i="3"/>
  <c r="M669" i="3"/>
  <c r="N669" i="3"/>
  <c r="O669" i="3"/>
  <c r="P669" i="3"/>
  <c r="J670" i="3"/>
  <c r="K670" i="3"/>
  <c r="L670" i="3"/>
  <c r="M670" i="3"/>
  <c r="N670" i="3"/>
  <c r="O670" i="3"/>
  <c r="P670" i="3"/>
  <c r="J671" i="3"/>
  <c r="K671" i="3"/>
  <c r="L671" i="3"/>
  <c r="M671" i="3"/>
  <c r="N671" i="3"/>
  <c r="O671" i="3"/>
  <c r="P671" i="3"/>
  <c r="J672" i="3"/>
  <c r="K672" i="3"/>
  <c r="L672" i="3"/>
  <c r="M672" i="3"/>
  <c r="N672" i="3"/>
  <c r="O672" i="3"/>
  <c r="P672" i="3"/>
  <c r="J673" i="3"/>
  <c r="K673" i="3"/>
  <c r="L673" i="3"/>
  <c r="M673" i="3"/>
  <c r="N673" i="3"/>
  <c r="O673" i="3"/>
  <c r="P673" i="3"/>
  <c r="J674" i="3"/>
  <c r="K674" i="3"/>
  <c r="L674" i="3"/>
  <c r="M674" i="3"/>
  <c r="N674" i="3"/>
  <c r="O674" i="3"/>
  <c r="P674" i="3"/>
  <c r="J675" i="3"/>
  <c r="K675" i="3"/>
  <c r="L675" i="3"/>
  <c r="M675" i="3"/>
  <c r="N675" i="3"/>
  <c r="O675" i="3"/>
  <c r="P675" i="3"/>
  <c r="J676" i="3"/>
  <c r="K676" i="3"/>
  <c r="L676" i="3"/>
  <c r="M676" i="3"/>
  <c r="N676" i="3"/>
  <c r="O676" i="3"/>
  <c r="P676" i="3"/>
  <c r="J677" i="3"/>
  <c r="K677" i="3"/>
  <c r="L677" i="3"/>
  <c r="M677" i="3"/>
  <c r="N677" i="3"/>
  <c r="O677" i="3"/>
  <c r="P677" i="3"/>
  <c r="J678" i="3"/>
  <c r="K678" i="3"/>
  <c r="L678" i="3"/>
  <c r="M678" i="3"/>
  <c r="N678" i="3"/>
  <c r="O678" i="3"/>
  <c r="P678" i="3"/>
  <c r="J679" i="3"/>
  <c r="K679" i="3"/>
  <c r="L679" i="3"/>
  <c r="M679" i="3"/>
  <c r="N679" i="3"/>
  <c r="O679" i="3"/>
  <c r="P679" i="3"/>
  <c r="J680" i="3"/>
  <c r="K680" i="3"/>
  <c r="L680" i="3"/>
  <c r="M680" i="3"/>
  <c r="N680" i="3"/>
  <c r="O680" i="3"/>
  <c r="P680" i="3"/>
  <c r="J681" i="3"/>
  <c r="K681" i="3"/>
  <c r="L681" i="3"/>
  <c r="M681" i="3"/>
  <c r="N681" i="3"/>
  <c r="O681" i="3"/>
  <c r="P681" i="3"/>
  <c r="J682" i="3"/>
  <c r="K682" i="3"/>
  <c r="L682" i="3"/>
  <c r="M682" i="3"/>
  <c r="N682" i="3"/>
  <c r="O682" i="3"/>
  <c r="P682" i="3"/>
  <c r="J683" i="3"/>
  <c r="K683" i="3"/>
  <c r="L683" i="3"/>
  <c r="M683" i="3"/>
  <c r="N683" i="3"/>
  <c r="O683" i="3"/>
  <c r="P683" i="3"/>
  <c r="J684" i="3"/>
  <c r="K684" i="3"/>
  <c r="L684" i="3"/>
  <c r="M684" i="3"/>
  <c r="N684" i="3"/>
  <c r="O684" i="3"/>
  <c r="P684" i="3"/>
  <c r="J685" i="3"/>
  <c r="K685" i="3"/>
  <c r="L685" i="3"/>
  <c r="M685" i="3"/>
  <c r="N685" i="3"/>
  <c r="O685" i="3"/>
  <c r="P685" i="3"/>
  <c r="J686" i="3"/>
  <c r="K686" i="3"/>
  <c r="L686" i="3"/>
  <c r="M686" i="3"/>
  <c r="N686" i="3"/>
  <c r="O686" i="3"/>
  <c r="P686" i="3"/>
  <c r="J687" i="3"/>
  <c r="K687" i="3"/>
  <c r="L687" i="3"/>
  <c r="M687" i="3"/>
  <c r="N687" i="3"/>
  <c r="O687" i="3"/>
  <c r="P687" i="3"/>
  <c r="J688" i="3"/>
  <c r="K688" i="3"/>
  <c r="L688" i="3"/>
  <c r="M688" i="3"/>
  <c r="N688" i="3"/>
  <c r="O688" i="3"/>
  <c r="P688" i="3"/>
  <c r="J689" i="3"/>
  <c r="K689" i="3"/>
  <c r="L689" i="3"/>
  <c r="M689" i="3"/>
  <c r="N689" i="3"/>
  <c r="O689" i="3"/>
  <c r="P689" i="3"/>
  <c r="J690" i="3"/>
  <c r="K690" i="3"/>
  <c r="L690" i="3"/>
  <c r="M690" i="3"/>
  <c r="N690" i="3"/>
  <c r="O690" i="3"/>
  <c r="P690" i="3"/>
  <c r="J691" i="3"/>
  <c r="K691" i="3"/>
  <c r="L691" i="3"/>
  <c r="M691" i="3"/>
  <c r="N691" i="3"/>
  <c r="O691" i="3"/>
  <c r="P691" i="3"/>
  <c r="J692" i="3"/>
  <c r="K692" i="3"/>
  <c r="L692" i="3"/>
  <c r="M692" i="3"/>
  <c r="N692" i="3"/>
  <c r="O692" i="3"/>
  <c r="P692" i="3"/>
  <c r="J693" i="3"/>
  <c r="K693" i="3"/>
  <c r="L693" i="3"/>
  <c r="M693" i="3"/>
  <c r="N693" i="3"/>
  <c r="O693" i="3"/>
  <c r="P693" i="3"/>
  <c r="J694" i="3"/>
  <c r="K694" i="3"/>
  <c r="L694" i="3"/>
  <c r="M694" i="3"/>
  <c r="N694" i="3"/>
  <c r="O694" i="3"/>
  <c r="P694" i="3"/>
  <c r="J695" i="3"/>
  <c r="K695" i="3"/>
  <c r="L695" i="3"/>
  <c r="M695" i="3"/>
  <c r="N695" i="3"/>
  <c r="O695" i="3"/>
  <c r="P695" i="3"/>
  <c r="J696" i="3"/>
  <c r="K696" i="3"/>
  <c r="L696" i="3"/>
  <c r="M696" i="3"/>
  <c r="N696" i="3"/>
  <c r="O696" i="3"/>
  <c r="P696" i="3"/>
  <c r="J697" i="3"/>
  <c r="K697" i="3"/>
  <c r="L697" i="3"/>
  <c r="M697" i="3"/>
  <c r="N697" i="3"/>
  <c r="O697" i="3"/>
  <c r="P697" i="3"/>
  <c r="J698" i="3"/>
  <c r="K698" i="3"/>
  <c r="L698" i="3"/>
  <c r="M698" i="3"/>
  <c r="N698" i="3"/>
  <c r="O698" i="3"/>
  <c r="P698" i="3"/>
  <c r="J699" i="3"/>
  <c r="K699" i="3"/>
  <c r="L699" i="3"/>
  <c r="M699" i="3"/>
  <c r="N699" i="3"/>
  <c r="O699" i="3"/>
  <c r="P699" i="3"/>
  <c r="J700" i="3"/>
  <c r="K700" i="3"/>
  <c r="L700" i="3"/>
  <c r="M700" i="3"/>
  <c r="N700" i="3"/>
  <c r="O700" i="3"/>
  <c r="P700" i="3"/>
  <c r="J701" i="3"/>
  <c r="K701" i="3"/>
  <c r="L701" i="3"/>
  <c r="M701" i="3"/>
  <c r="N701" i="3"/>
  <c r="O701" i="3"/>
  <c r="P701" i="3"/>
  <c r="J702" i="3"/>
  <c r="K702" i="3"/>
  <c r="L702" i="3"/>
  <c r="M702" i="3"/>
  <c r="N702" i="3"/>
  <c r="O702" i="3"/>
  <c r="P702" i="3"/>
  <c r="J703" i="3"/>
  <c r="K703" i="3"/>
  <c r="L703" i="3"/>
  <c r="M703" i="3"/>
  <c r="N703" i="3"/>
  <c r="O703" i="3"/>
  <c r="P703" i="3"/>
  <c r="J704" i="3"/>
  <c r="K704" i="3"/>
  <c r="L704" i="3"/>
  <c r="M704" i="3"/>
  <c r="N704" i="3"/>
  <c r="O704" i="3"/>
  <c r="P704" i="3"/>
  <c r="J705" i="3"/>
  <c r="K705" i="3"/>
  <c r="L705" i="3"/>
  <c r="M705" i="3"/>
  <c r="N705" i="3"/>
  <c r="O705" i="3"/>
  <c r="P705" i="3"/>
  <c r="J706" i="3"/>
  <c r="K706" i="3"/>
  <c r="L706" i="3"/>
  <c r="M706" i="3"/>
  <c r="N706" i="3"/>
  <c r="O706" i="3"/>
  <c r="P706" i="3"/>
  <c r="J707" i="3"/>
  <c r="K707" i="3"/>
  <c r="L707" i="3"/>
  <c r="M707" i="3"/>
  <c r="N707" i="3"/>
  <c r="O707" i="3"/>
  <c r="P707" i="3"/>
  <c r="J708" i="3"/>
  <c r="K708" i="3"/>
  <c r="L708" i="3"/>
  <c r="M708" i="3"/>
  <c r="N708" i="3"/>
  <c r="O708" i="3"/>
  <c r="P708" i="3"/>
  <c r="J709" i="3"/>
  <c r="K709" i="3"/>
  <c r="L709" i="3"/>
  <c r="M709" i="3"/>
  <c r="N709" i="3"/>
  <c r="O709" i="3"/>
  <c r="P709" i="3"/>
  <c r="J710" i="3"/>
  <c r="K710" i="3"/>
  <c r="L710" i="3"/>
  <c r="M710" i="3"/>
  <c r="N710" i="3"/>
  <c r="O710" i="3"/>
  <c r="P710" i="3"/>
  <c r="J711" i="3"/>
  <c r="K711" i="3"/>
  <c r="L711" i="3"/>
  <c r="M711" i="3"/>
  <c r="N711" i="3"/>
  <c r="O711" i="3"/>
  <c r="P711" i="3"/>
  <c r="J712" i="3"/>
  <c r="K712" i="3"/>
  <c r="L712" i="3"/>
  <c r="M712" i="3"/>
  <c r="N712" i="3"/>
  <c r="O712" i="3"/>
  <c r="P712" i="3"/>
  <c r="J713" i="3"/>
  <c r="K713" i="3"/>
  <c r="L713" i="3"/>
  <c r="M713" i="3"/>
  <c r="N713" i="3"/>
  <c r="O713" i="3"/>
  <c r="P713" i="3"/>
  <c r="J714" i="3"/>
  <c r="K714" i="3"/>
  <c r="L714" i="3"/>
  <c r="M714" i="3"/>
  <c r="N714" i="3"/>
  <c r="O714" i="3"/>
  <c r="P714" i="3"/>
  <c r="J715" i="3"/>
  <c r="K715" i="3"/>
  <c r="L715" i="3"/>
  <c r="M715" i="3"/>
  <c r="N715" i="3"/>
  <c r="O715" i="3"/>
  <c r="P715" i="3"/>
  <c r="J716" i="3"/>
  <c r="K716" i="3"/>
  <c r="L716" i="3"/>
  <c r="M716" i="3"/>
  <c r="N716" i="3"/>
  <c r="O716" i="3"/>
  <c r="P716" i="3"/>
  <c r="J717" i="3"/>
  <c r="K717" i="3"/>
  <c r="L717" i="3"/>
  <c r="M717" i="3"/>
  <c r="N717" i="3"/>
  <c r="O717" i="3"/>
  <c r="P717" i="3"/>
  <c r="J718" i="3"/>
  <c r="K718" i="3"/>
  <c r="L718" i="3"/>
  <c r="M718" i="3"/>
  <c r="N718" i="3"/>
  <c r="O718" i="3"/>
  <c r="P718" i="3"/>
  <c r="J719" i="3"/>
  <c r="K719" i="3"/>
  <c r="L719" i="3"/>
  <c r="M719" i="3"/>
  <c r="N719" i="3"/>
  <c r="O719" i="3"/>
  <c r="P719" i="3"/>
  <c r="J720" i="3"/>
  <c r="K720" i="3"/>
  <c r="L720" i="3"/>
  <c r="M720" i="3"/>
  <c r="N720" i="3"/>
  <c r="O720" i="3"/>
  <c r="P720" i="3"/>
  <c r="J721" i="3"/>
  <c r="K721" i="3"/>
  <c r="L721" i="3"/>
  <c r="M721" i="3"/>
  <c r="N721" i="3"/>
  <c r="O721" i="3"/>
  <c r="P721" i="3"/>
  <c r="J722" i="3"/>
  <c r="K722" i="3"/>
  <c r="L722" i="3"/>
  <c r="M722" i="3"/>
  <c r="N722" i="3"/>
  <c r="O722" i="3"/>
  <c r="P722" i="3"/>
  <c r="J723" i="3"/>
  <c r="K723" i="3"/>
  <c r="L723" i="3"/>
  <c r="M723" i="3"/>
  <c r="N723" i="3"/>
  <c r="O723" i="3"/>
  <c r="P723" i="3"/>
  <c r="J724" i="3"/>
  <c r="K724" i="3"/>
  <c r="L724" i="3"/>
  <c r="M724" i="3"/>
  <c r="N724" i="3"/>
  <c r="O724" i="3"/>
  <c r="P724" i="3"/>
  <c r="J725" i="3"/>
  <c r="K725" i="3"/>
  <c r="L725" i="3"/>
  <c r="M725" i="3"/>
  <c r="N725" i="3"/>
  <c r="O725" i="3"/>
  <c r="P725" i="3"/>
  <c r="J726" i="3"/>
  <c r="K726" i="3"/>
  <c r="L726" i="3"/>
  <c r="M726" i="3"/>
  <c r="N726" i="3"/>
  <c r="O726" i="3"/>
  <c r="P726" i="3"/>
  <c r="J727" i="3"/>
  <c r="K727" i="3"/>
  <c r="L727" i="3"/>
  <c r="M727" i="3"/>
  <c r="N727" i="3"/>
  <c r="O727" i="3"/>
  <c r="P727" i="3"/>
  <c r="J728" i="3"/>
  <c r="K728" i="3"/>
  <c r="L728" i="3"/>
  <c r="M728" i="3"/>
  <c r="N728" i="3"/>
  <c r="O728" i="3"/>
  <c r="P728" i="3"/>
  <c r="J729" i="3"/>
  <c r="K729" i="3"/>
  <c r="L729" i="3"/>
  <c r="M729" i="3"/>
  <c r="N729" i="3"/>
  <c r="O729" i="3"/>
  <c r="P729" i="3"/>
  <c r="J730" i="3"/>
  <c r="K730" i="3"/>
  <c r="L730" i="3"/>
  <c r="M730" i="3"/>
  <c r="N730" i="3"/>
  <c r="O730" i="3"/>
  <c r="P730" i="3"/>
  <c r="J731" i="3"/>
  <c r="K731" i="3"/>
  <c r="L731" i="3"/>
  <c r="M731" i="3"/>
  <c r="N731" i="3"/>
  <c r="O731" i="3"/>
  <c r="P731" i="3"/>
  <c r="J732" i="3"/>
  <c r="K732" i="3"/>
  <c r="L732" i="3"/>
  <c r="M732" i="3"/>
  <c r="N732" i="3"/>
  <c r="O732" i="3"/>
  <c r="P732" i="3"/>
  <c r="J733" i="3"/>
  <c r="K733" i="3"/>
  <c r="L733" i="3"/>
  <c r="M733" i="3"/>
  <c r="N733" i="3"/>
  <c r="O733" i="3"/>
  <c r="P733" i="3"/>
  <c r="J734" i="3"/>
  <c r="K734" i="3"/>
  <c r="L734" i="3"/>
  <c r="M734" i="3"/>
  <c r="N734" i="3"/>
  <c r="O734" i="3"/>
  <c r="P734" i="3"/>
  <c r="J735" i="3"/>
  <c r="K735" i="3"/>
  <c r="L735" i="3"/>
  <c r="M735" i="3"/>
  <c r="N735" i="3"/>
  <c r="O735" i="3"/>
  <c r="P735" i="3"/>
  <c r="J736" i="3"/>
  <c r="K736" i="3"/>
  <c r="L736" i="3"/>
  <c r="M736" i="3"/>
  <c r="N736" i="3"/>
  <c r="O736" i="3"/>
  <c r="P736" i="3"/>
  <c r="J737" i="3"/>
  <c r="K737" i="3"/>
  <c r="L737" i="3"/>
  <c r="M737" i="3"/>
  <c r="N737" i="3"/>
  <c r="O737" i="3"/>
  <c r="P737" i="3"/>
  <c r="J738" i="3"/>
  <c r="K738" i="3"/>
  <c r="L738" i="3"/>
  <c r="M738" i="3"/>
  <c r="N738" i="3"/>
  <c r="O738" i="3"/>
  <c r="P738" i="3"/>
  <c r="J739" i="3"/>
  <c r="K739" i="3"/>
  <c r="L739" i="3"/>
  <c r="M739" i="3"/>
  <c r="N739" i="3"/>
  <c r="O739" i="3"/>
  <c r="P739" i="3"/>
  <c r="J740" i="3"/>
  <c r="K740" i="3"/>
  <c r="L740" i="3"/>
  <c r="M740" i="3"/>
  <c r="N740" i="3"/>
  <c r="O740" i="3"/>
  <c r="P740" i="3"/>
  <c r="J741" i="3"/>
  <c r="K741" i="3"/>
  <c r="L741" i="3"/>
  <c r="M741" i="3"/>
  <c r="N741" i="3"/>
  <c r="O741" i="3"/>
  <c r="P741" i="3"/>
  <c r="J742" i="3"/>
  <c r="K742" i="3"/>
  <c r="L742" i="3"/>
  <c r="M742" i="3"/>
  <c r="N742" i="3"/>
  <c r="O742" i="3"/>
  <c r="P742" i="3"/>
  <c r="J743" i="3"/>
  <c r="K743" i="3"/>
  <c r="L743" i="3"/>
  <c r="M743" i="3"/>
  <c r="N743" i="3"/>
  <c r="O743" i="3"/>
  <c r="P74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<sst xmlns="http://schemas.openxmlformats.org/spreadsheetml/2006/main" count="7780" uniqueCount="2886">
  <si>
    <t>ID</t>
  </si>
  <si>
    <t>Naam</t>
  </si>
  <si>
    <t>Voornaam</t>
  </si>
  <si>
    <t>Geslacht</t>
  </si>
  <si>
    <t>Geboortedatum</t>
  </si>
  <si>
    <t>Straat</t>
  </si>
  <si>
    <t>Huisnummer</t>
  </si>
  <si>
    <t>Busnummer</t>
  </si>
  <si>
    <t>Postcode</t>
  </si>
  <si>
    <t>Gemeente</t>
  </si>
  <si>
    <t>Land</t>
  </si>
  <si>
    <t>Nationaliteit</t>
  </si>
  <si>
    <t>Beroep</t>
  </si>
  <si>
    <t>E-mail 1 type</t>
  </si>
  <si>
    <t>E-mail 1</t>
  </si>
  <si>
    <t>E-mail 2 type</t>
  </si>
  <si>
    <t>E-mail 2</t>
  </si>
  <si>
    <t>E-mail 3 type</t>
  </si>
  <si>
    <t>E-mail 3</t>
  </si>
  <si>
    <t>Mobiel 1 type</t>
  </si>
  <si>
    <t>Mobiel 1</t>
  </si>
  <si>
    <t>Mobiel 2 type</t>
  </si>
  <si>
    <t>Mobiel 2</t>
  </si>
  <si>
    <t>Mobiel 3 type</t>
  </si>
  <si>
    <t>Mobiel 3</t>
  </si>
  <si>
    <t>Telefoon</t>
  </si>
  <si>
    <t>Rekeningnummer</t>
  </si>
  <si>
    <t>Rijksregisternummer</t>
  </si>
  <si>
    <t>Rugnummer</t>
  </si>
  <si>
    <t>Profielfoto</t>
  </si>
  <si>
    <t>Relation ID invoicing (Export / Octopus)</t>
  </si>
  <si>
    <t>Lidnummer Basket Vlaanderen</t>
  </si>
  <si>
    <t>Club name</t>
  </si>
  <si>
    <t>Club function</t>
  </si>
  <si>
    <t>2026-2027</t>
  </si>
  <si>
    <t>2026-2027 Functie</t>
  </si>
  <si>
    <t>Committee</t>
  </si>
  <si>
    <t>Adam</t>
  </si>
  <si>
    <t>Koen</t>
  </si>
  <si>
    <t>nl</t>
  </si>
  <si>
    <t>M</t>
  </si>
  <si>
    <t>07/05/1978</t>
  </si>
  <si>
    <t>Braambrugstraat</t>
  </si>
  <si>
    <t>Oudenaarde</t>
  </si>
  <si>
    <t>Belgium</t>
  </si>
  <si>
    <t>BE</t>
  </si>
  <si>
    <t>Persoonlijk</t>
  </si>
  <si>
    <t>koenadam78@gmail.com</t>
  </si>
  <si>
    <t>Lily</t>
  </si>
  <si>
    <t>F</t>
  </si>
  <si>
    <t>07/05/2010</t>
  </si>
  <si>
    <t>Vader</t>
  </si>
  <si>
    <t>Koenadam78@gmail.com</t>
  </si>
  <si>
    <t>Moeder</t>
  </si>
  <si>
    <t>Freya.spiessens@gmail.com</t>
  </si>
  <si>
    <t>0476837352</t>
  </si>
  <si>
    <t>Dochter</t>
  </si>
  <si>
    <t>0456558867</t>
  </si>
  <si>
    <t>10.05.07-190.68</t>
  </si>
  <si>
    <t>https://app.twizzit.com/public/photos/2182441/s/eec7946e1a9e80461f26752840c4aedc7d235bab.jpeg</t>
  </si>
  <si>
    <t>DSE A Haantjes Certifisc Oudenaarde</t>
  </si>
  <si>
    <t>Speler</t>
  </si>
  <si>
    <t>Clubrefs (Clubref)</t>
  </si>
  <si>
    <t>Zomerstage 2026 (Blankenberge)</t>
  </si>
  <si>
    <t xml:space="preserve">Trainerspoule </t>
  </si>
  <si>
    <t>Coach</t>
  </si>
  <si>
    <t>Alia</t>
  </si>
  <si>
    <t>Enida</t>
  </si>
  <si>
    <t>22/05/2017</t>
  </si>
  <si>
    <t>Broekstraat</t>
  </si>
  <si>
    <t>elidona.eni@gmail.com</t>
  </si>
  <si>
    <t>00499284650</t>
  </si>
  <si>
    <t>Kledion</t>
  </si>
  <si>
    <t>23/09/2013</t>
  </si>
  <si>
    <t>https://app.twizzit.com/public/photos/2650601/s/f885f644ea63bcfe0579c08cf537df8dcbb43ecc.png</t>
  </si>
  <si>
    <t>G14 A Haantjes CERTIFISC Oudenaarde</t>
  </si>
  <si>
    <t>Altruy</t>
  </si>
  <si>
    <t>Kors</t>
  </si>
  <si>
    <t>19/07/2014</t>
  </si>
  <si>
    <t>Markettestraat</t>
  </si>
  <si>
    <t>David.altruy@outlook.be</t>
  </si>
  <si>
    <t>0479873979</t>
  </si>
  <si>
    <t>14.07.19-211.76</t>
  </si>
  <si>
    <t>G14 B Haantjes CERTIFISC Oudenaarde</t>
  </si>
  <si>
    <t>Lenn</t>
  </si>
  <si>
    <t>27/02/2017</t>
  </si>
  <si>
    <t>11.07.27-323.43</t>
  </si>
  <si>
    <t>Zomerstage 2026 U10 &amp; U12 (Oudenaarde)</t>
  </si>
  <si>
    <t>G10 Geel HAANTJES CERTIFISC OUDENAARDE</t>
  </si>
  <si>
    <t>Ameloot-Vanhove</t>
  </si>
  <si>
    <t>Isa</t>
  </si>
  <si>
    <t>22/02/2012</t>
  </si>
  <si>
    <t>Baarstraat</t>
  </si>
  <si>
    <t>sofie.ameloot@huurland.be</t>
  </si>
  <si>
    <t>0483203613</t>
  </si>
  <si>
    <t>0478210216</t>
  </si>
  <si>
    <t>https://app.twizzit.com/public/photos/5115343/s/0e6908415a8d44c9a80019c8bc87b39596577cc5.jpeg</t>
  </si>
  <si>
    <t>M16 A Haantjes CERTIFISC  Oudenaarde</t>
  </si>
  <si>
    <t>Anar</t>
  </si>
  <si>
    <t>Arsen</t>
  </si>
  <si>
    <t>04/05/2016</t>
  </si>
  <si>
    <t>Ohiostraat</t>
  </si>
  <si>
    <t>16.05.04-489.82</t>
  </si>
  <si>
    <t>https://app.twizzit.com/public/photos/11272034/s/339c8f61eeb207a0a7ef82edab3f88fc90d76b77.jpeg</t>
  </si>
  <si>
    <t>G12 Blauw HAANTJES CERTIFISC OUDENAARDE</t>
  </si>
  <si>
    <t>Mark</t>
  </si>
  <si>
    <t>16.05.04-491.80</t>
  </si>
  <si>
    <t>https://app.twizzit.com/public/photos/11272030/s/d97169c55e4278dd5f5452138091d993430ca8ab.jpeg</t>
  </si>
  <si>
    <t>Marsel</t>
  </si>
  <si>
    <t>16.05.04-493.78</t>
  </si>
  <si>
    <t>https://app.twizzit.com/public/photos/11272039/s/667db68e153309a064042452d0f619e8acb011fa.jpeg</t>
  </si>
  <si>
    <t>Anseeuw</t>
  </si>
  <si>
    <t>Bent</t>
  </si>
  <si>
    <t>30/06/2010</t>
  </si>
  <si>
    <t>Dorpsstraat</t>
  </si>
  <si>
    <t>matthias.anseeuw@telenet.be</t>
  </si>
  <si>
    <t>Zoon</t>
  </si>
  <si>
    <t>bent.anseeuw@gmail.com</t>
  </si>
  <si>
    <t>0497023380</t>
  </si>
  <si>
    <t>0459412728</t>
  </si>
  <si>
    <t>https://app.twizzit.com/public/photos/2182451/s/d40702514c4affc118f06eee4555b1ca966c4e65.png</t>
  </si>
  <si>
    <t>J18 B Haantjes CERTIFISC Oudenaarde</t>
  </si>
  <si>
    <t>Mare</t>
  </si>
  <si>
    <t>17/02/2014</t>
  </si>
  <si>
    <t>Dorpstraat</t>
  </si>
  <si>
    <t>14.02.17-334.75</t>
  </si>
  <si>
    <t>https://app.twizzit.com/public/photos/2182456/s/112b54676bd1e925e699cce3ec7a25a94902a3a2.png</t>
  </si>
  <si>
    <t>M14 A Haantjes CERTIFISC  Oudenaarde</t>
  </si>
  <si>
    <t>Senn</t>
  </si>
  <si>
    <t>15/05/2018</t>
  </si>
  <si>
    <t>https://app.twizzit.com/public/photos/4421954/s/39c1d6c08bc84b336f4c340a175719810e926066.png</t>
  </si>
  <si>
    <t>G10 Blauw HAANTJES CERTIFISC OUDENAARDE</t>
  </si>
  <si>
    <t>Apostolescu</t>
  </si>
  <si>
    <t>Vlad Alexandru</t>
  </si>
  <si>
    <t>06/03/1996</t>
  </si>
  <si>
    <t>Nieuwe Brugstraat</t>
  </si>
  <si>
    <t>Ronse</t>
  </si>
  <si>
    <t>96.03.06-191.17</t>
  </si>
  <si>
    <t>Arickx</t>
  </si>
  <si>
    <t>Joao</t>
  </si>
  <si>
    <t>13/04/2011</t>
  </si>
  <si>
    <t>Nestor de Tièrestraat</t>
  </si>
  <si>
    <t>11.04.13-143.46</t>
  </si>
  <si>
    <t>J16 B Haantjes CERTIFISC Oudenaarde</t>
  </si>
  <si>
    <t>Baert</t>
  </si>
  <si>
    <t>Jasper</t>
  </si>
  <si>
    <t>11/05/2012</t>
  </si>
  <si>
    <t>Sneppestraat</t>
  </si>
  <si>
    <t>baert_stijn@hotmail.com</t>
  </si>
  <si>
    <t>12.05.11-117.63</t>
  </si>
  <si>
    <t>https://app.twizzit.com/public/photos/2650780/s/77c3f1ac992ce48307c6c7ab431ab89e2bd37774.png</t>
  </si>
  <si>
    <t>Balcaen</t>
  </si>
  <si>
    <t>Christopher</t>
  </si>
  <si>
    <t>20/04/1995</t>
  </si>
  <si>
    <t>0474072810</t>
  </si>
  <si>
    <t>https://app.twizzit.com/public/photos/6349669/s/f1a8e75d54553d15234adcd3add0a63b193557cd.png</t>
  </si>
  <si>
    <t>Bauters</t>
  </si>
  <si>
    <t>Bo</t>
  </si>
  <si>
    <t>01/09/2017</t>
  </si>
  <si>
    <t>Ouwerkerkstraat</t>
  </si>
  <si>
    <t>Jurgenbauters@gmail.com</t>
  </si>
  <si>
    <t>0497533520</t>
  </si>
  <si>
    <t>17.09.01-092.36</t>
  </si>
  <si>
    <t>https://app.twizzit.com/public/photos/3472864/s/02d5da48533f12868f14fb4b62a0634d769bf8a7.png</t>
  </si>
  <si>
    <t>M10 HAANTJES CERTIFISC OUDENAARDE</t>
  </si>
  <si>
    <t>Janna</t>
  </si>
  <si>
    <t>25/01/1994</t>
  </si>
  <si>
    <t>Lindestraat</t>
  </si>
  <si>
    <t>94.01.25-262.96</t>
  </si>
  <si>
    <t>https://app.twizzit.com/public/photos/2182476/s/d120dcfc0ec82f0d803829f917b4287681f3dd01.png</t>
  </si>
  <si>
    <t>Noa</t>
  </si>
  <si>
    <t>10/02/2015</t>
  </si>
  <si>
    <t>15.02.10-126.29</t>
  </si>
  <si>
    <t>https://app.twizzit.com/public/photos/11846410/s/0498863fb0a62c783eced92596a817e3339dca11.jpeg</t>
  </si>
  <si>
    <t>M12 A HAANTJES CERTIFISC OUDENAARDE</t>
  </si>
  <si>
    <t>Rémi</t>
  </si>
  <si>
    <t>22/12/2008</t>
  </si>
  <si>
    <t>Pontstraat</t>
  </si>
  <si>
    <t>0497078444</t>
  </si>
  <si>
    <t>J21 A HAANTJES CERTIFISC OUDENAARDE</t>
  </si>
  <si>
    <t>HSE B Haantjes Certifisc Oudenaarde</t>
  </si>
  <si>
    <t>Bauwens</t>
  </si>
  <si>
    <t>Karine</t>
  </si>
  <si>
    <t>16/01/1974</t>
  </si>
  <si>
    <t>Eekhoutstraat</t>
  </si>
  <si>
    <t>Beeckman</t>
  </si>
  <si>
    <t>Joppe</t>
  </si>
  <si>
    <t>26/03/2019</t>
  </si>
  <si>
    <t>Vlinderstaat</t>
  </si>
  <si>
    <t>ppoitiez@hotmail.com</t>
  </si>
  <si>
    <t>0486440775</t>
  </si>
  <si>
    <t>https://app.twizzit.com/public/photos/7329719/s/3900de37cfdf557a3c2ce4dcb1b36ecfefd6df85.png</t>
  </si>
  <si>
    <t>G08 Geel HAANTJES CERTIFISC OUDENAARDE</t>
  </si>
  <si>
    <t>Sara</t>
  </si>
  <si>
    <t>27/11/1981</t>
  </si>
  <si>
    <t>Vlinderstraat</t>
  </si>
  <si>
    <t>81.11.27-094.01</t>
  </si>
  <si>
    <t>https://app.twizzit.com/public/photos/2182486/s/756b8f4f4a0d0890e89db01537d432ba96a97666.png</t>
  </si>
  <si>
    <t>Torre</t>
  </si>
  <si>
    <t>11/08/2011</t>
  </si>
  <si>
    <t>11.08.11-227.50</t>
  </si>
  <si>
    <t>https://app.twizzit.com/public/photos/2182491/s/9cf26edd91096e59f19c665e2f0a4528adc17aa7.png</t>
  </si>
  <si>
    <t>J16 A Haantjes CERTIFISC Oudenaarde</t>
  </si>
  <si>
    <t>Beirnaert</t>
  </si>
  <si>
    <t>Philippe</t>
  </si>
  <si>
    <t>Galgestraat</t>
  </si>
  <si>
    <t>0497271228</t>
  </si>
  <si>
    <t>63.07.11-337.26</t>
  </si>
  <si>
    <t>Beke</t>
  </si>
  <si>
    <t>Vince</t>
  </si>
  <si>
    <t>01/10/2010</t>
  </si>
  <si>
    <t>Opperije</t>
  </si>
  <si>
    <t>wim.beke@telenet.be</t>
  </si>
  <si>
    <t>0494534565</t>
  </si>
  <si>
    <t>10.10.01-263.16</t>
  </si>
  <si>
    <t>https://app.twizzit.com/public/photos/2182501/s/ff9efabb61fd27d35070a050abd98c15c9bfe6c5.png</t>
  </si>
  <si>
    <t>Belien</t>
  </si>
  <si>
    <t>Elke</t>
  </si>
  <si>
    <t>06/11/1981</t>
  </si>
  <si>
    <t>Koninging Elisabethlaan</t>
  </si>
  <si>
    <t>Partner</t>
  </si>
  <si>
    <t>dries.goossens@gmail.com</t>
  </si>
  <si>
    <t>slimmerik.briek@gmail.com</t>
  </si>
  <si>
    <t>BE22979596098347</t>
  </si>
  <si>
    <t>81.11.06-136.07</t>
  </si>
  <si>
    <t>Benoot</t>
  </si>
  <si>
    <t>Quinten</t>
  </si>
  <si>
    <t>18/10/2010</t>
  </si>
  <si>
    <t>Gentpoortstraat</t>
  </si>
  <si>
    <t>Benoothans20@gmail.com</t>
  </si>
  <si>
    <t>Quintenmaetha@gmail.com</t>
  </si>
  <si>
    <t>0485287357</t>
  </si>
  <si>
    <t>0472031844</t>
  </si>
  <si>
    <t>0476900206</t>
  </si>
  <si>
    <t>https://app.twizzit.com/public/photos/4080393/s/fc77b80b0f519cf2bcaae55fec7f11c92e5c4d9f.jpeg</t>
  </si>
  <si>
    <t>Berkvens</t>
  </si>
  <si>
    <t>Emile</t>
  </si>
  <si>
    <t>28/08/2012</t>
  </si>
  <si>
    <t>Beverestraat</t>
  </si>
  <si>
    <t>12.08.28-079.97</t>
  </si>
  <si>
    <t>https://app.twizzit.com/public/photos/2650778/s/15d2f475817dbbc2474d7d1a8b8b6a06ed3f6c72.png</t>
  </si>
  <si>
    <t>Bessems</t>
  </si>
  <si>
    <t>Kas</t>
  </si>
  <si>
    <t>03/04/2008</t>
  </si>
  <si>
    <t>bessemskas@gmail.com</t>
  </si>
  <si>
    <t>info@bessems.be</t>
  </si>
  <si>
    <t>0475811935</t>
  </si>
  <si>
    <t>0470059511</t>
  </si>
  <si>
    <t>0497535913</t>
  </si>
  <si>
    <t>Beutels</t>
  </si>
  <si>
    <t>Gust</t>
  </si>
  <si>
    <t>01/08/2007</t>
  </si>
  <si>
    <t>Omgangstraat</t>
  </si>
  <si>
    <t>gbeutels07@gmail.com</t>
  </si>
  <si>
    <t>Blancke</t>
  </si>
  <si>
    <t>Celeste</t>
  </si>
  <si>
    <t>27/05/2014</t>
  </si>
  <si>
    <t>Wortegemstraat</t>
  </si>
  <si>
    <t>https://app.twizzit.com/public/photos/3500953/s/601083ebf506787be01432d1e891039519c5d9b6.jpeg</t>
  </si>
  <si>
    <t>Merel</t>
  </si>
  <si>
    <t>13/07/2012</t>
  </si>
  <si>
    <t>0478385011</t>
  </si>
  <si>
    <t>0473412540</t>
  </si>
  <si>
    <t>12.07.13-050.84</t>
  </si>
  <si>
    <t>https://app.twizzit.com/public/photos/5568565/s/d285ba208d969f77d6c249fb61359c50c614e6ac.png</t>
  </si>
  <si>
    <t>Blommaert</t>
  </si>
  <si>
    <t>Vic</t>
  </si>
  <si>
    <t>07/01/2018</t>
  </si>
  <si>
    <t>Zottegemstraat</t>
  </si>
  <si>
    <t>jeroen.blommaert@gmail.com</t>
  </si>
  <si>
    <t>0477059912</t>
  </si>
  <si>
    <t>0470067360</t>
  </si>
  <si>
    <t>https://app.twizzit.com/public/photos/7328384/s/880c055e18cd3fa9e57719da7306434e04eaf905.png</t>
  </si>
  <si>
    <t>Blondeel</t>
  </si>
  <si>
    <t>Bart</t>
  </si>
  <si>
    <t>31/05/1961</t>
  </si>
  <si>
    <t>0473373966</t>
  </si>
  <si>
    <t>Bogaert</t>
  </si>
  <si>
    <t>Matti</t>
  </si>
  <si>
    <t>02/07/2009</t>
  </si>
  <si>
    <t>Reytstraat</t>
  </si>
  <si>
    <t>mboogie800@hotmail.com</t>
  </si>
  <si>
    <t>0478427271</t>
  </si>
  <si>
    <t>0476983853</t>
  </si>
  <si>
    <t>0465007097</t>
  </si>
  <si>
    <t>09.07.02-373.28</t>
  </si>
  <si>
    <t>J18 A Haantjes CERTIFISC Oudenaarde</t>
  </si>
  <si>
    <t>Boonaert</t>
  </si>
  <si>
    <t>Maurice</t>
  </si>
  <si>
    <t>08/02/2020</t>
  </si>
  <si>
    <t>Bloemenhof</t>
  </si>
  <si>
    <t>reggyboonaert@outlook.be</t>
  </si>
  <si>
    <t>0478731137</t>
  </si>
  <si>
    <t>20.02.08-143.80</t>
  </si>
  <si>
    <t>G08 Groen HAANTJES CERTIFISC OUDENAARDE</t>
  </si>
  <si>
    <t>Zomerstage 2026 U8 (Oudenaarde)</t>
  </si>
  <si>
    <t>Boone</t>
  </si>
  <si>
    <t>Leon</t>
  </si>
  <si>
    <t>16/11/2019</t>
  </si>
  <si>
    <t>dieter.boone@telenet.be</t>
  </si>
  <si>
    <t>0496024078</t>
  </si>
  <si>
    <t>0496814231</t>
  </si>
  <si>
    <t>Bothuyne</t>
  </si>
  <si>
    <t>Charles</t>
  </si>
  <si>
    <t>03/05/2018</t>
  </si>
  <si>
    <t>Gentstraat</t>
  </si>
  <si>
    <t>Boudringhien</t>
  </si>
  <si>
    <t>Mauro</t>
  </si>
  <si>
    <t>14/12/2007</t>
  </si>
  <si>
    <t>Waterhoek</t>
  </si>
  <si>
    <t>07.12.14-371.51</t>
  </si>
  <si>
    <t>Boullart</t>
  </si>
  <si>
    <t>Luca</t>
  </si>
  <si>
    <t>23/03/2012</t>
  </si>
  <si>
    <t>Riedekens</t>
  </si>
  <si>
    <t>maggy.hombecq@hotmail.com</t>
  </si>
  <si>
    <t>0475558448</t>
  </si>
  <si>
    <t>12.03.23-018.79</t>
  </si>
  <si>
    <t>Bourdeaud'hui</t>
  </si>
  <si>
    <t>Marie</t>
  </si>
  <si>
    <t>12/02/2008</t>
  </si>
  <si>
    <t>0477294347</t>
  </si>
  <si>
    <t>https://app.twizzit.com/public/photos/2182516/s/0d7291570c9e5cf142cd892c8fd7ace8c517270a.png</t>
  </si>
  <si>
    <t>M19 A Haantjes CERTIFISC Oudenaarde</t>
  </si>
  <si>
    <t>Bourgeois</t>
  </si>
  <si>
    <t>Liam</t>
  </si>
  <si>
    <t>18/07/2010</t>
  </si>
  <si>
    <t>0471543824</t>
  </si>
  <si>
    <t>0471878061</t>
  </si>
  <si>
    <t>0499348535</t>
  </si>
  <si>
    <t>10.07.18-115.21</t>
  </si>
  <si>
    <t>Boutmans</t>
  </si>
  <si>
    <t>Beauregard</t>
  </si>
  <si>
    <t>04/11/1980</t>
  </si>
  <si>
    <t>80.11.04-403.70</t>
  </si>
  <si>
    <t>Kobe</t>
  </si>
  <si>
    <t>31/03/2009</t>
  </si>
  <si>
    <t>0479888902</t>
  </si>
  <si>
    <t>09.03.31-079.06</t>
  </si>
  <si>
    <t>Bracke</t>
  </si>
  <si>
    <t>Kaatje</t>
  </si>
  <si>
    <t>05/07/1991</t>
  </si>
  <si>
    <t>Smalle Heerweg</t>
  </si>
  <si>
    <t>91.07.05-386.66</t>
  </si>
  <si>
    <t>Mathieu</t>
  </si>
  <si>
    <t>03/08/1997</t>
  </si>
  <si>
    <t>Begijnhoflaan</t>
  </si>
  <si>
    <t>97.08.03-211.46</t>
  </si>
  <si>
    <t>Braem</t>
  </si>
  <si>
    <t>Filiep</t>
  </si>
  <si>
    <t>08/10/1977</t>
  </si>
  <si>
    <t>braem.filiep@outlook.be</t>
  </si>
  <si>
    <t xml:space="preserve">757056 </t>
  </si>
  <si>
    <t>Lise</t>
  </si>
  <si>
    <t>13/12/2008</t>
  </si>
  <si>
    <t>Braem.lise@gmail.com</t>
  </si>
  <si>
    <t>https://app.twizzit.com/public/photos/2182526/s/a821912bbd87d29337fbfbb0be2e91298bc55869.jpeg</t>
  </si>
  <si>
    <t>Bruyland</t>
  </si>
  <si>
    <t>Florean</t>
  </si>
  <si>
    <t>24/02/2011</t>
  </si>
  <si>
    <t>Karel Martelstraat</t>
  </si>
  <si>
    <t>0476263407</t>
  </si>
  <si>
    <t>BE34979152560490</t>
  </si>
  <si>
    <t>11.02.24-051.85</t>
  </si>
  <si>
    <t>https://app.twizzit.com/public/photos/2182531/s/a96a35504a45f2aa6d5205a67f03e56978acf0e6.png</t>
  </si>
  <si>
    <t>Bruyneel</t>
  </si>
  <si>
    <t>11/05/2014</t>
  </si>
  <si>
    <t>Corpusstraat</t>
  </si>
  <si>
    <t>brambruyneel@gmail.com</t>
  </si>
  <si>
    <t>0494037946</t>
  </si>
  <si>
    <t>0477986896</t>
  </si>
  <si>
    <t>Buadee</t>
  </si>
  <si>
    <t>Aishatu Lieve</t>
  </si>
  <si>
    <t>08/01/1991</t>
  </si>
  <si>
    <t>Brielstraat</t>
  </si>
  <si>
    <t>0496745543</t>
  </si>
  <si>
    <t>91.01.08-442.72</t>
  </si>
  <si>
    <t>Buckens</t>
  </si>
  <si>
    <t>Eva</t>
  </si>
  <si>
    <t>Buda Meirlaen</t>
  </si>
  <si>
    <t>Matisse</t>
  </si>
  <si>
    <t>15/07/2014</t>
  </si>
  <si>
    <t>Molenstraat</t>
  </si>
  <si>
    <t>0477658556</t>
  </si>
  <si>
    <t>14.07.15-383.24</t>
  </si>
  <si>
    <t>https://app.twizzit.com/public/photos/7666112/s/28beee7a2b02560648d49ec2140a1cc079666b2a.png</t>
  </si>
  <si>
    <t>Bufkens</t>
  </si>
  <si>
    <t>Dylann</t>
  </si>
  <si>
    <t>01/04/1998</t>
  </si>
  <si>
    <t>Maagdenstraat</t>
  </si>
  <si>
    <t>0493561486</t>
  </si>
  <si>
    <t>BE15 0638 0785 4330</t>
  </si>
  <si>
    <t>98.04.01-245.65</t>
  </si>
  <si>
    <t>23/12/2011</t>
  </si>
  <si>
    <t>Oswald Ponettestraat</t>
  </si>
  <si>
    <t>vanbael_ijlie@hotmail.com</t>
  </si>
  <si>
    <t>Calewaert</t>
  </si>
  <si>
    <t>Iris</t>
  </si>
  <si>
    <t>19/07/1999</t>
  </si>
  <si>
    <t>Nieuwstraat</t>
  </si>
  <si>
    <t>99.07.19-376.18</t>
  </si>
  <si>
    <t>Callens</t>
  </si>
  <si>
    <t>Louise</t>
  </si>
  <si>
    <t>29/05/2015</t>
  </si>
  <si>
    <t>Meersestraat</t>
  </si>
  <si>
    <t>koencallens@msn.com</t>
  </si>
  <si>
    <t>0478885199</t>
  </si>
  <si>
    <t>15.05.29-024.67</t>
  </si>
  <si>
    <t>Camua</t>
  </si>
  <si>
    <t>Gabriël</t>
  </si>
  <si>
    <t>03/07/2012</t>
  </si>
  <si>
    <t>Muziekbosstraat</t>
  </si>
  <si>
    <t>Cardon</t>
  </si>
  <si>
    <t>Thomas</t>
  </si>
  <si>
    <t>22/03/2011</t>
  </si>
  <si>
    <t>11.03.22-043.63</t>
  </si>
  <si>
    <t>https://app.twizzit.com/public/photos/2182541/s/ad278a1858d3fc927675b6581e22f467523759f0.png</t>
  </si>
  <si>
    <t>Castelain</t>
  </si>
  <si>
    <t>Cézan</t>
  </si>
  <si>
    <t>18/12/2014</t>
  </si>
  <si>
    <t>Fontaineweg</t>
  </si>
  <si>
    <t>0499418414</t>
  </si>
  <si>
    <t>14.12.18-212.43</t>
  </si>
  <si>
    <t>Feliz</t>
  </si>
  <si>
    <t>15/07/2013</t>
  </si>
  <si>
    <t>13.07.15-272.17</t>
  </si>
  <si>
    <t>https://app.twizzit.com/public/photos/2182546/s/9bde50d70ec897c3545fc312ea9113a20df6bb57.jpeg</t>
  </si>
  <si>
    <t>Jonas</t>
  </si>
  <si>
    <t>03/10/1989</t>
  </si>
  <si>
    <t>Berchemweg</t>
  </si>
  <si>
    <t>Werk</t>
  </si>
  <si>
    <t>BE71 0018 1921 2869</t>
  </si>
  <si>
    <t>89.10.03-097.06</t>
  </si>
  <si>
    <t>https://app.twizzit.com/public/photos/4076852/s/61b60ceb37e0ad4e63ab95460de787c3e165b233.png</t>
  </si>
  <si>
    <t>12/10/2018</t>
  </si>
  <si>
    <t>18.10.12-033.84</t>
  </si>
  <si>
    <t>https://app.twizzit.com/public/photos/3486565/s/dbc5287e080bfa9acd16205b0ef6339800e0ffb6.png</t>
  </si>
  <si>
    <t xml:space="preserve">762623 </t>
  </si>
  <si>
    <t>Odet</t>
  </si>
  <si>
    <t>15/02/2022</t>
  </si>
  <si>
    <t>evelyn.demesel@hotmail.be</t>
  </si>
  <si>
    <t>22.02.15-160.89</t>
  </si>
  <si>
    <t>Balschool U6</t>
  </si>
  <si>
    <t>Simon</t>
  </si>
  <si>
    <t>11/05/1970</t>
  </si>
  <si>
    <t>70.05.11-123.82</t>
  </si>
  <si>
    <t>Cattoir</t>
  </si>
  <si>
    <t>17/11/1983</t>
  </si>
  <si>
    <t>Veldstraat</t>
  </si>
  <si>
    <t>83.11.17-027.22</t>
  </si>
  <si>
    <t>Jonah</t>
  </si>
  <si>
    <t>09/08/2011</t>
  </si>
  <si>
    <t>11.08.09-333.04</t>
  </si>
  <si>
    <t>Lasse</t>
  </si>
  <si>
    <t>24/07/2020</t>
  </si>
  <si>
    <t>20.07.24-083.83</t>
  </si>
  <si>
    <t>https://app.twizzit.com/public/photos/9522553/s/70d508b65eaba88af49f20bd545e119d36420c07.png</t>
  </si>
  <si>
    <t>Chaouch</t>
  </si>
  <si>
    <t>Ahmed</t>
  </si>
  <si>
    <t>04/05/1993</t>
  </si>
  <si>
    <t>Oudenaardsestraat</t>
  </si>
  <si>
    <t>93.05.04-415.95</t>
  </si>
  <si>
    <t>Christiaens</t>
  </si>
  <si>
    <t>27/11/2009</t>
  </si>
  <si>
    <t>Christiaens.jan@skynet.be</t>
  </si>
  <si>
    <t>09.11.27-341.17</t>
  </si>
  <si>
    <t>https://app.twizzit.com/public/photos/6352973/s/e9e52d61f1e32c98f69949c0179e81da5763fe5f.png</t>
  </si>
  <si>
    <t>Claes</t>
  </si>
  <si>
    <t>Arne</t>
  </si>
  <si>
    <t>26/08/2002</t>
  </si>
  <si>
    <t>Verbingdingsstraat</t>
  </si>
  <si>
    <t>02.08.26-317.97</t>
  </si>
  <si>
    <t>Cokelaere</t>
  </si>
  <si>
    <t>Alice</t>
  </si>
  <si>
    <t>04/06/2008</t>
  </si>
  <si>
    <t>sofie.pattyn@telenet.be</t>
  </si>
  <si>
    <t>0477681738</t>
  </si>
  <si>
    <t>08.06.04-074.45</t>
  </si>
  <si>
    <t>Andy</t>
  </si>
  <si>
    <t>06/08/1972</t>
  </si>
  <si>
    <t>72.08.06-035.92</t>
  </si>
  <si>
    <t>Jules</t>
  </si>
  <si>
    <t>22/06/2003</t>
  </si>
  <si>
    <t>HSE  C Haantjes Certifisc Oudenaarde</t>
  </si>
  <si>
    <t>Colpaert</t>
  </si>
  <si>
    <t>Nand</t>
  </si>
  <si>
    <t>12/02/2018</t>
  </si>
  <si>
    <t>Puistraat</t>
  </si>
  <si>
    <t>stijn.colpaert@telenet.be</t>
  </si>
  <si>
    <t>0497216213</t>
  </si>
  <si>
    <t>Veerle</t>
  </si>
  <si>
    <t>24/01/1978</t>
  </si>
  <si>
    <t>Prins Leopoldstraat</t>
  </si>
  <si>
    <t>0476935877</t>
  </si>
  <si>
    <t>78.01.24-372.68</t>
  </si>
  <si>
    <t>Constant</t>
  </si>
  <si>
    <t>Yvora</t>
  </si>
  <si>
    <t>20/04/2015</t>
  </si>
  <si>
    <t>Temseveldstraat</t>
  </si>
  <si>
    <t>0477081887</t>
  </si>
  <si>
    <t>Coopmans</t>
  </si>
  <si>
    <t>Maarten</t>
  </si>
  <si>
    <t>14/02/1989</t>
  </si>
  <si>
    <t>Meersetraat</t>
  </si>
  <si>
    <t>89.02.14-433.60</t>
  </si>
  <si>
    <t>Coppens</t>
  </si>
  <si>
    <t>Didier</t>
  </si>
  <si>
    <t>20/07/1965</t>
  </si>
  <si>
    <t>65.07.20-459.64</t>
  </si>
  <si>
    <t>https://app.twizzit.com/public/photos/2669951/s/778e1130cdfaade86f30dde5646159e9171c6f6b.png</t>
  </si>
  <si>
    <t>Coryn</t>
  </si>
  <si>
    <t>Luka</t>
  </si>
  <si>
    <t>12/09/2008</t>
  </si>
  <si>
    <t>Schoendalestraat</t>
  </si>
  <si>
    <t>michael.coryn@telenet.be</t>
  </si>
  <si>
    <t>luka.coryn@gmail.com</t>
  </si>
  <si>
    <t>0471737015</t>
  </si>
  <si>
    <t>08.09.12-163.28</t>
  </si>
  <si>
    <t>Cousaert</t>
  </si>
  <si>
    <t>Anna</t>
  </si>
  <si>
    <t>30/07/2019</t>
  </si>
  <si>
    <t>0494445513</t>
  </si>
  <si>
    <t>Frederik</t>
  </si>
  <si>
    <t>07/04/1988</t>
  </si>
  <si>
    <t>Herlegem</t>
  </si>
  <si>
    <t>88.04.07-063.51</t>
  </si>
  <si>
    <t>Lieze</t>
  </si>
  <si>
    <t>17/07/2017</t>
  </si>
  <si>
    <t>Creteur</t>
  </si>
  <si>
    <t>David</t>
  </si>
  <si>
    <t>Harelbekestraat</t>
  </si>
  <si>
    <t>david@credelec.be</t>
  </si>
  <si>
    <t>00497249349</t>
  </si>
  <si>
    <t>Niklas</t>
  </si>
  <si>
    <t>27/06/2013</t>
  </si>
  <si>
    <t>Korenbloemlaan</t>
  </si>
  <si>
    <t>13.06.27-335.72</t>
  </si>
  <si>
    <t>Tanguy</t>
  </si>
  <si>
    <t>29/07/2008</t>
  </si>
  <si>
    <t>0470535338</t>
  </si>
  <si>
    <t>0497249349</t>
  </si>
  <si>
    <t>Crombez</t>
  </si>
  <si>
    <t>Arthur</t>
  </si>
  <si>
    <t>07/04/2018</t>
  </si>
  <si>
    <t>Heerweg</t>
  </si>
  <si>
    <t>29B</t>
  </si>
  <si>
    <t>0478792675</t>
  </si>
  <si>
    <t>https://app.twizzit.com/public/photos/7501921/s/cda3c2c21188914d3908db110c011be3c8f5a13d.png</t>
  </si>
  <si>
    <t>Ella-Marie</t>
  </si>
  <si>
    <t>10/03/2014</t>
  </si>
  <si>
    <t>Tom.crombez@gmail.com</t>
  </si>
  <si>
    <t>00478792675</t>
  </si>
  <si>
    <t>00474828659</t>
  </si>
  <si>
    <t>Tom</t>
  </si>
  <si>
    <t>12/03/1984</t>
  </si>
  <si>
    <t>Statiestraat</t>
  </si>
  <si>
    <t>0474828659</t>
  </si>
  <si>
    <t>Cromheeke</t>
  </si>
  <si>
    <t>Mathis</t>
  </si>
  <si>
    <t>18/04/2010</t>
  </si>
  <si>
    <t>Rue d'Anseroeul</t>
  </si>
  <si>
    <t>Cruypeninck</t>
  </si>
  <si>
    <t>Lou</t>
  </si>
  <si>
    <t>08/09/2017</t>
  </si>
  <si>
    <t>Bossenaar</t>
  </si>
  <si>
    <t>hanne.platteeuw@gmail.com</t>
  </si>
  <si>
    <t>0477254581</t>
  </si>
  <si>
    <t>0498700275</t>
  </si>
  <si>
    <t>17.09.08-221.85</t>
  </si>
  <si>
    <t>D'Haenen</t>
  </si>
  <si>
    <t>Sofian</t>
  </si>
  <si>
    <t>06/05/2009</t>
  </si>
  <si>
    <t>Mussenstraat</t>
  </si>
  <si>
    <t>09.05.06-469.89</t>
  </si>
  <si>
    <t>Yunus</t>
  </si>
  <si>
    <t>14/05/2010</t>
  </si>
  <si>
    <t>D'Haese</t>
  </si>
  <si>
    <t>24/09/2008</t>
  </si>
  <si>
    <t>Dans</t>
  </si>
  <si>
    <t>Karen</t>
  </si>
  <si>
    <t>26/02/1990</t>
  </si>
  <si>
    <t>Kortrijkstraat</t>
  </si>
  <si>
    <t>90.02.26-186.65</t>
  </si>
  <si>
    <t>https://app.twizzit.com/public/photos/2182586/s/3c061ecaa7eb60b4e8b27f2490fa3fff24778b0c.png</t>
  </si>
  <si>
    <t>Darragas</t>
  </si>
  <si>
    <t>Ben_darragas@hotmail.com</t>
  </si>
  <si>
    <t>Dawyndt</t>
  </si>
  <si>
    <t>Pip</t>
  </si>
  <si>
    <t>10/08/2012</t>
  </si>
  <si>
    <t>Oudenaardseweg</t>
  </si>
  <si>
    <t>0473746819</t>
  </si>
  <si>
    <t>12.08.10-138.93</t>
  </si>
  <si>
    <t>0496273638</t>
  </si>
  <si>
    <t>Cel evenementen (Lid cel)</t>
  </si>
  <si>
    <t>De Baere</t>
  </si>
  <si>
    <t>Louis</t>
  </si>
  <si>
    <t>18/09/2001</t>
  </si>
  <si>
    <t>Grote Herreweg</t>
  </si>
  <si>
    <t>0491029558</t>
  </si>
  <si>
    <t>01.09.18-189.63</t>
  </si>
  <si>
    <t>De Block</t>
  </si>
  <si>
    <t>Nadine</t>
  </si>
  <si>
    <t>28/05/1955</t>
  </si>
  <si>
    <t>Riethof</t>
  </si>
  <si>
    <t>De Boe</t>
  </si>
  <si>
    <t>Marieke</t>
  </si>
  <si>
    <t>Boekelbaan</t>
  </si>
  <si>
    <t>mariekedeboe@gmail.com</t>
  </si>
  <si>
    <t>De Bosschere</t>
  </si>
  <si>
    <t>Ria</t>
  </si>
  <si>
    <t>25/03/1976</t>
  </si>
  <si>
    <t>Zonnestraat</t>
  </si>
  <si>
    <t>76.03.25-200.85</t>
  </si>
  <si>
    <t>De Brabander</t>
  </si>
  <si>
    <t>16/05/1979</t>
  </si>
  <si>
    <t>117A</t>
  </si>
  <si>
    <t>de.brabander.david@telenet.be</t>
  </si>
  <si>
    <t>0478251758</t>
  </si>
  <si>
    <t>79.05.16-013.37</t>
  </si>
  <si>
    <t>https://app.twizzit.com/public/photos/4024795/s/7af12ff114d5d53515b4f220ddc6cdb6ff121519.png</t>
  </si>
  <si>
    <t>Sportieve cel (Lid cel)</t>
  </si>
  <si>
    <t>Algemeen bestuur (Bestuurslid)</t>
  </si>
  <si>
    <t>Milan</t>
  </si>
  <si>
    <t>14/05/2009</t>
  </si>
  <si>
    <t>A</t>
  </si>
  <si>
    <t>Dorinne.reynen@gmail.com</t>
  </si>
  <si>
    <t>0473865789</t>
  </si>
  <si>
    <t>0468348603</t>
  </si>
  <si>
    <t>09.05.14-147.74</t>
  </si>
  <si>
    <t>https://app.twizzit.com/public/photos/3519915/s/cb4bbdba90c700302dcd9548901e284ce021df92.jpeg</t>
  </si>
  <si>
    <t>De Cauwer</t>
  </si>
  <si>
    <t>Norah</t>
  </si>
  <si>
    <t>27/08/2018</t>
  </si>
  <si>
    <t>Blote</t>
  </si>
  <si>
    <t>thomasdecauwer@msn.com</t>
  </si>
  <si>
    <t>00499380833</t>
  </si>
  <si>
    <t xml:space="preserve">De Clercq </t>
  </si>
  <si>
    <t>Camiel</t>
  </si>
  <si>
    <t>08/05/2003</t>
  </si>
  <si>
    <t>00499129081</t>
  </si>
  <si>
    <t>De Clercq</t>
  </si>
  <si>
    <t>Lieven</t>
  </si>
  <si>
    <t>10/02/1986</t>
  </si>
  <si>
    <t>Broeke</t>
  </si>
  <si>
    <t>86.02.10-127.35</t>
  </si>
  <si>
    <t>19/09/1988</t>
  </si>
  <si>
    <t>0495786491</t>
  </si>
  <si>
    <t>88.09.19-137.40</t>
  </si>
  <si>
    <t>Robbe</t>
  </si>
  <si>
    <t>14/09/1999</t>
  </si>
  <si>
    <t>Ronseweg</t>
  </si>
  <si>
    <t>99.09.14-317.47</t>
  </si>
  <si>
    <t>Tybe</t>
  </si>
  <si>
    <t>07/06/2019</t>
  </si>
  <si>
    <t>freyadesmet@hotmail.com</t>
  </si>
  <si>
    <t>0476214551</t>
  </si>
  <si>
    <t>G08 Blauw HAANTJES CERTIFISC OUDENAARDE</t>
  </si>
  <si>
    <t>Wim</t>
  </si>
  <si>
    <t>17/08/1964</t>
  </si>
  <si>
    <t>Gaspar Heuvickstraat</t>
  </si>
  <si>
    <t>0475797952</t>
  </si>
  <si>
    <t>64.08.17-233.75</t>
  </si>
  <si>
    <t>Algemeen bestuur (Penningmeester)</t>
  </si>
  <si>
    <t>Cel cafetaria (Lid cel)</t>
  </si>
  <si>
    <t>De Coen</t>
  </si>
  <si>
    <t>Maure</t>
  </si>
  <si>
    <t>21/11/2011</t>
  </si>
  <si>
    <t>Wielewaalstraat</t>
  </si>
  <si>
    <t>Achimdecoen@hotmail.com</t>
  </si>
  <si>
    <t>0473760932</t>
  </si>
  <si>
    <t>De Coker</t>
  </si>
  <si>
    <t>Mike</t>
  </si>
  <si>
    <t>14/04/1999</t>
  </si>
  <si>
    <t>Georges Lobertstraat</t>
  </si>
  <si>
    <t>99.04.14-301.28</t>
  </si>
  <si>
    <t>De Coninck</t>
  </si>
  <si>
    <t>Billie</t>
  </si>
  <si>
    <t>12/09/2018</t>
  </si>
  <si>
    <t>Aulnoit</t>
  </si>
  <si>
    <t>kinoo.astrid@hotmail.com</t>
  </si>
  <si>
    <t>0489941519</t>
  </si>
  <si>
    <t>Minne</t>
  </si>
  <si>
    <t>03/08/2016</t>
  </si>
  <si>
    <t>Kapelleberg</t>
  </si>
  <si>
    <t>joosdeconinck@hotmail.com</t>
  </si>
  <si>
    <t>0475398321</t>
  </si>
  <si>
    <t>0479602944</t>
  </si>
  <si>
    <t>16.08.03-306.25</t>
  </si>
  <si>
    <t>De Coussemaker</t>
  </si>
  <si>
    <t>Len</t>
  </si>
  <si>
    <t>12/06/2012</t>
  </si>
  <si>
    <t>Vaddenhoek</t>
  </si>
  <si>
    <t>kristien.vdv@telenet.be</t>
  </si>
  <si>
    <t>12.06.12-447.01</t>
  </si>
  <si>
    <t>https://app.twizzit.com/public/photos/2182636/s/ac8133dfa6021f95e4cb86240c3d9e68218f8a83.png</t>
  </si>
  <si>
    <t>Niels</t>
  </si>
  <si>
    <t>01/06/2010</t>
  </si>
  <si>
    <t>kristien@coussies.be</t>
  </si>
  <si>
    <t>10.06.01-249.02</t>
  </si>
  <si>
    <t>https://app.twizzit.com/public/photos/2182641/s/bc2ed87ccb6bf61129b3522eabde4c5cff856719.png</t>
  </si>
  <si>
    <t>De Groote Hoebeke</t>
  </si>
  <si>
    <t>Cécile</t>
  </si>
  <si>
    <t>18/05/2021</t>
  </si>
  <si>
    <t>Aalststraat</t>
  </si>
  <si>
    <t>hoebekehanne@gmail.com</t>
  </si>
  <si>
    <t>0473630733</t>
  </si>
  <si>
    <t>0499144754</t>
  </si>
  <si>
    <t>Madelein</t>
  </si>
  <si>
    <t>19/04/2019</t>
  </si>
  <si>
    <t>https://app.twizzit.com/public/photos/7992432/s/9093b3c321ebca1981daea541211e5a7f8dcd3e7.png</t>
  </si>
  <si>
    <t>De Keukeleire</t>
  </si>
  <si>
    <t>Mary-Lou</t>
  </si>
  <si>
    <t>10/07/2015</t>
  </si>
  <si>
    <t>Maalderijstraat</t>
  </si>
  <si>
    <t>0498363470</t>
  </si>
  <si>
    <t>15.07.10-026.67</t>
  </si>
  <si>
    <t>https://app.twizzit.com/public/photos/7663442/s/a1e4c1d99d71fda9ac80bca383a3ddb377005195.png</t>
  </si>
  <si>
    <t>De Keyser</t>
  </si>
  <si>
    <t>Jan</t>
  </si>
  <si>
    <t>13/02/1990</t>
  </si>
  <si>
    <t>Vlaanderenstraat</t>
  </si>
  <si>
    <t>90.02.13-365.82</t>
  </si>
  <si>
    <t>De Keyzer</t>
  </si>
  <si>
    <t>11/03/1999</t>
  </si>
  <si>
    <t>Donderij</t>
  </si>
  <si>
    <t>maritadeclercq@gmail.com</t>
  </si>
  <si>
    <t>de la Rivière</t>
  </si>
  <si>
    <t>Gaëlle</t>
  </si>
  <si>
    <t>21/03/2016</t>
  </si>
  <si>
    <t>Jules Bordetlaan</t>
  </si>
  <si>
    <t>dlrgeoffrey@gmail.com</t>
  </si>
  <si>
    <t>0494172499</t>
  </si>
  <si>
    <t>0494773553</t>
  </si>
  <si>
    <t>Geoffrey</t>
  </si>
  <si>
    <t>De Leersnyder</t>
  </si>
  <si>
    <t>24/12/2021</t>
  </si>
  <si>
    <t>Parkstraat</t>
  </si>
  <si>
    <t>joke.toye@gmail.com</t>
  </si>
  <si>
    <t>0475403946</t>
  </si>
  <si>
    <t>De Lepeleire</t>
  </si>
  <si>
    <t>21/04/1990</t>
  </si>
  <si>
    <t>De Ronde</t>
  </si>
  <si>
    <t>90.04.21-127.94</t>
  </si>
  <si>
    <t>HSE A Haantjes Certifisc Oudenaarde</t>
  </si>
  <si>
    <t>G12 Geel HAANTJES CERTIFISC OUDENAARDE</t>
  </si>
  <si>
    <t>De Maertelaere</t>
  </si>
  <si>
    <t>12/07/2014</t>
  </si>
  <si>
    <t>Pater Ruyffelaertstraat</t>
  </si>
  <si>
    <t>Nico.demaertelaere@live.be</t>
  </si>
  <si>
    <t>valerie_glorieux@hotmail.com</t>
  </si>
  <si>
    <t>14.07.12-003.09</t>
  </si>
  <si>
    <t>https://app.twizzit.com/public/photos/2650646/s/56772b58320eb18076cfee29ed253bb014e8ad21.png</t>
  </si>
  <si>
    <t>De Meyer</t>
  </si>
  <si>
    <t>Siebe</t>
  </si>
  <si>
    <t>15/01/2002</t>
  </si>
  <si>
    <t>02.01.15-153.57</t>
  </si>
  <si>
    <t>De Munter</t>
  </si>
  <si>
    <t>Jacques</t>
  </si>
  <si>
    <t>21/01/1965</t>
  </si>
  <si>
    <t>Martijn van Torhoutstraat</t>
  </si>
  <si>
    <t>65.01.21-303.51</t>
  </si>
  <si>
    <t>Noach</t>
  </si>
  <si>
    <t>16/02/2007</t>
  </si>
  <si>
    <t>Martijn Van Torhoutstraat</t>
  </si>
  <si>
    <t>07.02.16-145.50</t>
  </si>
  <si>
    <t>De Ruyck</t>
  </si>
  <si>
    <t>Chloë</t>
  </si>
  <si>
    <t>13/05/1991</t>
  </si>
  <si>
    <t>Kapellestraat</t>
  </si>
  <si>
    <t>91.05.13-342.50</t>
  </si>
  <si>
    <t>De Ruysscher</t>
  </si>
  <si>
    <t>Yari</t>
  </si>
  <si>
    <t>01/02/2009</t>
  </si>
  <si>
    <t>0475971559</t>
  </si>
  <si>
    <t>0468109025</t>
  </si>
  <si>
    <t>09.02.01-159.43</t>
  </si>
  <si>
    <t>De Ruyver</t>
  </si>
  <si>
    <t>Inge</t>
  </si>
  <si>
    <t>Akkerstraat</t>
  </si>
  <si>
    <t>0478347087</t>
  </si>
  <si>
    <t>https://app.twizzit.com/public/photos/4358429/s/d79ff54bc507bc51b7a66ca27491ef8c288b7c7d.png</t>
  </si>
  <si>
    <t>Tessa</t>
  </si>
  <si>
    <t>22/08/1982</t>
  </si>
  <si>
    <t>Wolvenberg</t>
  </si>
  <si>
    <t>0478936135</t>
  </si>
  <si>
    <t>De Rycke</t>
  </si>
  <si>
    <t>Lobke</t>
  </si>
  <si>
    <t>08/01/2012</t>
  </si>
  <si>
    <t>0497511954</t>
  </si>
  <si>
    <t>0485629650</t>
  </si>
  <si>
    <t>12.01.08-042.06</t>
  </si>
  <si>
    <t>https://app.twizzit.com/public/photos/3361769/s/b867d38024248d08e5578b9874af52a32c38205b.png</t>
  </si>
  <si>
    <t>De Saedeleer</t>
  </si>
  <si>
    <t>Cléo</t>
  </si>
  <si>
    <t>13/08/2010</t>
  </si>
  <si>
    <t>Achterhoek</t>
  </si>
  <si>
    <t>10.08.13-142.54</t>
  </si>
  <si>
    <t>De Scheerder</t>
  </si>
  <si>
    <t>Naomi</t>
  </si>
  <si>
    <t>31/10/2014</t>
  </si>
  <si>
    <t>Eeststraat</t>
  </si>
  <si>
    <t>https://app.twizzit.com/public/photos/3434759/s/64625cb4a4a90ed188ec4a77f3e5a2582b82f71f.png</t>
  </si>
  <si>
    <t>De Smet</t>
  </si>
  <si>
    <t>Anneleen</t>
  </si>
  <si>
    <t>anneleendesmet1978@outlook.com</t>
  </si>
  <si>
    <t>Kimberley</t>
  </si>
  <si>
    <t>02/12/1990</t>
  </si>
  <si>
    <t>Graaf Van Landaststraat</t>
  </si>
  <si>
    <t>90.12.02-282.80</t>
  </si>
  <si>
    <t>https://app.twizzit.com/public/photos/2182696/s/b3404003062e85e1b45f5fca9b0565fe70029286.png</t>
  </si>
  <si>
    <t>Quint</t>
  </si>
  <si>
    <t>02/10/2003</t>
  </si>
  <si>
    <t>03.10.02-255.41</t>
  </si>
  <si>
    <t>Vikter-Troy</t>
  </si>
  <si>
    <t>08/10/2000</t>
  </si>
  <si>
    <t>Moerkensheide</t>
  </si>
  <si>
    <t>00.10.08-187.60</t>
  </si>
  <si>
    <t>De Sutter</t>
  </si>
  <si>
    <t>Felix</t>
  </si>
  <si>
    <t>16/11/2016</t>
  </si>
  <si>
    <t>vijverweide</t>
  </si>
  <si>
    <t>Buckensmarie1@gmail.com</t>
  </si>
  <si>
    <t>0478287091</t>
  </si>
  <si>
    <t>https://app.twizzit.com/public/photos/3440013/s/d39cee25f3de0f58fe5c6da0a709df7576ef784e.png</t>
  </si>
  <si>
    <t>Leander</t>
  </si>
  <si>
    <t>24/06/2008</t>
  </si>
  <si>
    <t>08.06.24-279.16</t>
  </si>
  <si>
    <t>Matthias</t>
  </si>
  <si>
    <t>01/12/2008</t>
  </si>
  <si>
    <t>08.12.01-171.80</t>
  </si>
  <si>
    <t>De Taeye</t>
  </si>
  <si>
    <t>Ulrike</t>
  </si>
  <si>
    <t>09/09/1984</t>
  </si>
  <si>
    <t>84.09.09-138.61</t>
  </si>
  <si>
    <t>https://app.twizzit.com/public/photos/2182711/s/d2f671923bea94e6b46b55b94ee26f4649bac088.png</t>
  </si>
  <si>
    <t>Cel evenementen (Verantwoordelijke cel)</t>
  </si>
  <si>
    <t>De Vleeschauwer</t>
  </si>
  <si>
    <t>Tibo</t>
  </si>
  <si>
    <t>07/06/2017</t>
  </si>
  <si>
    <t>Nederholbeekstraat</t>
  </si>
  <si>
    <t>De vreese</t>
  </si>
  <si>
    <t>Camille</t>
  </si>
  <si>
    <t>31/01/2017</t>
  </si>
  <si>
    <t>Dammekensstraat</t>
  </si>
  <si>
    <t>0498651266</t>
  </si>
  <si>
    <t>17.01.31-246.90</t>
  </si>
  <si>
    <t>https://app.twizzit.com/public/photos/7284534/s/89166ad605bd29d54909fd3e80a34843f88650ec.png</t>
  </si>
  <si>
    <t>De Vreese</t>
  </si>
  <si>
    <t>Oliver</t>
  </si>
  <si>
    <t>11/04/2018</t>
  </si>
  <si>
    <t>Dijkstraat</t>
  </si>
  <si>
    <t>/</t>
  </si>
  <si>
    <t>De Vriese</t>
  </si>
  <si>
    <t>Mats</t>
  </si>
  <si>
    <t>25/02/2008</t>
  </si>
  <si>
    <t>0478239304</t>
  </si>
  <si>
    <t>De Waele</t>
  </si>
  <si>
    <t>Vital</t>
  </si>
  <si>
    <t>06/04/2010</t>
  </si>
  <si>
    <t>Anzegemsesteenweg</t>
  </si>
  <si>
    <t>eddy.de_waele@unilin.com</t>
  </si>
  <si>
    <t>De Weirt</t>
  </si>
  <si>
    <t>Cedric</t>
  </si>
  <si>
    <t>11/04/1992</t>
  </si>
  <si>
    <t>1A</t>
  </si>
  <si>
    <t>0472263674</t>
  </si>
  <si>
    <t>92.04.11-155.20</t>
  </si>
  <si>
    <t>https://app.twizzit.com/public/photos/4024808/s/36237781b3b5fa7c3ba1974edd454e9639c65aac.png</t>
  </si>
  <si>
    <t>De Windt</t>
  </si>
  <si>
    <t>Emile-Louis</t>
  </si>
  <si>
    <t>30/01/2009</t>
  </si>
  <si>
    <t>Vlaamse Ardennenstraat</t>
  </si>
  <si>
    <t>dwingrey@gmail.com</t>
  </si>
  <si>
    <t>0485843240</t>
  </si>
  <si>
    <t>0472618027</t>
  </si>
  <si>
    <t>https://app.twizzit.com/public/photos/3463928/s/65ba284a6aa8f67e5b08f396e397206e4afd6e82.png</t>
  </si>
  <si>
    <t>De Zitter</t>
  </si>
  <si>
    <t>Elli</t>
  </si>
  <si>
    <t>15/01/2019</t>
  </si>
  <si>
    <t>de.zitter.steve@gmail.com</t>
  </si>
  <si>
    <t>0473423222</t>
  </si>
  <si>
    <t>0473544531</t>
  </si>
  <si>
    <t>Limme</t>
  </si>
  <si>
    <t>28/10/2014</t>
  </si>
  <si>
    <t>Debels</t>
  </si>
  <si>
    <t>Davie</t>
  </si>
  <si>
    <t>0495279874</t>
  </si>
  <si>
    <t>06/07/2017</t>
  </si>
  <si>
    <t>Fonteineweg</t>
  </si>
  <si>
    <t>0476521616</t>
  </si>
  <si>
    <t>17.07.06-395.54</t>
  </si>
  <si>
    <t>https://app.twizzit.com/public/photos/7307064/s/62a20fb436e1f6920a77ad9e4cd715a7e88bd1d1.png</t>
  </si>
  <si>
    <t>Debisschop</t>
  </si>
  <si>
    <t>07/06/2014</t>
  </si>
  <si>
    <t>Kabienstraat</t>
  </si>
  <si>
    <t>0486445874</t>
  </si>
  <si>
    <t>Debouverie</t>
  </si>
  <si>
    <t>Ryan</t>
  </si>
  <si>
    <t>19/01/1994</t>
  </si>
  <si>
    <t>debouverieryan@gmail.com</t>
  </si>
  <si>
    <t>94.01.19-167.80</t>
  </si>
  <si>
    <t>Seb</t>
  </si>
  <si>
    <t>06/09/2018</t>
  </si>
  <si>
    <t>https://app.twizzit.com/public/photos/3470113/s/d4f4d56826c6eb1d41480a49a2f8240682b337d2.png</t>
  </si>
  <si>
    <t>Tille</t>
  </si>
  <si>
    <t>13/08/2021</t>
  </si>
  <si>
    <t>https://app.twizzit.com/public/photos/10452578/s/292aacecec7d92bf38572d240646cc8a5ea5dc01.png</t>
  </si>
  <si>
    <t>Debrabandere</t>
  </si>
  <si>
    <t>Alexander</t>
  </si>
  <si>
    <t>22/11/2020</t>
  </si>
  <si>
    <t>Den Osse</t>
  </si>
  <si>
    <t>wouterdebrabandere@hotmail.com</t>
  </si>
  <si>
    <t>0477290811</t>
  </si>
  <si>
    <t>0479632757</t>
  </si>
  <si>
    <t>https://app.twizzit.com/public/photos/9358687/s/39dec95c934b8449accefe9b14858af58d6c820f.png</t>
  </si>
  <si>
    <t>Debruyne</t>
  </si>
  <si>
    <t>Quentin</t>
  </si>
  <si>
    <t>30/01/2004</t>
  </si>
  <si>
    <t>0471753995</t>
  </si>
  <si>
    <t>Declercq</t>
  </si>
  <si>
    <t>Henri</t>
  </si>
  <si>
    <t>25/04/1995</t>
  </si>
  <si>
    <t>Decock</t>
  </si>
  <si>
    <t>Rami</t>
  </si>
  <si>
    <t>16/11/2021</t>
  </si>
  <si>
    <t>Rotterij</t>
  </si>
  <si>
    <t>decock.anthony07@gmail.com</t>
  </si>
  <si>
    <t>049819525</t>
  </si>
  <si>
    <t>Suze</t>
  </si>
  <si>
    <t>11/04/2020</t>
  </si>
  <si>
    <t>Vogelkersstraat</t>
  </si>
  <si>
    <t>andries.decock@gmail.com</t>
  </si>
  <si>
    <t>0495721285</t>
  </si>
  <si>
    <t>20.04.11-144.03</t>
  </si>
  <si>
    <t>Decroix</t>
  </si>
  <si>
    <t>Dieuwke</t>
  </si>
  <si>
    <t>30/04/2010</t>
  </si>
  <si>
    <t>Heurnestraat</t>
  </si>
  <si>
    <t>decroix.willem@gmail.com</t>
  </si>
  <si>
    <t>Jan.foucart@telenet.be</t>
  </si>
  <si>
    <t>0483596928</t>
  </si>
  <si>
    <t>Defever</t>
  </si>
  <si>
    <t>Wouter</t>
  </si>
  <si>
    <t>26/06/1969</t>
  </si>
  <si>
    <t>Nestor De Tièrestraat</t>
  </si>
  <si>
    <t>0470102338</t>
  </si>
  <si>
    <t>69.06.26-277.46</t>
  </si>
  <si>
    <t>Defraigne</t>
  </si>
  <si>
    <t>Maxime</t>
  </si>
  <si>
    <t>24/02/1999</t>
  </si>
  <si>
    <t>Molendreef</t>
  </si>
  <si>
    <t>99.02.24-269.37</t>
  </si>
  <si>
    <t>Degroote</t>
  </si>
  <si>
    <t>Jente</t>
  </si>
  <si>
    <t>Kanunnikenstraat</t>
  </si>
  <si>
    <t>Jilke</t>
  </si>
  <si>
    <t>12/12/2012</t>
  </si>
  <si>
    <t>08/07/2011</t>
  </si>
  <si>
    <t>Kastanjeplein</t>
  </si>
  <si>
    <t>lien_baert@hotmail.be</t>
  </si>
  <si>
    <t>28/01/1978</t>
  </si>
  <si>
    <t>Dekkar</t>
  </si>
  <si>
    <t>07/01/2013</t>
  </si>
  <si>
    <t>Fietelstraat</t>
  </si>
  <si>
    <t>hakim.dekkar@icloud.com</t>
  </si>
  <si>
    <t>13.01.07-157.39</t>
  </si>
  <si>
    <t>https://app.twizzit.com/public/photos/3451601/s/35fd5f537189934e8013cbeb18029ae3e97fcdcc.jpeg</t>
  </si>
  <si>
    <t>Dekorte</t>
  </si>
  <si>
    <t>Ann</t>
  </si>
  <si>
    <t>05/05/1979</t>
  </si>
  <si>
    <t>Kortekeer</t>
  </si>
  <si>
    <t>Delbaere</t>
  </si>
  <si>
    <t>Jakob</t>
  </si>
  <si>
    <t>20/04/2021</t>
  </si>
  <si>
    <t>Leegstraat</t>
  </si>
  <si>
    <t>0474233989</t>
  </si>
  <si>
    <t>Delcoigne</t>
  </si>
  <si>
    <t>Elias</t>
  </si>
  <si>
    <t>Stijn Streuvelstraat</t>
  </si>
  <si>
    <t>Michael.delcoigne@bernardusscholen.be</t>
  </si>
  <si>
    <t>0472527437</t>
  </si>
  <si>
    <t>0479474727</t>
  </si>
  <si>
    <t>https://app.twizzit.com/public/photos/2650658/s/473b38a30fa520bc6241ccd50a4cd1d0948d70a8.png</t>
  </si>
  <si>
    <t>Michaël</t>
  </si>
  <si>
    <t>12/07/1983</t>
  </si>
  <si>
    <t>83.07.12-011.63</t>
  </si>
  <si>
    <t>Delcroix</t>
  </si>
  <si>
    <t>Mathias</t>
  </si>
  <si>
    <t>23/05/2016</t>
  </si>
  <si>
    <t>Martijn van torhoutstraat</t>
  </si>
  <si>
    <t>Delcroix.dieter@hotmail.com</t>
  </si>
  <si>
    <t>0487106040</t>
  </si>
  <si>
    <t>Delmote</t>
  </si>
  <si>
    <t>05/01/2017</t>
  </si>
  <si>
    <t>Petegemplein</t>
  </si>
  <si>
    <t>Delouvroy</t>
  </si>
  <si>
    <t>Frederic</t>
  </si>
  <si>
    <t>30/12/1988</t>
  </si>
  <si>
    <t>Mijttestraat</t>
  </si>
  <si>
    <t>88.12.30-195.61</t>
  </si>
  <si>
    <t>Demesure</t>
  </si>
  <si>
    <t>Ibe</t>
  </si>
  <si>
    <t>04/01/2007</t>
  </si>
  <si>
    <t>Tumulus</t>
  </si>
  <si>
    <t>https://app.twizzit.com/public/photos/2670015/s/f1e98f51378ab75737aecc5cbf700ec759f2fc89.png</t>
  </si>
  <si>
    <t>Demets</t>
  </si>
  <si>
    <t>Lora</t>
  </si>
  <si>
    <t>07/12/2011</t>
  </si>
  <si>
    <t>Onderwaarde</t>
  </si>
  <si>
    <t>Lowie.demets@telenet.be</t>
  </si>
  <si>
    <t>0474450168</t>
  </si>
  <si>
    <t>0477382736</t>
  </si>
  <si>
    <t>11.12.07-328.97</t>
  </si>
  <si>
    <t>Lore</t>
  </si>
  <si>
    <t>14/07/2007</t>
  </si>
  <si>
    <t>0497388351</t>
  </si>
  <si>
    <t>Lotte</t>
  </si>
  <si>
    <t>Omer</t>
  </si>
  <si>
    <t>23/10/2015</t>
  </si>
  <si>
    <t>Demeulemeester</t>
  </si>
  <si>
    <t>Sabine</t>
  </si>
  <si>
    <t>02/02/1981</t>
  </si>
  <si>
    <t>81.02.02-134.66</t>
  </si>
  <si>
    <t>Demuynck</t>
  </si>
  <si>
    <t>Ian</t>
  </si>
  <si>
    <t>19/02/2009</t>
  </si>
  <si>
    <t>0499758598</t>
  </si>
  <si>
    <t>0499758594</t>
  </si>
  <si>
    <t>09.02.19-293.48</t>
  </si>
  <si>
    <t>Dequeecker</t>
  </si>
  <si>
    <t>Guus</t>
  </si>
  <si>
    <t>20/04/2007</t>
  </si>
  <si>
    <t>Dorre Wei</t>
  </si>
  <si>
    <t>sven.dequeecker@scarlet.be</t>
  </si>
  <si>
    <t>Sven</t>
  </si>
  <si>
    <t>06/06/1980</t>
  </si>
  <si>
    <t>80.06.06-439.36</t>
  </si>
  <si>
    <t>Deraedt</t>
  </si>
  <si>
    <t>Renée</t>
  </si>
  <si>
    <t>03/11/2018</t>
  </si>
  <si>
    <t>Ooikeplein</t>
  </si>
  <si>
    <t>https://app.twizzit.com/public/photos/7328300/s/7e2d6dfb7100b0ca8feb8f22a68ce2009271348a.png</t>
  </si>
  <si>
    <t>Derous</t>
  </si>
  <si>
    <t>22/08/2001</t>
  </si>
  <si>
    <t>Rode Beukendreef</t>
  </si>
  <si>
    <t>0468258571</t>
  </si>
  <si>
    <t>01.08.22-063.62</t>
  </si>
  <si>
    <t>Derycke</t>
  </si>
  <si>
    <t>Vinke</t>
  </si>
  <si>
    <t>27/12/2016</t>
  </si>
  <si>
    <t>Weistraat</t>
  </si>
  <si>
    <t>stevenderycke244@gmail.com</t>
  </si>
  <si>
    <t>BE62736030399561</t>
  </si>
  <si>
    <t>16.12.27-033.91</t>
  </si>
  <si>
    <t>Desmet</t>
  </si>
  <si>
    <t>16/05/1991</t>
  </si>
  <si>
    <t>Kruishoutemstraat</t>
  </si>
  <si>
    <t>91.05.16-437.59</t>
  </si>
  <si>
    <t>Ode</t>
  </si>
  <si>
    <t>23/03/2014</t>
  </si>
  <si>
    <t>Stooktstraat</t>
  </si>
  <si>
    <t>freyamalfait@icloud.com</t>
  </si>
  <si>
    <t>0472832063</t>
  </si>
  <si>
    <t>0485591517</t>
  </si>
  <si>
    <t>BE3114304455</t>
  </si>
  <si>
    <t>14.03.23-068.71</t>
  </si>
  <si>
    <t>https://app.twizzit.com/public/photos/2650916/s/be89217f1fc3b11d85c4b13abcca39bae64798e5.png</t>
  </si>
  <si>
    <t>Despriet</t>
  </si>
  <si>
    <t>Matheo</t>
  </si>
  <si>
    <t>01/07/2009</t>
  </si>
  <si>
    <t>Rue Croix-ou-Pile(SS)</t>
  </si>
  <si>
    <t>Matheo.despriet@gmail.com</t>
  </si>
  <si>
    <t>09.07.01-313.21</t>
  </si>
  <si>
    <t>16/11/2011</t>
  </si>
  <si>
    <t>Tibo.despriet@gmail.com</t>
  </si>
  <si>
    <t>11.11.16-405.34</t>
  </si>
  <si>
    <t>https://app.twizzit.com/public/photos/3884890/s/99828396af5826db82003655528894a4f299045f.jpeg</t>
  </si>
  <si>
    <t>Destickere</t>
  </si>
  <si>
    <t>Julie</t>
  </si>
  <si>
    <t>13/06/2007</t>
  </si>
  <si>
    <t>Kasteelstraat</t>
  </si>
  <si>
    <t>stefaan@immoboss.be</t>
  </si>
  <si>
    <t>Detavernier</t>
  </si>
  <si>
    <t>10/07/2012</t>
  </si>
  <si>
    <t>Kareldetavernier@hotmail.com</t>
  </si>
  <si>
    <t>0498633133</t>
  </si>
  <si>
    <t>12.07.10-089.38</t>
  </si>
  <si>
    <t>https://app.twizzit.com/public/photos/7212696/s/e7c3461b90a1ac60a7f21e048de55152ece732aa.png</t>
  </si>
  <si>
    <t>Devos</t>
  </si>
  <si>
    <t>Alexis</t>
  </si>
  <si>
    <t>01/09/2013</t>
  </si>
  <si>
    <t>Zwalmbeekweg</t>
  </si>
  <si>
    <t>0495886987</t>
  </si>
  <si>
    <t>13.09.01-181.57</t>
  </si>
  <si>
    <t>https://app.twizzit.com/public/photos/6106676/s/2ae43246aa8142b23f5743a7efbb9e280e512170.png</t>
  </si>
  <si>
    <t>Dewaele</t>
  </si>
  <si>
    <t>Emmanuelle</t>
  </si>
  <si>
    <t>09/02/2016</t>
  </si>
  <si>
    <t>0498070140</t>
  </si>
  <si>
    <t>16.02.09-326.74</t>
  </si>
  <si>
    <t>22/04/2009</t>
  </si>
  <si>
    <t>Lindendreef</t>
  </si>
  <si>
    <t>08/03/2014</t>
  </si>
  <si>
    <t>Hongerije</t>
  </si>
  <si>
    <t>0472984375</t>
  </si>
  <si>
    <t>Nathan</t>
  </si>
  <si>
    <t>03/09/2012</t>
  </si>
  <si>
    <t>wesleydewaele@yahoo.co.uk</t>
  </si>
  <si>
    <t>https://app.twizzit.com/public/photos/2182816/s/c00a73a61de05b1991d5eac8f8ad498e97a90e40.png</t>
  </si>
  <si>
    <t>Wesley</t>
  </si>
  <si>
    <t>10/12/1977</t>
  </si>
  <si>
    <t>0470540240</t>
  </si>
  <si>
    <t>77.12.10-005.38</t>
  </si>
  <si>
    <t>Deweerdt</t>
  </si>
  <si>
    <t>Dora</t>
  </si>
  <si>
    <t>12/07/2010</t>
  </si>
  <si>
    <t>Kouteren</t>
  </si>
  <si>
    <t>Dewilde</t>
  </si>
  <si>
    <t>12/10/2014</t>
  </si>
  <si>
    <t>niekdewilde@hotmail.be</t>
  </si>
  <si>
    <t>0472914166</t>
  </si>
  <si>
    <t>0474562569</t>
  </si>
  <si>
    <t>Dewolf</t>
  </si>
  <si>
    <t>Paula</t>
  </si>
  <si>
    <t>13/11/2012</t>
  </si>
  <si>
    <t>kelly.wood@hotmail.be</t>
  </si>
  <si>
    <t>0478720771</t>
  </si>
  <si>
    <t>Dewulf</t>
  </si>
  <si>
    <t>Lowie</t>
  </si>
  <si>
    <t>15/05/2012</t>
  </si>
  <si>
    <t>0474743487</t>
  </si>
  <si>
    <t>Dhaenens</t>
  </si>
  <si>
    <t>Alies</t>
  </si>
  <si>
    <t>06/03/2018</t>
  </si>
  <si>
    <t>eline.huysman@gmail.com</t>
  </si>
  <si>
    <t>0474684572</t>
  </si>
  <si>
    <t>Dhont</t>
  </si>
  <si>
    <t>Jarno</t>
  </si>
  <si>
    <t>16/12/2005</t>
  </si>
  <si>
    <t>jarno.mathis@gmail.com</t>
  </si>
  <si>
    <t>dhont.lieven1@gmail.com</t>
  </si>
  <si>
    <t>Jarno.dhont@gmail.com</t>
  </si>
  <si>
    <t>05.12.16-015.14</t>
  </si>
  <si>
    <t>Kenneth</t>
  </si>
  <si>
    <t>02/06/1980</t>
  </si>
  <si>
    <t>0477485789</t>
  </si>
  <si>
    <t>BE59 9792 4333 6326</t>
  </si>
  <si>
    <t>80.06.02-131.76</t>
  </si>
  <si>
    <t>13/01/1962</t>
  </si>
  <si>
    <t>05.12.16-017.12</t>
  </si>
  <si>
    <t>Dhont Gallant</t>
  </si>
  <si>
    <t>Guillaume</t>
  </si>
  <si>
    <t>28/04/2015</t>
  </si>
  <si>
    <t>477485 789</t>
  </si>
  <si>
    <t>15.04.28-133.78</t>
  </si>
  <si>
    <t>Diciu</t>
  </si>
  <si>
    <t>Stefan</t>
  </si>
  <si>
    <t>02/08/2013</t>
  </si>
  <si>
    <t>https://app.twizzit.com/public/photos/2650816/s/599e8735dd592b996d4eda81212c870f2e83f50b.png</t>
  </si>
  <si>
    <t>Dick</t>
  </si>
  <si>
    <t>Marco</t>
  </si>
  <si>
    <t>25/04/1999</t>
  </si>
  <si>
    <t>Beekstraat</t>
  </si>
  <si>
    <t>99.04.25-323.64</t>
  </si>
  <si>
    <t>Diederick</t>
  </si>
  <si>
    <t>Molly</t>
  </si>
  <si>
    <t>16/08/1987</t>
  </si>
  <si>
    <t>St. Martinusstraat</t>
  </si>
  <si>
    <t>87.08.16-145.94</t>
  </si>
  <si>
    <t>Diependaele</t>
  </si>
  <si>
    <t>Pieter</t>
  </si>
  <si>
    <t>07/03/2006</t>
  </si>
  <si>
    <t>coachpieter.basket@gmail.com</t>
  </si>
  <si>
    <t>06.03.07-161.96</t>
  </si>
  <si>
    <t>https://app.twizzit.com/public/photos/3239965/s/944ad53074c1441abd98efedc98fef813d2f093f.png</t>
  </si>
  <si>
    <t>Dione</t>
  </si>
  <si>
    <t>Kessy</t>
  </si>
  <si>
    <t>24/10/2010</t>
  </si>
  <si>
    <t>General Merlhierstraat</t>
  </si>
  <si>
    <t>Donev</t>
  </si>
  <si>
    <t>Laurens</t>
  </si>
  <si>
    <t>31/12/1998</t>
  </si>
  <si>
    <t>Krekelstraat</t>
  </si>
  <si>
    <t>98.12.31-247.92</t>
  </si>
  <si>
    <t>Doom</t>
  </si>
  <si>
    <t>Stella</t>
  </si>
  <si>
    <t>05/03/2012</t>
  </si>
  <si>
    <t>Louise-mariestraat</t>
  </si>
  <si>
    <t>0474339019</t>
  </si>
  <si>
    <t>12.03.05-122.30</t>
  </si>
  <si>
    <t>https://app.twizzit.com/public/photos/2934216/s/45c04c91f177e5e2573823a0565e40b71992ab87.png</t>
  </si>
  <si>
    <t>Doublet</t>
  </si>
  <si>
    <t>Cérile</t>
  </si>
  <si>
    <t>20/03/2021</t>
  </si>
  <si>
    <t>Rue Crimont</t>
  </si>
  <si>
    <t>36C</t>
  </si>
  <si>
    <t>doubletbenoit@msn.com</t>
  </si>
  <si>
    <t>0472578222</t>
  </si>
  <si>
    <t>Romain</t>
  </si>
  <si>
    <t>19/09/2019</t>
  </si>
  <si>
    <t>00472578222</t>
  </si>
  <si>
    <t>https://app.twizzit.com/public/photos/7664262/s/02fc4b8f066baecdefdf5af95e2fcf6d6b1f0215.jpeg</t>
  </si>
  <si>
    <t>Dujardin</t>
  </si>
  <si>
    <t>Dieter</t>
  </si>
  <si>
    <t>03/06/1998</t>
  </si>
  <si>
    <t>Duisbeke</t>
  </si>
  <si>
    <t>98.06.03-169.95</t>
  </si>
  <si>
    <t>Dull</t>
  </si>
  <si>
    <t>Emmanuel</t>
  </si>
  <si>
    <t>04/01/2012</t>
  </si>
  <si>
    <t>0472172783</t>
  </si>
  <si>
    <t>Dupont</t>
  </si>
  <si>
    <t>Craig</t>
  </si>
  <si>
    <t>20/10/1998</t>
  </si>
  <si>
    <t>98.10.20-505.53</t>
  </si>
  <si>
    <t>04/03/2020</t>
  </si>
  <si>
    <t>Hogerlucht</t>
  </si>
  <si>
    <t>sarah.verhellen@hotmail.com</t>
  </si>
  <si>
    <t>0470112368</t>
  </si>
  <si>
    <t>Duran</t>
  </si>
  <si>
    <t>21/01/2008</t>
  </si>
  <si>
    <t>0477784746</t>
  </si>
  <si>
    <t>Durhan</t>
  </si>
  <si>
    <t>Egemen</t>
  </si>
  <si>
    <t>29/05/2018</t>
  </si>
  <si>
    <t>Sompelstraat</t>
  </si>
  <si>
    <t>ibosabrie06@gmail.com</t>
  </si>
  <si>
    <t>0491630885</t>
  </si>
  <si>
    <t>18.05.29-031.26</t>
  </si>
  <si>
    <t>https://app.twizzit.com/public/photos/5748750/s/6a03612f72e189fb2a542ac535552aede78aad3f.png</t>
  </si>
  <si>
    <t>Duyck</t>
  </si>
  <si>
    <t>Stijn</t>
  </si>
  <si>
    <t>18/03/1990</t>
  </si>
  <si>
    <t>Graaf Van Landastraat</t>
  </si>
  <si>
    <t>90.03.18-199.08</t>
  </si>
  <si>
    <t>El Hajli</t>
  </si>
  <si>
    <t>Rayan</t>
  </si>
  <si>
    <t>22/06/2017</t>
  </si>
  <si>
    <t>17.06.22-167.86</t>
  </si>
  <si>
    <t>El Malt</t>
  </si>
  <si>
    <t>Yassin</t>
  </si>
  <si>
    <t>31/12/2007</t>
  </si>
  <si>
    <t>Lieven Duvosellaan</t>
  </si>
  <si>
    <t>m.elmalt@europital.com</t>
  </si>
  <si>
    <t>elmaltyassin@gmail.com</t>
  </si>
  <si>
    <t>07.12.31-295.05</t>
  </si>
  <si>
    <t>El-Batouli</t>
  </si>
  <si>
    <t>Rawi</t>
  </si>
  <si>
    <t>06/09/2019</t>
  </si>
  <si>
    <t>Rue Albert Massez</t>
  </si>
  <si>
    <t>Elyn</t>
  </si>
  <si>
    <t>Cas</t>
  </si>
  <si>
    <t>11/12/2021</t>
  </si>
  <si>
    <t>Spoorweglaan</t>
  </si>
  <si>
    <t>lievemoyaert@icloud.com</t>
  </si>
  <si>
    <t>0495653737</t>
  </si>
  <si>
    <t>Charlotte</t>
  </si>
  <si>
    <t>26/08/1990</t>
  </si>
  <si>
    <t>90.08.26-198.95</t>
  </si>
  <si>
    <t>Jorunn</t>
  </si>
  <si>
    <t>31/07/2004</t>
  </si>
  <si>
    <t>Tuintjesstraat</t>
  </si>
  <si>
    <t>04.07.31-184.18</t>
  </si>
  <si>
    <t>Laurence</t>
  </si>
  <si>
    <t>21/02/1988</t>
  </si>
  <si>
    <t>Begoniaweg</t>
  </si>
  <si>
    <t>Manou</t>
  </si>
  <si>
    <t>22/10/2006</t>
  </si>
  <si>
    <t>06.10.22-036.14</t>
  </si>
  <si>
    <t>Miel</t>
  </si>
  <si>
    <t>24/03/2017</t>
  </si>
  <si>
    <t>Lievemoyaert@icloud.com</t>
  </si>
  <si>
    <t>Robin</t>
  </si>
  <si>
    <t>03/10/2019</t>
  </si>
  <si>
    <t>Engels</t>
  </si>
  <si>
    <t>Evi</t>
  </si>
  <si>
    <t>14/06/1989</t>
  </si>
  <si>
    <t>Hamstraat</t>
  </si>
  <si>
    <t>89.06.14-128.05</t>
  </si>
  <si>
    <t>Espeel</t>
  </si>
  <si>
    <t>15/09/2010</t>
  </si>
  <si>
    <t>Axelwalle</t>
  </si>
  <si>
    <t>leen.rebry@ugent.be</t>
  </si>
  <si>
    <t>jasper.espeel@gmail.com</t>
  </si>
  <si>
    <t>0496150874</t>
  </si>
  <si>
    <t>0485070328</t>
  </si>
  <si>
    <t>0486767319</t>
  </si>
  <si>
    <t>BE26445762397129</t>
  </si>
  <si>
    <t>10.09.15-133.10</t>
  </si>
  <si>
    <t>30/01/2013</t>
  </si>
  <si>
    <t>Essien</t>
  </si>
  <si>
    <t>Ukeme</t>
  </si>
  <si>
    <t>29/09/2003</t>
  </si>
  <si>
    <t>Zwijnaardsesteenweg</t>
  </si>
  <si>
    <t>00493339044</t>
  </si>
  <si>
    <t>03.09.29-199.56</t>
  </si>
  <si>
    <t>Ettijrini</t>
  </si>
  <si>
    <t>Fadila</t>
  </si>
  <si>
    <t>30/03/2017</t>
  </si>
  <si>
    <t>Pelikaanstraat</t>
  </si>
  <si>
    <t>0470221432</t>
  </si>
  <si>
    <t>Jamila</t>
  </si>
  <si>
    <t>04/08/2011</t>
  </si>
  <si>
    <t>Evrard</t>
  </si>
  <si>
    <t>Amélie</t>
  </si>
  <si>
    <t>09/07/2018</t>
  </si>
  <si>
    <t>Beertegemstraat</t>
  </si>
  <si>
    <t>evrard143@gmail.com</t>
  </si>
  <si>
    <t>00473223315</t>
  </si>
  <si>
    <t>00483001187</t>
  </si>
  <si>
    <t>Faelens</t>
  </si>
  <si>
    <t>Chloé</t>
  </si>
  <si>
    <t>11/12/2012</t>
  </si>
  <si>
    <t>0472960602</t>
  </si>
  <si>
    <t>https://app.twizzit.com/public/photos/4276094/s/88cd5d3554278fc03aae2c2a9989ae19589b1181.png</t>
  </si>
  <si>
    <t>Flamant</t>
  </si>
  <si>
    <t>Thibeau</t>
  </si>
  <si>
    <t>Spendelos</t>
  </si>
  <si>
    <t>Foret</t>
  </si>
  <si>
    <t>Matteo</t>
  </si>
  <si>
    <t>05/11/2005</t>
  </si>
  <si>
    <t>Nukerkestraat</t>
  </si>
  <si>
    <t>05.11.05-167.88</t>
  </si>
  <si>
    <t>Gallant</t>
  </si>
  <si>
    <t>Karolien</t>
  </si>
  <si>
    <t>Garcia</t>
  </si>
  <si>
    <t>Daniël</t>
  </si>
  <si>
    <t>29/06/1976</t>
  </si>
  <si>
    <t>Wijnendale</t>
  </si>
  <si>
    <t>76.06.29-141.45</t>
  </si>
  <si>
    <t>Luis</t>
  </si>
  <si>
    <t>30/08/2002</t>
  </si>
  <si>
    <t>02.08.30-137.60</t>
  </si>
  <si>
    <t>Geenens</t>
  </si>
  <si>
    <t>Alixe</t>
  </si>
  <si>
    <t>29/08/2017</t>
  </si>
  <si>
    <t>Rue Lableau</t>
  </si>
  <si>
    <t>1C</t>
  </si>
  <si>
    <t>stephengeenens@gmail.com</t>
  </si>
  <si>
    <t>0477248349</t>
  </si>
  <si>
    <t>14/01/2014</t>
  </si>
  <si>
    <t>14.01.14-304.91</t>
  </si>
  <si>
    <t>04/01/2016</t>
  </si>
  <si>
    <t>Brokelaerestraat</t>
  </si>
  <si>
    <t>0474335674</t>
  </si>
  <si>
    <t>0479858482</t>
  </si>
  <si>
    <t>16.01.04-339.10</t>
  </si>
  <si>
    <t>https://app.twizzit.com/public/photos/10377574/s/62e9c970b54f4ce753f6fe1b02a81459ce0f4576.png</t>
  </si>
  <si>
    <t>Stephen</t>
  </si>
  <si>
    <t>26/07/1982</t>
  </si>
  <si>
    <t>0494195355</t>
  </si>
  <si>
    <t>82.07.26-031.87</t>
  </si>
  <si>
    <t>Geiregat</t>
  </si>
  <si>
    <t>22/09/2015</t>
  </si>
  <si>
    <t>Knokstraat</t>
  </si>
  <si>
    <t>0499132186</t>
  </si>
  <si>
    <t>0473050473</t>
  </si>
  <si>
    <t>Victor</t>
  </si>
  <si>
    <t>20/02/2011</t>
  </si>
  <si>
    <t>jurgengeiregat@gmail.com</t>
  </si>
  <si>
    <t>victorgeiregat@gmail.com</t>
  </si>
  <si>
    <t>0485242755</t>
  </si>
  <si>
    <t>0476693010</t>
  </si>
  <si>
    <t>0467007382</t>
  </si>
  <si>
    <t>Genbrugge</t>
  </si>
  <si>
    <t>Basiel</t>
  </si>
  <si>
    <t>20/11/2012</t>
  </si>
  <si>
    <t>Winkelveldeke</t>
  </si>
  <si>
    <t>4a</t>
  </si>
  <si>
    <t>basiel.genbrugge@gmail.com</t>
  </si>
  <si>
    <t>0486314030</t>
  </si>
  <si>
    <t>12.11.20-237.06</t>
  </si>
  <si>
    <t>https://app.twizzit.com/public/photos/8579142/s/db8d4000b96831e0c69a1f9ee9bb0955ce673dba.png</t>
  </si>
  <si>
    <t>Tuur</t>
  </si>
  <si>
    <t>16/06/1983</t>
  </si>
  <si>
    <t>4A</t>
  </si>
  <si>
    <t>BE48 0015 7526 3327</t>
  </si>
  <si>
    <t>83.06.16-341.91</t>
  </si>
  <si>
    <t>Gheysen</t>
  </si>
  <si>
    <t>Amber</t>
  </si>
  <si>
    <t>24/01/1998</t>
  </si>
  <si>
    <t>Melkweg</t>
  </si>
  <si>
    <t>amber.gheysen@gmail.com</t>
  </si>
  <si>
    <t>https://app.twizzit.com/public/photos/2182901/s/a2498335971019f322ad895555337e0117e5cb4b.png</t>
  </si>
  <si>
    <t>Brent</t>
  </si>
  <si>
    <t>10/05/1999</t>
  </si>
  <si>
    <t>99.05.10-275.84</t>
  </si>
  <si>
    <t>22/05/2014</t>
  </si>
  <si>
    <t>Ghyselinck</t>
  </si>
  <si>
    <t>Hervé</t>
  </si>
  <si>
    <t>26/10/2020</t>
  </si>
  <si>
    <t>Weldenstraat</t>
  </si>
  <si>
    <t>jonifoucart@hotmail.com</t>
  </si>
  <si>
    <t>0485336563</t>
  </si>
  <si>
    <t>Kathelyn</t>
  </si>
  <si>
    <t>19/04/1967</t>
  </si>
  <si>
    <t>Giriteka</t>
  </si>
  <si>
    <t>Yves Bellard</t>
  </si>
  <si>
    <t>20/11/1997</t>
  </si>
  <si>
    <t>Wijngaardstraat</t>
  </si>
  <si>
    <t>0466419783</t>
  </si>
  <si>
    <t>97.11.20-751.84</t>
  </si>
  <si>
    <t>Glorieux</t>
  </si>
  <si>
    <t>Valerie</t>
  </si>
  <si>
    <t>13/12/1985</t>
  </si>
  <si>
    <t>85.12.13-068.53</t>
  </si>
  <si>
    <t>Gocaj</t>
  </si>
  <si>
    <t>Dea</t>
  </si>
  <si>
    <t>04/02/2016</t>
  </si>
  <si>
    <t>00465136417</t>
  </si>
  <si>
    <t>Godefroot</t>
  </si>
  <si>
    <t>08/09/2011</t>
  </si>
  <si>
    <t>Klapstraat</t>
  </si>
  <si>
    <t>0473683008</t>
  </si>
  <si>
    <t>Wolf</t>
  </si>
  <si>
    <t>27/04/2010</t>
  </si>
  <si>
    <t>10.04.27-277.53</t>
  </si>
  <si>
    <t>Godpower</t>
  </si>
  <si>
    <t>Oben</t>
  </si>
  <si>
    <t>22/06/2013</t>
  </si>
  <si>
    <t>0497885450</t>
  </si>
  <si>
    <t>Goossens</t>
  </si>
  <si>
    <t>Briek</t>
  </si>
  <si>
    <t>22/08/2012</t>
  </si>
  <si>
    <t>Dries</t>
  </si>
  <si>
    <t>04/04/1975</t>
  </si>
  <si>
    <t>St.-Martinusstraat</t>
  </si>
  <si>
    <t>Olivier</t>
  </si>
  <si>
    <t>17/10/2011</t>
  </si>
  <si>
    <t>Sint Martinusstraat</t>
  </si>
  <si>
    <t>11.10.17-393.09</t>
  </si>
  <si>
    <t>https://app.twizzit.com/public/photos/2934245/s/03a766ee1e50ca3bad05d69030cd7b4aca9e67ff.png</t>
  </si>
  <si>
    <t>13/06/2008</t>
  </si>
  <si>
    <t>0477281468</t>
  </si>
  <si>
    <t>https://app.twizzit.com/public/photos/2182921/s/d5ec4bbccbaf575bfa3a597df60827a1e6809d4b.png</t>
  </si>
  <si>
    <t>05/11/2014</t>
  </si>
  <si>
    <t>vrolijke.tuur@gmail.com</t>
  </si>
  <si>
    <t>14.11.05-217.33</t>
  </si>
  <si>
    <t>Guenter</t>
  </si>
  <si>
    <t>Heike</t>
  </si>
  <si>
    <t>27/04/2009</t>
  </si>
  <si>
    <t>Noordhoek</t>
  </si>
  <si>
    <t>Heike.guenter@telenet.be</t>
  </si>
  <si>
    <t>0474664394</t>
  </si>
  <si>
    <t>0456085054</t>
  </si>
  <si>
    <t>09.04.27-084.31</t>
  </si>
  <si>
    <t>Viktor</t>
  </si>
  <si>
    <t>24/08/2017</t>
  </si>
  <si>
    <t>Dieter.Guillaume@gmail.com</t>
  </si>
  <si>
    <t>0489100744</t>
  </si>
  <si>
    <t>0486392021</t>
  </si>
  <si>
    <t>Haffner</t>
  </si>
  <si>
    <t>28/04/2020</t>
  </si>
  <si>
    <t>Ruttemburgstraat</t>
  </si>
  <si>
    <t>haffner.r@hotmail.com</t>
  </si>
  <si>
    <t>0470654159</t>
  </si>
  <si>
    <t>Hakuzimana</t>
  </si>
  <si>
    <t>Laura</t>
  </si>
  <si>
    <t>05/06/2011</t>
  </si>
  <si>
    <t>Vrezeveld</t>
  </si>
  <si>
    <t>0496950967</t>
  </si>
  <si>
    <t>11.06.05-028.27</t>
  </si>
  <si>
    <t>Sander</t>
  </si>
  <si>
    <t>30/06/2008</t>
  </si>
  <si>
    <t>0467059655</t>
  </si>
  <si>
    <t>Hardeel</t>
  </si>
  <si>
    <t>21/06/1999</t>
  </si>
  <si>
    <t>Den Bos</t>
  </si>
  <si>
    <t>guillaume.hardeel@outlook.be</t>
  </si>
  <si>
    <t>99.06.21-315.12</t>
  </si>
  <si>
    <t>Hebbelynck</t>
  </si>
  <si>
    <t>Mathijs</t>
  </si>
  <si>
    <t>04/03/2010</t>
  </si>
  <si>
    <t>Heirweg</t>
  </si>
  <si>
    <t>bhebbelynck@gmail.com</t>
  </si>
  <si>
    <t>048610527</t>
  </si>
  <si>
    <t>0498670082</t>
  </si>
  <si>
    <t>Heerman</t>
  </si>
  <si>
    <t>Ali</t>
  </si>
  <si>
    <t>03/02/1964</t>
  </si>
  <si>
    <t>kortekeer</t>
  </si>
  <si>
    <t>Babette</t>
  </si>
  <si>
    <t>22/02/2008</t>
  </si>
  <si>
    <t>0494139188</t>
  </si>
  <si>
    <t>https://app.twizzit.com/public/photos/2182962/s/678de8b1828bb3edb726733948e3f8b1d0b8d6f4.png</t>
  </si>
  <si>
    <t>Marcel</t>
  </si>
  <si>
    <t>07/07/2010</t>
  </si>
  <si>
    <t>https://app.twizzit.com/public/photos/2182967/s/54b7da2d9b89a11ac01b0e47a5e1459ba7405e68.png</t>
  </si>
  <si>
    <t>Heestermans</t>
  </si>
  <si>
    <t>Ron</t>
  </si>
  <si>
    <t>03/08/1955</t>
  </si>
  <si>
    <t>0468152536</t>
  </si>
  <si>
    <t>Heijse</t>
  </si>
  <si>
    <t>Elise</t>
  </si>
  <si>
    <t>19/01/1997</t>
  </si>
  <si>
    <t>Tjollevelddreef</t>
  </si>
  <si>
    <t>97.01.19-356.51</t>
  </si>
  <si>
    <t>Heirbaut</t>
  </si>
  <si>
    <t>Senne</t>
  </si>
  <si>
    <t>01/08/2010</t>
  </si>
  <si>
    <t>Herman</t>
  </si>
  <si>
    <t>Paulien</t>
  </si>
  <si>
    <t>14/05/1996</t>
  </si>
  <si>
    <t>96.05.14-342.28</t>
  </si>
  <si>
    <t>Heyerick</t>
  </si>
  <si>
    <t>Arno</t>
  </si>
  <si>
    <t>22/06/2008</t>
  </si>
  <si>
    <t>Olsensesteenweg</t>
  </si>
  <si>
    <t>0479480500</t>
  </si>
  <si>
    <t>0477834808</t>
  </si>
  <si>
    <t>08.06.22-121.40</t>
  </si>
  <si>
    <t>Heyse</t>
  </si>
  <si>
    <t>Lien</t>
  </si>
  <si>
    <t>02/02/1998</t>
  </si>
  <si>
    <t>98.02.02-344.19</t>
  </si>
  <si>
    <t>Patrick</t>
  </si>
  <si>
    <t>17/06/1962</t>
  </si>
  <si>
    <t>62.06.17-019.39</t>
  </si>
  <si>
    <t>Hoerée</t>
  </si>
  <si>
    <t>Joeri</t>
  </si>
  <si>
    <t>30/07/2003</t>
  </si>
  <si>
    <t>Wallestraat</t>
  </si>
  <si>
    <t>katty.tallieu@pandora.be</t>
  </si>
  <si>
    <t>Hollebar</t>
  </si>
  <si>
    <t>03/05/1994</t>
  </si>
  <si>
    <t>94.05.03-197.73</t>
  </si>
  <si>
    <t>Hoogervorst</t>
  </si>
  <si>
    <t>Mihaèl</t>
  </si>
  <si>
    <t>28/09/2018</t>
  </si>
  <si>
    <t>Gevaertsdreef</t>
  </si>
  <si>
    <t>0465557955</t>
  </si>
  <si>
    <t>18.09.28-423.80</t>
  </si>
  <si>
    <t>Hoste</t>
  </si>
  <si>
    <t>Liesbeth</t>
  </si>
  <si>
    <t>16/03/1983</t>
  </si>
  <si>
    <t>83.03.16-060.60</t>
  </si>
  <si>
    <t>Huys</t>
  </si>
  <si>
    <t>Lennert</t>
  </si>
  <si>
    <t>20/02/2013</t>
  </si>
  <si>
    <t>Oudstrijdersstraat</t>
  </si>
  <si>
    <t>Huysman</t>
  </si>
  <si>
    <t>13/09/2006</t>
  </si>
  <si>
    <t>huysman_felix@gmail.com</t>
  </si>
  <si>
    <t>0474884540</t>
  </si>
  <si>
    <t>0486409490</t>
  </si>
  <si>
    <t>06.09.13-369.41</t>
  </si>
  <si>
    <t>19/10/1974</t>
  </si>
  <si>
    <t>stijn.huysman@outlook.com</t>
  </si>
  <si>
    <t>27/12/2010</t>
  </si>
  <si>
    <t>https://app.twizzit.com/public/photos/2936186/s/c4015a6cfb380c1e7090d66488ca6326fa9caa7a.png</t>
  </si>
  <si>
    <t>Huyzentruyt</t>
  </si>
  <si>
    <t>Noah</t>
  </si>
  <si>
    <t>17/06/2001</t>
  </si>
  <si>
    <t>Passionistenstraat</t>
  </si>
  <si>
    <t>01.06.17-139.25</t>
  </si>
  <si>
    <t>Thibault</t>
  </si>
  <si>
    <t>12/10/1994</t>
  </si>
  <si>
    <t>Lucas Deheerestraat</t>
  </si>
  <si>
    <t>94.10.12-273.53</t>
  </si>
  <si>
    <t>Ismajli Foulon</t>
  </si>
  <si>
    <t>Ilona</t>
  </si>
  <si>
    <t>10/01/2017</t>
  </si>
  <si>
    <t>Outrijvestraat</t>
  </si>
  <si>
    <t>feritamg@gmail.com</t>
  </si>
  <si>
    <t>0486670994</t>
  </si>
  <si>
    <t>Janssens</t>
  </si>
  <si>
    <t>Mirte</t>
  </si>
  <si>
    <t>20/01/2009</t>
  </si>
  <si>
    <t>Baaigemstraat</t>
  </si>
  <si>
    <t>Lies.Vanlerberghe@gmaiil.com</t>
  </si>
  <si>
    <t>janssens.mirte@gmail.com</t>
  </si>
  <si>
    <t>https://app.twizzit.com/public/photos/2669942/s/5f79e0ad9bcf611750cb283fbc9adebafe876bae.png</t>
  </si>
  <si>
    <t>William</t>
  </si>
  <si>
    <t>14/06/1945</t>
  </si>
  <si>
    <t>0486756760</t>
  </si>
  <si>
    <t>45.06.14-111.68</t>
  </si>
  <si>
    <t>Kazmenko</t>
  </si>
  <si>
    <t>Aleksandr</t>
  </si>
  <si>
    <t>29/06/1990</t>
  </si>
  <si>
    <t>Leedsestraat</t>
  </si>
  <si>
    <t>11E</t>
  </si>
  <si>
    <t>alex@inolel.com</t>
  </si>
  <si>
    <t>Kesteloot</t>
  </si>
  <si>
    <t>11/02/1991</t>
  </si>
  <si>
    <t>Veldmaarschalk Montgomerystraat</t>
  </si>
  <si>
    <t>0472298312</t>
  </si>
  <si>
    <t>91.02.11-331.03</t>
  </si>
  <si>
    <t>https://app.twizzit.com/public/photos/2183017/s/cab2a8ce50a8c2f200efa9bb74de43a6f9fbf6e7.png</t>
  </si>
  <si>
    <t>L'Hommelet</t>
  </si>
  <si>
    <t>Filip</t>
  </si>
  <si>
    <t>02/08/1980</t>
  </si>
  <si>
    <t>Chaussee De Renaix</t>
  </si>
  <si>
    <t>147A</t>
  </si>
  <si>
    <t>filip.lhommelet@myweb4u.be</t>
  </si>
  <si>
    <t>80.08.02-103.21</t>
  </si>
  <si>
    <t>01/04/2014</t>
  </si>
  <si>
    <t>Chaussée de Renaix</t>
  </si>
  <si>
    <t>els.bourgois@gmail.com</t>
  </si>
  <si>
    <t>Lacres</t>
  </si>
  <si>
    <t>Maud</t>
  </si>
  <si>
    <t>09/04/2015</t>
  </si>
  <si>
    <t>Hevelweg</t>
  </si>
  <si>
    <t>taelman.elke@gmail.com</t>
  </si>
  <si>
    <t>0486264195</t>
  </si>
  <si>
    <t>15.04.09-228.68</t>
  </si>
  <si>
    <t>https://app.twizzit.com/public/photos/7284400/s/788dc5308deee743b8d2d9764e0824010b7633fe.png</t>
  </si>
  <si>
    <t>Lagae</t>
  </si>
  <si>
    <t>Jannes</t>
  </si>
  <si>
    <t>21/10/2015</t>
  </si>
  <si>
    <t>Rue Déflière</t>
  </si>
  <si>
    <t>Ruubelagae@gmail.com</t>
  </si>
  <si>
    <t>Timlagae@hotmail.com</t>
  </si>
  <si>
    <t>Ruube</t>
  </si>
  <si>
    <t>02/01/2013</t>
  </si>
  <si>
    <t>13.01.02-224.25</t>
  </si>
  <si>
    <t>Lambert</t>
  </si>
  <si>
    <t>Katrien</t>
  </si>
  <si>
    <t>17/07/1980</t>
  </si>
  <si>
    <t>80.07.17-226.23</t>
  </si>
  <si>
    <t>Lampens</t>
  </si>
  <si>
    <t>Wiebe</t>
  </si>
  <si>
    <t>30/10/2008</t>
  </si>
  <si>
    <t>Hulstraat</t>
  </si>
  <si>
    <t>wouterlampens@gmail.com</t>
  </si>
  <si>
    <t>wiebelampens@gmail.com</t>
  </si>
  <si>
    <t>08.10.30-210.30</t>
  </si>
  <si>
    <t>Langaskens</t>
  </si>
  <si>
    <t>Natasja</t>
  </si>
  <si>
    <t>17/12/1971</t>
  </si>
  <si>
    <t>71.12.17-032.63</t>
  </si>
  <si>
    <t>Lapiere</t>
  </si>
  <si>
    <t>Lucas</t>
  </si>
  <si>
    <t>02/10/2001</t>
  </si>
  <si>
    <t>01.10.02-187.67</t>
  </si>
  <si>
    <t>Niko</t>
  </si>
  <si>
    <t>07/05/1975</t>
  </si>
  <si>
    <t>75.05.07-085.54</t>
  </si>
  <si>
    <t>Lapierre</t>
  </si>
  <si>
    <t>19/08/1988</t>
  </si>
  <si>
    <t>Wandellaan</t>
  </si>
  <si>
    <t>0477590960</t>
  </si>
  <si>
    <t>88.08.19-409.52</t>
  </si>
  <si>
    <t>Lasseel</t>
  </si>
  <si>
    <t>Georges</t>
  </si>
  <si>
    <t>20/07/2020</t>
  </si>
  <si>
    <t>Leliestraat</t>
  </si>
  <si>
    <t>lasseeltom@gmail.com</t>
  </si>
  <si>
    <t>0470351060</t>
  </si>
  <si>
    <t>Laurez</t>
  </si>
  <si>
    <t>Babet</t>
  </si>
  <si>
    <t>23/07/2016</t>
  </si>
  <si>
    <t>0477501978</t>
  </si>
  <si>
    <t>0497346571</t>
  </si>
  <si>
    <t>16.07.23-086.26</t>
  </si>
  <si>
    <t>Lauwereins</t>
  </si>
  <si>
    <t>Jef</t>
  </si>
  <si>
    <t>16/09/2019</t>
  </si>
  <si>
    <t>smallendam</t>
  </si>
  <si>
    <t>lauwereins.steven@gmail.com</t>
  </si>
  <si>
    <t>0474317844</t>
  </si>
  <si>
    <t>Lauwers</t>
  </si>
  <si>
    <t>Ramon</t>
  </si>
  <si>
    <t>02/07/2015</t>
  </si>
  <si>
    <t>Kloosterstraat</t>
  </si>
  <si>
    <t>lauwersvanzele@gmail.com</t>
  </si>
  <si>
    <t>0473974827</t>
  </si>
  <si>
    <t>Lebrouchi Poddubnaya</t>
  </si>
  <si>
    <t>08/12/2009</t>
  </si>
  <si>
    <t>Veemarkt</t>
  </si>
  <si>
    <t>marina.pd34@gmail</t>
  </si>
  <si>
    <t>0492948427</t>
  </si>
  <si>
    <t>0494709049</t>
  </si>
  <si>
    <t>Legein</t>
  </si>
  <si>
    <t>16/02/1999</t>
  </si>
  <si>
    <t>Generaal Merchierstraat</t>
  </si>
  <si>
    <t>99.02.16-259.93</t>
  </si>
  <si>
    <t>Lemaire</t>
  </si>
  <si>
    <t>Lothar</t>
  </si>
  <si>
    <t>16/08/2018</t>
  </si>
  <si>
    <t>Mont</t>
  </si>
  <si>
    <t>huglemaire@hotmail.com</t>
  </si>
  <si>
    <t>0485677282</t>
  </si>
  <si>
    <t>https://app.twizzit.com/public/photos/9680220/s/630006e9802fd7af81a6784302b397c8d31a519e.jpeg</t>
  </si>
  <si>
    <t>Lepez</t>
  </si>
  <si>
    <t>Céleste</t>
  </si>
  <si>
    <t>18/01/2021</t>
  </si>
  <si>
    <t>Kerkstraat</t>
  </si>
  <si>
    <t>timo.lepez@gmail.com</t>
  </si>
  <si>
    <t>https://app.twizzit.com/public/photos/10452680/s/43631296673a3f6a5260a0eddda463059079fbf8.jpeg</t>
  </si>
  <si>
    <t>Lessenne</t>
  </si>
  <si>
    <t>Thor</t>
  </si>
  <si>
    <t>22/11/2015</t>
  </si>
  <si>
    <t>lessenne_frederic@yahoo.com</t>
  </si>
  <si>
    <t>0494240195</t>
  </si>
  <si>
    <t>0477650341</t>
  </si>
  <si>
    <t>https://app.twizzit.com/public/photos/4393791/s/f227f8ddb169feb6dded4f508fa8f0a8d6bc3bc4.jpeg</t>
  </si>
  <si>
    <t>29/07/2017</t>
  </si>
  <si>
    <t>https://app.twizzit.com/public/photos/3580747/s/157853967ede68629434e8db7d36b6d860f7ea97.jpeg</t>
  </si>
  <si>
    <t>Libbrecht</t>
  </si>
  <si>
    <t>Anouk</t>
  </si>
  <si>
    <t>24/04/2010</t>
  </si>
  <si>
    <t>Kaphoekstraat</t>
  </si>
  <si>
    <t>Libert</t>
  </si>
  <si>
    <t>24/05/2012</t>
  </si>
  <si>
    <t>Fortstraat</t>
  </si>
  <si>
    <t>s_ardenois@hotmail.com</t>
  </si>
  <si>
    <t>0479788543</t>
  </si>
  <si>
    <t>0471396733</t>
  </si>
  <si>
    <t>074397512</t>
  </si>
  <si>
    <t>0474397512</t>
  </si>
  <si>
    <t>12.05.24-017.64</t>
  </si>
  <si>
    <t>82.10.03-039.14</t>
  </si>
  <si>
    <t>Felice</t>
  </si>
  <si>
    <t>22/07/2015</t>
  </si>
  <si>
    <t>0473780275</t>
  </si>
  <si>
    <t>https://app.twizzit.com/public/photos/7279180/s/1c5d9fda02031baa486ebec940b4c251ec4b6762.png</t>
  </si>
  <si>
    <t>06/09/2015</t>
  </si>
  <si>
    <t>25/08/2017</t>
  </si>
  <si>
    <t>https://app.twizzit.com/public/photos/7493172/s/6235261693b78c2a6b1d4ecbb92a61770437eca9.jpeg</t>
  </si>
  <si>
    <t>Liekens</t>
  </si>
  <si>
    <t>Sam</t>
  </si>
  <si>
    <t>04/11/2010</t>
  </si>
  <si>
    <t>41A</t>
  </si>
  <si>
    <t>0478888243</t>
  </si>
  <si>
    <t>0486979231</t>
  </si>
  <si>
    <t>https://app.twizzit.com/public/photos/3475283/s/e532263ea43cddb59650656f3777387ca04d2de4.jpeg</t>
  </si>
  <si>
    <t>Lievyns</t>
  </si>
  <si>
    <t>Sofie</t>
  </si>
  <si>
    <t>23/08/1979</t>
  </si>
  <si>
    <t>00478331198</t>
  </si>
  <si>
    <t>Lippens</t>
  </si>
  <si>
    <t>Andreas</t>
  </si>
  <si>
    <t>28/03/1995</t>
  </si>
  <si>
    <t>Waregemstraat</t>
  </si>
  <si>
    <t>032492223206</t>
  </si>
  <si>
    <t>95.03.28-131.75</t>
  </si>
  <si>
    <t>Lodewyckx</t>
  </si>
  <si>
    <t>Lars</t>
  </si>
  <si>
    <t>26/06/2013</t>
  </si>
  <si>
    <t>Lossie</t>
  </si>
  <si>
    <t>04/02/2011</t>
  </si>
  <si>
    <t>Trekweg Rechteroever</t>
  </si>
  <si>
    <t>Luyten</t>
  </si>
  <si>
    <t>Boris</t>
  </si>
  <si>
    <t>08/11/2017</t>
  </si>
  <si>
    <t>Bergstraat</t>
  </si>
  <si>
    <t>liesbeth_boudrez@hotmail.be</t>
  </si>
  <si>
    <t>https://app.twizzit.com/public/photos/3437308/s/ee02af9294d7823dae37d6eb7126b435ef764909.png</t>
  </si>
  <si>
    <t>Max</t>
  </si>
  <si>
    <t>05/09/2008</t>
  </si>
  <si>
    <t>Oskar</t>
  </si>
  <si>
    <t>07/03/2020</t>
  </si>
  <si>
    <t>https://app.twizzit.com/public/photos/6067218/s/05d3b6d34153ded2c11249ae66f232311ce5df9d.jpeg</t>
  </si>
  <si>
    <t>Steven</t>
  </si>
  <si>
    <t>L’Hommelet</t>
  </si>
  <si>
    <t>28/01/2011</t>
  </si>
  <si>
    <t>Maebe</t>
  </si>
  <si>
    <t>Fenne</t>
  </si>
  <si>
    <t>17/04/2014</t>
  </si>
  <si>
    <t>Abdijstraat</t>
  </si>
  <si>
    <t>Maenhout</t>
  </si>
  <si>
    <t>08/04/2014</t>
  </si>
  <si>
    <t>jokespies@hotmail.com</t>
  </si>
  <si>
    <t>0489178706</t>
  </si>
  <si>
    <t>0480645080</t>
  </si>
  <si>
    <t>https://app.twizzit.com/public/photos/9359547/s/0986374ba59a462685344af411da25079641e82d.jpeg</t>
  </si>
  <si>
    <t>Maertens</t>
  </si>
  <si>
    <t>04/12/1984</t>
  </si>
  <si>
    <t>Ten Stroom</t>
  </si>
  <si>
    <t>84.12.04-289.81</t>
  </si>
  <si>
    <t>Maes</t>
  </si>
  <si>
    <t>Dréa</t>
  </si>
  <si>
    <t>22/05/2012</t>
  </si>
  <si>
    <t>Tivolistraat</t>
  </si>
  <si>
    <t>Joke.merlaen@gmail.com</t>
  </si>
  <si>
    <t>0473118875</t>
  </si>
  <si>
    <t>12.05.22-068.73</t>
  </si>
  <si>
    <t>https://app.twizzit.com/public/photos/3412861/s/5d2322ba0de7264fd5ba0170cc29e82844de05d5.png</t>
  </si>
  <si>
    <t>Mahieu</t>
  </si>
  <si>
    <t>Kamiel</t>
  </si>
  <si>
    <t>28/07/2010</t>
  </si>
  <si>
    <t>0473745981</t>
  </si>
  <si>
    <t>20/04/2006</t>
  </si>
  <si>
    <t>Kerkewijck</t>
  </si>
  <si>
    <t>06.04.20-201.61</t>
  </si>
  <si>
    <t>Malbrant</t>
  </si>
  <si>
    <t>John</t>
  </si>
  <si>
    <t>03/05/1979</t>
  </si>
  <si>
    <t>Hundelgemsesteenweg</t>
  </si>
  <si>
    <t>0478314265</t>
  </si>
  <si>
    <t>79.05.03-029.23</t>
  </si>
  <si>
    <t>Clubrefs (Verantwoordelijke cel)</t>
  </si>
  <si>
    <t>Malfait</t>
  </si>
  <si>
    <t>23/04/2016</t>
  </si>
  <si>
    <t>Hoekman.annelies1@gmail.com</t>
  </si>
  <si>
    <t>0478836273</t>
  </si>
  <si>
    <t>Marcou</t>
  </si>
  <si>
    <t>10/02/1997</t>
  </si>
  <si>
    <t>Floristenstraat</t>
  </si>
  <si>
    <t>0474234134</t>
  </si>
  <si>
    <t>97.02.10-365.28</t>
  </si>
  <si>
    <t>Martens</t>
  </si>
  <si>
    <t>Gilles</t>
  </si>
  <si>
    <t>30/11/2016</t>
  </si>
  <si>
    <t>Arsenaalweg</t>
  </si>
  <si>
    <t>Martyn</t>
  </si>
  <si>
    <t>Mieke</t>
  </si>
  <si>
    <t>Peeshoek</t>
  </si>
  <si>
    <t>Matthys</t>
  </si>
  <si>
    <t>20/05/1960</t>
  </si>
  <si>
    <t>Jacob Lacopsstraat</t>
  </si>
  <si>
    <t>60.05.20-179.31</t>
  </si>
  <si>
    <t>Ploegverantwoordelijke</t>
  </si>
  <si>
    <t>Algemeen bestuur (Ondervoorzitter)</t>
  </si>
  <si>
    <t>Steppe</t>
  </si>
  <si>
    <t>03/12/2014</t>
  </si>
  <si>
    <t>Heirbaan</t>
  </si>
  <si>
    <t>0468429871</t>
  </si>
  <si>
    <t>0467004709</t>
  </si>
  <si>
    <t>https://app.twizzit.com/public/photos/10488364/s/177c95b9932dcdda23e09eda7b0298c34ca94551.jpeg</t>
  </si>
  <si>
    <t>Bleys</t>
  </si>
  <si>
    <t>15/01/2003</t>
  </si>
  <si>
    <t>Zonnebloemstraat</t>
  </si>
  <si>
    <t>0495940240</t>
  </si>
  <si>
    <t>03.01.15-241.87</t>
  </si>
  <si>
    <t>Mechant</t>
  </si>
  <si>
    <t>Joris</t>
  </si>
  <si>
    <t>24/10/1978</t>
  </si>
  <si>
    <t>jme.basket@telenet.be</t>
  </si>
  <si>
    <t>jme@cretes.be</t>
  </si>
  <si>
    <t>78.10.24-111.04</t>
  </si>
  <si>
    <t>Algemeen bestuur (Secretaris)</t>
  </si>
  <si>
    <t>Cel communicatie (Lid cel)</t>
  </si>
  <si>
    <t>Marte</t>
  </si>
  <si>
    <t>14/09/2006</t>
  </si>
  <si>
    <t>BE33733069987146</t>
  </si>
  <si>
    <t>06.09.14-134.52</t>
  </si>
  <si>
    <t>Meerpoel</t>
  </si>
  <si>
    <t>10/04/1998</t>
  </si>
  <si>
    <t>Windmolenstraat</t>
  </si>
  <si>
    <t>eric.meerpoel@telenet.be</t>
  </si>
  <si>
    <t>98.04.10-333.95</t>
  </si>
  <si>
    <t>Mees</t>
  </si>
  <si>
    <t>Cezar</t>
  </si>
  <si>
    <t>01/06/2018</t>
  </si>
  <si>
    <t>0474721420</t>
  </si>
  <si>
    <t>https://app.twizzit.com/public/photos/3436128/s/3f658dce803d1d860ec8c7dcfee63c3e63f8aeae.png</t>
  </si>
  <si>
    <t>gillesmees@hotmail.com</t>
  </si>
  <si>
    <t>Kasper</t>
  </si>
  <si>
    <t>26/11/2012</t>
  </si>
  <si>
    <t>https://app.twizzit.com/public/photos/2183112/s/07942e4161d7a20864d1fbcf54b9a6dda331637e.png</t>
  </si>
  <si>
    <t>Melis</t>
  </si>
  <si>
    <t>Jayson</t>
  </si>
  <si>
    <t>31/01/1999</t>
  </si>
  <si>
    <t>Dries ter Biest</t>
  </si>
  <si>
    <t>0495300478</t>
  </si>
  <si>
    <t>99.01.31-323.57</t>
  </si>
  <si>
    <t>Melsens</t>
  </si>
  <si>
    <t>Aureel</t>
  </si>
  <si>
    <t>14/07/2019</t>
  </si>
  <si>
    <t>Robert De Preesterstraat</t>
  </si>
  <si>
    <t>lieven.melsens@gmail.com</t>
  </si>
  <si>
    <t>0496392510</t>
  </si>
  <si>
    <t>Messeeuw</t>
  </si>
  <si>
    <t>Juul</t>
  </si>
  <si>
    <t>22/08/2019</t>
  </si>
  <si>
    <t>Koekamerstraat</t>
  </si>
  <si>
    <t>lynnvdwiele@hotmail.com</t>
  </si>
  <si>
    <t>0486610793</t>
  </si>
  <si>
    <t>0486202746</t>
  </si>
  <si>
    <t>Moerman</t>
  </si>
  <si>
    <t>Julian</t>
  </si>
  <si>
    <t>09/02/2020</t>
  </si>
  <si>
    <t>Ter Schabbe</t>
  </si>
  <si>
    <t>mirkomoerman@hotmail.com</t>
  </si>
  <si>
    <t>0495423490</t>
  </si>
  <si>
    <t>09/10/2017</t>
  </si>
  <si>
    <t>Molly.diederick@gmail.com</t>
  </si>
  <si>
    <t>0494605068</t>
  </si>
  <si>
    <t>0478510919</t>
  </si>
  <si>
    <t>17.10.09-181.05</t>
  </si>
  <si>
    <t>https://app.twizzit.com/public/photos/3485821/s/5f632eac97edae595ea1c86f4260b88c5b95d8cd.jpeg</t>
  </si>
  <si>
    <t>Tiaz</t>
  </si>
  <si>
    <t>03/03/2021</t>
  </si>
  <si>
    <t>Monseart</t>
  </si>
  <si>
    <t>28/05/1986</t>
  </si>
  <si>
    <t>Moyaert</t>
  </si>
  <si>
    <t>Lieve</t>
  </si>
  <si>
    <t>01/05/1985</t>
  </si>
  <si>
    <t>85.05.01-280.55</t>
  </si>
  <si>
    <t>https://app.twizzit.com/public/photos/10350943/s/7e37f0181937dc97132770010b15ead720b4220a.png</t>
  </si>
  <si>
    <t>Msili</t>
  </si>
  <si>
    <t>Nohaila</t>
  </si>
  <si>
    <t>02/08/1999</t>
  </si>
  <si>
    <t>0489384856</t>
  </si>
  <si>
    <t>99.08.02-410.16</t>
  </si>
  <si>
    <t>Mukuna-Ngongo</t>
  </si>
  <si>
    <t>Jeremie-Matthis</t>
  </si>
  <si>
    <t>25/11/2011</t>
  </si>
  <si>
    <t>Jacob van Arteveldestraat</t>
  </si>
  <si>
    <t>jeremiemukuna43@gmail.com</t>
  </si>
  <si>
    <t>0468153687</t>
  </si>
  <si>
    <t>Nachtergaele</t>
  </si>
  <si>
    <t>17/08/2015</t>
  </si>
  <si>
    <t>Ladeuze</t>
  </si>
  <si>
    <t>https://app.twizzit.com/public/photos/3526587/s/d9cd2de281e5d48997de87a634d3e25b996ae478.png</t>
  </si>
  <si>
    <t>Naessens</t>
  </si>
  <si>
    <t>Rover</t>
  </si>
  <si>
    <t>05/08/2019</t>
  </si>
  <si>
    <t>Holstraat</t>
  </si>
  <si>
    <t>deesnaessens@hotmail.com</t>
  </si>
  <si>
    <t>0495844733</t>
  </si>
  <si>
    <t>0498849321</t>
  </si>
  <si>
    <t>https://app.twizzit.com/public/photos/7328405/s/a238a3bac0fa83cb173f769b5ce64dd7bdebab6d.jpeg</t>
  </si>
  <si>
    <t>Neyrinck</t>
  </si>
  <si>
    <t>Jean-Reno</t>
  </si>
  <si>
    <t>08/11/2012</t>
  </si>
  <si>
    <t>Zeitje</t>
  </si>
  <si>
    <t>2B</t>
  </si>
  <si>
    <t>https://app.twizzit.com/public/photos/3543437/s/4b4d34aba7c38171a5f39885d89d2a702bb4c5c8.jpeg</t>
  </si>
  <si>
    <t>Norman Broekaert</t>
  </si>
  <si>
    <t>Sky</t>
  </si>
  <si>
    <t>17/03/2017</t>
  </si>
  <si>
    <t>-</t>
  </si>
  <si>
    <t>broekaert.geert@gmail.Com</t>
  </si>
  <si>
    <t>0473217678</t>
  </si>
  <si>
    <t>https://app.twizzit.com/public/photos/4496871/s/16aa6bee5abb15fe43b03f1b23b2f50719423069.png</t>
  </si>
  <si>
    <t>O'Reilly</t>
  </si>
  <si>
    <t>George</t>
  </si>
  <si>
    <t>07/01/2020</t>
  </si>
  <si>
    <t>danieloreilly22@yahoo.ie</t>
  </si>
  <si>
    <t>0494886713</t>
  </si>
  <si>
    <t>Oosterlynck</t>
  </si>
  <si>
    <t>Achilles</t>
  </si>
  <si>
    <t>25/07/2008</t>
  </si>
  <si>
    <t>Zuidstraat</t>
  </si>
  <si>
    <t>Opsomer</t>
  </si>
  <si>
    <t>Emiel</t>
  </si>
  <si>
    <t>26/06/2015</t>
  </si>
  <si>
    <t>Heulestraat</t>
  </si>
  <si>
    <t>meirlaen.evelien@gmail.com</t>
  </si>
  <si>
    <t>0478767261</t>
  </si>
  <si>
    <t>0479271948</t>
  </si>
  <si>
    <t>Jorne</t>
  </si>
  <si>
    <t>06/08/1998</t>
  </si>
  <si>
    <t>BE48 0017 8081 6027</t>
  </si>
  <si>
    <t>Orbie</t>
  </si>
  <si>
    <t>04/02/2013</t>
  </si>
  <si>
    <t>Graaf van Landaststraat</t>
  </si>
  <si>
    <t>15/10/2014</t>
  </si>
  <si>
    <t>03/01/1977</t>
  </si>
  <si>
    <t>Ottevaere</t>
  </si>
  <si>
    <t>16/12/2011</t>
  </si>
  <si>
    <t>Pauwel Vander Scheldenstraat</t>
  </si>
  <si>
    <t>maaike.teirlinck@telenet.be</t>
  </si>
  <si>
    <t>gust.ottevaere@telenet.be</t>
  </si>
  <si>
    <t>Paindavin</t>
  </si>
  <si>
    <t>Fabienne</t>
  </si>
  <si>
    <t>31/10/1976</t>
  </si>
  <si>
    <t>76.10.31-166.85</t>
  </si>
  <si>
    <t>https://app.twizzit.com/public/photos/2183137/s/3b1e368023103c92cad2292d92c8235ee2af4994.png</t>
  </si>
  <si>
    <t>Parmentier</t>
  </si>
  <si>
    <t>Théo</t>
  </si>
  <si>
    <t>22/07/2019</t>
  </si>
  <si>
    <t>Boskant</t>
  </si>
  <si>
    <t>jensparmentier@gmail.com</t>
  </si>
  <si>
    <t>0498076133</t>
  </si>
  <si>
    <t>Pattyn</t>
  </si>
  <si>
    <t>03/12/1972</t>
  </si>
  <si>
    <t>72.12.03-130.18</t>
  </si>
  <si>
    <t>Pauwels</t>
  </si>
  <si>
    <t>Leonie</t>
  </si>
  <si>
    <t>01/08/1996</t>
  </si>
  <si>
    <t>Regenbooglaan</t>
  </si>
  <si>
    <t>96.08.01-324.69</t>
  </si>
  <si>
    <t>Peeters</t>
  </si>
  <si>
    <t>Joël</t>
  </si>
  <si>
    <t>05/03/1974</t>
  </si>
  <si>
    <t>Ledepontweg</t>
  </si>
  <si>
    <t>74.03.05-157.07</t>
  </si>
  <si>
    <t>12/09/2006</t>
  </si>
  <si>
    <t>Maarten.peeters1@hotmail.com</t>
  </si>
  <si>
    <t>Penninck</t>
  </si>
  <si>
    <t>07/10/2010</t>
  </si>
  <si>
    <t>Huttegem</t>
  </si>
  <si>
    <t>19/10/2012</t>
  </si>
  <si>
    <t>0469360650</t>
  </si>
  <si>
    <t>Picard</t>
  </si>
  <si>
    <t>An</t>
  </si>
  <si>
    <t>18/09/1973</t>
  </si>
  <si>
    <t>73.09.18-402.72</t>
  </si>
  <si>
    <t>Piens</t>
  </si>
  <si>
    <t>Marie-Laure</t>
  </si>
  <si>
    <t>09/03/2011</t>
  </si>
  <si>
    <t>Potaardeberg</t>
  </si>
  <si>
    <t>0479984186</t>
  </si>
  <si>
    <t>Sebastiaan</t>
  </si>
  <si>
    <t>11/08/2008</t>
  </si>
  <si>
    <t>Poffyn</t>
  </si>
  <si>
    <t>Elien</t>
  </si>
  <si>
    <t>21/03/1996</t>
  </si>
  <si>
    <t>Bottelaredries</t>
  </si>
  <si>
    <t>96.03.21-382.55</t>
  </si>
  <si>
    <t>Poitiez</t>
  </si>
  <si>
    <t>05/04/1979</t>
  </si>
  <si>
    <t>0472508299</t>
  </si>
  <si>
    <t>Polfliet</t>
  </si>
  <si>
    <t>Fons</t>
  </si>
  <si>
    <t>04/10/2012</t>
  </si>
  <si>
    <t>Stationstraat</t>
  </si>
  <si>
    <t>12.10.04-333.92</t>
  </si>
  <si>
    <t>Pollet</t>
  </si>
  <si>
    <t>21/07/2016</t>
  </si>
  <si>
    <t>Deinzestraat</t>
  </si>
  <si>
    <t>pollet.jelle@gmail.com</t>
  </si>
  <si>
    <t>0497503207</t>
  </si>
  <si>
    <t>0474223155</t>
  </si>
  <si>
    <t>16.07.21-059.16</t>
  </si>
  <si>
    <t>https://app.twizzit.com/public/photos/3454870/s/e7fdcf5140d5e910d15662f873e9aafb78eb7d4f.jpeg</t>
  </si>
  <si>
    <t>Ralph</t>
  </si>
  <si>
    <t>Hovhanisyan</t>
  </si>
  <si>
    <t>12/01/2017</t>
  </si>
  <si>
    <t>Flora.poghosyan@gmail.com</t>
  </si>
  <si>
    <t>0492779773</t>
  </si>
  <si>
    <t>https://app.twizzit.com/public/photos/7790357/s/f283982c8d5add43df5648e925715a1d11e504c3.png</t>
  </si>
  <si>
    <t>Renard</t>
  </si>
  <si>
    <t>17/02/2009</t>
  </si>
  <si>
    <t>0476752923</t>
  </si>
  <si>
    <t>09.02.17-165.42</t>
  </si>
  <si>
    <t>https://app.twizzit.com/public/photos/2183172/s/365feecf0a3ae5a9392582a322a55ff1fee56899.png</t>
  </si>
  <si>
    <t>Reybroeck</t>
  </si>
  <si>
    <t>Tim</t>
  </si>
  <si>
    <t>22/08/2008</t>
  </si>
  <si>
    <t>0476257150</t>
  </si>
  <si>
    <t>0477295202</t>
  </si>
  <si>
    <t>08.08.22-241.31</t>
  </si>
  <si>
    <t>Reynaert</t>
  </si>
  <si>
    <t>07/10/2015</t>
  </si>
  <si>
    <t>https://app.twizzit.com/public/photos/3501048/s/7764c3c4b704e9e0387292c076f32524df1d7d36.png</t>
  </si>
  <si>
    <t>Reynen</t>
  </si>
  <si>
    <t>Dorinne</t>
  </si>
  <si>
    <t>17/12/1983</t>
  </si>
  <si>
    <t>83.12.27-044.03</t>
  </si>
  <si>
    <t>https://app.twizzit.com/public/photos/2183177/s/3f7f7784b29eb06e1132e92e793103356a6bf592.jpeg</t>
  </si>
  <si>
    <t>Rombaut</t>
  </si>
  <si>
    <t>Axel</t>
  </si>
  <si>
    <t>03/11/1996</t>
  </si>
  <si>
    <t>Rue Large</t>
  </si>
  <si>
    <t>96.11.03-341.13</t>
  </si>
  <si>
    <t>Rommens</t>
  </si>
  <si>
    <t>Emlin</t>
  </si>
  <si>
    <t>10/01/2014</t>
  </si>
  <si>
    <t>Vlaamse Ardennendreef</t>
  </si>
  <si>
    <t>pieterrommens@hotmail.be</t>
  </si>
  <si>
    <t>14.01.10-340.78</t>
  </si>
  <si>
    <t>https://app.twizzit.com/public/photos/2650641/s/248b205ecc69fd455c13ac7cc9deb76d11e361a0.png</t>
  </si>
  <si>
    <t>06/09/1976</t>
  </si>
  <si>
    <t>76.09.06-101.20</t>
  </si>
  <si>
    <t>Sadaune</t>
  </si>
  <si>
    <t>Thibaut</t>
  </si>
  <si>
    <t>06/12/2019</t>
  </si>
  <si>
    <t>Puvinage</t>
  </si>
  <si>
    <t>23c</t>
  </si>
  <si>
    <t>bartsadaune@hotmail.com</t>
  </si>
  <si>
    <t>19.12.06-199.36</t>
  </si>
  <si>
    <t>https://app.twizzit.com/public/photos/8418475/s/c44854e7fe4ecdd14617bb0fe2e99a30f0cedc15.jpeg</t>
  </si>
  <si>
    <t>Saerens</t>
  </si>
  <si>
    <t>Jack</t>
  </si>
  <si>
    <t>21/10/2016</t>
  </si>
  <si>
    <t>0472659326</t>
  </si>
  <si>
    <t>0498690042</t>
  </si>
  <si>
    <t>BE35 7506 7464 2337</t>
  </si>
  <si>
    <t>https://app.twizzit.com/public/photos/3475134/s/78bd944a9e8b36fe65d592312d1522f18bbf3e32.png</t>
  </si>
  <si>
    <t>Salembier</t>
  </si>
  <si>
    <t>17/03/2015</t>
  </si>
  <si>
    <t>0476700611</t>
  </si>
  <si>
    <t>Saveyn</t>
  </si>
  <si>
    <t>Elisabeth</t>
  </si>
  <si>
    <t>11/10/2012</t>
  </si>
  <si>
    <t>Pijkenherestraat</t>
  </si>
  <si>
    <t>moonvanneste@hotmail.com</t>
  </si>
  <si>
    <t>0496392369</t>
  </si>
  <si>
    <t>0472346327</t>
  </si>
  <si>
    <t>Schmitt</t>
  </si>
  <si>
    <t>alexander.schmitt@authority.biz</t>
  </si>
  <si>
    <t>Nona</t>
  </si>
  <si>
    <t>05/10/2012</t>
  </si>
  <si>
    <t>marie.boullart@hotmail.com</t>
  </si>
  <si>
    <t>0473761554</t>
  </si>
  <si>
    <t>0493241800</t>
  </si>
  <si>
    <t>Schoenmaekers</t>
  </si>
  <si>
    <t>Ziano</t>
  </si>
  <si>
    <t>19/07/2010</t>
  </si>
  <si>
    <t>pedro.schoenmaekers@hotmail.com</t>
  </si>
  <si>
    <t>0474765299</t>
  </si>
  <si>
    <t>https://app.twizzit.com/public/photos/2650796/s/806ce17769fd3d29fc435d865a5b302b6c25c6ca.png</t>
  </si>
  <si>
    <t>Serlippens</t>
  </si>
  <si>
    <t>19/10/1984</t>
  </si>
  <si>
    <t>84.10.19-082.18</t>
  </si>
  <si>
    <t>Simoens</t>
  </si>
  <si>
    <t>Liezelot</t>
  </si>
  <si>
    <t>06/07/1980</t>
  </si>
  <si>
    <t>80.07.06-164.27</t>
  </si>
  <si>
    <t>Tijs</t>
  </si>
  <si>
    <t>16/12/1992</t>
  </si>
  <si>
    <t>Blekerijstraat</t>
  </si>
  <si>
    <t>92.12.16-241.34</t>
  </si>
  <si>
    <t>Six</t>
  </si>
  <si>
    <t>20/12/2018</t>
  </si>
  <si>
    <t>Groenstraat</t>
  </si>
  <si>
    <t>0484846213</t>
  </si>
  <si>
    <t>Slembrouck</t>
  </si>
  <si>
    <t>Alba</t>
  </si>
  <si>
    <t>02/12/2021</t>
  </si>
  <si>
    <t>Winkelstraat</t>
  </si>
  <si>
    <t>alexandra-kemp@hotmail.com</t>
  </si>
  <si>
    <t>00472902002</t>
  </si>
  <si>
    <t>00498541065</t>
  </si>
  <si>
    <t>Romée</t>
  </si>
  <si>
    <t>15/02/2020</t>
  </si>
  <si>
    <t>0472902002</t>
  </si>
  <si>
    <t>0498541065</t>
  </si>
  <si>
    <t>20.02.15-002.11</t>
  </si>
  <si>
    <t>https://app.twizzit.com/public/photos/7328316/s/d832d97a4d222f65f11eb5051494f0f7bb0f899d.png</t>
  </si>
  <si>
    <t>Snauwaert</t>
  </si>
  <si>
    <t>filipodimarco@hotmail.com</t>
  </si>
  <si>
    <t>Zian</t>
  </si>
  <si>
    <t>22/01/2008</t>
  </si>
  <si>
    <t>Cornelis de Schepperestraat</t>
  </si>
  <si>
    <t>0473633638</t>
  </si>
  <si>
    <t>Spaens</t>
  </si>
  <si>
    <t>20/04/1992</t>
  </si>
  <si>
    <t>Vinkenweg</t>
  </si>
  <si>
    <t>0476359988</t>
  </si>
  <si>
    <t>92.04.20-115.81</t>
  </si>
  <si>
    <t>Spiessens</t>
  </si>
  <si>
    <t>Freya</t>
  </si>
  <si>
    <t>79.04.05-418.52</t>
  </si>
  <si>
    <t>https://app.twizzit.com/public/photos/4061488/s/f7edd2a5fa67fe1f3ca653726f4b897e5aed79a4.jpeg</t>
  </si>
  <si>
    <t>Cel communicatie (Verantwoordelijke cel)</t>
  </si>
  <si>
    <t>28/03/2013</t>
  </si>
  <si>
    <t>Jacob Lacopstraat</t>
  </si>
  <si>
    <t>Me@opcd.net</t>
  </si>
  <si>
    <t>0474655154</t>
  </si>
  <si>
    <t>0474761032</t>
  </si>
  <si>
    <t>BE54 1030 4444 8397</t>
  </si>
  <si>
    <t>13.03.28-048.17</t>
  </si>
  <si>
    <t>https://app.twizzit.com/public/photos/2183207/s/cd9fd40cf38cd1eb62df0198f102c2154c08c604.jpeg</t>
  </si>
  <si>
    <t>Spileers</t>
  </si>
  <si>
    <t>16/09/1964</t>
  </si>
  <si>
    <t>64.09.16-457.82</t>
  </si>
  <si>
    <t>Spiridon</t>
  </si>
  <si>
    <t>Antoaneta</t>
  </si>
  <si>
    <t>02/05/1982</t>
  </si>
  <si>
    <t>Bevrijdingsstraat</t>
  </si>
  <si>
    <t>82.05.02-490.43</t>
  </si>
  <si>
    <t>Elis</t>
  </si>
  <si>
    <t>06/12/2013</t>
  </si>
  <si>
    <t>13.12.06-409.88</t>
  </si>
  <si>
    <t>Stevens</t>
  </si>
  <si>
    <t>Magalie</t>
  </si>
  <si>
    <t>25/01/2017</t>
  </si>
  <si>
    <t>Wijmierstraat</t>
  </si>
  <si>
    <t>safadorote3@gmail.com</t>
  </si>
  <si>
    <t>0477968913</t>
  </si>
  <si>
    <t>0470044064</t>
  </si>
  <si>
    <t>Maiga</t>
  </si>
  <si>
    <t>Taelman</t>
  </si>
  <si>
    <t>Inne</t>
  </si>
  <si>
    <t>08/10/1979</t>
  </si>
  <si>
    <t>79.10.08-178.50</t>
  </si>
  <si>
    <t>Tant</t>
  </si>
  <si>
    <t>05/10/2009</t>
  </si>
  <si>
    <t>09.10.05-239.93</t>
  </si>
  <si>
    <t>21/09/1973</t>
  </si>
  <si>
    <t>73.09.21-099.91</t>
  </si>
  <si>
    <t>Teirlinck</t>
  </si>
  <si>
    <t>Maaike</t>
  </si>
  <si>
    <t>0476646787</t>
  </si>
  <si>
    <t>Temmerman</t>
  </si>
  <si>
    <t>Rafaël</t>
  </si>
  <si>
    <t>05/09/2002</t>
  </si>
  <si>
    <t>Loboslaan</t>
  </si>
  <si>
    <t>0470396307</t>
  </si>
  <si>
    <t>02.09.05-101.77</t>
  </si>
  <si>
    <t>Termonia</t>
  </si>
  <si>
    <t>23/03/1996</t>
  </si>
  <si>
    <t>96.03.23-416.58</t>
  </si>
  <si>
    <t>Termote</t>
  </si>
  <si>
    <t>08/12/2016</t>
  </si>
  <si>
    <t>Stationsstraat</t>
  </si>
  <si>
    <t>luciaderammelaere@hotmail.com</t>
  </si>
  <si>
    <t>saskiabeys@hotmail.be</t>
  </si>
  <si>
    <t>0494047205</t>
  </si>
  <si>
    <t>0493164021</t>
  </si>
  <si>
    <t>0475489364</t>
  </si>
  <si>
    <t>BE49 1431 1202 2371</t>
  </si>
  <si>
    <t>16.12.08-139.70</t>
  </si>
  <si>
    <t>https://app.twizzit.com/public/photos/10363174/s/49198d22b66317151eafa7e84d216b20e54ab7fe.jpeg</t>
  </si>
  <si>
    <t>Ternoot</t>
  </si>
  <si>
    <t>04/01/2013</t>
  </si>
  <si>
    <t>Camille Lemonnierlaan</t>
  </si>
  <si>
    <t>BE56001584368088</t>
  </si>
  <si>
    <t>13.01.04-277.09</t>
  </si>
  <si>
    <t>https://app.twizzit.com/public/photos/9499964/s/ff5f984b647838e4bd7563b356e5c206230b1763.jpeg</t>
  </si>
  <si>
    <t>Thas</t>
  </si>
  <si>
    <t>Maro</t>
  </si>
  <si>
    <t>23/05/2012</t>
  </si>
  <si>
    <t>Klaproosstraat</t>
  </si>
  <si>
    <t>0472433051</t>
  </si>
  <si>
    <t>0499607150</t>
  </si>
  <si>
    <t>12.05.23-035.76</t>
  </si>
  <si>
    <t>https://app.twizzit.com/public/photos/3451572/s/f7bd7e0dc5dd014e64108bf9fe43059bbb6a9a41.png</t>
  </si>
  <si>
    <t>Thomaes</t>
  </si>
  <si>
    <t>Connor</t>
  </si>
  <si>
    <t>28/01/2014</t>
  </si>
  <si>
    <t>Doornikse Heerweg</t>
  </si>
  <si>
    <t>kenith.thomaes@hotmail.com</t>
  </si>
  <si>
    <t>14.01.28-253.13</t>
  </si>
  <si>
    <t>https://app.twizzit.com/public/photos/2650895/s/8c88bbe29a6ba119edf2563b65cc739d6dc846de.png</t>
  </si>
  <si>
    <t>Quinn</t>
  </si>
  <si>
    <t>07/07/2015</t>
  </si>
  <si>
    <t>https://app.twizzit.com/public/photos/3518572/s/d7b2c59280b93aeff7d8194db7053ca94d3af63f.png</t>
  </si>
  <si>
    <t>Torrekens</t>
  </si>
  <si>
    <t>15/07/2020</t>
  </si>
  <si>
    <t>Ravensdal</t>
  </si>
  <si>
    <t>0491736700</t>
  </si>
  <si>
    <t>0497788333</t>
  </si>
  <si>
    <t>20.07.15-109.36</t>
  </si>
  <si>
    <t>https://app.twizzit.com/public/photos/10452742/s/6c5cf54cdc2121df9ea81aa430b2b5f8abe2c81a.jpeg</t>
  </si>
  <si>
    <t>Tranoy</t>
  </si>
  <si>
    <t>Cedrik</t>
  </si>
  <si>
    <t>Doorniksesteeneg</t>
  </si>
  <si>
    <t>cedrik.tranoy@geldof.com</t>
  </si>
  <si>
    <t>26/01/2010</t>
  </si>
  <si>
    <t>tranoynoah@gmail.com</t>
  </si>
  <si>
    <t>10.01.26-129.16</t>
  </si>
  <si>
    <t>Tytgat</t>
  </si>
  <si>
    <t>Van Assche</t>
  </si>
  <si>
    <t>Jena</t>
  </si>
  <si>
    <t>30/10/2009</t>
  </si>
  <si>
    <t>Spreeuwengoed</t>
  </si>
  <si>
    <t>jena.vanassche@outlook.be</t>
  </si>
  <si>
    <t>0497912121</t>
  </si>
  <si>
    <t>https://app.twizzit.com/public/photos/2183232/s/682c3391b2d7526a89f91553a66f8bf16c09dc4e.png</t>
  </si>
  <si>
    <t>21/04/1978</t>
  </si>
  <si>
    <t>78.04.21-107.56</t>
  </si>
  <si>
    <t>https://app.twizzit.com/public/photos/2183237/s/e1b953fc33ef5534ecc22b0a9058cbebd624fa20.png</t>
  </si>
  <si>
    <t>Mattis</t>
  </si>
  <si>
    <t>0498136875</t>
  </si>
  <si>
    <t>0451022949</t>
  </si>
  <si>
    <t>13.01.02-105.47</t>
  </si>
  <si>
    <t>https://app.twizzit.com/public/photos/2183242/s/024b94ee0589d7797c4da7bd2e98266bcdb2677a.png</t>
  </si>
  <si>
    <t>Van Caeneghem</t>
  </si>
  <si>
    <t>Anoek</t>
  </si>
  <si>
    <t>07/02/1992</t>
  </si>
  <si>
    <t>Cijnskouter</t>
  </si>
  <si>
    <t>0498086024</t>
  </si>
  <si>
    <t>BE73 0020 2079 7360</t>
  </si>
  <si>
    <t>https://app.twizzit.com/public/photos/11917018/s/e098521fbafba2a80a9ddb8d7c06f83cdbae52a9.png</t>
  </si>
  <si>
    <t>Van Cauwenberghe</t>
  </si>
  <si>
    <t>Aster</t>
  </si>
  <si>
    <t>09/01/2020</t>
  </si>
  <si>
    <t>Elisabeth De Saedeleerstraat</t>
  </si>
  <si>
    <t>0476529185</t>
  </si>
  <si>
    <t>20.01.09-039.50</t>
  </si>
  <si>
    <t>https://app.twizzit.com/public/photos/6080950/s/e37d4499e2422d263ca72ca5adc1adb614aa1f40.jpeg</t>
  </si>
  <si>
    <t>Van de Casteele</t>
  </si>
  <si>
    <t>Manu</t>
  </si>
  <si>
    <t>15/12/2018</t>
  </si>
  <si>
    <t>Jagerij</t>
  </si>
  <si>
    <t>pietervdc@gmail.com</t>
  </si>
  <si>
    <t>00472846382</t>
  </si>
  <si>
    <t>Van De Maele</t>
  </si>
  <si>
    <t>Lander</t>
  </si>
  <si>
    <t>26/09/2019</t>
  </si>
  <si>
    <t>Bosstraat</t>
  </si>
  <si>
    <t>jensvdmaele@gmail.com</t>
  </si>
  <si>
    <t>0479246218</t>
  </si>
  <si>
    <t>19.09.26-415.72</t>
  </si>
  <si>
    <t>https://app.twizzit.com/public/photos/10715682/s/9ac40a7d3bcb76b36d9290dcb9c3bcdc167e2add.jpeg</t>
  </si>
  <si>
    <t>Van de Populiere</t>
  </si>
  <si>
    <t>Loes</t>
  </si>
  <si>
    <t>29/09/2015</t>
  </si>
  <si>
    <t>biekemoone@hotmail.com</t>
  </si>
  <si>
    <t>15.09.29-010.12</t>
  </si>
  <si>
    <t>Maxim</t>
  </si>
  <si>
    <t>20/10/2017</t>
  </si>
  <si>
    <t>Pulmstraat</t>
  </si>
  <si>
    <t>Van De Velde</t>
  </si>
  <si>
    <t>Kristien</t>
  </si>
  <si>
    <t>28/02/1979</t>
  </si>
  <si>
    <t>79.02.28-058.96</t>
  </si>
  <si>
    <t>Van De Walle</t>
  </si>
  <si>
    <t>Ilaï</t>
  </si>
  <si>
    <t>29/07/2019</t>
  </si>
  <si>
    <t>Maelbekestraat</t>
  </si>
  <si>
    <t>0474818195</t>
  </si>
  <si>
    <t>Van de Weghe</t>
  </si>
  <si>
    <t>Edouard</t>
  </si>
  <si>
    <t>21/11/2013</t>
  </si>
  <si>
    <t>Rooigemstraat</t>
  </si>
  <si>
    <t>5A</t>
  </si>
  <si>
    <t>13.11.21-329.02</t>
  </si>
  <si>
    <t>Jerome</t>
  </si>
  <si>
    <t>10/11/2015</t>
  </si>
  <si>
    <t>pieter@combus.be</t>
  </si>
  <si>
    <t>0479793011</t>
  </si>
  <si>
    <t>Van de zande</t>
  </si>
  <si>
    <t>Ella</t>
  </si>
  <si>
    <t>08/04/2017</t>
  </si>
  <si>
    <t>'t jolleveld</t>
  </si>
  <si>
    <t>piekske007@yahoo.com</t>
  </si>
  <si>
    <t>0486372617</t>
  </si>
  <si>
    <t>17.04.08-018.59</t>
  </si>
  <si>
    <t>https://app.twizzit.com/public/photos/7665003/s/5ed58413208ebbb451d8f9179fc6141b44a190fa.png</t>
  </si>
  <si>
    <t>Van den Abeele</t>
  </si>
  <si>
    <t>30/11/2017</t>
  </si>
  <si>
    <t>Zénobe Grammestraat</t>
  </si>
  <si>
    <t>Van Den Abeele</t>
  </si>
  <si>
    <t>31/03/2015</t>
  </si>
  <si>
    <t>Van den Meersschaut</t>
  </si>
  <si>
    <t>Jolan</t>
  </si>
  <si>
    <t>28/07/1999</t>
  </si>
  <si>
    <t>Van der Elstraeten</t>
  </si>
  <si>
    <t>Kim</t>
  </si>
  <si>
    <t>15/10/1994</t>
  </si>
  <si>
    <t>René Dhuyvetterstraat</t>
  </si>
  <si>
    <t>94.10.15-302.31</t>
  </si>
  <si>
    <t>Van der Jeught</t>
  </si>
  <si>
    <t>27/12/2013</t>
  </si>
  <si>
    <t>Nederzwalmsesteenweg</t>
  </si>
  <si>
    <t>Kristof_vdj@hotmail.com</t>
  </si>
  <si>
    <t>0494190425</t>
  </si>
  <si>
    <t>0474248880</t>
  </si>
  <si>
    <t>0471773213</t>
  </si>
  <si>
    <t>Van Dorpe</t>
  </si>
  <si>
    <t>Ken</t>
  </si>
  <si>
    <t>16/08/1986</t>
  </si>
  <si>
    <t>Viermaartlaan</t>
  </si>
  <si>
    <t>86.08.16-047.74</t>
  </si>
  <si>
    <t>Kyan</t>
  </si>
  <si>
    <t>09/09/2009</t>
  </si>
  <si>
    <t>Mali-June</t>
  </si>
  <si>
    <t>06/06/2020</t>
  </si>
  <si>
    <t>Elzeelsesteenweg</t>
  </si>
  <si>
    <t>tracy.desmet@hotmail.com</t>
  </si>
  <si>
    <t>0485650671</t>
  </si>
  <si>
    <t>Seppe</t>
  </si>
  <si>
    <t>03/04/2017</t>
  </si>
  <si>
    <t>Omloop</t>
  </si>
  <si>
    <t>angelovandorpe@msn.com</t>
  </si>
  <si>
    <t>0499368402</t>
  </si>
  <si>
    <t>0476246042</t>
  </si>
  <si>
    <t>Van Glabeke</t>
  </si>
  <si>
    <t>Brecht</t>
  </si>
  <si>
    <t>21/04/2009</t>
  </si>
  <si>
    <t>Ronse Baan</t>
  </si>
  <si>
    <t>BE64 0637 6021 9852</t>
  </si>
  <si>
    <t>Van Handenhoven</t>
  </si>
  <si>
    <t>Jaden James</t>
  </si>
  <si>
    <t>02/10/2007</t>
  </si>
  <si>
    <t>Mollekens</t>
  </si>
  <si>
    <t>wendydv@telenet.be</t>
  </si>
  <si>
    <t>0484050702</t>
  </si>
  <si>
    <t>Van Herpe</t>
  </si>
  <si>
    <t>21/12/2016</t>
  </si>
  <si>
    <t>0494706960</t>
  </si>
  <si>
    <t>0479775361</t>
  </si>
  <si>
    <t>16.12.21-151.56</t>
  </si>
  <si>
    <t>Van Herreweghe</t>
  </si>
  <si>
    <t>Jessyca</t>
  </si>
  <si>
    <t>24/08/1989</t>
  </si>
  <si>
    <t xml:space="preserve">Doornikse Heerweg </t>
  </si>
  <si>
    <t>89.08.24-106.32</t>
  </si>
  <si>
    <t>Van hooland</t>
  </si>
  <si>
    <t>13/12/2014</t>
  </si>
  <si>
    <t>Kwadenbulk</t>
  </si>
  <si>
    <t>0499215817</t>
  </si>
  <si>
    <t>https://app.twizzit.com/public/photos/6094381/s/b596c752f25fd4d7188aa68de92c84f3998ed8c5.png</t>
  </si>
  <si>
    <t>Van Hove</t>
  </si>
  <si>
    <t>Heleen</t>
  </si>
  <si>
    <t>12/06/2000</t>
  </si>
  <si>
    <t>Lozerbosstraat</t>
  </si>
  <si>
    <t>00.06.12-088.11</t>
  </si>
  <si>
    <t>https://app.twizzit.com/public/photos/2655220/s/4f0cc0d0b4cada8fea0db6865926f5a1bbd5a209.png</t>
  </si>
  <si>
    <t>14/03/1996</t>
  </si>
  <si>
    <t>96.03.14-384.69</t>
  </si>
  <si>
    <t>Van Marcke</t>
  </si>
  <si>
    <t>Jaimie</t>
  </si>
  <si>
    <t>08/12/2010</t>
  </si>
  <si>
    <t>10.12.08-213.64</t>
  </si>
  <si>
    <t>https://app.twizzit.com/public/photos/4080394/s/a0a6f7a1f3c9650e7b60b7c90fcc741fdb018fb0.png</t>
  </si>
  <si>
    <t>Van Meenen</t>
  </si>
  <si>
    <t>Tristan</t>
  </si>
  <si>
    <t>18/05/2002</t>
  </si>
  <si>
    <t>Keuzelingsstraat</t>
  </si>
  <si>
    <t>jzvanmeenen@telenet.be</t>
  </si>
  <si>
    <t>0468153046</t>
  </si>
  <si>
    <t>02.05.18-039.12</t>
  </si>
  <si>
    <t>Zara</t>
  </si>
  <si>
    <t>19/10/2006</t>
  </si>
  <si>
    <t>Van Merhaeghe</t>
  </si>
  <si>
    <t>Giles</t>
  </si>
  <si>
    <t>26/05/2002</t>
  </si>
  <si>
    <t>02.05.26-107.92</t>
  </si>
  <si>
    <t>Van Moorleghem</t>
  </si>
  <si>
    <t>11/06/1986</t>
  </si>
  <si>
    <t>Schapendries</t>
  </si>
  <si>
    <t>charlotte.vanmoorleghem1@gmail.com</t>
  </si>
  <si>
    <t>BE75750688650551</t>
  </si>
  <si>
    <t>86.06.11-098.62</t>
  </si>
  <si>
    <t>Van Nieuwenhuyze</t>
  </si>
  <si>
    <t>Emma</t>
  </si>
  <si>
    <t>20/11/2016</t>
  </si>
  <si>
    <t>B</t>
  </si>
  <si>
    <t>pietervannieuwenhuyze1984@gmail.com</t>
  </si>
  <si>
    <t>maaikeschiettecatte@gmail.com</t>
  </si>
  <si>
    <t>0477259667</t>
  </si>
  <si>
    <t>0499272428</t>
  </si>
  <si>
    <t>16.11.20-014.22</t>
  </si>
  <si>
    <t>18/05/2019</t>
  </si>
  <si>
    <t>Van Nimmen</t>
  </si>
  <si>
    <t>Werner</t>
  </si>
  <si>
    <t>30/11/1969</t>
  </si>
  <si>
    <t>Van Ongevalle</t>
  </si>
  <si>
    <t>Benoit</t>
  </si>
  <si>
    <t>25/07/1972</t>
  </si>
  <si>
    <t>elke.de.boever@telenet.be</t>
  </si>
  <si>
    <t>72.07.25-115.17</t>
  </si>
  <si>
    <t>19/05/2008</t>
  </si>
  <si>
    <t>0478999985</t>
  </si>
  <si>
    <t>08.05.19-189.55</t>
  </si>
  <si>
    <t>https://app.twizzit.com/public/photos/2183322/s/9038b0da9e8a70a8b8e43647825a4e12c779a62c.png</t>
  </si>
  <si>
    <t>Van Overmeire</t>
  </si>
  <si>
    <t>Wout</t>
  </si>
  <si>
    <t>08/01/1998</t>
  </si>
  <si>
    <t>wout.vanovermeire@hotmail.com</t>
  </si>
  <si>
    <t>98.01.08-343.27</t>
  </si>
  <si>
    <t>https://app.twizzit.com/public/photos/2183327/s/c4bd2eb95cc81839b2acbb82001ab5c02815b510.png</t>
  </si>
  <si>
    <t>Van Rechem</t>
  </si>
  <si>
    <t>Karsten</t>
  </si>
  <si>
    <t>30/10/2002</t>
  </si>
  <si>
    <t>Wilgendreef</t>
  </si>
  <si>
    <t>02.10.30-051.63</t>
  </si>
  <si>
    <t>https://app.twizzit.com/public/photos/2183332/s/d6be3669617c8e0b5c9fa9c565fc0f52e9a1b458.png</t>
  </si>
  <si>
    <t>Van Sande</t>
  </si>
  <si>
    <t>15/11/2013</t>
  </si>
  <si>
    <t>Schorissestraat</t>
  </si>
  <si>
    <t>Sylvie.mincke@outlook.com</t>
  </si>
  <si>
    <t>13.11.15-263.54</t>
  </si>
  <si>
    <t>https://app.twizzit.com/public/photos/2650608/s/9cebeb89f0d68fff18c1faf3be6be5621d757adb.png</t>
  </si>
  <si>
    <t>Van Schoorisse</t>
  </si>
  <si>
    <t>Miro</t>
  </si>
  <si>
    <t>25/05/2009</t>
  </si>
  <si>
    <t>Rue du Garceau</t>
  </si>
  <si>
    <t>2A</t>
  </si>
  <si>
    <t>mirovanschoorisse@gmail.com</t>
  </si>
  <si>
    <t>vincentvanschoorisse@gmail.com</t>
  </si>
  <si>
    <t>Van Snick</t>
  </si>
  <si>
    <t>13/01/2013</t>
  </si>
  <si>
    <t>Van Welden</t>
  </si>
  <si>
    <t>03/05/1988</t>
  </si>
  <si>
    <t>Bredestraat</t>
  </si>
  <si>
    <t>88.05.03-139.05</t>
  </si>
  <si>
    <t>Van Wyngene</t>
  </si>
  <si>
    <t>Bram</t>
  </si>
  <si>
    <t>21/04/1983</t>
  </si>
  <si>
    <t>Lindebloesemlaan</t>
  </si>
  <si>
    <t>0477349575</t>
  </si>
  <si>
    <t>83.04.21-153.18</t>
  </si>
  <si>
    <t>Vanbutsele</t>
  </si>
  <si>
    <t>Olivia</t>
  </si>
  <si>
    <t>Hof te Fiennesstraat</t>
  </si>
  <si>
    <t>Mike.vb@telenet.be</t>
  </si>
  <si>
    <t>0479484158</t>
  </si>
  <si>
    <t>https://app.twizzit.com/public/photos/4292310/s/063d2ce017539cf8df316f28e3a639739d1c1148.jpeg</t>
  </si>
  <si>
    <t>Vandaele</t>
  </si>
  <si>
    <t>27/01/2012</t>
  </si>
  <si>
    <t>Molenkouter</t>
  </si>
  <si>
    <t>12.01.27-295.56</t>
  </si>
  <si>
    <t>Vande Kerckhove</t>
  </si>
  <si>
    <t>29/06/2009</t>
  </si>
  <si>
    <t>Leenstraat</t>
  </si>
  <si>
    <t>0498621224</t>
  </si>
  <si>
    <t>Vande Walle</t>
  </si>
  <si>
    <t>20/03/1989</t>
  </si>
  <si>
    <t>89.03.20-369.48</t>
  </si>
  <si>
    <t>Vandecappelle</t>
  </si>
  <si>
    <t>15/09/1994</t>
  </si>
  <si>
    <t>94.09.15-508.12</t>
  </si>
  <si>
    <t>Vandemaele</t>
  </si>
  <si>
    <t>Lukas</t>
  </si>
  <si>
    <t>08/07/2012</t>
  </si>
  <si>
    <t>Wimvandemaele@hotmail.com</t>
  </si>
  <si>
    <t>Mieke_dolphens@hotmail.com</t>
  </si>
  <si>
    <t>12.07.08-097.90</t>
  </si>
  <si>
    <t>14/12/1979</t>
  </si>
  <si>
    <t>79.12.14-145.14</t>
  </si>
  <si>
    <t>Vanden abeele</t>
  </si>
  <si>
    <t>28/09/2017</t>
  </si>
  <si>
    <t>vdbkatrien@gmail.com</t>
  </si>
  <si>
    <t>0468328900</t>
  </si>
  <si>
    <t>17.09.28-139.52</t>
  </si>
  <si>
    <t>https://app.twizzit.com/public/photos/4421928/s/e58d0247e8e789285dd7b82c95b7f26988445978.png</t>
  </si>
  <si>
    <t>Vanden Hautte</t>
  </si>
  <si>
    <t>26/01/2018</t>
  </si>
  <si>
    <t>Kevin.vdh@gmail.com</t>
  </si>
  <si>
    <t>0473448896</t>
  </si>
  <si>
    <t>18.01.26-179.37</t>
  </si>
  <si>
    <t>https://app.twizzit.com/public/photos/10733442/s/de71a0feaf3ea4a6afe343b706af319962bb20c0.jpeg</t>
  </si>
  <si>
    <t>Vandenbergh</t>
  </si>
  <si>
    <t>Mattia</t>
  </si>
  <si>
    <t>06/06/2014</t>
  </si>
  <si>
    <t>wouter_vandenbergh@hotmail.com</t>
  </si>
  <si>
    <t>0494260480</t>
  </si>
  <si>
    <t>0472445676</t>
  </si>
  <si>
    <t>https://app.twizzit.com/public/photos/4776399/s/74c8a08bc217c9da0cda8a4efd0768e59f31490f.png</t>
  </si>
  <si>
    <t>Vandenbossche</t>
  </si>
  <si>
    <t>Evelyne</t>
  </si>
  <si>
    <t>05/10/1979</t>
  </si>
  <si>
    <t>79.10.05-142.79</t>
  </si>
  <si>
    <t xml:space="preserve">Vandenbroucke </t>
  </si>
  <si>
    <t>12/05/1979</t>
  </si>
  <si>
    <t>Berkenstraat</t>
  </si>
  <si>
    <t>79.05.12-042.31</t>
  </si>
  <si>
    <t>Vandendaele</t>
  </si>
  <si>
    <t>29/12/1999</t>
  </si>
  <si>
    <t>Broektestraat 2</t>
  </si>
  <si>
    <t>0474061517</t>
  </si>
  <si>
    <t>99.12.29-289.34</t>
  </si>
  <si>
    <t>Vandendriessche</t>
  </si>
  <si>
    <t>Ona</t>
  </si>
  <si>
    <t>23/09/2018</t>
  </si>
  <si>
    <t>Ganzendries</t>
  </si>
  <si>
    <t>wovanden@microsoft.com</t>
  </si>
  <si>
    <t>0475594603</t>
  </si>
  <si>
    <t>Vandenhecke</t>
  </si>
  <si>
    <t>Arnaud</t>
  </si>
  <si>
    <t>07/04/2015</t>
  </si>
  <si>
    <t>Karmstraat</t>
  </si>
  <si>
    <t>Vander Beken</t>
  </si>
  <si>
    <t>Ilias</t>
  </si>
  <si>
    <t>Wijmierstraar</t>
  </si>
  <si>
    <t>joshua.vander.beken@gmail.com</t>
  </si>
  <si>
    <t>tine_de_smet90@hotmail.com</t>
  </si>
  <si>
    <t>hanne_cls@hotmail.com</t>
  </si>
  <si>
    <t>0468142508</t>
  </si>
  <si>
    <t>0474946901</t>
  </si>
  <si>
    <t>15.04.28-007.10</t>
  </si>
  <si>
    <t>https://app.twizzit.com/public/photos/9469457/s/eb40348dfb8a2c0c9b13e74dd04369019dbd2f32.jpeg</t>
  </si>
  <si>
    <t>Joshua</t>
  </si>
  <si>
    <t>Tiesj</t>
  </si>
  <si>
    <t>19/11/2019</t>
  </si>
  <si>
    <t>Keizer Karelstraat</t>
  </si>
  <si>
    <t>0496404704</t>
  </si>
  <si>
    <t>Vanderhaeghen</t>
  </si>
  <si>
    <t>Ellis</t>
  </si>
  <si>
    <t>28/10/2011</t>
  </si>
  <si>
    <t>Trekweg Rechterover</t>
  </si>
  <si>
    <t>tim.vanderhaeghen@gmail.com</t>
  </si>
  <si>
    <t>0477869469</t>
  </si>
  <si>
    <t>0477797513</t>
  </si>
  <si>
    <t>11.10.28-048.24</t>
  </si>
  <si>
    <t>https://app.twizzit.com/public/photos/2183362/s/b5eb277d00bfbe6732a1eb3ede2622df0624e276.png</t>
  </si>
  <si>
    <t>Vanderhelstraeten</t>
  </si>
  <si>
    <t>05/03/2007</t>
  </si>
  <si>
    <t>Minderbroederstraat</t>
  </si>
  <si>
    <t>emielvanderhelstraeten@gmail.com</t>
  </si>
  <si>
    <t>07.03.05-013.34</t>
  </si>
  <si>
    <t>Vanderschueren</t>
  </si>
  <si>
    <t>Auguste</t>
  </si>
  <si>
    <t>17/08/2019</t>
  </si>
  <si>
    <t>Vijflindendries</t>
  </si>
  <si>
    <t>olivier.vanderschueren@safetyjogger.com</t>
  </si>
  <si>
    <t>Vanderstraeten</t>
  </si>
  <si>
    <t>Elize</t>
  </si>
  <si>
    <t>27/05/2021</t>
  </si>
  <si>
    <t>Ommegangstraat</t>
  </si>
  <si>
    <t>66b</t>
  </si>
  <si>
    <t>0496654860</t>
  </si>
  <si>
    <t>05/07/2016</t>
  </si>
  <si>
    <t>16.07.05-189.75</t>
  </si>
  <si>
    <t>https://app.twizzit.com/public/photos/3447788/s/a21b510884c5e068d9fd07894f967e10ecef7568.png</t>
  </si>
  <si>
    <t>Vandervoort</t>
  </si>
  <si>
    <t>21/04/1997</t>
  </si>
  <si>
    <t>Oude Blekerijstraat</t>
  </si>
  <si>
    <t>97.04.21-531.31</t>
  </si>
  <si>
    <t>Vandevelde</t>
  </si>
  <si>
    <t>Marthe</t>
  </si>
  <si>
    <t>05/02/1946</t>
  </si>
  <si>
    <t>Smallendam</t>
  </si>
  <si>
    <t>49664.27.78</t>
  </si>
  <si>
    <t>46.02.05-150.01</t>
  </si>
  <si>
    <t>Vandewege</t>
  </si>
  <si>
    <t>Flo</t>
  </si>
  <si>
    <t>08/06/2020</t>
  </si>
  <si>
    <t>diedev@hotmail.com</t>
  </si>
  <si>
    <t>0496432106</t>
  </si>
  <si>
    <t>https://app.twizzit.com/public/photos/10452584/s/5f2777167147a40d5e0cdf16d10044b2680e0e8c.png</t>
  </si>
  <si>
    <t>Vandriessche</t>
  </si>
  <si>
    <t>Janne</t>
  </si>
  <si>
    <t>23/06/2008</t>
  </si>
  <si>
    <t>Steengat</t>
  </si>
  <si>
    <t>wout.vandriessche@telenet.be</t>
  </si>
  <si>
    <t>0474875556</t>
  </si>
  <si>
    <t>30/10/2010</t>
  </si>
  <si>
    <t>Vanhessche</t>
  </si>
  <si>
    <t>Anaïs</t>
  </si>
  <si>
    <t>miekevanderhaeghen@gmail.com</t>
  </si>
  <si>
    <t>0477741955</t>
  </si>
  <si>
    <t>0484478913</t>
  </si>
  <si>
    <t>12.06.12-040.20</t>
  </si>
  <si>
    <t>https://app.twizzit.com/public/photos/2183392/s/3035381a43296f702255c02c3c99c4303bd9ab17.png</t>
  </si>
  <si>
    <t>Césa</t>
  </si>
  <si>
    <t>09/09/2014</t>
  </si>
  <si>
    <t>14.09.09-175.38</t>
  </si>
  <si>
    <t>https://app.twizzit.com/public/photos/2650948/s/a23afe337ad3bd9422eefdb4bcdf28808a36cbc4.png</t>
  </si>
  <si>
    <t>31/07/1973</t>
  </si>
  <si>
    <t>73.07.31-227.37</t>
  </si>
  <si>
    <t>https://app.twizzit.com/public/photos/2655206/s/490553b505800ebdfa046bd5141a728af15526f1.jpeg</t>
  </si>
  <si>
    <t>Vanhoutte</t>
  </si>
  <si>
    <t>Alek</t>
  </si>
  <si>
    <t>10/11/2008</t>
  </si>
  <si>
    <t>0477684192</t>
  </si>
  <si>
    <t>08.11.10-115.53</t>
  </si>
  <si>
    <t>https://app.twizzit.com/public/photos/2183397/s/f8b8f62887383271a37c0f5f75612b98208e8772.jpeg</t>
  </si>
  <si>
    <t>06/12/1971</t>
  </si>
  <si>
    <t>jeugdcoordinator@haantjesoudenaarde.be</t>
  </si>
  <si>
    <t>71.12.06-098.36</t>
  </si>
  <si>
    <t>Piet</t>
  </si>
  <si>
    <t>17/04/1976</t>
  </si>
  <si>
    <t>76.04.17-007.40</t>
  </si>
  <si>
    <t>Vanneste</t>
  </si>
  <si>
    <t>Ronan</t>
  </si>
  <si>
    <t>03/06/2019</t>
  </si>
  <si>
    <t>Ten Hulle</t>
  </si>
  <si>
    <t>Koen.vanneste.k@gmail.com</t>
  </si>
  <si>
    <t>0476974657</t>
  </si>
  <si>
    <t>https://app.twizzit.com/public/photos/7992424/s/7741759047d554aed7aaac84a694a4ea4a62b085.jpeg</t>
  </si>
  <si>
    <t>Vannieuwenhuyze</t>
  </si>
  <si>
    <t>Joselien</t>
  </si>
  <si>
    <t>16/06/2016</t>
  </si>
  <si>
    <t>Elsegemplein</t>
  </si>
  <si>
    <t>elisabeth.vercammen@outlook.com</t>
  </si>
  <si>
    <t>BE24860107151838</t>
  </si>
  <si>
    <t>16.06.16-070.51</t>
  </si>
  <si>
    <t>https://app.twizzit.com/public/photos/7500726/s/2eff7ed0f6739149e998067c7d82dda70894fc63.png</t>
  </si>
  <si>
    <t>Vansteenbrugge</t>
  </si>
  <si>
    <t>28/01/1985</t>
  </si>
  <si>
    <t>Jules Lacroixstraat</t>
  </si>
  <si>
    <t>85.01.28-159.17</t>
  </si>
  <si>
    <t>Vanwynsberghe</t>
  </si>
  <si>
    <t>Aline</t>
  </si>
  <si>
    <t>26/01/2008</t>
  </si>
  <si>
    <t>Tweebekenstraat</t>
  </si>
  <si>
    <t>Velghe</t>
  </si>
  <si>
    <t>Lias</t>
  </si>
  <si>
    <t>11/02/2018</t>
  </si>
  <si>
    <t>Rijksweg</t>
  </si>
  <si>
    <t>natacham_davidv@hotmail.be</t>
  </si>
  <si>
    <t>0498593233</t>
  </si>
  <si>
    <t>https://app.twizzit.com/public/photos/3445768/s/4c884b157432a6deaaa18542df061bd432646fa3.png</t>
  </si>
  <si>
    <t>Verbruggen</t>
  </si>
  <si>
    <t>08/04/2013</t>
  </si>
  <si>
    <t>Kerkakkerstraat</t>
  </si>
  <si>
    <t>antonyv@gmail.com</t>
  </si>
  <si>
    <t>0485141313</t>
  </si>
  <si>
    <t>0470404300</t>
  </si>
  <si>
    <t>13.04.08-121.66</t>
  </si>
  <si>
    <t>Verbrugghe</t>
  </si>
  <si>
    <t>Basile</t>
  </si>
  <si>
    <t>11/06/2018</t>
  </si>
  <si>
    <t>Meldenstraat</t>
  </si>
  <si>
    <t>Chrisverbrugghe@hotmail.com</t>
  </si>
  <si>
    <t>Hera</t>
  </si>
  <si>
    <t>07/09/2016</t>
  </si>
  <si>
    <t>Verbuecken</t>
  </si>
  <si>
    <t>24/12/1985</t>
  </si>
  <si>
    <t>85.12.24-242.34</t>
  </si>
  <si>
    <t>https://app.twizzit.com/public/photos/4361675/s/a08074a8bbefa3a9e8675dc3435d5d8820bbaa97.png</t>
  </si>
  <si>
    <t>Vercammen</t>
  </si>
  <si>
    <t>https://app.twizzit.com/public/photos/7664134/s/e9cbd90d99267ce3a10b22cc957c02f11dc088ed.png</t>
  </si>
  <si>
    <t>Vercauteren Ackerman</t>
  </si>
  <si>
    <t>Fynn</t>
  </si>
  <si>
    <t>17/06/2017</t>
  </si>
  <si>
    <t>0484692806</t>
  </si>
  <si>
    <t>Verhaeghe</t>
  </si>
  <si>
    <t>Lente</t>
  </si>
  <si>
    <t>22/02/2010</t>
  </si>
  <si>
    <t>Kaankouter</t>
  </si>
  <si>
    <t>achiel.en.hector@hotmail.com</t>
  </si>
  <si>
    <t>verhaeghelente@gmail.com</t>
  </si>
  <si>
    <t>10.02.22-056.22</t>
  </si>
  <si>
    <t>https://app.twizzit.com/public/photos/3706826/s/7283d518f82547e0fb530790cddedb0edf0a5785.jpeg</t>
  </si>
  <si>
    <t>Verhelst</t>
  </si>
  <si>
    <t>Debbie</t>
  </si>
  <si>
    <t>18/12/1983</t>
  </si>
  <si>
    <t>0486260376</t>
  </si>
  <si>
    <t>83.12.18-030.93</t>
  </si>
  <si>
    <t>Verhoeyen</t>
  </si>
  <si>
    <t>Thys</t>
  </si>
  <si>
    <t>20/11/1987</t>
  </si>
  <si>
    <t>Schoolstraat</t>
  </si>
  <si>
    <t>87.11.20-217.20</t>
  </si>
  <si>
    <t>Viek</t>
  </si>
  <si>
    <t>29/11/2013</t>
  </si>
  <si>
    <t>Sint Amandusstraat</t>
  </si>
  <si>
    <t>0470229908</t>
  </si>
  <si>
    <t>13.11.29-029.62</t>
  </si>
  <si>
    <t>Verkest</t>
  </si>
  <si>
    <t>Thibo</t>
  </si>
  <si>
    <t>18/04/1993</t>
  </si>
  <si>
    <t>Ninoofsesteenweg</t>
  </si>
  <si>
    <t>93.04.18-145.35</t>
  </si>
  <si>
    <t>Verleyen</t>
  </si>
  <si>
    <t>07/01/2011</t>
  </si>
  <si>
    <t>Koestraat</t>
  </si>
  <si>
    <t>58D</t>
  </si>
  <si>
    <t>emma.verleyen094@gmail.com</t>
  </si>
  <si>
    <t>0479607716</t>
  </si>
  <si>
    <t>0496129595</t>
  </si>
  <si>
    <t>11.01.07-112.42</t>
  </si>
  <si>
    <t>Verlinden</t>
  </si>
  <si>
    <t>20/02/2009</t>
  </si>
  <si>
    <t>Elisabeth de Saedeleerstraat</t>
  </si>
  <si>
    <t>0478376691</t>
  </si>
  <si>
    <t>09.02.20-175.39</t>
  </si>
  <si>
    <t>Jelle</t>
  </si>
  <si>
    <t>05/10/1989</t>
  </si>
  <si>
    <t>Sint-Maartenslaan</t>
  </si>
  <si>
    <t>89.10.05-153.84</t>
  </si>
  <si>
    <t>24/02/2015</t>
  </si>
  <si>
    <t>Ankerstraat</t>
  </si>
  <si>
    <t>Vermassen</t>
  </si>
  <si>
    <t>24/03/2013</t>
  </si>
  <si>
    <t>Paelweg</t>
  </si>
  <si>
    <t>twizzit@kevinvermassen.be</t>
  </si>
  <si>
    <t>0485424067</t>
  </si>
  <si>
    <t>0474971531</t>
  </si>
  <si>
    <t>0498493330</t>
  </si>
  <si>
    <t>Vermeerschen</t>
  </si>
  <si>
    <t>Matz</t>
  </si>
  <si>
    <t>04/02/2014</t>
  </si>
  <si>
    <t>14.02.04-105.15</t>
  </si>
  <si>
    <t>Verschatse</t>
  </si>
  <si>
    <t>29/11/2015</t>
  </si>
  <si>
    <t>0468516883</t>
  </si>
  <si>
    <t>0473436280</t>
  </si>
  <si>
    <t>https://app.twizzit.com/public/photos/3557796/s/59f2bc8b383bb3e65d902c435f70a74103c4138d.png</t>
  </si>
  <si>
    <t>Lena</t>
  </si>
  <si>
    <t>23/11/2009</t>
  </si>
  <si>
    <t>09.11.23-232.52</t>
  </si>
  <si>
    <t>Verschueren</t>
  </si>
  <si>
    <t>27/06/1989</t>
  </si>
  <si>
    <t>89.06.27-274.51</t>
  </si>
  <si>
    <t>https://app.twizzit.com/public/photos/2183447/s/1f201bfdf86762e0642c70c1aa487baf5ab852bb.png</t>
  </si>
  <si>
    <t>Versmessen</t>
  </si>
  <si>
    <t>01/04/2017</t>
  </si>
  <si>
    <t>Terkerkenlaan</t>
  </si>
  <si>
    <t>veerle_coussement@hotmail.com</t>
  </si>
  <si>
    <t>https://app.twizzit.com/public/photos/3447367/s/f6e635bb7022dfc6607d762d0f4b7b25a59a85c4.png</t>
  </si>
  <si>
    <t>Verstraete</t>
  </si>
  <si>
    <t>Bogdan</t>
  </si>
  <si>
    <t>19/11/2008</t>
  </si>
  <si>
    <t>Stasegemsesteenweg</t>
  </si>
  <si>
    <t>wtbi.verstraete@gmail.com</t>
  </si>
  <si>
    <t>0486983966</t>
  </si>
  <si>
    <t>0468305290</t>
  </si>
  <si>
    <t>08.11.19-149.40</t>
  </si>
  <si>
    <t>Verstraeten</t>
  </si>
  <si>
    <t>07/12/2012</t>
  </si>
  <si>
    <t>Grimbergen</t>
  </si>
  <si>
    <t>Rens</t>
  </si>
  <si>
    <t>13/10/2014</t>
  </si>
  <si>
    <t>Vervaeck</t>
  </si>
  <si>
    <t>Baptiste</t>
  </si>
  <si>
    <t>07/07/2009</t>
  </si>
  <si>
    <t>Lamontstraat</t>
  </si>
  <si>
    <t>Dries.vervaeck@gmail.com</t>
  </si>
  <si>
    <t>0479970549</t>
  </si>
  <si>
    <t>Hongarije</t>
  </si>
  <si>
    <t>Ineke</t>
  </si>
  <si>
    <t>02/06/1984</t>
  </si>
  <si>
    <t>J.Lacopsstraat</t>
  </si>
  <si>
    <t>84.06.02-056.41</t>
  </si>
  <si>
    <t>Viaene</t>
  </si>
  <si>
    <t>07/10/2009</t>
  </si>
  <si>
    <t>0497313727</t>
  </si>
  <si>
    <t>0479523143</t>
  </si>
  <si>
    <t>09.10.07-043.35</t>
  </si>
  <si>
    <t>Vindevogel</t>
  </si>
  <si>
    <t>Christine</t>
  </si>
  <si>
    <t>19/09/1961</t>
  </si>
  <si>
    <t>Nederenamestraat</t>
  </si>
  <si>
    <t>48686.86.51</t>
  </si>
  <si>
    <t>61.09.19-166.26</t>
  </si>
  <si>
    <t>Vleurinck</t>
  </si>
  <si>
    <t>Guy</t>
  </si>
  <si>
    <t>03/09/1945</t>
  </si>
  <si>
    <t>Spinmolenplein</t>
  </si>
  <si>
    <t>0475584066</t>
  </si>
  <si>
    <t>45.09.03-145.94</t>
  </si>
  <si>
    <t>Volkaert</t>
  </si>
  <si>
    <t>Kenny</t>
  </si>
  <si>
    <t>14/03/2000</t>
  </si>
  <si>
    <t>Kleibergstraat</t>
  </si>
  <si>
    <t>00.03.14-269.40</t>
  </si>
  <si>
    <t>Vossen</t>
  </si>
  <si>
    <t>12/06/2019</t>
  </si>
  <si>
    <t>Sterrestraat</t>
  </si>
  <si>
    <t>pieterpaulvossen@hotmail.com</t>
  </si>
  <si>
    <t>0474575676</t>
  </si>
  <si>
    <t>0472546513</t>
  </si>
  <si>
    <t>Vrijens</t>
  </si>
  <si>
    <t>25/04/2010</t>
  </si>
  <si>
    <t>mathis.vrijens@outlook.com</t>
  </si>
  <si>
    <t>Be88377063360841</t>
  </si>
  <si>
    <t>10.04.25-101.95</t>
  </si>
  <si>
    <t>Vunck</t>
  </si>
  <si>
    <t>26/07/2018</t>
  </si>
  <si>
    <t>Misweg</t>
  </si>
  <si>
    <t>fam.vunck.demoor@outlook.com</t>
  </si>
  <si>
    <t>https://app.twizzit.com/public/photos/8418462/s/4cd851c617ea9849ca7ba85a62a0807b8b769b48.jpeg</t>
  </si>
  <si>
    <t>0473356747</t>
  </si>
  <si>
    <t>Waeghe</t>
  </si>
  <si>
    <t>Frank</t>
  </si>
  <si>
    <t>16/04/1974</t>
  </si>
  <si>
    <t>Esstraat</t>
  </si>
  <si>
    <t>frank.waeghe@telenet.be</t>
  </si>
  <si>
    <t>74.04.16-157.72</t>
  </si>
  <si>
    <t>Xander</t>
  </si>
  <si>
    <t>10/08/2003</t>
  </si>
  <si>
    <t>Waelkens</t>
  </si>
  <si>
    <t>Gaston</t>
  </si>
  <si>
    <t>26/12/2018</t>
  </si>
  <si>
    <t>18.12.26-041.58</t>
  </si>
  <si>
    <t>https://app.twizzit.com/public/photos/3437289/s/570cbbb3ba40336fabf43491384c678cfbbf4db4.png</t>
  </si>
  <si>
    <t>Jeanne</t>
  </si>
  <si>
    <t>14/03/2017</t>
  </si>
  <si>
    <t>17.03.14-607.27</t>
  </si>
  <si>
    <t>https://app.twizzit.com/public/photos/3437291/s/f3577d619164c0e4ca4ac15321e6e9e51e00ea9d.png</t>
  </si>
  <si>
    <t>Waterschoot</t>
  </si>
  <si>
    <t>Owen</t>
  </si>
  <si>
    <t>09/10/2000</t>
  </si>
  <si>
    <t>Lindenstraat</t>
  </si>
  <si>
    <t>0470821235</t>
  </si>
  <si>
    <t>00.10.09-139.78</t>
  </si>
  <si>
    <t>Wattenberghe</t>
  </si>
  <si>
    <t>Elio</t>
  </si>
  <si>
    <t>16/11/2007</t>
  </si>
  <si>
    <t>Ninovestraat</t>
  </si>
  <si>
    <t>Watteyn</t>
  </si>
  <si>
    <t>17/04/2004</t>
  </si>
  <si>
    <t>Morinnestraat</t>
  </si>
  <si>
    <t>0471244684</t>
  </si>
  <si>
    <t>04.04.17-069.47</t>
  </si>
  <si>
    <t>Werbrouck</t>
  </si>
  <si>
    <t>12/11/2008</t>
  </si>
  <si>
    <t>Wieme</t>
  </si>
  <si>
    <t>Keandro</t>
  </si>
  <si>
    <t>30/03/2011</t>
  </si>
  <si>
    <t>eddy.wieme@hotmail.com</t>
  </si>
  <si>
    <t>Wisbecq</t>
  </si>
  <si>
    <t>Océane</t>
  </si>
  <si>
    <t>26/08/2019</t>
  </si>
  <si>
    <t>jasper.wisbecq@hotmail.com</t>
  </si>
  <si>
    <t>0472459757</t>
  </si>
  <si>
    <t>Woestenborghs</t>
  </si>
  <si>
    <t>11/07/2011</t>
  </si>
  <si>
    <t>Yurtay</t>
  </si>
  <si>
    <t>Yasin</t>
  </si>
  <si>
    <t>05/01/2011</t>
  </si>
  <si>
    <t>Zekri</t>
  </si>
  <si>
    <t>Mehdi</t>
  </si>
  <si>
    <t>08/04/1997</t>
  </si>
  <si>
    <t>Armand Demeulemeesterstraat</t>
  </si>
  <si>
    <t>mehdi.zekri@outlook.be</t>
  </si>
  <si>
    <t>97.04.08-383.84</t>
  </si>
  <si>
    <t xml:space="preserve">  </t>
  </si>
  <si>
    <t>Email</t>
  </si>
  <si>
    <t>Mobiel</t>
  </si>
  <si>
    <t>Lidnummer</t>
  </si>
  <si>
    <t>Functie</t>
  </si>
  <si>
    <t>Ploeg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</si>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</sst>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9A24540-454E-4A1F-B395-9EC1F91979A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efd9fe0-d384-4a68-b5e4-009a9bc0227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9797BC9-ACF6-4982-B732-F617C49004A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5d2c63e-00f3-4799-b8c4-ef9fac4a9e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44"/>
  <sheetViews>
    <sheetView topLeftCell="X1" workbookViewId="0">
      <selection activeCell="AJ5" sqref="AJ5"/>
    </sheetView>
  </sheetViews>
  <sheetFormatPr defaultRowHeight="15" x14ac:dyDescent="0.25"/>
  <cols>
    <col min="7" max="7" width="25.28515625" customWidth="1"/>
    <col min="15" max="15" width="67.7109375" customWidth="1"/>
    <col min="16" max="16" width="39.85546875" customWidth="1"/>
    <col min="31" max="31" width="38.85546875" customWidth="1"/>
    <col min="36" max="36" width="32.5703125" customWidth="1"/>
    <col min="37" max="37" width="25.285156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2879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>
        <v>5559997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26</v>
      </c>
      <c r="J2">
        <v>9700</v>
      </c>
      <c r="K2" t="s">
        <v>43</v>
      </c>
      <c r="L2" t="s">
        <v>44</v>
      </c>
      <c r="M2" t="s">
        <v>45</v>
      </c>
      <c r="O2" t="s">
        <v>46</v>
      </c>
      <c r="P2" t="s">
        <v>47</v>
      </c>
      <c r="AF2">
        <v>1005559997</v>
      </c>
    </row>
    <row r="3" spans="1:38" x14ac:dyDescent="0.25">
      <c r="A3">
        <v>2182441</v>
      </c>
      <c r="B3" t="s">
        <v>37</v>
      </c>
      <c r="C3" t="s">
        <v>48</v>
      </c>
      <c r="D3" t="s">
        <v>39</v>
      </c>
      <c r="E3" t="s">
        <v>49</v>
      </c>
      <c r="F3" t="s">
        <v>50</v>
      </c>
      <c r="G3" t="s">
        <v>42</v>
      </c>
      <c r="H3">
        <v>26</v>
      </c>
      <c r="Q3" t="s">
        <v>51</v>
      </c>
      <c r="R3" t="s">
        <v>52</v>
      </c>
      <c r="S3" t="s">
        <v>53</v>
      </c>
      <c r="T3" t="s">
        <v>54</v>
      </c>
      <c r="V3" t="s">
        <v>55</v>
      </c>
      <c r="W3" t="s">
        <v>56</v>
      </c>
      <c r="X3" t="s">
        <v>57</v>
      </c>
      <c r="Y3" t="s">
        <v>51</v>
      </c>
      <c r="Z3" t="s">
        <v>57</v>
      </c>
      <c r="AC3" t="s">
        <v>58</v>
      </c>
      <c r="AE3" t="s">
        <v>59</v>
      </c>
      <c r="AF3">
        <v>1002182441</v>
      </c>
      <c r="AG3">
        <v>728412</v>
      </c>
      <c r="AJ3" t="s">
        <v>60</v>
      </c>
      <c r="AK3" t="s">
        <v>61</v>
      </c>
      <c r="AL3" t="s">
        <v>62</v>
      </c>
    </row>
    <row r="4" spans="1:38" x14ac:dyDescent="0.25">
      <c r="A4">
        <v>2182441</v>
      </c>
      <c r="B4" t="s">
        <v>37</v>
      </c>
      <c r="C4" t="s">
        <v>48</v>
      </c>
      <c r="D4" t="s">
        <v>39</v>
      </c>
      <c r="E4" t="s">
        <v>49</v>
      </c>
      <c r="F4" t="s">
        <v>50</v>
      </c>
      <c r="G4" t="s">
        <v>42</v>
      </c>
      <c r="H4">
        <v>26</v>
      </c>
      <c r="Q4" t="s">
        <v>51</v>
      </c>
      <c r="R4" t="s">
        <v>52</v>
      </c>
      <c r="S4" t="s">
        <v>53</v>
      </c>
      <c r="T4" t="s">
        <v>54</v>
      </c>
      <c r="V4" t="s">
        <v>55</v>
      </c>
      <c r="W4" t="s">
        <v>56</v>
      </c>
      <c r="X4" t="s">
        <v>57</v>
      </c>
      <c r="Y4" t="s">
        <v>51</v>
      </c>
      <c r="Z4" t="s">
        <v>57</v>
      </c>
      <c r="AC4" t="s">
        <v>58</v>
      </c>
      <c r="AE4" t="s">
        <v>59</v>
      </c>
      <c r="AF4">
        <v>1002182441</v>
      </c>
      <c r="AG4">
        <v>728412</v>
      </c>
      <c r="AJ4" t="s">
        <v>63</v>
      </c>
      <c r="AK4" t="s">
        <v>61</v>
      </c>
      <c r="AL4" t="s">
        <v>62</v>
      </c>
    </row>
    <row r="5" spans="1:38" x14ac:dyDescent="0.25">
      <c r="A5">
        <v>2182441</v>
      </c>
      <c r="B5" t="s">
        <v>37</v>
      </c>
      <c r="C5" t="s">
        <v>48</v>
      </c>
      <c r="D5" t="s">
        <v>39</v>
      </c>
      <c r="E5" t="s">
        <v>49</v>
      </c>
      <c r="F5" t="s">
        <v>50</v>
      </c>
      <c r="G5" t="s">
        <v>42</v>
      </c>
      <c r="H5">
        <v>26</v>
      </c>
      <c r="Q5" t="s">
        <v>51</v>
      </c>
      <c r="R5" t="s">
        <v>52</v>
      </c>
      <c r="S5" t="s">
        <v>53</v>
      </c>
      <c r="T5" t="s">
        <v>54</v>
      </c>
      <c r="V5" t="s">
        <v>55</v>
      </c>
      <c r="W5" t="s">
        <v>56</v>
      </c>
      <c r="X5" t="s">
        <v>57</v>
      </c>
      <c r="Y5" t="s">
        <v>51</v>
      </c>
      <c r="Z5" t="s">
        <v>57</v>
      </c>
      <c r="AC5" t="s">
        <v>58</v>
      </c>
      <c r="AE5" t="s">
        <v>59</v>
      </c>
      <c r="AF5">
        <v>1002182441</v>
      </c>
      <c r="AG5">
        <v>728412</v>
      </c>
      <c r="AJ5" t="s">
        <v>64</v>
      </c>
      <c r="AK5" t="s">
        <v>65</v>
      </c>
      <c r="AL5" t="s">
        <v>62</v>
      </c>
    </row>
    <row r="6" spans="1:38" x14ac:dyDescent="0.25">
      <c r="A6">
        <v>5577896</v>
      </c>
      <c r="B6" t="s">
        <v>66</v>
      </c>
      <c r="C6" t="s">
        <v>67</v>
      </c>
      <c r="D6" t="s">
        <v>39</v>
      </c>
      <c r="E6" t="s">
        <v>49</v>
      </c>
      <c r="F6" t="s">
        <v>68</v>
      </c>
      <c r="G6" t="s">
        <v>69</v>
      </c>
      <c r="H6">
        <v>133</v>
      </c>
      <c r="R6" t="s">
        <v>70</v>
      </c>
      <c r="V6" t="s">
        <v>71</v>
      </c>
      <c r="X6">
        <v>0</v>
      </c>
      <c r="Z6">
        <v>0</v>
      </c>
      <c r="AA6">
        <v>0</v>
      </c>
      <c r="AF6">
        <v>1005577896</v>
      </c>
    </row>
    <row r="7" spans="1:38" x14ac:dyDescent="0.25">
      <c r="A7">
        <v>2650601</v>
      </c>
      <c r="B7" t="s">
        <v>66</v>
      </c>
      <c r="C7" t="s">
        <v>72</v>
      </c>
      <c r="D7" t="s">
        <v>39</v>
      </c>
      <c r="E7" t="s">
        <v>40</v>
      </c>
      <c r="F7" t="s">
        <v>73</v>
      </c>
      <c r="G7" t="s">
        <v>69</v>
      </c>
      <c r="H7">
        <v>133</v>
      </c>
      <c r="U7" t="s">
        <v>51</v>
      </c>
      <c r="V7">
        <v>32499284650</v>
      </c>
      <c r="AE7" t="s">
        <v>74</v>
      </c>
      <c r="AF7">
        <v>1002650601</v>
      </c>
      <c r="AG7">
        <v>742334</v>
      </c>
      <c r="AJ7" t="s">
        <v>75</v>
      </c>
      <c r="AK7" t="s">
        <v>61</v>
      </c>
      <c r="AL7" t="s">
        <v>62</v>
      </c>
    </row>
    <row r="8" spans="1:38" x14ac:dyDescent="0.25">
      <c r="A8">
        <v>5511777</v>
      </c>
      <c r="B8" t="s">
        <v>76</v>
      </c>
      <c r="C8" t="s">
        <v>77</v>
      </c>
      <c r="D8" t="s">
        <v>39</v>
      </c>
      <c r="E8" t="s">
        <v>40</v>
      </c>
      <c r="F8" t="s">
        <v>78</v>
      </c>
      <c r="G8" t="s">
        <v>79</v>
      </c>
      <c r="H8">
        <v>3</v>
      </c>
      <c r="Q8" t="s">
        <v>51</v>
      </c>
      <c r="R8" t="s">
        <v>80</v>
      </c>
      <c r="V8" t="s">
        <v>81</v>
      </c>
      <c r="W8" t="s">
        <v>51</v>
      </c>
      <c r="X8">
        <v>32475950308</v>
      </c>
      <c r="AC8" t="s">
        <v>82</v>
      </c>
      <c r="AF8">
        <v>1005511777</v>
      </c>
      <c r="AJ8" t="s">
        <v>83</v>
      </c>
      <c r="AK8" t="s">
        <v>61</v>
      </c>
    </row>
    <row r="9" spans="1:38" x14ac:dyDescent="0.25">
      <c r="A9">
        <v>4499004</v>
      </c>
      <c r="B9" t="s">
        <v>76</v>
      </c>
      <c r="C9" t="s">
        <v>84</v>
      </c>
      <c r="D9" t="s">
        <v>39</v>
      </c>
      <c r="E9" t="s">
        <v>40</v>
      </c>
      <c r="F9" t="s">
        <v>85</v>
      </c>
      <c r="G9" t="s">
        <v>79</v>
      </c>
      <c r="H9">
        <v>3</v>
      </c>
      <c r="Q9" t="s">
        <v>51</v>
      </c>
      <c r="R9" t="s">
        <v>80</v>
      </c>
      <c r="U9" t="s">
        <v>53</v>
      </c>
      <c r="V9" t="s">
        <v>81</v>
      </c>
      <c r="W9" t="s">
        <v>51</v>
      </c>
      <c r="X9">
        <v>32475950308</v>
      </c>
      <c r="AC9" t="s">
        <v>86</v>
      </c>
      <c r="AF9">
        <v>1004499004</v>
      </c>
      <c r="AJ9" t="s">
        <v>87</v>
      </c>
      <c r="AK9" t="s">
        <v>61</v>
      </c>
    </row>
    <row r="10" spans="1:38" x14ac:dyDescent="0.25">
      <c r="A10">
        <v>4499004</v>
      </c>
      <c r="B10" t="s">
        <v>76</v>
      </c>
      <c r="C10" t="s">
        <v>84</v>
      </c>
      <c r="D10" t="s">
        <v>39</v>
      </c>
      <c r="E10" t="s">
        <v>40</v>
      </c>
      <c r="F10" t="s">
        <v>85</v>
      </c>
      <c r="G10" t="s">
        <v>79</v>
      </c>
      <c r="H10">
        <v>3</v>
      </c>
      <c r="Q10" t="s">
        <v>51</v>
      </c>
      <c r="R10" t="s">
        <v>80</v>
      </c>
      <c r="U10" t="s">
        <v>53</v>
      </c>
      <c r="V10" t="s">
        <v>81</v>
      </c>
      <c r="W10" t="s">
        <v>51</v>
      </c>
      <c r="X10">
        <v>32475950308</v>
      </c>
      <c r="AC10" t="s">
        <v>86</v>
      </c>
      <c r="AF10">
        <v>1004499004</v>
      </c>
      <c r="AJ10" t="s">
        <v>88</v>
      </c>
      <c r="AK10" t="s">
        <v>61</v>
      </c>
    </row>
    <row r="11" spans="1:38" x14ac:dyDescent="0.25">
      <c r="A11">
        <v>5115343</v>
      </c>
      <c r="B11" t="s">
        <v>89</v>
      </c>
      <c r="C11" t="s">
        <v>90</v>
      </c>
      <c r="D11" t="s">
        <v>39</v>
      </c>
      <c r="E11" t="s">
        <v>49</v>
      </c>
      <c r="F11" t="s">
        <v>91</v>
      </c>
      <c r="G11" t="s">
        <v>92</v>
      </c>
      <c r="H11">
        <v>52</v>
      </c>
      <c r="R11" t="s">
        <v>93</v>
      </c>
      <c r="U11" t="s">
        <v>53</v>
      </c>
      <c r="V11" t="s">
        <v>94</v>
      </c>
      <c r="W11" t="s">
        <v>53</v>
      </c>
      <c r="X11" t="s">
        <v>95</v>
      </c>
      <c r="AE11" t="s">
        <v>96</v>
      </c>
      <c r="AF11">
        <v>1005115343</v>
      </c>
      <c r="AJ11" t="s">
        <v>97</v>
      </c>
      <c r="AK11" t="s">
        <v>61</v>
      </c>
    </row>
    <row r="12" spans="1:38" x14ac:dyDescent="0.25">
      <c r="A12">
        <v>11272034</v>
      </c>
      <c r="B12" t="s">
        <v>98</v>
      </c>
      <c r="C12" t="s">
        <v>99</v>
      </c>
      <c r="D12" t="s">
        <v>39</v>
      </c>
      <c r="E12" t="s">
        <v>40</v>
      </c>
      <c r="F12" t="s">
        <v>100</v>
      </c>
      <c r="G12" t="s">
        <v>101</v>
      </c>
      <c r="H12">
        <v>203</v>
      </c>
      <c r="V12">
        <v>0</v>
      </c>
      <c r="X12">
        <v>0</v>
      </c>
      <c r="Z12">
        <v>0</v>
      </c>
      <c r="AA12">
        <v>0</v>
      </c>
      <c r="AC12" t="s">
        <v>102</v>
      </c>
      <c r="AE12" t="s">
        <v>103</v>
      </c>
      <c r="AF12">
        <v>1011272034</v>
      </c>
      <c r="AJ12" t="s">
        <v>104</v>
      </c>
      <c r="AK12" t="s">
        <v>61</v>
      </c>
    </row>
    <row r="13" spans="1:38" x14ac:dyDescent="0.25">
      <c r="A13">
        <v>11272030</v>
      </c>
      <c r="B13" t="s">
        <v>98</v>
      </c>
      <c r="C13" t="s">
        <v>105</v>
      </c>
      <c r="D13" t="s">
        <v>39</v>
      </c>
      <c r="E13" t="s">
        <v>40</v>
      </c>
      <c r="F13" t="s">
        <v>100</v>
      </c>
      <c r="G13" t="s">
        <v>101</v>
      </c>
      <c r="H13">
        <v>203</v>
      </c>
      <c r="AA13">
        <v>32495316150</v>
      </c>
      <c r="AC13" t="s">
        <v>106</v>
      </c>
      <c r="AE13" t="s">
        <v>107</v>
      </c>
      <c r="AF13">
        <v>1011272030</v>
      </c>
      <c r="AJ13" t="s">
        <v>104</v>
      </c>
      <c r="AK13" t="s">
        <v>61</v>
      </c>
    </row>
    <row r="14" spans="1:38" x14ac:dyDescent="0.25">
      <c r="A14">
        <v>11272039</v>
      </c>
      <c r="B14" t="s">
        <v>98</v>
      </c>
      <c r="C14" t="s">
        <v>108</v>
      </c>
      <c r="D14" t="s">
        <v>39</v>
      </c>
      <c r="E14" t="s">
        <v>40</v>
      </c>
      <c r="F14" t="s">
        <v>100</v>
      </c>
      <c r="G14" t="s">
        <v>101</v>
      </c>
      <c r="H14">
        <v>203</v>
      </c>
      <c r="V14">
        <v>0</v>
      </c>
      <c r="X14">
        <v>0</v>
      </c>
      <c r="Z14">
        <v>0</v>
      </c>
      <c r="AA14">
        <v>0</v>
      </c>
      <c r="AC14" t="s">
        <v>109</v>
      </c>
      <c r="AE14" t="s">
        <v>110</v>
      </c>
      <c r="AF14">
        <v>1011272039</v>
      </c>
      <c r="AJ14" t="s">
        <v>104</v>
      </c>
      <c r="AK14" t="s">
        <v>61</v>
      </c>
    </row>
    <row r="15" spans="1:38" x14ac:dyDescent="0.25">
      <c r="A15">
        <v>2182451</v>
      </c>
      <c r="B15" t="s">
        <v>111</v>
      </c>
      <c r="C15" t="s">
        <v>112</v>
      </c>
      <c r="D15" t="s">
        <v>39</v>
      </c>
      <c r="E15" t="s">
        <v>40</v>
      </c>
      <c r="F15" t="s">
        <v>113</v>
      </c>
      <c r="G15" t="s">
        <v>114</v>
      </c>
      <c r="H15">
        <v>62</v>
      </c>
      <c r="Q15" t="s">
        <v>116</v>
      </c>
      <c r="R15" t="s">
        <v>117</v>
      </c>
      <c r="U15" t="s">
        <v>53</v>
      </c>
      <c r="V15" t="s">
        <v>118</v>
      </c>
      <c r="X15" t="s">
        <v>119</v>
      </c>
      <c r="AD15">
        <v>10</v>
      </c>
      <c r="AE15" t="s">
        <v>120</v>
      </c>
      <c r="AF15">
        <v>1002182451</v>
      </c>
      <c r="AG15">
        <v>713666</v>
      </c>
      <c r="AJ15" t="s">
        <v>121</v>
      </c>
      <c r="AK15" t="s">
        <v>61</v>
      </c>
      <c r="AL15" t="s">
        <v>62</v>
      </c>
    </row>
    <row r="16" spans="1:38" x14ac:dyDescent="0.25">
      <c r="A16">
        <v>2182451</v>
      </c>
      <c r="B16" t="s">
        <v>111</v>
      </c>
      <c r="C16" t="s">
        <v>112</v>
      </c>
      <c r="D16" t="s">
        <v>39</v>
      </c>
      <c r="E16" t="s">
        <v>40</v>
      </c>
      <c r="F16" t="s">
        <v>113</v>
      </c>
      <c r="G16" t="s">
        <v>114</v>
      </c>
      <c r="H16">
        <v>62</v>
      </c>
      <c r="Q16" t="s">
        <v>116</v>
      </c>
      <c r="R16" t="s">
        <v>117</v>
      </c>
      <c r="U16" t="s">
        <v>53</v>
      </c>
      <c r="V16" t="s">
        <v>118</v>
      </c>
      <c r="X16" t="s">
        <v>119</v>
      </c>
      <c r="AD16">
        <v>10</v>
      </c>
      <c r="AE16" t="s">
        <v>120</v>
      </c>
      <c r="AF16">
        <v>1002182451</v>
      </c>
      <c r="AG16">
        <v>713666</v>
      </c>
      <c r="AJ16" t="s">
        <v>63</v>
      </c>
      <c r="AK16" t="s">
        <v>61</v>
      </c>
      <c r="AL16" t="s">
        <v>62</v>
      </c>
    </row>
    <row r="17" spans="1:37" x14ac:dyDescent="0.25">
      <c r="A17">
        <v>2182456</v>
      </c>
      <c r="B17" t="s">
        <v>111</v>
      </c>
      <c r="C17" t="s">
        <v>122</v>
      </c>
      <c r="D17" t="s">
        <v>39</v>
      </c>
      <c r="E17" t="s">
        <v>49</v>
      </c>
      <c r="F17" t="s">
        <v>123</v>
      </c>
      <c r="G17" t="s">
        <v>124</v>
      </c>
      <c r="H17">
        <v>62</v>
      </c>
      <c r="R17" t="s">
        <v>115</v>
      </c>
      <c r="V17">
        <v>497023380</v>
      </c>
      <c r="AC17" t="s">
        <v>125</v>
      </c>
      <c r="AE17" t="s">
        <v>126</v>
      </c>
      <c r="AF17">
        <v>1002182456</v>
      </c>
      <c r="AG17">
        <v>735071</v>
      </c>
      <c r="AJ17" t="s">
        <v>63</v>
      </c>
      <c r="AK17" t="s">
        <v>61</v>
      </c>
    </row>
    <row r="18" spans="1:37" x14ac:dyDescent="0.25">
      <c r="A18">
        <v>2182456</v>
      </c>
      <c r="B18" t="s">
        <v>111</v>
      </c>
      <c r="C18" t="s">
        <v>122</v>
      </c>
      <c r="D18" t="s">
        <v>39</v>
      </c>
      <c r="E18" t="s">
        <v>49</v>
      </c>
      <c r="F18" t="s">
        <v>123</v>
      </c>
      <c r="G18" t="s">
        <v>124</v>
      </c>
      <c r="H18">
        <v>62</v>
      </c>
      <c r="R18" t="s">
        <v>115</v>
      </c>
      <c r="V18">
        <v>497023380</v>
      </c>
      <c r="AC18" t="s">
        <v>125</v>
      </c>
      <c r="AE18" t="s">
        <v>126</v>
      </c>
      <c r="AF18">
        <v>1002182456</v>
      </c>
      <c r="AG18">
        <v>735071</v>
      </c>
      <c r="AJ18" t="s">
        <v>127</v>
      </c>
      <c r="AK18" t="s">
        <v>61</v>
      </c>
    </row>
    <row r="19" spans="1:37" x14ac:dyDescent="0.25">
      <c r="A19">
        <v>4421954</v>
      </c>
      <c r="B19" t="s">
        <v>111</v>
      </c>
      <c r="C19" t="s">
        <v>128</v>
      </c>
      <c r="D19" t="s">
        <v>39</v>
      </c>
      <c r="E19" t="s">
        <v>40</v>
      </c>
      <c r="F19" t="s">
        <v>129</v>
      </c>
      <c r="G19" t="s">
        <v>124</v>
      </c>
      <c r="H19">
        <v>62</v>
      </c>
      <c r="Q19" t="s">
        <v>51</v>
      </c>
      <c r="R19" t="s">
        <v>115</v>
      </c>
      <c r="V19" t="s">
        <v>118</v>
      </c>
      <c r="AE19" t="s">
        <v>130</v>
      </c>
      <c r="AF19">
        <v>1004421954</v>
      </c>
      <c r="AJ19" t="s">
        <v>131</v>
      </c>
      <c r="AK19" t="s">
        <v>61</v>
      </c>
    </row>
    <row r="20" spans="1:37" x14ac:dyDescent="0.25">
      <c r="A20">
        <v>4421954</v>
      </c>
      <c r="B20" t="s">
        <v>111</v>
      </c>
      <c r="C20" t="s">
        <v>128</v>
      </c>
      <c r="D20" t="s">
        <v>39</v>
      </c>
      <c r="E20" t="s">
        <v>40</v>
      </c>
      <c r="F20" t="s">
        <v>129</v>
      </c>
      <c r="G20" t="s">
        <v>124</v>
      </c>
      <c r="H20">
        <v>62</v>
      </c>
      <c r="Q20" t="s">
        <v>51</v>
      </c>
      <c r="R20" t="s">
        <v>115</v>
      </c>
      <c r="V20" t="s">
        <v>118</v>
      </c>
      <c r="AE20" t="s">
        <v>130</v>
      </c>
      <c r="AF20">
        <v>1004421954</v>
      </c>
      <c r="AJ20" t="s">
        <v>87</v>
      </c>
      <c r="AK20" t="s">
        <v>61</v>
      </c>
    </row>
    <row r="21" spans="1:37" x14ac:dyDescent="0.25">
      <c r="A21">
        <v>2182461</v>
      </c>
      <c r="B21" t="s">
        <v>132</v>
      </c>
      <c r="C21" t="s">
        <v>133</v>
      </c>
      <c r="D21" t="s">
        <v>39</v>
      </c>
      <c r="E21" t="s">
        <v>40</v>
      </c>
      <c r="F21" t="s">
        <v>134</v>
      </c>
      <c r="G21" t="s">
        <v>135</v>
      </c>
      <c r="H21">
        <v>42</v>
      </c>
      <c r="U21" t="s">
        <v>46</v>
      </c>
      <c r="V21">
        <v>493100390</v>
      </c>
      <c r="AC21" t="s">
        <v>137</v>
      </c>
      <c r="AF21">
        <v>1002182461</v>
      </c>
      <c r="AG21">
        <v>622980</v>
      </c>
    </row>
    <row r="22" spans="1:37" x14ac:dyDescent="0.25">
      <c r="A22">
        <v>2650825</v>
      </c>
      <c r="B22" t="s">
        <v>138</v>
      </c>
      <c r="C22" t="s">
        <v>139</v>
      </c>
      <c r="D22" t="s">
        <v>39</v>
      </c>
      <c r="E22" t="s">
        <v>40</v>
      </c>
      <c r="F22" t="s">
        <v>140</v>
      </c>
      <c r="G22" t="s">
        <v>141</v>
      </c>
      <c r="H22">
        <v>124</v>
      </c>
      <c r="V22">
        <v>32489669827</v>
      </c>
      <c r="AC22" t="s">
        <v>142</v>
      </c>
      <c r="AF22">
        <v>1002650825</v>
      </c>
      <c r="AG22">
        <v>730038</v>
      </c>
      <c r="AJ22" t="s">
        <v>143</v>
      </c>
      <c r="AK22" t="s">
        <v>61</v>
      </c>
    </row>
    <row r="23" spans="1:37" x14ac:dyDescent="0.25">
      <c r="A23">
        <v>2650780</v>
      </c>
      <c r="B23" t="s">
        <v>144</v>
      </c>
      <c r="C23" t="s">
        <v>145</v>
      </c>
      <c r="D23" t="s">
        <v>39</v>
      </c>
      <c r="E23" t="s">
        <v>40</v>
      </c>
      <c r="F23" t="s">
        <v>146</v>
      </c>
      <c r="G23" t="s">
        <v>147</v>
      </c>
      <c r="H23">
        <v>35</v>
      </c>
      <c r="Q23" t="s">
        <v>51</v>
      </c>
      <c r="R23" t="s">
        <v>148</v>
      </c>
      <c r="U23" t="s">
        <v>53</v>
      </c>
      <c r="V23">
        <v>486584984</v>
      </c>
      <c r="W23" t="s">
        <v>51</v>
      </c>
      <c r="X23">
        <v>473888092</v>
      </c>
      <c r="Y23" t="s">
        <v>46</v>
      </c>
      <c r="Z23">
        <v>32485376691</v>
      </c>
      <c r="AC23" t="s">
        <v>149</v>
      </c>
      <c r="AE23" t="s">
        <v>150</v>
      </c>
      <c r="AF23">
        <v>1002650780</v>
      </c>
      <c r="AG23">
        <v>736579</v>
      </c>
      <c r="AJ23" t="s">
        <v>143</v>
      </c>
      <c r="AK23" t="s">
        <v>61</v>
      </c>
    </row>
    <row r="24" spans="1:37" x14ac:dyDescent="0.25">
      <c r="A24">
        <v>6349669</v>
      </c>
      <c r="B24" t="s">
        <v>151</v>
      </c>
      <c r="C24" t="s">
        <v>152</v>
      </c>
      <c r="D24" t="s">
        <v>39</v>
      </c>
      <c r="E24" t="s">
        <v>40</v>
      </c>
      <c r="F24" t="s">
        <v>153</v>
      </c>
      <c r="U24" t="s">
        <v>46</v>
      </c>
      <c r="V24" t="s">
        <v>154</v>
      </c>
      <c r="AE24" t="s">
        <v>155</v>
      </c>
      <c r="AF24">
        <v>1006349669</v>
      </c>
      <c r="AG24">
        <v>608165</v>
      </c>
    </row>
    <row r="25" spans="1:37" x14ac:dyDescent="0.25">
      <c r="A25">
        <v>3472864</v>
      </c>
      <c r="B25" t="s">
        <v>156</v>
      </c>
      <c r="C25" t="s">
        <v>157</v>
      </c>
      <c r="D25" t="s">
        <v>39</v>
      </c>
      <c r="E25" t="s">
        <v>49</v>
      </c>
      <c r="F25" t="s">
        <v>158</v>
      </c>
      <c r="G25" t="s">
        <v>159</v>
      </c>
      <c r="H25">
        <v>6</v>
      </c>
      <c r="Q25" t="s">
        <v>51</v>
      </c>
      <c r="R25" t="s">
        <v>160</v>
      </c>
      <c r="V25" t="s">
        <v>161</v>
      </c>
      <c r="AC25" t="s">
        <v>162</v>
      </c>
      <c r="AE25" t="s">
        <v>163</v>
      </c>
      <c r="AF25">
        <v>1003472864</v>
      </c>
      <c r="AJ25" t="s">
        <v>164</v>
      </c>
      <c r="AK25" t="s">
        <v>61</v>
      </c>
    </row>
    <row r="26" spans="1:37" x14ac:dyDescent="0.25">
      <c r="A26">
        <v>2182476</v>
      </c>
      <c r="B26" t="s">
        <v>156</v>
      </c>
      <c r="C26" t="s">
        <v>165</v>
      </c>
      <c r="D26" t="s">
        <v>39</v>
      </c>
      <c r="E26" t="s">
        <v>49</v>
      </c>
      <c r="F26" t="s">
        <v>166</v>
      </c>
      <c r="G26" t="s">
        <v>167</v>
      </c>
      <c r="V26">
        <v>474344132</v>
      </c>
      <c r="AC26" t="s">
        <v>168</v>
      </c>
      <c r="AE26" t="s">
        <v>169</v>
      </c>
      <c r="AF26">
        <v>1002182476</v>
      </c>
      <c r="AG26">
        <v>280371</v>
      </c>
      <c r="AJ26" t="s">
        <v>60</v>
      </c>
      <c r="AK26" t="s">
        <v>61</v>
      </c>
    </row>
    <row r="27" spans="1:37" x14ac:dyDescent="0.25">
      <c r="A27">
        <v>2182476</v>
      </c>
      <c r="B27" t="s">
        <v>156</v>
      </c>
      <c r="C27" t="s">
        <v>165</v>
      </c>
      <c r="D27" t="s">
        <v>39</v>
      </c>
      <c r="E27" t="s">
        <v>49</v>
      </c>
      <c r="F27" t="s">
        <v>166</v>
      </c>
      <c r="G27" t="s">
        <v>167</v>
      </c>
      <c r="V27">
        <v>474344132</v>
      </c>
      <c r="AC27" t="s">
        <v>168</v>
      </c>
      <c r="AE27" t="s">
        <v>169</v>
      </c>
      <c r="AF27">
        <v>1002182476</v>
      </c>
      <c r="AG27">
        <v>280371</v>
      </c>
      <c r="AJ27" t="s">
        <v>127</v>
      </c>
      <c r="AK27" t="s">
        <v>65</v>
      </c>
    </row>
    <row r="28" spans="1:37" x14ac:dyDescent="0.25">
      <c r="A28">
        <v>11846410</v>
      </c>
      <c r="B28" t="s">
        <v>156</v>
      </c>
      <c r="C28" t="s">
        <v>170</v>
      </c>
      <c r="D28" t="s">
        <v>39</v>
      </c>
      <c r="E28" t="s">
        <v>49</v>
      </c>
      <c r="F28" t="s">
        <v>171</v>
      </c>
      <c r="G28" t="s">
        <v>159</v>
      </c>
      <c r="H28">
        <v>6</v>
      </c>
      <c r="Q28" t="s">
        <v>51</v>
      </c>
      <c r="R28" t="s">
        <v>160</v>
      </c>
      <c r="V28" t="s">
        <v>161</v>
      </c>
      <c r="AC28" t="s">
        <v>172</v>
      </c>
      <c r="AE28" t="s">
        <v>173</v>
      </c>
      <c r="AF28">
        <v>1011846410</v>
      </c>
      <c r="AJ28" t="s">
        <v>174</v>
      </c>
      <c r="AK28" t="s">
        <v>61</v>
      </c>
    </row>
    <row r="29" spans="1:37" x14ac:dyDescent="0.25">
      <c r="A29">
        <v>3498747</v>
      </c>
      <c r="B29" t="s">
        <v>156</v>
      </c>
      <c r="C29" t="s">
        <v>175</v>
      </c>
      <c r="D29" t="s">
        <v>39</v>
      </c>
      <c r="E29" t="s">
        <v>40</v>
      </c>
      <c r="F29" t="s">
        <v>176</v>
      </c>
      <c r="G29" t="s">
        <v>177</v>
      </c>
      <c r="H29">
        <v>107</v>
      </c>
      <c r="U29" t="s">
        <v>53</v>
      </c>
      <c r="V29" t="s">
        <v>178</v>
      </c>
      <c r="AF29">
        <v>1003498747</v>
      </c>
      <c r="AJ29" t="s">
        <v>179</v>
      </c>
      <c r="AK29" t="s">
        <v>61</v>
      </c>
    </row>
    <row r="30" spans="1:37" x14ac:dyDescent="0.25">
      <c r="A30">
        <v>3498747</v>
      </c>
      <c r="B30" t="s">
        <v>156</v>
      </c>
      <c r="C30" t="s">
        <v>175</v>
      </c>
      <c r="D30" t="s">
        <v>39</v>
      </c>
      <c r="E30" t="s">
        <v>40</v>
      </c>
      <c r="F30" t="s">
        <v>176</v>
      </c>
      <c r="G30" t="s">
        <v>177</v>
      </c>
      <c r="H30">
        <v>107</v>
      </c>
      <c r="U30" t="s">
        <v>53</v>
      </c>
      <c r="V30" t="s">
        <v>178</v>
      </c>
      <c r="AF30">
        <v>1003498747</v>
      </c>
      <c r="AJ30" t="s">
        <v>180</v>
      </c>
      <c r="AK30" t="s">
        <v>61</v>
      </c>
    </row>
    <row r="31" spans="1:37" x14ac:dyDescent="0.25">
      <c r="A31">
        <v>2182481</v>
      </c>
      <c r="B31" t="s">
        <v>181</v>
      </c>
      <c r="C31" t="s">
        <v>182</v>
      </c>
      <c r="D31" t="s">
        <v>39</v>
      </c>
      <c r="E31" t="s">
        <v>49</v>
      </c>
      <c r="F31" t="s">
        <v>183</v>
      </c>
      <c r="G31" t="s">
        <v>184</v>
      </c>
      <c r="H31">
        <v>13</v>
      </c>
      <c r="AF31">
        <v>1002182481</v>
      </c>
    </row>
    <row r="32" spans="1:37" x14ac:dyDescent="0.25">
      <c r="A32">
        <v>7329719</v>
      </c>
      <c r="B32" t="s">
        <v>185</v>
      </c>
      <c r="C32" t="s">
        <v>186</v>
      </c>
      <c r="D32" t="s">
        <v>39</v>
      </c>
      <c r="E32" t="s">
        <v>40</v>
      </c>
      <c r="F32" t="s">
        <v>187</v>
      </c>
      <c r="G32" t="s">
        <v>188</v>
      </c>
      <c r="H32">
        <v>10</v>
      </c>
      <c r="R32" t="s">
        <v>189</v>
      </c>
      <c r="V32" t="s">
        <v>190</v>
      </c>
      <c r="AE32" t="s">
        <v>191</v>
      </c>
      <c r="AF32">
        <v>1007329719</v>
      </c>
      <c r="AJ32" t="s">
        <v>192</v>
      </c>
      <c r="AK32" t="s">
        <v>61</v>
      </c>
    </row>
    <row r="33" spans="1:38" x14ac:dyDescent="0.25">
      <c r="A33">
        <v>2182486</v>
      </c>
      <c r="B33" t="s">
        <v>185</v>
      </c>
      <c r="C33" t="s">
        <v>193</v>
      </c>
      <c r="D33" t="s">
        <v>39</v>
      </c>
      <c r="E33" t="s">
        <v>49</v>
      </c>
      <c r="F33" t="s">
        <v>194</v>
      </c>
      <c r="G33" t="s">
        <v>195</v>
      </c>
      <c r="H33">
        <v>10</v>
      </c>
      <c r="AC33" t="s">
        <v>196</v>
      </c>
      <c r="AE33" t="s">
        <v>197</v>
      </c>
      <c r="AF33">
        <v>1002182486</v>
      </c>
      <c r="AG33">
        <v>721373</v>
      </c>
    </row>
    <row r="34" spans="1:38" x14ac:dyDescent="0.25">
      <c r="A34">
        <v>2182491</v>
      </c>
      <c r="B34" t="s">
        <v>185</v>
      </c>
      <c r="C34" t="s">
        <v>198</v>
      </c>
      <c r="D34" t="s">
        <v>39</v>
      </c>
      <c r="E34" t="s">
        <v>40</v>
      </c>
      <c r="F34" t="s">
        <v>199</v>
      </c>
      <c r="G34" t="s">
        <v>188</v>
      </c>
      <c r="H34">
        <v>10</v>
      </c>
      <c r="V34">
        <v>486440775</v>
      </c>
      <c r="AC34" t="s">
        <v>200</v>
      </c>
      <c r="AE34" t="s">
        <v>201</v>
      </c>
      <c r="AF34">
        <v>1002182491</v>
      </c>
      <c r="AG34">
        <v>720212</v>
      </c>
      <c r="AJ34" t="s">
        <v>202</v>
      </c>
      <c r="AK34" t="s">
        <v>61</v>
      </c>
      <c r="AL34" t="s">
        <v>62</v>
      </c>
    </row>
    <row r="35" spans="1:38" x14ac:dyDescent="0.25">
      <c r="A35">
        <v>2182491</v>
      </c>
      <c r="B35" t="s">
        <v>185</v>
      </c>
      <c r="C35" t="s">
        <v>198</v>
      </c>
      <c r="D35" t="s">
        <v>39</v>
      </c>
      <c r="E35" t="s">
        <v>40</v>
      </c>
      <c r="F35" t="s">
        <v>199</v>
      </c>
      <c r="G35" t="s">
        <v>188</v>
      </c>
      <c r="H35">
        <v>10</v>
      </c>
      <c r="V35">
        <v>486440775</v>
      </c>
      <c r="AC35" t="s">
        <v>200</v>
      </c>
      <c r="AE35" t="s">
        <v>201</v>
      </c>
      <c r="AF35">
        <v>1002182491</v>
      </c>
      <c r="AG35">
        <v>720212</v>
      </c>
      <c r="AL35" t="s">
        <v>62</v>
      </c>
    </row>
    <row r="36" spans="1:38" x14ac:dyDescent="0.25">
      <c r="A36">
        <v>3239983</v>
      </c>
      <c r="B36" t="s">
        <v>203</v>
      </c>
      <c r="C36" t="s">
        <v>204</v>
      </c>
      <c r="D36" t="s">
        <v>39</v>
      </c>
      <c r="E36" t="s">
        <v>40</v>
      </c>
      <c r="G36" t="s">
        <v>205</v>
      </c>
      <c r="H36">
        <v>86</v>
      </c>
      <c r="V36" t="s">
        <v>206</v>
      </c>
      <c r="AC36" t="s">
        <v>207</v>
      </c>
      <c r="AF36">
        <v>1003239983</v>
      </c>
      <c r="AG36">
        <v>7328</v>
      </c>
    </row>
    <row r="37" spans="1:38" x14ac:dyDescent="0.25">
      <c r="A37">
        <v>2182501</v>
      </c>
      <c r="B37" t="s">
        <v>208</v>
      </c>
      <c r="C37" t="s">
        <v>209</v>
      </c>
      <c r="D37" t="s">
        <v>39</v>
      </c>
      <c r="E37" t="s">
        <v>40</v>
      </c>
      <c r="F37" t="s">
        <v>210</v>
      </c>
      <c r="G37" t="s">
        <v>211</v>
      </c>
      <c r="H37">
        <v>95</v>
      </c>
      <c r="R37" t="s">
        <v>212</v>
      </c>
      <c r="V37" t="s">
        <v>213</v>
      </c>
      <c r="AC37" t="s">
        <v>214</v>
      </c>
      <c r="AD37">
        <v>6</v>
      </c>
      <c r="AE37" t="s">
        <v>215</v>
      </c>
      <c r="AF37">
        <v>1002182501</v>
      </c>
      <c r="AG37">
        <v>715506</v>
      </c>
      <c r="AJ37" t="s">
        <v>121</v>
      </c>
      <c r="AK37" t="s">
        <v>61</v>
      </c>
      <c r="AL37" t="s">
        <v>62</v>
      </c>
    </row>
    <row r="38" spans="1:38" x14ac:dyDescent="0.25">
      <c r="A38">
        <v>2182501</v>
      </c>
      <c r="B38" t="s">
        <v>208</v>
      </c>
      <c r="C38" t="s">
        <v>209</v>
      </c>
      <c r="D38" t="s">
        <v>39</v>
      </c>
      <c r="E38" t="s">
        <v>40</v>
      </c>
      <c r="F38" t="s">
        <v>210</v>
      </c>
      <c r="G38" t="s">
        <v>211</v>
      </c>
      <c r="H38">
        <v>95</v>
      </c>
      <c r="R38" t="s">
        <v>212</v>
      </c>
      <c r="V38" t="s">
        <v>213</v>
      </c>
      <c r="AC38" t="s">
        <v>214</v>
      </c>
      <c r="AD38">
        <v>6</v>
      </c>
      <c r="AE38" t="s">
        <v>215</v>
      </c>
      <c r="AF38">
        <v>1002182501</v>
      </c>
      <c r="AG38">
        <v>715506</v>
      </c>
      <c r="AJ38" t="s">
        <v>63</v>
      </c>
      <c r="AK38" t="s">
        <v>61</v>
      </c>
    </row>
    <row r="39" spans="1:38" x14ac:dyDescent="0.25">
      <c r="A39">
        <v>2713992</v>
      </c>
      <c r="B39" t="s">
        <v>216</v>
      </c>
      <c r="C39" t="s">
        <v>217</v>
      </c>
      <c r="D39" t="s">
        <v>39</v>
      </c>
      <c r="E39" t="s">
        <v>49</v>
      </c>
      <c r="F39" t="s">
        <v>218</v>
      </c>
      <c r="G39" t="s">
        <v>219</v>
      </c>
      <c r="H39">
        <v>18</v>
      </c>
      <c r="Q39" t="s">
        <v>220</v>
      </c>
      <c r="R39" t="s">
        <v>221</v>
      </c>
      <c r="S39" t="s">
        <v>116</v>
      </c>
      <c r="T39" t="s">
        <v>222</v>
      </c>
      <c r="U39" t="s">
        <v>46</v>
      </c>
      <c r="V39">
        <v>320497948892</v>
      </c>
      <c r="W39" t="s">
        <v>220</v>
      </c>
      <c r="X39">
        <v>320478766076</v>
      </c>
      <c r="Y39" t="s">
        <v>116</v>
      </c>
      <c r="Z39">
        <v>320495362023</v>
      </c>
      <c r="AB39" t="s">
        <v>223</v>
      </c>
      <c r="AC39" t="s">
        <v>224</v>
      </c>
      <c r="AF39">
        <v>1002713992</v>
      </c>
      <c r="AG39">
        <v>742180</v>
      </c>
      <c r="AL39" t="s">
        <v>62</v>
      </c>
    </row>
    <row r="40" spans="1:38" x14ac:dyDescent="0.25">
      <c r="A40">
        <v>4080393</v>
      </c>
      <c r="B40" t="s">
        <v>225</v>
      </c>
      <c r="C40" t="s">
        <v>226</v>
      </c>
      <c r="D40" t="s">
        <v>39</v>
      </c>
      <c r="E40" t="s">
        <v>40</v>
      </c>
      <c r="F40" t="s">
        <v>227</v>
      </c>
      <c r="G40" t="s">
        <v>228</v>
      </c>
      <c r="H40">
        <v>66</v>
      </c>
      <c r="I40">
        <v>10</v>
      </c>
      <c r="Q40" t="s">
        <v>51</v>
      </c>
      <c r="R40" t="s">
        <v>229</v>
      </c>
      <c r="S40" t="s">
        <v>116</v>
      </c>
      <c r="T40" t="s">
        <v>230</v>
      </c>
      <c r="U40" t="s">
        <v>116</v>
      </c>
      <c r="V40" t="s">
        <v>231</v>
      </c>
      <c r="W40" t="s">
        <v>51</v>
      </c>
      <c r="X40" t="s">
        <v>232</v>
      </c>
      <c r="Y40" t="s">
        <v>46</v>
      </c>
      <c r="Z40" t="s">
        <v>233</v>
      </c>
      <c r="AA40">
        <v>32485287357</v>
      </c>
      <c r="AD40">
        <v>15</v>
      </c>
      <c r="AE40" t="s">
        <v>234</v>
      </c>
      <c r="AF40">
        <v>1004080393</v>
      </c>
      <c r="AG40">
        <v>753437</v>
      </c>
      <c r="AJ40" t="s">
        <v>121</v>
      </c>
      <c r="AK40" t="s">
        <v>61</v>
      </c>
      <c r="AL40" t="s">
        <v>62</v>
      </c>
    </row>
    <row r="41" spans="1:38" x14ac:dyDescent="0.25">
      <c r="A41">
        <v>4080393</v>
      </c>
      <c r="B41" t="s">
        <v>225</v>
      </c>
      <c r="C41" t="s">
        <v>226</v>
      </c>
      <c r="D41" t="s">
        <v>39</v>
      </c>
      <c r="E41" t="s">
        <v>40</v>
      </c>
      <c r="F41" t="s">
        <v>227</v>
      </c>
      <c r="G41" t="s">
        <v>228</v>
      </c>
      <c r="H41">
        <v>66</v>
      </c>
      <c r="I41">
        <v>10</v>
      </c>
      <c r="Q41" t="s">
        <v>51</v>
      </c>
      <c r="R41" t="s">
        <v>229</v>
      </c>
      <c r="S41" t="s">
        <v>116</v>
      </c>
      <c r="T41" t="s">
        <v>230</v>
      </c>
      <c r="U41" t="s">
        <v>116</v>
      </c>
      <c r="V41" t="s">
        <v>231</v>
      </c>
      <c r="W41" t="s">
        <v>51</v>
      </c>
      <c r="X41" t="s">
        <v>232</v>
      </c>
      <c r="Y41" t="s">
        <v>46</v>
      </c>
      <c r="Z41" t="s">
        <v>233</v>
      </c>
      <c r="AA41">
        <v>32485287357</v>
      </c>
      <c r="AD41">
        <v>15</v>
      </c>
      <c r="AE41" t="s">
        <v>234</v>
      </c>
      <c r="AF41">
        <v>1004080393</v>
      </c>
      <c r="AG41">
        <v>753437</v>
      </c>
      <c r="AL41" t="s">
        <v>62</v>
      </c>
    </row>
    <row r="42" spans="1:38" x14ac:dyDescent="0.25">
      <c r="A42">
        <v>2650778</v>
      </c>
      <c r="B42" t="s">
        <v>235</v>
      </c>
      <c r="C42" t="s">
        <v>236</v>
      </c>
      <c r="D42" t="s">
        <v>39</v>
      </c>
      <c r="E42" t="s">
        <v>40</v>
      </c>
      <c r="F42" t="s">
        <v>237</v>
      </c>
      <c r="G42" t="s">
        <v>238</v>
      </c>
      <c r="H42">
        <v>12</v>
      </c>
      <c r="U42" t="s">
        <v>53</v>
      </c>
      <c r="V42">
        <v>474613344</v>
      </c>
      <c r="AC42" t="s">
        <v>239</v>
      </c>
      <c r="AE42" t="s">
        <v>240</v>
      </c>
      <c r="AF42">
        <v>1002650778</v>
      </c>
      <c r="AG42">
        <v>739383</v>
      </c>
      <c r="AJ42" t="s">
        <v>143</v>
      </c>
      <c r="AK42" t="s">
        <v>61</v>
      </c>
    </row>
    <row r="43" spans="1:38" x14ac:dyDescent="0.25">
      <c r="A43">
        <v>3457909</v>
      </c>
      <c r="B43" t="s">
        <v>241</v>
      </c>
      <c r="C43" t="s">
        <v>242</v>
      </c>
      <c r="D43" t="s">
        <v>39</v>
      </c>
      <c r="E43" t="s">
        <v>40</v>
      </c>
      <c r="F43" t="s">
        <v>243</v>
      </c>
      <c r="H43" t="s">
        <v>114</v>
      </c>
      <c r="I43">
        <v>9</v>
      </c>
      <c r="Q43" t="s">
        <v>46</v>
      </c>
      <c r="R43" t="s">
        <v>244</v>
      </c>
      <c r="S43" t="s">
        <v>51</v>
      </c>
      <c r="T43" t="s">
        <v>245</v>
      </c>
      <c r="U43" t="s">
        <v>53</v>
      </c>
      <c r="V43" t="s">
        <v>246</v>
      </c>
      <c r="W43" t="s">
        <v>46</v>
      </c>
      <c r="X43" t="s">
        <v>247</v>
      </c>
      <c r="Y43" t="s">
        <v>51</v>
      </c>
      <c r="Z43" t="s">
        <v>248</v>
      </c>
      <c r="AF43">
        <v>1003457909</v>
      </c>
      <c r="AG43">
        <v>749953</v>
      </c>
    </row>
    <row r="44" spans="1:38" x14ac:dyDescent="0.25">
      <c r="A44">
        <v>2670021</v>
      </c>
      <c r="B44" t="s">
        <v>249</v>
      </c>
      <c r="C44" t="s">
        <v>250</v>
      </c>
      <c r="D44" t="s">
        <v>39</v>
      </c>
      <c r="E44" t="s">
        <v>40</v>
      </c>
      <c r="F44" t="s">
        <v>251</v>
      </c>
      <c r="G44" t="s">
        <v>252</v>
      </c>
      <c r="H44">
        <v>24</v>
      </c>
      <c r="Q44" t="s">
        <v>116</v>
      </c>
      <c r="R44" t="s">
        <v>253</v>
      </c>
      <c r="AA44">
        <v>32468405740</v>
      </c>
      <c r="AF44">
        <v>1002670021</v>
      </c>
      <c r="AG44">
        <v>702949</v>
      </c>
    </row>
    <row r="45" spans="1:38" x14ac:dyDescent="0.25">
      <c r="A45">
        <v>3500953</v>
      </c>
      <c r="B45" t="s">
        <v>254</v>
      </c>
      <c r="C45" t="s">
        <v>255</v>
      </c>
      <c r="D45" t="s">
        <v>39</v>
      </c>
      <c r="E45" t="s">
        <v>49</v>
      </c>
      <c r="F45" t="s">
        <v>256</v>
      </c>
      <c r="G45" t="s">
        <v>257</v>
      </c>
      <c r="H45">
        <v>76</v>
      </c>
      <c r="U45" t="s">
        <v>53</v>
      </c>
      <c r="V45">
        <v>478385011</v>
      </c>
      <c r="W45" t="s">
        <v>51</v>
      </c>
      <c r="X45">
        <v>473412540</v>
      </c>
      <c r="AD45">
        <v>5</v>
      </c>
      <c r="AE45" t="s">
        <v>258</v>
      </c>
      <c r="AF45">
        <v>1003500953</v>
      </c>
      <c r="AG45">
        <v>749419</v>
      </c>
      <c r="AJ45" t="s">
        <v>63</v>
      </c>
      <c r="AK45" t="s">
        <v>61</v>
      </c>
    </row>
    <row r="46" spans="1:38" x14ac:dyDescent="0.25">
      <c r="A46">
        <v>3500953</v>
      </c>
      <c r="B46" t="s">
        <v>254</v>
      </c>
      <c r="C46" t="s">
        <v>255</v>
      </c>
      <c r="D46" t="s">
        <v>39</v>
      </c>
      <c r="E46" t="s">
        <v>49</v>
      </c>
      <c r="F46" t="s">
        <v>256</v>
      </c>
      <c r="G46" t="s">
        <v>257</v>
      </c>
      <c r="H46">
        <v>76</v>
      </c>
      <c r="U46" t="s">
        <v>53</v>
      </c>
      <c r="V46">
        <v>478385011</v>
      </c>
      <c r="W46" t="s">
        <v>51</v>
      </c>
      <c r="X46">
        <v>473412540</v>
      </c>
      <c r="AD46">
        <v>5</v>
      </c>
      <c r="AE46" t="s">
        <v>258</v>
      </c>
      <c r="AF46">
        <v>1003500953</v>
      </c>
      <c r="AG46">
        <v>749419</v>
      </c>
      <c r="AJ46" t="s">
        <v>127</v>
      </c>
      <c r="AK46" t="s">
        <v>61</v>
      </c>
    </row>
    <row r="47" spans="1:38" x14ac:dyDescent="0.25">
      <c r="A47">
        <v>5568565</v>
      </c>
      <c r="B47" t="s">
        <v>254</v>
      </c>
      <c r="C47" t="s">
        <v>259</v>
      </c>
      <c r="D47" t="s">
        <v>39</v>
      </c>
      <c r="E47" t="s">
        <v>49</v>
      </c>
      <c r="F47" t="s">
        <v>260</v>
      </c>
      <c r="G47" t="s">
        <v>257</v>
      </c>
      <c r="H47">
        <v>76</v>
      </c>
      <c r="V47" t="s">
        <v>261</v>
      </c>
      <c r="X47" t="s">
        <v>262</v>
      </c>
      <c r="AC47" t="s">
        <v>263</v>
      </c>
      <c r="AD47">
        <v>5</v>
      </c>
      <c r="AE47" t="s">
        <v>264</v>
      </c>
      <c r="AF47">
        <v>1005568565</v>
      </c>
      <c r="AJ47" t="s">
        <v>97</v>
      </c>
      <c r="AK47" t="s">
        <v>61</v>
      </c>
    </row>
    <row r="48" spans="1:38" x14ac:dyDescent="0.25">
      <c r="A48">
        <v>5568565</v>
      </c>
      <c r="B48" t="s">
        <v>254</v>
      </c>
      <c r="C48" t="s">
        <v>259</v>
      </c>
      <c r="D48" t="s">
        <v>39</v>
      </c>
      <c r="E48" t="s">
        <v>49</v>
      </c>
      <c r="F48" t="s">
        <v>260</v>
      </c>
      <c r="G48" t="s">
        <v>257</v>
      </c>
      <c r="H48">
        <v>76</v>
      </c>
      <c r="V48" t="s">
        <v>261</v>
      </c>
      <c r="X48" t="s">
        <v>262</v>
      </c>
      <c r="AC48" t="s">
        <v>263</v>
      </c>
      <c r="AD48">
        <v>5</v>
      </c>
      <c r="AE48" t="s">
        <v>264</v>
      </c>
      <c r="AF48">
        <v>1005568565</v>
      </c>
      <c r="AJ48" t="s">
        <v>63</v>
      </c>
      <c r="AK48" t="s">
        <v>61</v>
      </c>
    </row>
    <row r="49" spans="1:38" x14ac:dyDescent="0.25">
      <c r="A49">
        <v>7328384</v>
      </c>
      <c r="B49" t="s">
        <v>265</v>
      </c>
      <c r="C49" t="s">
        <v>266</v>
      </c>
      <c r="D49" t="s">
        <v>39</v>
      </c>
      <c r="E49" t="s">
        <v>40</v>
      </c>
      <c r="F49" t="s">
        <v>267</v>
      </c>
      <c r="G49" t="s">
        <v>268</v>
      </c>
      <c r="H49">
        <v>47</v>
      </c>
      <c r="Q49" t="s">
        <v>51</v>
      </c>
      <c r="R49" t="s">
        <v>269</v>
      </c>
      <c r="U49" t="s">
        <v>53</v>
      </c>
      <c r="V49" t="s">
        <v>270</v>
      </c>
      <c r="W49" t="s">
        <v>51</v>
      </c>
      <c r="X49" t="s">
        <v>271</v>
      </c>
      <c r="AE49" t="s">
        <v>272</v>
      </c>
      <c r="AF49">
        <v>1007328384</v>
      </c>
      <c r="AJ49" t="s">
        <v>88</v>
      </c>
      <c r="AK49" t="s">
        <v>61</v>
      </c>
    </row>
    <row r="50" spans="1:38" x14ac:dyDescent="0.25">
      <c r="A50">
        <v>11912350</v>
      </c>
      <c r="B50" t="s">
        <v>273</v>
      </c>
      <c r="C50" t="s">
        <v>274</v>
      </c>
      <c r="D50" t="s">
        <v>39</v>
      </c>
      <c r="E50" t="s">
        <v>40</v>
      </c>
      <c r="F50" t="s">
        <v>275</v>
      </c>
      <c r="U50" t="s">
        <v>46</v>
      </c>
      <c r="V50" t="s">
        <v>276</v>
      </c>
      <c r="AF50">
        <v>1011912350</v>
      </c>
    </row>
    <row r="51" spans="1:38" x14ac:dyDescent="0.25">
      <c r="A51">
        <v>2650830</v>
      </c>
      <c r="B51" t="s">
        <v>277</v>
      </c>
      <c r="C51" t="s">
        <v>278</v>
      </c>
      <c r="D51" t="s">
        <v>39</v>
      </c>
      <c r="E51" t="s">
        <v>40</v>
      </c>
      <c r="F51" t="s">
        <v>279</v>
      </c>
      <c r="G51" t="s">
        <v>280</v>
      </c>
      <c r="H51">
        <v>57</v>
      </c>
      <c r="Q51" t="s">
        <v>51</v>
      </c>
      <c r="R51" t="s">
        <v>281</v>
      </c>
      <c r="U51" t="s">
        <v>53</v>
      </c>
      <c r="V51" t="s">
        <v>282</v>
      </c>
      <c r="W51" t="s">
        <v>51</v>
      </c>
      <c r="X51" t="s">
        <v>283</v>
      </c>
      <c r="Y51" t="s">
        <v>46</v>
      </c>
      <c r="Z51" t="s">
        <v>284</v>
      </c>
      <c r="AC51" t="s">
        <v>285</v>
      </c>
      <c r="AF51">
        <v>1002650830</v>
      </c>
      <c r="AG51">
        <v>737616</v>
      </c>
      <c r="AJ51" t="s">
        <v>286</v>
      </c>
      <c r="AK51" t="s">
        <v>61</v>
      </c>
      <c r="AL51" t="s">
        <v>62</v>
      </c>
    </row>
    <row r="52" spans="1:38" x14ac:dyDescent="0.25">
      <c r="A52">
        <v>2650830</v>
      </c>
      <c r="B52" t="s">
        <v>277</v>
      </c>
      <c r="C52" t="s">
        <v>278</v>
      </c>
      <c r="D52" t="s">
        <v>39</v>
      </c>
      <c r="E52" t="s">
        <v>40</v>
      </c>
      <c r="F52" t="s">
        <v>279</v>
      </c>
      <c r="G52" t="s">
        <v>280</v>
      </c>
      <c r="H52">
        <v>57</v>
      </c>
      <c r="Q52" t="s">
        <v>51</v>
      </c>
      <c r="R52" t="s">
        <v>281</v>
      </c>
      <c r="U52" t="s">
        <v>53</v>
      </c>
      <c r="V52" t="s">
        <v>282</v>
      </c>
      <c r="W52" t="s">
        <v>51</v>
      </c>
      <c r="X52" t="s">
        <v>283</v>
      </c>
      <c r="Y52" t="s">
        <v>46</v>
      </c>
      <c r="Z52" t="s">
        <v>284</v>
      </c>
      <c r="AC52" t="s">
        <v>285</v>
      </c>
      <c r="AF52">
        <v>1002650830</v>
      </c>
      <c r="AG52">
        <v>737616</v>
      </c>
      <c r="AJ52" t="s">
        <v>180</v>
      </c>
      <c r="AK52" t="s">
        <v>61</v>
      </c>
    </row>
    <row r="53" spans="1:38" x14ac:dyDescent="0.25">
      <c r="A53">
        <v>9328155</v>
      </c>
      <c r="B53" t="s">
        <v>287</v>
      </c>
      <c r="C53" t="s">
        <v>288</v>
      </c>
      <c r="D53" t="s">
        <v>39</v>
      </c>
      <c r="E53" t="s">
        <v>40</v>
      </c>
      <c r="F53" t="s">
        <v>289</v>
      </c>
      <c r="G53" t="s">
        <v>290</v>
      </c>
      <c r="H53">
        <v>38</v>
      </c>
      <c r="Q53" t="s">
        <v>51</v>
      </c>
      <c r="R53" t="s">
        <v>291</v>
      </c>
      <c r="V53" t="s">
        <v>292</v>
      </c>
      <c r="AC53" t="s">
        <v>293</v>
      </c>
      <c r="AF53">
        <v>1009328155</v>
      </c>
      <c r="AJ53" t="s">
        <v>294</v>
      </c>
      <c r="AK53" t="s">
        <v>61</v>
      </c>
    </row>
    <row r="54" spans="1:38" x14ac:dyDescent="0.25">
      <c r="A54">
        <v>9328155</v>
      </c>
      <c r="B54" t="s">
        <v>287</v>
      </c>
      <c r="C54" t="s">
        <v>288</v>
      </c>
      <c r="D54" t="s">
        <v>39</v>
      </c>
      <c r="E54" t="s">
        <v>40</v>
      </c>
      <c r="F54" t="s">
        <v>289</v>
      </c>
      <c r="G54" t="s">
        <v>290</v>
      </c>
      <c r="H54">
        <v>38</v>
      </c>
      <c r="Q54" t="s">
        <v>51</v>
      </c>
      <c r="R54" t="s">
        <v>291</v>
      </c>
      <c r="V54" t="s">
        <v>292</v>
      </c>
      <c r="AC54" t="s">
        <v>293</v>
      </c>
      <c r="AF54">
        <v>1009328155</v>
      </c>
      <c r="AJ54" t="s">
        <v>295</v>
      </c>
      <c r="AK54" t="s">
        <v>61</v>
      </c>
    </row>
    <row r="55" spans="1:38" x14ac:dyDescent="0.25">
      <c r="A55">
        <v>9358677</v>
      </c>
      <c r="B55" t="s">
        <v>296</v>
      </c>
      <c r="C55" t="s">
        <v>297</v>
      </c>
      <c r="D55" t="s">
        <v>39</v>
      </c>
      <c r="E55" t="s">
        <v>40</v>
      </c>
      <c r="F55" t="s">
        <v>298</v>
      </c>
      <c r="G55" t="s">
        <v>159</v>
      </c>
      <c r="H55">
        <v>20</v>
      </c>
      <c r="Q55" t="s">
        <v>51</v>
      </c>
      <c r="R55" t="s">
        <v>299</v>
      </c>
      <c r="V55" t="s">
        <v>300</v>
      </c>
      <c r="X55" t="s">
        <v>301</v>
      </c>
      <c r="AF55">
        <v>1009358677</v>
      </c>
      <c r="AJ55" t="s">
        <v>192</v>
      </c>
      <c r="AK55" t="s">
        <v>61</v>
      </c>
    </row>
    <row r="56" spans="1:38" x14ac:dyDescent="0.25">
      <c r="A56">
        <v>3463932</v>
      </c>
      <c r="B56" t="s">
        <v>302</v>
      </c>
      <c r="C56" t="s">
        <v>303</v>
      </c>
      <c r="D56" t="s">
        <v>39</v>
      </c>
      <c r="E56" t="s">
        <v>40</v>
      </c>
      <c r="F56" t="s">
        <v>304</v>
      </c>
      <c r="G56" t="s">
        <v>305</v>
      </c>
      <c r="H56">
        <v>201</v>
      </c>
      <c r="U56" t="s">
        <v>53</v>
      </c>
      <c r="V56">
        <v>32474611521</v>
      </c>
      <c r="X56">
        <v>0</v>
      </c>
      <c r="Z56">
        <v>0</v>
      </c>
      <c r="AA56">
        <v>0</v>
      </c>
      <c r="AF56">
        <v>1003463932</v>
      </c>
    </row>
    <row r="57" spans="1:38" x14ac:dyDescent="0.25">
      <c r="A57">
        <v>2182506</v>
      </c>
      <c r="B57" t="s">
        <v>306</v>
      </c>
      <c r="C57" t="s">
        <v>307</v>
      </c>
      <c r="D57" t="s">
        <v>39</v>
      </c>
      <c r="E57" t="s">
        <v>40</v>
      </c>
      <c r="F57" t="s">
        <v>308</v>
      </c>
      <c r="G57" t="s">
        <v>309</v>
      </c>
      <c r="H57">
        <v>12</v>
      </c>
      <c r="AC57" t="s">
        <v>310</v>
      </c>
      <c r="AF57">
        <v>1002182506</v>
      </c>
      <c r="AG57">
        <v>732761</v>
      </c>
      <c r="AL57" t="s">
        <v>62</v>
      </c>
    </row>
    <row r="58" spans="1:38" x14ac:dyDescent="0.25">
      <c r="A58">
        <v>2182511</v>
      </c>
      <c r="B58" t="s">
        <v>311</v>
      </c>
      <c r="C58" t="s">
        <v>312</v>
      </c>
      <c r="D58" t="s">
        <v>39</v>
      </c>
      <c r="E58" t="s">
        <v>49</v>
      </c>
      <c r="F58" t="s">
        <v>313</v>
      </c>
      <c r="G58" t="s">
        <v>314</v>
      </c>
      <c r="H58">
        <v>93</v>
      </c>
      <c r="Q58" t="s">
        <v>53</v>
      </c>
      <c r="R58" t="s">
        <v>315</v>
      </c>
      <c r="V58" t="s">
        <v>316</v>
      </c>
      <c r="AC58" t="s">
        <v>317</v>
      </c>
      <c r="AF58">
        <v>1002182511</v>
      </c>
      <c r="AG58">
        <v>733968</v>
      </c>
      <c r="AJ58" t="s">
        <v>97</v>
      </c>
      <c r="AK58" t="s">
        <v>61</v>
      </c>
    </row>
    <row r="59" spans="1:38" x14ac:dyDescent="0.25">
      <c r="A59">
        <v>2182511</v>
      </c>
      <c r="B59" t="s">
        <v>311</v>
      </c>
      <c r="C59" t="s">
        <v>312</v>
      </c>
      <c r="D59" t="s">
        <v>39</v>
      </c>
      <c r="E59" t="s">
        <v>49</v>
      </c>
      <c r="F59" t="s">
        <v>313</v>
      </c>
      <c r="G59" t="s">
        <v>314</v>
      </c>
      <c r="H59">
        <v>93</v>
      </c>
      <c r="Q59" t="s">
        <v>53</v>
      </c>
      <c r="R59" t="s">
        <v>315</v>
      </c>
      <c r="V59" t="s">
        <v>316</v>
      </c>
      <c r="AC59" t="s">
        <v>317</v>
      </c>
      <c r="AF59">
        <v>1002182511</v>
      </c>
      <c r="AG59">
        <v>733968</v>
      </c>
      <c r="AJ59" t="s">
        <v>63</v>
      </c>
      <c r="AK59" t="s">
        <v>61</v>
      </c>
    </row>
    <row r="60" spans="1:38" x14ac:dyDescent="0.25">
      <c r="A60">
        <v>2182516</v>
      </c>
      <c r="B60" t="s">
        <v>318</v>
      </c>
      <c r="C60" t="s">
        <v>319</v>
      </c>
      <c r="D60" t="s">
        <v>39</v>
      </c>
      <c r="E60" t="s">
        <v>49</v>
      </c>
      <c r="F60" t="s">
        <v>320</v>
      </c>
      <c r="G60" t="s">
        <v>305</v>
      </c>
      <c r="H60">
        <v>111</v>
      </c>
      <c r="U60" t="s">
        <v>51</v>
      </c>
      <c r="V60">
        <v>32572791</v>
      </c>
      <c r="W60" t="s">
        <v>53</v>
      </c>
      <c r="X60" t="s">
        <v>321</v>
      </c>
      <c r="AD60">
        <v>12</v>
      </c>
      <c r="AE60" t="s">
        <v>322</v>
      </c>
      <c r="AF60">
        <v>1002182516</v>
      </c>
      <c r="AG60">
        <v>714083</v>
      </c>
      <c r="AJ60" t="s">
        <v>60</v>
      </c>
      <c r="AK60" t="s">
        <v>61</v>
      </c>
    </row>
    <row r="61" spans="1:38" x14ac:dyDescent="0.25">
      <c r="A61">
        <v>2182516</v>
      </c>
      <c r="B61" t="s">
        <v>318</v>
      </c>
      <c r="C61" t="s">
        <v>319</v>
      </c>
      <c r="D61" t="s">
        <v>39</v>
      </c>
      <c r="E61" t="s">
        <v>49</v>
      </c>
      <c r="F61" t="s">
        <v>320</v>
      </c>
      <c r="G61" t="s">
        <v>305</v>
      </c>
      <c r="H61">
        <v>111</v>
      </c>
      <c r="U61" t="s">
        <v>51</v>
      </c>
      <c r="V61">
        <v>32572791</v>
      </c>
      <c r="W61" t="s">
        <v>53</v>
      </c>
      <c r="X61" t="s">
        <v>321</v>
      </c>
      <c r="AD61">
        <v>12</v>
      </c>
      <c r="AE61" t="s">
        <v>322</v>
      </c>
      <c r="AF61">
        <v>1002182516</v>
      </c>
      <c r="AG61">
        <v>714083</v>
      </c>
      <c r="AJ61" t="s">
        <v>63</v>
      </c>
      <c r="AK61" t="s">
        <v>61</v>
      </c>
    </row>
    <row r="62" spans="1:38" x14ac:dyDescent="0.25">
      <c r="A62">
        <v>2182516</v>
      </c>
      <c r="B62" t="s">
        <v>318</v>
      </c>
      <c r="C62" t="s">
        <v>319</v>
      </c>
      <c r="D62" t="s">
        <v>39</v>
      </c>
      <c r="E62" t="s">
        <v>49</v>
      </c>
      <c r="F62" t="s">
        <v>320</v>
      </c>
      <c r="G62" t="s">
        <v>305</v>
      </c>
      <c r="H62">
        <v>111</v>
      </c>
      <c r="U62" t="s">
        <v>51</v>
      </c>
      <c r="V62">
        <v>32572791</v>
      </c>
      <c r="W62" t="s">
        <v>53</v>
      </c>
      <c r="X62" t="s">
        <v>321</v>
      </c>
      <c r="AD62">
        <v>12</v>
      </c>
      <c r="AE62" t="s">
        <v>322</v>
      </c>
      <c r="AF62">
        <v>1002182516</v>
      </c>
      <c r="AG62">
        <v>714083</v>
      </c>
      <c r="AJ62" t="s">
        <v>323</v>
      </c>
      <c r="AK62" t="s">
        <v>61</v>
      </c>
    </row>
    <row r="63" spans="1:38" x14ac:dyDescent="0.25">
      <c r="A63">
        <v>11278079</v>
      </c>
      <c r="B63" t="s">
        <v>324</v>
      </c>
      <c r="C63" t="s">
        <v>325</v>
      </c>
      <c r="D63" t="s">
        <v>39</v>
      </c>
      <c r="E63" t="s">
        <v>40</v>
      </c>
      <c r="F63" t="s">
        <v>326</v>
      </c>
      <c r="U63" t="s">
        <v>46</v>
      </c>
      <c r="V63" t="s">
        <v>327</v>
      </c>
      <c r="W63" t="s">
        <v>51</v>
      </c>
      <c r="X63" t="s">
        <v>328</v>
      </c>
      <c r="Y63" t="s">
        <v>53</v>
      </c>
      <c r="Z63" t="s">
        <v>329</v>
      </c>
      <c r="AC63" t="s">
        <v>330</v>
      </c>
      <c r="AF63">
        <v>1011278079</v>
      </c>
      <c r="AJ63" t="s">
        <v>121</v>
      </c>
      <c r="AK63" t="s">
        <v>61</v>
      </c>
    </row>
    <row r="64" spans="1:38" x14ac:dyDescent="0.25">
      <c r="A64">
        <v>2713996</v>
      </c>
      <c r="B64" t="s">
        <v>331</v>
      </c>
      <c r="C64" t="s">
        <v>332</v>
      </c>
      <c r="D64" t="s">
        <v>39</v>
      </c>
      <c r="E64" t="s">
        <v>40</v>
      </c>
      <c r="F64" t="s">
        <v>333</v>
      </c>
      <c r="G64" t="s">
        <v>69</v>
      </c>
      <c r="H64">
        <v>178</v>
      </c>
      <c r="V64">
        <v>0</v>
      </c>
      <c r="X64">
        <v>0</v>
      </c>
      <c r="Z64">
        <v>0</v>
      </c>
      <c r="AA64">
        <v>0</v>
      </c>
      <c r="AC64" t="s">
        <v>334</v>
      </c>
      <c r="AF64">
        <v>1002713996</v>
      </c>
    </row>
    <row r="65" spans="1:38" x14ac:dyDescent="0.25">
      <c r="A65">
        <v>2182521</v>
      </c>
      <c r="B65" t="s">
        <v>331</v>
      </c>
      <c r="C65" t="s">
        <v>335</v>
      </c>
      <c r="D65" t="s">
        <v>39</v>
      </c>
      <c r="E65" t="s">
        <v>40</v>
      </c>
      <c r="F65" t="s">
        <v>336</v>
      </c>
      <c r="G65" t="s">
        <v>69</v>
      </c>
      <c r="H65">
        <v>178</v>
      </c>
      <c r="V65" t="s">
        <v>337</v>
      </c>
      <c r="AC65" t="s">
        <v>338</v>
      </c>
      <c r="AF65">
        <v>1002182521</v>
      </c>
      <c r="AG65">
        <v>731700</v>
      </c>
      <c r="AJ65" t="s">
        <v>121</v>
      </c>
      <c r="AK65" t="s">
        <v>61</v>
      </c>
      <c r="AL65" t="s">
        <v>62</v>
      </c>
    </row>
    <row r="66" spans="1:38" x14ac:dyDescent="0.25">
      <c r="A66">
        <v>4361683</v>
      </c>
      <c r="B66" t="s">
        <v>339</v>
      </c>
      <c r="C66" t="s">
        <v>340</v>
      </c>
      <c r="D66" t="s">
        <v>39</v>
      </c>
      <c r="E66" t="s">
        <v>49</v>
      </c>
      <c r="F66" t="s">
        <v>341</v>
      </c>
      <c r="G66" t="s">
        <v>342</v>
      </c>
      <c r="H66">
        <v>110</v>
      </c>
      <c r="V66">
        <v>0</v>
      </c>
      <c r="X66">
        <v>0</v>
      </c>
      <c r="Z66">
        <v>0</v>
      </c>
      <c r="AA66">
        <v>0</v>
      </c>
      <c r="AC66" t="s">
        <v>343</v>
      </c>
      <c r="AF66">
        <v>1004361683</v>
      </c>
      <c r="AG66">
        <v>236495</v>
      </c>
    </row>
    <row r="67" spans="1:38" x14ac:dyDescent="0.25">
      <c r="A67">
        <v>4196364</v>
      </c>
      <c r="B67" t="s">
        <v>339</v>
      </c>
      <c r="C67" t="s">
        <v>344</v>
      </c>
      <c r="D67" t="s">
        <v>39</v>
      </c>
      <c r="E67" t="s">
        <v>40</v>
      </c>
      <c r="F67" t="s">
        <v>345</v>
      </c>
      <c r="G67" t="s">
        <v>346</v>
      </c>
      <c r="H67">
        <v>472</v>
      </c>
      <c r="U67" t="s">
        <v>46</v>
      </c>
      <c r="V67">
        <v>320470203327</v>
      </c>
      <c r="X67">
        <v>0</v>
      </c>
      <c r="Z67">
        <v>0</v>
      </c>
      <c r="AA67">
        <v>0</v>
      </c>
      <c r="AC67" t="s">
        <v>347</v>
      </c>
      <c r="AF67">
        <v>1004196364</v>
      </c>
      <c r="AG67">
        <v>606718</v>
      </c>
    </row>
    <row r="68" spans="1:38" x14ac:dyDescent="0.25">
      <c r="A68">
        <v>4454574</v>
      </c>
      <c r="B68" t="s">
        <v>348</v>
      </c>
      <c r="C68" t="s">
        <v>349</v>
      </c>
      <c r="D68" t="s">
        <v>39</v>
      </c>
      <c r="E68" t="s">
        <v>40</v>
      </c>
      <c r="F68" t="s">
        <v>350</v>
      </c>
      <c r="G68" t="s">
        <v>314</v>
      </c>
      <c r="H68">
        <v>36</v>
      </c>
      <c r="Q68" t="s">
        <v>46</v>
      </c>
      <c r="V68">
        <v>0</v>
      </c>
      <c r="X68">
        <v>0</v>
      </c>
      <c r="Z68">
        <v>0</v>
      </c>
      <c r="AA68">
        <v>0</v>
      </c>
      <c r="AF68">
        <v>1004454574</v>
      </c>
      <c r="AG68" t="s">
        <v>352</v>
      </c>
    </row>
    <row r="69" spans="1:38" x14ac:dyDescent="0.25">
      <c r="A69">
        <v>2182526</v>
      </c>
      <c r="B69" t="s">
        <v>348</v>
      </c>
      <c r="C69" t="s">
        <v>353</v>
      </c>
      <c r="D69" t="s">
        <v>39</v>
      </c>
      <c r="E69" t="s">
        <v>49</v>
      </c>
      <c r="F69" t="s">
        <v>354</v>
      </c>
      <c r="G69" t="s">
        <v>314</v>
      </c>
      <c r="H69">
        <v>36</v>
      </c>
      <c r="Q69" t="s">
        <v>51</v>
      </c>
      <c r="R69" t="s">
        <v>351</v>
      </c>
      <c r="S69" t="s">
        <v>46</v>
      </c>
      <c r="T69" t="s">
        <v>355</v>
      </c>
      <c r="AE69" t="s">
        <v>356</v>
      </c>
      <c r="AF69">
        <v>1002182526</v>
      </c>
      <c r="AG69">
        <v>706640</v>
      </c>
      <c r="AJ69" t="s">
        <v>63</v>
      </c>
      <c r="AK69" t="s">
        <v>61</v>
      </c>
      <c r="AL69" t="s">
        <v>62</v>
      </c>
    </row>
    <row r="70" spans="1:38" x14ac:dyDescent="0.25">
      <c r="A70">
        <v>2182526</v>
      </c>
      <c r="B70" t="s">
        <v>348</v>
      </c>
      <c r="C70" t="s">
        <v>353</v>
      </c>
      <c r="D70" t="s">
        <v>39</v>
      </c>
      <c r="E70" t="s">
        <v>49</v>
      </c>
      <c r="F70" t="s">
        <v>354</v>
      </c>
      <c r="G70" t="s">
        <v>314</v>
      </c>
      <c r="H70">
        <v>36</v>
      </c>
      <c r="Q70" t="s">
        <v>51</v>
      </c>
      <c r="R70" t="s">
        <v>351</v>
      </c>
      <c r="S70" t="s">
        <v>46</v>
      </c>
      <c r="T70" t="s">
        <v>355</v>
      </c>
      <c r="AE70" t="s">
        <v>356</v>
      </c>
      <c r="AF70">
        <v>1002182526</v>
      </c>
      <c r="AG70">
        <v>706640</v>
      </c>
      <c r="AJ70" t="s">
        <v>323</v>
      </c>
      <c r="AK70" t="s">
        <v>61</v>
      </c>
    </row>
    <row r="71" spans="1:38" x14ac:dyDescent="0.25">
      <c r="A71">
        <v>2182531</v>
      </c>
      <c r="B71" t="s">
        <v>357</v>
      </c>
      <c r="C71" t="s">
        <v>358</v>
      </c>
      <c r="D71" t="s">
        <v>39</v>
      </c>
      <c r="E71" t="s">
        <v>40</v>
      </c>
      <c r="F71" t="s">
        <v>359</v>
      </c>
      <c r="G71" t="s">
        <v>360</v>
      </c>
      <c r="H71">
        <v>71</v>
      </c>
      <c r="U71" t="s">
        <v>51</v>
      </c>
      <c r="V71" t="s">
        <v>361</v>
      </c>
      <c r="AB71" t="s">
        <v>362</v>
      </c>
      <c r="AC71" t="s">
        <v>363</v>
      </c>
      <c r="AE71" t="s">
        <v>364</v>
      </c>
      <c r="AF71">
        <v>1002182531</v>
      </c>
      <c r="AG71">
        <v>733505</v>
      </c>
    </row>
    <row r="72" spans="1:38" x14ac:dyDescent="0.25">
      <c r="A72">
        <v>4383077</v>
      </c>
      <c r="B72" t="s">
        <v>365</v>
      </c>
      <c r="C72" t="s">
        <v>335</v>
      </c>
      <c r="D72" t="s">
        <v>39</v>
      </c>
      <c r="E72" t="s">
        <v>40</v>
      </c>
      <c r="F72" t="s">
        <v>366</v>
      </c>
      <c r="G72" t="s">
        <v>367</v>
      </c>
      <c r="H72">
        <v>57</v>
      </c>
      <c r="Q72" t="s">
        <v>51</v>
      </c>
      <c r="R72" t="s">
        <v>368</v>
      </c>
      <c r="U72" t="s">
        <v>53</v>
      </c>
      <c r="V72" t="s">
        <v>369</v>
      </c>
      <c r="W72" t="s">
        <v>51</v>
      </c>
      <c r="X72" t="s">
        <v>370</v>
      </c>
      <c r="AF72">
        <v>1004383077</v>
      </c>
      <c r="AG72">
        <v>758520</v>
      </c>
    </row>
    <row r="73" spans="1:38" x14ac:dyDescent="0.25">
      <c r="A73">
        <v>10769910</v>
      </c>
      <c r="B73" t="s">
        <v>371</v>
      </c>
      <c r="C73" t="s">
        <v>372</v>
      </c>
      <c r="D73" t="s">
        <v>39</v>
      </c>
      <c r="E73" t="s">
        <v>49</v>
      </c>
      <c r="F73" t="s">
        <v>373</v>
      </c>
      <c r="G73" t="s">
        <v>374</v>
      </c>
      <c r="H73">
        <v>13</v>
      </c>
      <c r="U73" t="s">
        <v>46</v>
      </c>
      <c r="V73" t="s">
        <v>375</v>
      </c>
      <c r="AC73" t="s">
        <v>376</v>
      </c>
      <c r="AF73">
        <v>1010769910</v>
      </c>
      <c r="AJ73" t="s">
        <v>60</v>
      </c>
      <c r="AK73" t="s">
        <v>61</v>
      </c>
    </row>
    <row r="74" spans="1:38" x14ac:dyDescent="0.25">
      <c r="A74">
        <v>5579116</v>
      </c>
      <c r="B74" t="s">
        <v>377</v>
      </c>
      <c r="C74" t="s">
        <v>378</v>
      </c>
      <c r="D74" t="s">
        <v>39</v>
      </c>
      <c r="E74" t="s">
        <v>49</v>
      </c>
      <c r="V74">
        <v>0</v>
      </c>
      <c r="X74">
        <v>0</v>
      </c>
      <c r="Z74">
        <v>0</v>
      </c>
      <c r="AA74">
        <v>0</v>
      </c>
      <c r="AF74">
        <v>1005579116</v>
      </c>
    </row>
    <row r="75" spans="1:38" x14ac:dyDescent="0.25">
      <c r="A75">
        <v>7666112</v>
      </c>
      <c r="B75" t="s">
        <v>379</v>
      </c>
      <c r="C75" t="s">
        <v>380</v>
      </c>
      <c r="D75" t="s">
        <v>39</v>
      </c>
      <c r="E75" t="s">
        <v>40</v>
      </c>
      <c r="F75" t="s">
        <v>381</v>
      </c>
      <c r="G75" t="s">
        <v>382</v>
      </c>
      <c r="H75">
        <v>1</v>
      </c>
      <c r="U75" t="s">
        <v>53</v>
      </c>
      <c r="V75" t="s">
        <v>383</v>
      </c>
      <c r="W75" t="s">
        <v>51</v>
      </c>
      <c r="X75">
        <v>320474023778</v>
      </c>
      <c r="Y75" t="s">
        <v>46</v>
      </c>
      <c r="Z75">
        <v>320490467800</v>
      </c>
      <c r="AC75" t="s">
        <v>384</v>
      </c>
      <c r="AE75" t="s">
        <v>385</v>
      </c>
      <c r="AF75">
        <v>1007666112</v>
      </c>
      <c r="AJ75" t="s">
        <v>83</v>
      </c>
      <c r="AK75" t="s">
        <v>61</v>
      </c>
    </row>
    <row r="76" spans="1:38" x14ac:dyDescent="0.25">
      <c r="A76">
        <v>9522539</v>
      </c>
      <c r="B76" t="s">
        <v>386</v>
      </c>
      <c r="C76" t="s">
        <v>387</v>
      </c>
      <c r="D76" t="s">
        <v>39</v>
      </c>
      <c r="E76" t="s">
        <v>40</v>
      </c>
      <c r="F76" t="s">
        <v>388</v>
      </c>
      <c r="G76" t="s">
        <v>389</v>
      </c>
      <c r="H76">
        <v>35</v>
      </c>
      <c r="U76" t="s">
        <v>46</v>
      </c>
      <c r="V76" t="s">
        <v>390</v>
      </c>
      <c r="AB76" t="s">
        <v>391</v>
      </c>
      <c r="AC76" t="s">
        <v>392</v>
      </c>
      <c r="AF76">
        <v>1009522539</v>
      </c>
      <c r="AG76">
        <v>638804</v>
      </c>
      <c r="AJ76" t="s">
        <v>121</v>
      </c>
      <c r="AK76" t="s">
        <v>65</v>
      </c>
    </row>
    <row r="77" spans="1:38" x14ac:dyDescent="0.25">
      <c r="A77">
        <v>9522539</v>
      </c>
      <c r="B77" t="s">
        <v>386</v>
      </c>
      <c r="C77" t="s">
        <v>387</v>
      </c>
      <c r="D77" t="s">
        <v>39</v>
      </c>
      <c r="E77" t="s">
        <v>40</v>
      </c>
      <c r="F77" t="s">
        <v>388</v>
      </c>
      <c r="G77" t="s">
        <v>389</v>
      </c>
      <c r="H77">
        <v>35</v>
      </c>
      <c r="U77" t="s">
        <v>46</v>
      </c>
      <c r="V77" t="s">
        <v>390</v>
      </c>
      <c r="AB77" t="s">
        <v>391</v>
      </c>
      <c r="AC77" t="s">
        <v>392</v>
      </c>
      <c r="AF77">
        <v>1009522539</v>
      </c>
      <c r="AG77">
        <v>638804</v>
      </c>
      <c r="AJ77" t="s">
        <v>180</v>
      </c>
      <c r="AK77" t="s">
        <v>61</v>
      </c>
    </row>
    <row r="78" spans="1:38" x14ac:dyDescent="0.25">
      <c r="A78">
        <v>9522527</v>
      </c>
      <c r="B78" t="s">
        <v>386</v>
      </c>
      <c r="C78" t="s">
        <v>325</v>
      </c>
      <c r="D78" t="s">
        <v>39</v>
      </c>
      <c r="E78" t="s">
        <v>40</v>
      </c>
      <c r="F78" t="s">
        <v>393</v>
      </c>
      <c r="G78" t="s">
        <v>394</v>
      </c>
      <c r="H78">
        <v>89</v>
      </c>
      <c r="Q78" t="s">
        <v>53</v>
      </c>
      <c r="R78" t="s">
        <v>395</v>
      </c>
      <c r="AF78">
        <v>1009522527</v>
      </c>
      <c r="AG78">
        <v>740183</v>
      </c>
      <c r="AJ78" t="s">
        <v>202</v>
      </c>
      <c r="AK78" t="s">
        <v>61</v>
      </c>
    </row>
    <row r="79" spans="1:38" x14ac:dyDescent="0.25">
      <c r="A79">
        <v>2182536</v>
      </c>
      <c r="B79" t="s">
        <v>396</v>
      </c>
      <c r="C79" t="s">
        <v>397</v>
      </c>
      <c r="D79" t="s">
        <v>39</v>
      </c>
      <c r="E79" t="s">
        <v>49</v>
      </c>
      <c r="F79" t="s">
        <v>398</v>
      </c>
      <c r="G79" t="s">
        <v>399</v>
      </c>
      <c r="H79">
        <v>90</v>
      </c>
      <c r="AC79" t="s">
        <v>400</v>
      </c>
      <c r="AF79">
        <v>1002182536</v>
      </c>
      <c r="AG79">
        <v>622248</v>
      </c>
      <c r="AJ79" t="s">
        <v>60</v>
      </c>
      <c r="AK79" t="s">
        <v>61</v>
      </c>
    </row>
    <row r="80" spans="1:38" x14ac:dyDescent="0.25">
      <c r="A80">
        <v>2182536</v>
      </c>
      <c r="B80" t="s">
        <v>396</v>
      </c>
      <c r="C80" t="s">
        <v>397</v>
      </c>
      <c r="D80" t="s">
        <v>39</v>
      </c>
      <c r="E80" t="s">
        <v>49</v>
      </c>
      <c r="F80" t="s">
        <v>398</v>
      </c>
      <c r="G80" t="s">
        <v>399</v>
      </c>
      <c r="H80">
        <v>90</v>
      </c>
      <c r="AC80" t="s">
        <v>400</v>
      </c>
      <c r="AF80">
        <v>1002182536</v>
      </c>
      <c r="AG80">
        <v>622248</v>
      </c>
      <c r="AJ80" t="s">
        <v>174</v>
      </c>
      <c r="AK80" t="s">
        <v>65</v>
      </c>
    </row>
    <row r="81" spans="1:37" x14ac:dyDescent="0.25">
      <c r="A81">
        <v>7500746</v>
      </c>
      <c r="B81" t="s">
        <v>401</v>
      </c>
      <c r="C81" t="s">
        <v>402</v>
      </c>
      <c r="D81" t="s">
        <v>39</v>
      </c>
      <c r="E81" t="s">
        <v>49</v>
      </c>
      <c r="F81" t="s">
        <v>403</v>
      </c>
      <c r="G81" t="s">
        <v>404</v>
      </c>
      <c r="H81">
        <v>80</v>
      </c>
      <c r="Q81" t="s">
        <v>51</v>
      </c>
      <c r="R81" t="s">
        <v>405</v>
      </c>
      <c r="U81" t="s">
        <v>53</v>
      </c>
      <c r="V81" t="s">
        <v>406</v>
      </c>
      <c r="AC81" t="s">
        <v>407</v>
      </c>
      <c r="AF81">
        <v>1007500746</v>
      </c>
    </row>
    <row r="82" spans="1:37" x14ac:dyDescent="0.25">
      <c r="A82">
        <v>2650656</v>
      </c>
      <c r="B82" t="s">
        <v>408</v>
      </c>
      <c r="C82" t="s">
        <v>409</v>
      </c>
      <c r="D82" t="s">
        <v>39</v>
      </c>
      <c r="E82" t="s">
        <v>40</v>
      </c>
      <c r="F82" t="s">
        <v>410</v>
      </c>
      <c r="G82" t="s">
        <v>411</v>
      </c>
      <c r="H82">
        <v>14</v>
      </c>
      <c r="V82">
        <v>475821346</v>
      </c>
      <c r="X82">
        <v>472114536</v>
      </c>
      <c r="Z82">
        <v>0</v>
      </c>
      <c r="AA82">
        <v>0</v>
      </c>
      <c r="AF82">
        <v>1002650656</v>
      </c>
    </row>
    <row r="83" spans="1:37" x14ac:dyDescent="0.25">
      <c r="A83">
        <v>2182541</v>
      </c>
      <c r="B83" t="s">
        <v>412</v>
      </c>
      <c r="C83" t="s">
        <v>413</v>
      </c>
      <c r="D83" t="s">
        <v>39</v>
      </c>
      <c r="E83" t="s">
        <v>40</v>
      </c>
      <c r="F83" t="s">
        <v>414</v>
      </c>
      <c r="G83" t="s">
        <v>211</v>
      </c>
      <c r="H83">
        <v>9</v>
      </c>
      <c r="AC83" t="s">
        <v>415</v>
      </c>
      <c r="AE83" t="s">
        <v>416</v>
      </c>
      <c r="AF83">
        <v>1002182541</v>
      </c>
      <c r="AG83">
        <v>726667</v>
      </c>
    </row>
    <row r="84" spans="1:37" x14ac:dyDescent="0.25">
      <c r="A84">
        <v>2655001</v>
      </c>
      <c r="B84" t="s">
        <v>417</v>
      </c>
      <c r="C84" t="s">
        <v>418</v>
      </c>
      <c r="D84" t="s">
        <v>39</v>
      </c>
      <c r="E84" t="s">
        <v>49</v>
      </c>
      <c r="F84" t="s">
        <v>419</v>
      </c>
      <c r="G84" t="s">
        <v>420</v>
      </c>
      <c r="H84">
        <v>17</v>
      </c>
      <c r="V84" t="s">
        <v>421</v>
      </c>
      <c r="AC84" t="s">
        <v>422</v>
      </c>
      <c r="AF84">
        <v>1002655001</v>
      </c>
      <c r="AG84">
        <v>739375</v>
      </c>
    </row>
    <row r="85" spans="1:37" x14ac:dyDescent="0.25">
      <c r="A85">
        <v>2182546</v>
      </c>
      <c r="B85" t="s">
        <v>417</v>
      </c>
      <c r="C85" t="s">
        <v>423</v>
      </c>
      <c r="D85" t="s">
        <v>39</v>
      </c>
      <c r="E85" t="s">
        <v>49</v>
      </c>
      <c r="F85" t="s">
        <v>424</v>
      </c>
      <c r="G85" t="s">
        <v>420</v>
      </c>
      <c r="H85">
        <v>17</v>
      </c>
      <c r="V85" t="s">
        <v>421</v>
      </c>
      <c r="AC85" t="s">
        <v>425</v>
      </c>
      <c r="AE85" t="s">
        <v>426</v>
      </c>
      <c r="AF85">
        <v>1002182546</v>
      </c>
      <c r="AG85">
        <v>730457</v>
      </c>
    </row>
    <row r="86" spans="1:37" x14ac:dyDescent="0.25">
      <c r="A86">
        <v>4076852</v>
      </c>
      <c r="B86" t="s">
        <v>417</v>
      </c>
      <c r="C86" t="s">
        <v>427</v>
      </c>
      <c r="D86" t="s">
        <v>39</v>
      </c>
      <c r="E86" t="s">
        <v>40</v>
      </c>
      <c r="F86" t="s">
        <v>428</v>
      </c>
      <c r="G86" t="s">
        <v>429</v>
      </c>
      <c r="H86">
        <v>32</v>
      </c>
      <c r="Q86" t="s">
        <v>430</v>
      </c>
      <c r="U86" t="s">
        <v>46</v>
      </c>
      <c r="V86">
        <v>32495228616</v>
      </c>
      <c r="AB86" t="s">
        <v>431</v>
      </c>
      <c r="AC86" t="s">
        <v>432</v>
      </c>
      <c r="AD86">
        <v>10</v>
      </c>
      <c r="AE86" t="s">
        <v>433</v>
      </c>
      <c r="AF86">
        <v>1004076852</v>
      </c>
      <c r="AG86">
        <v>222444</v>
      </c>
    </row>
    <row r="87" spans="1:37" x14ac:dyDescent="0.25">
      <c r="A87">
        <v>3486565</v>
      </c>
      <c r="B87" t="s">
        <v>417</v>
      </c>
      <c r="C87" t="s">
        <v>297</v>
      </c>
      <c r="D87" t="s">
        <v>39</v>
      </c>
      <c r="E87" t="s">
        <v>40</v>
      </c>
      <c r="F87" t="s">
        <v>434</v>
      </c>
      <c r="G87" t="s">
        <v>429</v>
      </c>
      <c r="H87">
        <v>32</v>
      </c>
      <c r="U87" t="s">
        <v>51</v>
      </c>
      <c r="V87">
        <v>32495228616</v>
      </c>
      <c r="AC87" t="s">
        <v>435</v>
      </c>
      <c r="AD87">
        <v>10</v>
      </c>
      <c r="AE87" t="s">
        <v>436</v>
      </c>
      <c r="AF87">
        <v>1003486565</v>
      </c>
      <c r="AG87" t="s">
        <v>437</v>
      </c>
      <c r="AJ87" t="s">
        <v>88</v>
      </c>
      <c r="AK87" t="s">
        <v>61</v>
      </c>
    </row>
    <row r="88" spans="1:37" x14ac:dyDescent="0.25">
      <c r="A88">
        <v>3486565</v>
      </c>
      <c r="B88" t="s">
        <v>417</v>
      </c>
      <c r="C88" t="s">
        <v>297</v>
      </c>
      <c r="D88" t="s">
        <v>39</v>
      </c>
      <c r="E88" t="s">
        <v>40</v>
      </c>
      <c r="F88" t="s">
        <v>434</v>
      </c>
      <c r="G88" t="s">
        <v>429</v>
      </c>
      <c r="H88">
        <v>32</v>
      </c>
      <c r="U88" t="s">
        <v>51</v>
      </c>
      <c r="V88">
        <v>32495228616</v>
      </c>
      <c r="AC88" t="s">
        <v>435</v>
      </c>
      <c r="AD88">
        <v>10</v>
      </c>
      <c r="AE88" t="s">
        <v>436</v>
      </c>
      <c r="AF88">
        <v>1003486565</v>
      </c>
      <c r="AG88" t="s">
        <v>437</v>
      </c>
      <c r="AJ88" t="s">
        <v>87</v>
      </c>
      <c r="AK88" t="s">
        <v>61</v>
      </c>
    </row>
    <row r="89" spans="1:37" x14ac:dyDescent="0.25">
      <c r="A89">
        <v>10452690</v>
      </c>
      <c r="B89" t="s">
        <v>417</v>
      </c>
      <c r="C89" t="s">
        <v>438</v>
      </c>
      <c r="D89" t="s">
        <v>39</v>
      </c>
      <c r="E89" t="s">
        <v>49</v>
      </c>
      <c r="F89" t="s">
        <v>439</v>
      </c>
      <c r="G89" t="s">
        <v>429</v>
      </c>
      <c r="H89">
        <v>32</v>
      </c>
      <c r="R89" t="s">
        <v>440</v>
      </c>
      <c r="V89">
        <v>32495228616</v>
      </c>
      <c r="AC89" t="s">
        <v>441</v>
      </c>
      <c r="AF89">
        <v>1010452690</v>
      </c>
      <c r="AJ89" t="s">
        <v>442</v>
      </c>
      <c r="AK89" t="s">
        <v>61</v>
      </c>
    </row>
    <row r="90" spans="1:37" x14ac:dyDescent="0.25">
      <c r="A90">
        <v>5544335</v>
      </c>
      <c r="B90" t="s">
        <v>417</v>
      </c>
      <c r="C90" t="s">
        <v>443</v>
      </c>
      <c r="D90" t="s">
        <v>39</v>
      </c>
      <c r="E90" t="s">
        <v>40</v>
      </c>
      <c r="F90" t="s">
        <v>444</v>
      </c>
      <c r="G90" t="s">
        <v>420</v>
      </c>
      <c r="H90">
        <v>17</v>
      </c>
      <c r="V90">
        <v>0</v>
      </c>
      <c r="X90">
        <v>0</v>
      </c>
      <c r="Z90">
        <v>0</v>
      </c>
      <c r="AA90">
        <v>0</v>
      </c>
      <c r="AC90" t="s">
        <v>445</v>
      </c>
      <c r="AF90">
        <v>1005544335</v>
      </c>
      <c r="AG90">
        <v>20587</v>
      </c>
    </row>
    <row r="91" spans="1:37" x14ac:dyDescent="0.25">
      <c r="A91">
        <v>6344187</v>
      </c>
      <c r="B91" t="s">
        <v>446</v>
      </c>
      <c r="C91" t="s">
        <v>274</v>
      </c>
      <c r="D91" t="s">
        <v>39</v>
      </c>
      <c r="E91" t="s">
        <v>40</v>
      </c>
      <c r="F91" t="s">
        <v>447</v>
      </c>
      <c r="G91" t="s">
        <v>448</v>
      </c>
      <c r="H91">
        <v>25</v>
      </c>
      <c r="AC91" t="s">
        <v>449</v>
      </c>
      <c r="AF91">
        <v>1006344187</v>
      </c>
      <c r="AG91">
        <v>20854</v>
      </c>
      <c r="AJ91" t="s">
        <v>60</v>
      </c>
      <c r="AK91" t="s">
        <v>65</v>
      </c>
    </row>
    <row r="92" spans="1:37" x14ac:dyDescent="0.25">
      <c r="A92">
        <v>6344189</v>
      </c>
      <c r="B92" t="s">
        <v>446</v>
      </c>
      <c r="C92" t="s">
        <v>450</v>
      </c>
      <c r="D92" t="s">
        <v>39</v>
      </c>
      <c r="E92" t="s">
        <v>40</v>
      </c>
      <c r="F92" t="s">
        <v>451</v>
      </c>
      <c r="G92" t="s">
        <v>448</v>
      </c>
      <c r="H92">
        <v>25</v>
      </c>
      <c r="AC92" t="s">
        <v>452</v>
      </c>
      <c r="AF92">
        <v>1006344189</v>
      </c>
      <c r="AJ92" t="s">
        <v>192</v>
      </c>
      <c r="AK92" t="s">
        <v>65</v>
      </c>
    </row>
    <row r="93" spans="1:37" x14ac:dyDescent="0.25">
      <c r="A93">
        <v>6344189</v>
      </c>
      <c r="B93" t="s">
        <v>446</v>
      </c>
      <c r="C93" t="s">
        <v>450</v>
      </c>
      <c r="D93" t="s">
        <v>39</v>
      </c>
      <c r="E93" t="s">
        <v>40</v>
      </c>
      <c r="F93" t="s">
        <v>451</v>
      </c>
      <c r="G93" t="s">
        <v>448</v>
      </c>
      <c r="H93">
        <v>25</v>
      </c>
      <c r="AC93" t="s">
        <v>452</v>
      </c>
      <c r="AF93">
        <v>1006344189</v>
      </c>
      <c r="AJ93" t="s">
        <v>202</v>
      </c>
      <c r="AK93" t="s">
        <v>61</v>
      </c>
    </row>
    <row r="94" spans="1:37" x14ac:dyDescent="0.25">
      <c r="A94">
        <v>6344189</v>
      </c>
      <c r="B94" t="s">
        <v>446</v>
      </c>
      <c r="C94" t="s">
        <v>450</v>
      </c>
      <c r="D94" t="s">
        <v>39</v>
      </c>
      <c r="E94" t="s">
        <v>40</v>
      </c>
      <c r="F94" t="s">
        <v>451</v>
      </c>
      <c r="G94" t="s">
        <v>448</v>
      </c>
      <c r="H94">
        <v>25</v>
      </c>
      <c r="AC94" t="s">
        <v>452</v>
      </c>
      <c r="AF94">
        <v>1006344189</v>
      </c>
      <c r="AJ94" t="s">
        <v>63</v>
      </c>
      <c r="AK94" t="s">
        <v>61</v>
      </c>
    </row>
    <row r="95" spans="1:37" x14ac:dyDescent="0.25">
      <c r="A95">
        <v>9522553</v>
      </c>
      <c r="B95" t="s">
        <v>446</v>
      </c>
      <c r="C95" t="s">
        <v>453</v>
      </c>
      <c r="D95" t="s">
        <v>39</v>
      </c>
      <c r="E95" t="s">
        <v>40</v>
      </c>
      <c r="F95" t="s">
        <v>454</v>
      </c>
      <c r="G95" t="s">
        <v>448</v>
      </c>
      <c r="H95">
        <v>25</v>
      </c>
      <c r="AC95" t="s">
        <v>455</v>
      </c>
      <c r="AE95" t="s">
        <v>456</v>
      </c>
      <c r="AF95">
        <v>1009522553</v>
      </c>
      <c r="AJ95" t="s">
        <v>192</v>
      </c>
      <c r="AK95" t="s">
        <v>61</v>
      </c>
    </row>
    <row r="96" spans="1:37" x14ac:dyDescent="0.25">
      <c r="A96">
        <v>9522553</v>
      </c>
      <c r="B96" t="s">
        <v>446</v>
      </c>
      <c r="C96" t="s">
        <v>453</v>
      </c>
      <c r="D96" t="s">
        <v>39</v>
      </c>
      <c r="E96" t="s">
        <v>40</v>
      </c>
      <c r="F96" t="s">
        <v>454</v>
      </c>
      <c r="G96" t="s">
        <v>448</v>
      </c>
      <c r="H96">
        <v>25</v>
      </c>
      <c r="AC96" t="s">
        <v>455</v>
      </c>
      <c r="AE96" t="s">
        <v>456</v>
      </c>
      <c r="AF96">
        <v>1009522553</v>
      </c>
      <c r="AJ96" t="s">
        <v>295</v>
      </c>
      <c r="AK96" t="s">
        <v>61</v>
      </c>
    </row>
    <row r="97" spans="1:38" x14ac:dyDescent="0.25">
      <c r="A97">
        <v>4196373</v>
      </c>
      <c r="B97" t="s">
        <v>457</v>
      </c>
      <c r="C97" t="s">
        <v>458</v>
      </c>
      <c r="D97" t="s">
        <v>39</v>
      </c>
      <c r="E97" t="s">
        <v>40</v>
      </c>
      <c r="F97" t="s">
        <v>459</v>
      </c>
      <c r="G97" t="s">
        <v>460</v>
      </c>
      <c r="H97">
        <v>174</v>
      </c>
      <c r="U97" t="s">
        <v>46</v>
      </c>
      <c r="V97">
        <v>320498674854</v>
      </c>
      <c r="X97">
        <v>0</v>
      </c>
      <c r="Z97">
        <v>0</v>
      </c>
      <c r="AA97">
        <v>0</v>
      </c>
      <c r="AC97" t="s">
        <v>461</v>
      </c>
      <c r="AF97">
        <v>1004196373</v>
      </c>
      <c r="AG97">
        <v>618749</v>
      </c>
    </row>
    <row r="98" spans="1:38" x14ac:dyDescent="0.25">
      <c r="A98">
        <v>6352973</v>
      </c>
      <c r="B98" t="s">
        <v>462</v>
      </c>
      <c r="C98" t="s">
        <v>312</v>
      </c>
      <c r="D98" t="s">
        <v>39</v>
      </c>
      <c r="E98" t="s">
        <v>40</v>
      </c>
      <c r="F98" t="s">
        <v>463</v>
      </c>
      <c r="G98" t="s">
        <v>360</v>
      </c>
      <c r="H98">
        <v>40</v>
      </c>
      <c r="Q98" t="s">
        <v>51</v>
      </c>
      <c r="R98" t="s">
        <v>464</v>
      </c>
      <c r="U98" t="s">
        <v>53</v>
      </c>
      <c r="V98">
        <v>32486926070</v>
      </c>
      <c r="W98" t="s">
        <v>51</v>
      </c>
      <c r="X98">
        <v>32475832685</v>
      </c>
      <c r="AC98" t="s">
        <v>465</v>
      </c>
      <c r="AD98">
        <v>4</v>
      </c>
      <c r="AE98" t="s">
        <v>466</v>
      </c>
      <c r="AF98">
        <v>1006352973</v>
      </c>
      <c r="AG98">
        <v>736728</v>
      </c>
      <c r="AL98" t="s">
        <v>62</v>
      </c>
    </row>
    <row r="99" spans="1:38" x14ac:dyDescent="0.25">
      <c r="A99">
        <v>6169424</v>
      </c>
      <c r="B99" t="s">
        <v>467</v>
      </c>
      <c r="C99" t="s">
        <v>468</v>
      </c>
      <c r="D99" t="s">
        <v>39</v>
      </c>
      <c r="E99" t="s">
        <v>40</v>
      </c>
      <c r="F99" t="s">
        <v>469</v>
      </c>
      <c r="G99" t="s">
        <v>470</v>
      </c>
      <c r="H99">
        <v>51</v>
      </c>
      <c r="AC99" t="s">
        <v>471</v>
      </c>
      <c r="AF99">
        <v>1006169424</v>
      </c>
      <c r="AG99">
        <v>652122</v>
      </c>
    </row>
    <row r="100" spans="1:38" x14ac:dyDescent="0.25">
      <c r="A100">
        <v>2182551</v>
      </c>
      <c r="B100" t="s">
        <v>472</v>
      </c>
      <c r="C100" t="s">
        <v>473</v>
      </c>
      <c r="D100" t="s">
        <v>39</v>
      </c>
      <c r="E100" t="s">
        <v>49</v>
      </c>
      <c r="F100" t="s">
        <v>474</v>
      </c>
      <c r="G100" t="s">
        <v>69</v>
      </c>
      <c r="H100">
        <v>104</v>
      </c>
      <c r="R100" t="s">
        <v>475</v>
      </c>
      <c r="V100" t="s">
        <v>476</v>
      </c>
      <c r="AC100" t="s">
        <v>477</v>
      </c>
      <c r="AF100">
        <v>1002182551</v>
      </c>
      <c r="AG100">
        <v>669074</v>
      </c>
      <c r="AJ100" t="s">
        <v>60</v>
      </c>
      <c r="AK100" t="s">
        <v>61</v>
      </c>
    </row>
    <row r="101" spans="1:38" x14ac:dyDescent="0.25">
      <c r="A101">
        <v>2182551</v>
      </c>
      <c r="B101" t="s">
        <v>472</v>
      </c>
      <c r="C101" t="s">
        <v>473</v>
      </c>
      <c r="D101" t="s">
        <v>39</v>
      </c>
      <c r="E101" t="s">
        <v>49</v>
      </c>
      <c r="F101" t="s">
        <v>474</v>
      </c>
      <c r="G101" t="s">
        <v>69</v>
      </c>
      <c r="H101">
        <v>104</v>
      </c>
      <c r="R101" t="s">
        <v>475</v>
      </c>
      <c r="V101" t="s">
        <v>476</v>
      </c>
      <c r="AC101" t="s">
        <v>477</v>
      </c>
      <c r="AF101">
        <v>1002182551</v>
      </c>
      <c r="AG101">
        <v>669074</v>
      </c>
      <c r="AJ101" t="s">
        <v>63</v>
      </c>
      <c r="AK101" t="s">
        <v>61</v>
      </c>
    </row>
    <row r="102" spans="1:38" x14ac:dyDescent="0.25">
      <c r="A102">
        <v>2182551</v>
      </c>
      <c r="B102" t="s">
        <v>472</v>
      </c>
      <c r="C102" t="s">
        <v>473</v>
      </c>
      <c r="D102" t="s">
        <v>39</v>
      </c>
      <c r="E102" t="s">
        <v>49</v>
      </c>
      <c r="F102" t="s">
        <v>474</v>
      </c>
      <c r="G102" t="s">
        <v>69</v>
      </c>
      <c r="H102">
        <v>104</v>
      </c>
      <c r="R102" t="s">
        <v>475</v>
      </c>
      <c r="V102" t="s">
        <v>476</v>
      </c>
      <c r="AC102" t="s">
        <v>477</v>
      </c>
      <c r="AF102">
        <v>1002182551</v>
      </c>
      <c r="AG102">
        <v>669074</v>
      </c>
      <c r="AJ102" t="s">
        <v>323</v>
      </c>
      <c r="AK102" t="s">
        <v>61</v>
      </c>
    </row>
    <row r="103" spans="1:38" x14ac:dyDescent="0.25">
      <c r="A103">
        <v>2182556</v>
      </c>
      <c r="B103" t="s">
        <v>472</v>
      </c>
      <c r="C103" t="s">
        <v>478</v>
      </c>
      <c r="D103" t="s">
        <v>39</v>
      </c>
      <c r="E103" t="s">
        <v>40</v>
      </c>
      <c r="F103" t="s">
        <v>479</v>
      </c>
      <c r="G103" t="s">
        <v>69</v>
      </c>
      <c r="H103">
        <v>104</v>
      </c>
      <c r="AC103" t="s">
        <v>480</v>
      </c>
      <c r="AF103">
        <v>1002182556</v>
      </c>
      <c r="AG103">
        <v>669072</v>
      </c>
    </row>
    <row r="104" spans="1:38" x14ac:dyDescent="0.25">
      <c r="A104">
        <v>4216839</v>
      </c>
      <c r="B104" t="s">
        <v>472</v>
      </c>
      <c r="C104" t="s">
        <v>481</v>
      </c>
      <c r="D104" t="s">
        <v>39</v>
      </c>
      <c r="E104" t="s">
        <v>40</v>
      </c>
      <c r="F104" t="s">
        <v>482</v>
      </c>
      <c r="G104" t="s">
        <v>69</v>
      </c>
      <c r="H104">
        <v>104</v>
      </c>
      <c r="U104" t="s">
        <v>51</v>
      </c>
      <c r="V104">
        <v>320477681738</v>
      </c>
      <c r="X104">
        <v>0</v>
      </c>
      <c r="Z104">
        <v>0</v>
      </c>
      <c r="AA104">
        <v>0</v>
      </c>
      <c r="AF104">
        <v>1004216839</v>
      </c>
      <c r="AJ104" t="s">
        <v>483</v>
      </c>
      <c r="AK104" t="s">
        <v>61</v>
      </c>
    </row>
    <row r="105" spans="1:38" x14ac:dyDescent="0.25">
      <c r="A105">
        <v>4499039</v>
      </c>
      <c r="B105" t="s">
        <v>484</v>
      </c>
      <c r="C105" t="s">
        <v>485</v>
      </c>
      <c r="D105" t="s">
        <v>39</v>
      </c>
      <c r="E105" t="s">
        <v>40</v>
      </c>
      <c r="F105" t="s">
        <v>486</v>
      </c>
      <c r="G105" t="s">
        <v>487</v>
      </c>
      <c r="H105">
        <v>27</v>
      </c>
      <c r="Q105" t="s">
        <v>51</v>
      </c>
      <c r="R105" t="s">
        <v>488</v>
      </c>
      <c r="U105" t="s">
        <v>53</v>
      </c>
      <c r="V105" t="s">
        <v>489</v>
      </c>
      <c r="AF105">
        <v>1004499039</v>
      </c>
      <c r="AJ105" t="s">
        <v>88</v>
      </c>
      <c r="AK105" t="s">
        <v>61</v>
      </c>
    </row>
    <row r="106" spans="1:38" x14ac:dyDescent="0.25">
      <c r="A106">
        <v>2714000</v>
      </c>
      <c r="B106" t="s">
        <v>484</v>
      </c>
      <c r="C106" t="s">
        <v>490</v>
      </c>
      <c r="D106" t="s">
        <v>39</v>
      </c>
      <c r="E106" t="s">
        <v>49</v>
      </c>
      <c r="F106" t="s">
        <v>491</v>
      </c>
      <c r="G106" t="s">
        <v>492</v>
      </c>
      <c r="H106">
        <v>55</v>
      </c>
      <c r="V106" t="s">
        <v>493</v>
      </c>
      <c r="AC106" t="s">
        <v>494</v>
      </c>
      <c r="AF106">
        <v>1002714000</v>
      </c>
      <c r="AL106" t="s">
        <v>62</v>
      </c>
    </row>
    <row r="107" spans="1:38" x14ac:dyDescent="0.25">
      <c r="A107">
        <v>3463911</v>
      </c>
      <c r="B107" t="s">
        <v>495</v>
      </c>
      <c r="C107" t="s">
        <v>496</v>
      </c>
      <c r="D107" t="s">
        <v>39</v>
      </c>
      <c r="E107" t="s">
        <v>49</v>
      </c>
      <c r="F107" t="s">
        <v>497</v>
      </c>
      <c r="G107" t="s">
        <v>498</v>
      </c>
      <c r="H107">
        <v>12</v>
      </c>
      <c r="U107" t="s">
        <v>51</v>
      </c>
      <c r="V107" t="s">
        <v>499</v>
      </c>
      <c r="AF107">
        <v>1003463911</v>
      </c>
      <c r="AG107">
        <v>749623</v>
      </c>
    </row>
    <row r="108" spans="1:38" x14ac:dyDescent="0.25">
      <c r="A108">
        <v>2182571</v>
      </c>
      <c r="B108" t="s">
        <v>500</v>
      </c>
      <c r="C108" t="s">
        <v>501</v>
      </c>
      <c r="D108" t="s">
        <v>39</v>
      </c>
      <c r="E108" t="s">
        <v>40</v>
      </c>
      <c r="F108" t="s">
        <v>502</v>
      </c>
      <c r="G108" t="s">
        <v>503</v>
      </c>
      <c r="H108">
        <v>31</v>
      </c>
      <c r="AC108" t="s">
        <v>504</v>
      </c>
      <c r="AF108">
        <v>1002182571</v>
      </c>
    </row>
    <row r="109" spans="1:38" x14ac:dyDescent="0.25">
      <c r="A109">
        <v>2669951</v>
      </c>
      <c r="B109" t="s">
        <v>505</v>
      </c>
      <c r="C109" t="s">
        <v>506</v>
      </c>
      <c r="D109" t="s">
        <v>39</v>
      </c>
      <c r="E109" t="s">
        <v>40</v>
      </c>
      <c r="F109" t="s">
        <v>507</v>
      </c>
      <c r="V109">
        <v>0</v>
      </c>
      <c r="X109">
        <v>0</v>
      </c>
      <c r="Z109">
        <v>0</v>
      </c>
      <c r="AA109">
        <v>0</v>
      </c>
      <c r="AC109" t="s">
        <v>508</v>
      </c>
      <c r="AE109" t="s">
        <v>509</v>
      </c>
      <c r="AF109">
        <v>1002669951</v>
      </c>
      <c r="AG109">
        <v>26737</v>
      </c>
    </row>
    <row r="110" spans="1:38" x14ac:dyDescent="0.25">
      <c r="A110">
        <v>11852341</v>
      </c>
      <c r="B110" t="s">
        <v>510</v>
      </c>
      <c r="C110" t="s">
        <v>511</v>
      </c>
      <c r="D110" t="s">
        <v>39</v>
      </c>
      <c r="E110" t="s">
        <v>40</v>
      </c>
      <c r="F110" t="s">
        <v>512</v>
      </c>
      <c r="G110" t="s">
        <v>513</v>
      </c>
      <c r="H110">
        <v>41</v>
      </c>
      <c r="Q110" t="s">
        <v>51</v>
      </c>
      <c r="R110" t="s">
        <v>514</v>
      </c>
      <c r="S110" t="s">
        <v>46</v>
      </c>
      <c r="T110" t="s">
        <v>515</v>
      </c>
      <c r="U110" t="s">
        <v>46</v>
      </c>
      <c r="V110" t="s">
        <v>516</v>
      </c>
      <c r="AC110" t="s">
        <v>517</v>
      </c>
      <c r="AF110">
        <v>1011852341</v>
      </c>
      <c r="AG110">
        <v>724313</v>
      </c>
      <c r="AJ110" t="s">
        <v>179</v>
      </c>
      <c r="AK110" t="s">
        <v>61</v>
      </c>
    </row>
    <row r="111" spans="1:38" x14ac:dyDescent="0.25">
      <c r="A111">
        <v>4523737</v>
      </c>
      <c r="B111" t="s">
        <v>518</v>
      </c>
      <c r="C111" t="s">
        <v>519</v>
      </c>
      <c r="D111" t="s">
        <v>39</v>
      </c>
      <c r="E111" t="s">
        <v>49</v>
      </c>
      <c r="F111" t="s">
        <v>520</v>
      </c>
      <c r="G111" t="s">
        <v>167</v>
      </c>
      <c r="H111">
        <v>73</v>
      </c>
      <c r="V111" t="s">
        <v>521</v>
      </c>
      <c r="AF111">
        <v>1004523737</v>
      </c>
    </row>
    <row r="112" spans="1:38" x14ac:dyDescent="0.25">
      <c r="A112">
        <v>2182576</v>
      </c>
      <c r="B112" t="s">
        <v>518</v>
      </c>
      <c r="C112" t="s">
        <v>522</v>
      </c>
      <c r="D112" t="s">
        <v>39</v>
      </c>
      <c r="E112" t="s">
        <v>40</v>
      </c>
      <c r="F112" t="s">
        <v>523</v>
      </c>
      <c r="G112" t="s">
        <v>524</v>
      </c>
      <c r="H112">
        <v>54</v>
      </c>
      <c r="AC112" t="s">
        <v>525</v>
      </c>
      <c r="AF112">
        <v>1002182576</v>
      </c>
    </row>
    <row r="113" spans="1:37" x14ac:dyDescent="0.25">
      <c r="A113">
        <v>3472564</v>
      </c>
      <c r="B113" t="s">
        <v>518</v>
      </c>
      <c r="C113" t="s">
        <v>526</v>
      </c>
      <c r="D113" t="s">
        <v>39</v>
      </c>
      <c r="E113" t="s">
        <v>49</v>
      </c>
      <c r="F113" t="s">
        <v>527</v>
      </c>
      <c r="G113" t="s">
        <v>167</v>
      </c>
      <c r="H113">
        <v>73</v>
      </c>
      <c r="U113" t="s">
        <v>53</v>
      </c>
      <c r="V113">
        <v>320494445513</v>
      </c>
      <c r="X113">
        <v>0</v>
      </c>
      <c r="Z113">
        <v>0</v>
      </c>
      <c r="AA113">
        <v>0</v>
      </c>
      <c r="AF113">
        <v>1003472564</v>
      </c>
    </row>
    <row r="114" spans="1:37" x14ac:dyDescent="0.25">
      <c r="A114">
        <v>11970927</v>
      </c>
      <c r="B114" t="s">
        <v>528</v>
      </c>
      <c r="C114" t="s">
        <v>529</v>
      </c>
      <c r="D114" t="s">
        <v>39</v>
      </c>
      <c r="E114" t="s">
        <v>40</v>
      </c>
      <c r="G114" t="s">
        <v>530</v>
      </c>
      <c r="H114">
        <v>51</v>
      </c>
      <c r="Q114" t="s">
        <v>51</v>
      </c>
      <c r="U114" t="s">
        <v>46</v>
      </c>
      <c r="V114" t="s">
        <v>532</v>
      </c>
      <c r="X114">
        <v>0</v>
      </c>
      <c r="Z114">
        <v>0</v>
      </c>
      <c r="AA114">
        <v>0</v>
      </c>
      <c r="AF114">
        <v>1011970927</v>
      </c>
    </row>
    <row r="115" spans="1:37" x14ac:dyDescent="0.25">
      <c r="A115">
        <v>2182581</v>
      </c>
      <c r="B115" t="s">
        <v>528</v>
      </c>
      <c r="C115" t="s">
        <v>533</v>
      </c>
      <c r="D115" t="s">
        <v>39</v>
      </c>
      <c r="E115" t="s">
        <v>40</v>
      </c>
      <c r="F115" t="s">
        <v>534</v>
      </c>
      <c r="G115" t="s">
        <v>535</v>
      </c>
      <c r="H115">
        <v>76</v>
      </c>
      <c r="V115">
        <v>496211659</v>
      </c>
      <c r="AC115" t="s">
        <v>536</v>
      </c>
      <c r="AF115">
        <v>1002182581</v>
      </c>
      <c r="AG115">
        <v>734418</v>
      </c>
      <c r="AJ115" t="s">
        <v>83</v>
      </c>
      <c r="AK115" t="s">
        <v>61</v>
      </c>
    </row>
    <row r="116" spans="1:37" x14ac:dyDescent="0.25">
      <c r="A116">
        <v>11852355</v>
      </c>
      <c r="B116" t="s">
        <v>528</v>
      </c>
      <c r="C116" t="s">
        <v>537</v>
      </c>
      <c r="D116" t="s">
        <v>39</v>
      </c>
      <c r="E116" t="s">
        <v>40</v>
      </c>
      <c r="F116" t="s">
        <v>538</v>
      </c>
      <c r="G116" t="s">
        <v>530</v>
      </c>
      <c r="H116">
        <v>51</v>
      </c>
      <c r="Q116" t="s">
        <v>51</v>
      </c>
      <c r="R116" t="s">
        <v>531</v>
      </c>
      <c r="U116" t="s">
        <v>46</v>
      </c>
      <c r="V116" t="s">
        <v>539</v>
      </c>
      <c r="W116" t="s">
        <v>53</v>
      </c>
      <c r="X116" t="s">
        <v>540</v>
      </c>
      <c r="AF116">
        <v>1011852355</v>
      </c>
      <c r="AG116">
        <v>737982</v>
      </c>
      <c r="AJ116" t="s">
        <v>179</v>
      </c>
      <c r="AK116" t="s">
        <v>61</v>
      </c>
    </row>
    <row r="117" spans="1:37" x14ac:dyDescent="0.25">
      <c r="A117">
        <v>7501921</v>
      </c>
      <c r="B117" t="s">
        <v>541</v>
      </c>
      <c r="C117" t="s">
        <v>542</v>
      </c>
      <c r="D117" t="s">
        <v>39</v>
      </c>
      <c r="E117" t="s">
        <v>40</v>
      </c>
      <c r="F117" t="s">
        <v>543</v>
      </c>
      <c r="G117" t="s">
        <v>544</v>
      </c>
      <c r="H117" t="s">
        <v>545</v>
      </c>
      <c r="U117" t="s">
        <v>53</v>
      </c>
      <c r="V117" t="s">
        <v>546</v>
      </c>
      <c r="AE117" t="s">
        <v>547</v>
      </c>
      <c r="AF117">
        <v>1007501921</v>
      </c>
      <c r="AJ117" t="s">
        <v>131</v>
      </c>
      <c r="AK117" t="s">
        <v>61</v>
      </c>
    </row>
    <row r="118" spans="1:37" x14ac:dyDescent="0.25">
      <c r="A118">
        <v>11917016</v>
      </c>
      <c r="B118" t="s">
        <v>541</v>
      </c>
      <c r="C118" t="s">
        <v>548</v>
      </c>
      <c r="D118" t="s">
        <v>39</v>
      </c>
      <c r="E118" t="s">
        <v>49</v>
      </c>
      <c r="F118" t="s">
        <v>549</v>
      </c>
      <c r="G118" t="s">
        <v>544</v>
      </c>
      <c r="H118" t="s">
        <v>545</v>
      </c>
      <c r="Q118" t="s">
        <v>51</v>
      </c>
      <c r="R118" t="s">
        <v>550</v>
      </c>
      <c r="U118" t="s">
        <v>53</v>
      </c>
      <c r="V118" t="s">
        <v>551</v>
      </c>
      <c r="W118" t="s">
        <v>51</v>
      </c>
      <c r="X118" t="s">
        <v>552</v>
      </c>
      <c r="Z118">
        <v>0</v>
      </c>
      <c r="AA118">
        <v>0</v>
      </c>
      <c r="AF118">
        <v>1011917016</v>
      </c>
      <c r="AJ118" t="s">
        <v>127</v>
      </c>
      <c r="AK118" t="s">
        <v>61</v>
      </c>
    </row>
    <row r="119" spans="1:37" x14ac:dyDescent="0.25">
      <c r="A119">
        <v>8483037</v>
      </c>
      <c r="B119" t="s">
        <v>541</v>
      </c>
      <c r="C119" t="s">
        <v>553</v>
      </c>
      <c r="D119" t="s">
        <v>39</v>
      </c>
      <c r="E119" t="s">
        <v>40</v>
      </c>
      <c r="F119" t="s">
        <v>554</v>
      </c>
      <c r="G119" t="s">
        <v>555</v>
      </c>
      <c r="H119">
        <v>21</v>
      </c>
      <c r="U119" t="s">
        <v>51</v>
      </c>
      <c r="V119" t="s">
        <v>556</v>
      </c>
      <c r="AA119" t="s">
        <v>556</v>
      </c>
      <c r="AF119">
        <v>1008483037</v>
      </c>
    </row>
    <row r="120" spans="1:37" x14ac:dyDescent="0.25">
      <c r="A120">
        <v>9500028</v>
      </c>
      <c r="B120" t="s">
        <v>557</v>
      </c>
      <c r="C120" t="s">
        <v>558</v>
      </c>
      <c r="D120" t="s">
        <v>39</v>
      </c>
      <c r="E120" t="s">
        <v>40</v>
      </c>
      <c r="F120" t="s">
        <v>559</v>
      </c>
      <c r="G120" t="s">
        <v>560</v>
      </c>
      <c r="H120">
        <v>31</v>
      </c>
      <c r="V120">
        <v>0</v>
      </c>
      <c r="X120">
        <v>0</v>
      </c>
      <c r="Z120">
        <v>0</v>
      </c>
      <c r="AA120">
        <v>0</v>
      </c>
      <c r="AF120">
        <v>1009500028</v>
      </c>
      <c r="AG120">
        <v>715872</v>
      </c>
      <c r="AJ120" t="s">
        <v>121</v>
      </c>
      <c r="AK120" t="s">
        <v>61</v>
      </c>
    </row>
    <row r="121" spans="1:37" x14ac:dyDescent="0.25">
      <c r="A121">
        <v>7663421</v>
      </c>
      <c r="B121" t="s">
        <v>561</v>
      </c>
      <c r="C121" t="s">
        <v>562</v>
      </c>
      <c r="D121" t="s">
        <v>39</v>
      </c>
      <c r="E121" t="s">
        <v>40</v>
      </c>
      <c r="F121" t="s">
        <v>563</v>
      </c>
      <c r="G121" t="s">
        <v>564</v>
      </c>
      <c r="H121">
        <v>12</v>
      </c>
      <c r="Q121" t="s">
        <v>53</v>
      </c>
      <c r="R121" t="s">
        <v>565</v>
      </c>
      <c r="U121" t="s">
        <v>51</v>
      </c>
      <c r="V121" t="s">
        <v>566</v>
      </c>
      <c r="W121" t="s">
        <v>53</v>
      </c>
      <c r="X121" t="s">
        <v>567</v>
      </c>
      <c r="AC121" t="s">
        <v>568</v>
      </c>
      <c r="AF121">
        <v>1007663421</v>
      </c>
    </row>
    <row r="122" spans="1:37" x14ac:dyDescent="0.25">
      <c r="A122">
        <v>6125991</v>
      </c>
      <c r="B122" t="s">
        <v>569</v>
      </c>
      <c r="C122" t="s">
        <v>570</v>
      </c>
      <c r="D122" t="s">
        <v>39</v>
      </c>
      <c r="E122" t="s">
        <v>40</v>
      </c>
      <c r="F122" t="s">
        <v>571</v>
      </c>
      <c r="G122" t="s">
        <v>572</v>
      </c>
      <c r="H122">
        <v>22</v>
      </c>
      <c r="AC122" t="s">
        <v>573</v>
      </c>
      <c r="AF122">
        <v>1006125991</v>
      </c>
      <c r="AJ122" t="s">
        <v>286</v>
      </c>
      <c r="AK122" t="s">
        <v>61</v>
      </c>
    </row>
    <row r="123" spans="1:37" x14ac:dyDescent="0.25">
      <c r="A123">
        <v>6125991</v>
      </c>
      <c r="B123" t="s">
        <v>569</v>
      </c>
      <c r="C123" t="s">
        <v>570</v>
      </c>
      <c r="D123" t="s">
        <v>39</v>
      </c>
      <c r="E123" t="s">
        <v>40</v>
      </c>
      <c r="F123" t="s">
        <v>571</v>
      </c>
      <c r="G123" t="s">
        <v>572</v>
      </c>
      <c r="H123">
        <v>22</v>
      </c>
      <c r="AC123" t="s">
        <v>573</v>
      </c>
      <c r="AF123">
        <v>1006125991</v>
      </c>
      <c r="AJ123" t="s">
        <v>63</v>
      </c>
      <c r="AK123" t="s">
        <v>61</v>
      </c>
    </row>
    <row r="124" spans="1:37" x14ac:dyDescent="0.25">
      <c r="A124">
        <v>6125991</v>
      </c>
      <c r="B124" t="s">
        <v>569</v>
      </c>
      <c r="C124" t="s">
        <v>570</v>
      </c>
      <c r="D124" t="s">
        <v>39</v>
      </c>
      <c r="E124" t="s">
        <v>40</v>
      </c>
      <c r="F124" t="s">
        <v>571</v>
      </c>
      <c r="G124" t="s">
        <v>572</v>
      </c>
      <c r="H124">
        <v>22</v>
      </c>
      <c r="AC124" t="s">
        <v>573</v>
      </c>
      <c r="AF124">
        <v>1006125991</v>
      </c>
      <c r="AJ124" t="s">
        <v>180</v>
      </c>
      <c r="AK124" t="s">
        <v>61</v>
      </c>
    </row>
    <row r="125" spans="1:37" x14ac:dyDescent="0.25">
      <c r="A125">
        <v>9522520</v>
      </c>
      <c r="B125" t="s">
        <v>569</v>
      </c>
      <c r="C125" t="s">
        <v>574</v>
      </c>
      <c r="D125" t="s">
        <v>39</v>
      </c>
      <c r="E125" t="s">
        <v>40</v>
      </c>
      <c r="F125" t="s">
        <v>575</v>
      </c>
      <c r="G125" t="s">
        <v>572</v>
      </c>
      <c r="H125">
        <v>22</v>
      </c>
      <c r="AF125">
        <v>1009522520</v>
      </c>
      <c r="AJ125" t="s">
        <v>286</v>
      </c>
      <c r="AK125" t="s">
        <v>61</v>
      </c>
    </row>
    <row r="126" spans="1:37" x14ac:dyDescent="0.25">
      <c r="A126">
        <v>9522520</v>
      </c>
      <c r="B126" t="s">
        <v>569</v>
      </c>
      <c r="C126" t="s">
        <v>574</v>
      </c>
      <c r="D126" t="s">
        <v>39</v>
      </c>
      <c r="E126" t="s">
        <v>40</v>
      </c>
      <c r="F126" t="s">
        <v>575</v>
      </c>
      <c r="G126" t="s">
        <v>572</v>
      </c>
      <c r="H126">
        <v>22</v>
      </c>
      <c r="AF126">
        <v>1009522520</v>
      </c>
      <c r="AJ126" t="s">
        <v>63</v>
      </c>
      <c r="AK126" t="s">
        <v>61</v>
      </c>
    </row>
    <row r="127" spans="1:37" x14ac:dyDescent="0.25">
      <c r="A127">
        <v>2934250</v>
      </c>
      <c r="B127" t="s">
        <v>576</v>
      </c>
      <c r="C127" t="s">
        <v>307</v>
      </c>
      <c r="D127" t="s">
        <v>39</v>
      </c>
      <c r="E127" t="s">
        <v>40</v>
      </c>
      <c r="F127" t="s">
        <v>577</v>
      </c>
      <c r="AF127">
        <v>1002934250</v>
      </c>
      <c r="AG127">
        <v>720215</v>
      </c>
    </row>
    <row r="128" spans="1:37" x14ac:dyDescent="0.25">
      <c r="A128">
        <v>2182586</v>
      </c>
      <c r="B128" t="s">
        <v>578</v>
      </c>
      <c r="C128" t="s">
        <v>579</v>
      </c>
      <c r="D128" t="s">
        <v>39</v>
      </c>
      <c r="E128" t="s">
        <v>49</v>
      </c>
      <c r="F128" t="s">
        <v>580</v>
      </c>
      <c r="G128" t="s">
        <v>581</v>
      </c>
      <c r="H128">
        <v>47</v>
      </c>
      <c r="V128">
        <v>320494698322</v>
      </c>
      <c r="AC128" t="s">
        <v>582</v>
      </c>
      <c r="AE128" t="s">
        <v>583</v>
      </c>
      <c r="AF128">
        <v>1002182586</v>
      </c>
      <c r="AG128">
        <v>220520</v>
      </c>
      <c r="AJ128" t="s">
        <v>60</v>
      </c>
      <c r="AK128" t="s">
        <v>61</v>
      </c>
    </row>
    <row r="129" spans="1:38" x14ac:dyDescent="0.25">
      <c r="A129">
        <v>2182586</v>
      </c>
      <c r="B129" t="s">
        <v>578</v>
      </c>
      <c r="C129" t="s">
        <v>579</v>
      </c>
      <c r="D129" t="s">
        <v>39</v>
      </c>
      <c r="E129" t="s">
        <v>49</v>
      </c>
      <c r="F129" t="s">
        <v>580</v>
      </c>
      <c r="G129" t="s">
        <v>581</v>
      </c>
      <c r="H129">
        <v>47</v>
      </c>
      <c r="V129">
        <v>320494698322</v>
      </c>
      <c r="AC129" t="s">
        <v>582</v>
      </c>
      <c r="AE129" t="s">
        <v>583</v>
      </c>
      <c r="AF129">
        <v>1002182586</v>
      </c>
      <c r="AG129">
        <v>220520</v>
      </c>
      <c r="AJ129" t="s">
        <v>164</v>
      </c>
      <c r="AK129" t="s">
        <v>65</v>
      </c>
    </row>
    <row r="130" spans="1:38" x14ac:dyDescent="0.25">
      <c r="A130">
        <v>3490862</v>
      </c>
      <c r="B130" t="s">
        <v>584</v>
      </c>
      <c r="C130" t="s">
        <v>307</v>
      </c>
      <c r="D130" t="s">
        <v>39</v>
      </c>
      <c r="E130" t="s">
        <v>40</v>
      </c>
      <c r="F130" t="s">
        <v>534</v>
      </c>
      <c r="G130" t="s">
        <v>101</v>
      </c>
      <c r="H130">
        <v>167</v>
      </c>
      <c r="Q130" t="s">
        <v>51</v>
      </c>
      <c r="R130" t="s">
        <v>585</v>
      </c>
      <c r="U130" t="s">
        <v>53</v>
      </c>
      <c r="V130">
        <v>473806201</v>
      </c>
      <c r="W130" t="s">
        <v>51</v>
      </c>
      <c r="X130">
        <v>473628241</v>
      </c>
      <c r="AF130">
        <v>1003490862</v>
      </c>
      <c r="AJ130" t="s">
        <v>83</v>
      </c>
      <c r="AK130" t="s">
        <v>61</v>
      </c>
    </row>
    <row r="131" spans="1:38" x14ac:dyDescent="0.25">
      <c r="A131">
        <v>3361777</v>
      </c>
      <c r="B131" t="s">
        <v>586</v>
      </c>
      <c r="C131" t="s">
        <v>587</v>
      </c>
      <c r="D131" t="s">
        <v>39</v>
      </c>
      <c r="E131" t="s">
        <v>49</v>
      </c>
      <c r="F131" t="s">
        <v>588</v>
      </c>
      <c r="G131" t="s">
        <v>589</v>
      </c>
      <c r="H131">
        <v>57</v>
      </c>
      <c r="V131" t="s">
        <v>590</v>
      </c>
      <c r="AC131" t="s">
        <v>591</v>
      </c>
      <c r="AF131">
        <v>1003361777</v>
      </c>
      <c r="AG131">
        <v>745355</v>
      </c>
      <c r="AJ131" t="s">
        <v>97</v>
      </c>
      <c r="AK131" t="s">
        <v>61</v>
      </c>
    </row>
    <row r="132" spans="1:38" x14ac:dyDescent="0.25">
      <c r="A132">
        <v>3361777</v>
      </c>
      <c r="B132" t="s">
        <v>586</v>
      </c>
      <c r="C132" t="s">
        <v>587</v>
      </c>
      <c r="D132" t="s">
        <v>39</v>
      </c>
      <c r="E132" t="s">
        <v>49</v>
      </c>
      <c r="F132" t="s">
        <v>588</v>
      </c>
      <c r="G132" t="s">
        <v>589</v>
      </c>
      <c r="H132">
        <v>57</v>
      </c>
      <c r="V132" t="s">
        <v>590</v>
      </c>
      <c r="AC132" t="s">
        <v>591</v>
      </c>
      <c r="AF132">
        <v>1003361777</v>
      </c>
      <c r="AG132">
        <v>745355</v>
      </c>
      <c r="AJ132" t="s">
        <v>63</v>
      </c>
      <c r="AK132" t="s">
        <v>61</v>
      </c>
    </row>
    <row r="133" spans="1:38" x14ac:dyDescent="0.25">
      <c r="A133">
        <v>4358432</v>
      </c>
      <c r="B133" t="s">
        <v>586</v>
      </c>
      <c r="C133" t="s">
        <v>553</v>
      </c>
      <c r="D133" t="s">
        <v>39</v>
      </c>
      <c r="E133" t="s">
        <v>40</v>
      </c>
      <c r="G133" t="s">
        <v>589</v>
      </c>
      <c r="H133">
        <v>51</v>
      </c>
      <c r="V133" t="s">
        <v>592</v>
      </c>
      <c r="AF133">
        <v>1004358432</v>
      </c>
      <c r="AL133" t="s">
        <v>593</v>
      </c>
    </row>
    <row r="134" spans="1:38" x14ac:dyDescent="0.25">
      <c r="A134">
        <v>4358432</v>
      </c>
      <c r="B134" t="s">
        <v>586</v>
      </c>
      <c r="C134" t="s">
        <v>553</v>
      </c>
      <c r="D134" t="s">
        <v>39</v>
      </c>
      <c r="E134" t="s">
        <v>40</v>
      </c>
      <c r="G134" t="s">
        <v>589</v>
      </c>
      <c r="H134">
        <v>51</v>
      </c>
      <c r="V134" t="s">
        <v>592</v>
      </c>
      <c r="AF134">
        <v>1004358432</v>
      </c>
      <c r="AL134" t="s">
        <v>62</v>
      </c>
    </row>
    <row r="135" spans="1:38" x14ac:dyDescent="0.25">
      <c r="A135">
        <v>6352976</v>
      </c>
      <c r="B135" t="s">
        <v>594</v>
      </c>
      <c r="C135" t="s">
        <v>595</v>
      </c>
      <c r="D135" t="s">
        <v>39</v>
      </c>
      <c r="E135" t="s">
        <v>40</v>
      </c>
      <c r="F135" t="s">
        <v>596</v>
      </c>
      <c r="G135" t="s">
        <v>597</v>
      </c>
      <c r="H135">
        <v>45</v>
      </c>
      <c r="U135" t="s">
        <v>46</v>
      </c>
      <c r="V135" t="s">
        <v>598</v>
      </c>
      <c r="AC135" t="s">
        <v>599</v>
      </c>
      <c r="AF135">
        <v>1006352976</v>
      </c>
      <c r="AJ135" t="s">
        <v>483</v>
      </c>
      <c r="AK135" t="s">
        <v>61</v>
      </c>
    </row>
    <row r="136" spans="1:38" x14ac:dyDescent="0.25">
      <c r="A136">
        <v>2182596</v>
      </c>
      <c r="B136" t="s">
        <v>600</v>
      </c>
      <c r="C136" t="s">
        <v>601</v>
      </c>
      <c r="D136" t="s">
        <v>39</v>
      </c>
      <c r="E136" t="s">
        <v>49</v>
      </c>
      <c r="F136" t="s">
        <v>602</v>
      </c>
      <c r="G136" t="s">
        <v>603</v>
      </c>
      <c r="H136">
        <v>6</v>
      </c>
      <c r="I136">
        <v>202</v>
      </c>
      <c r="AA136">
        <v>0</v>
      </c>
      <c r="AF136">
        <v>1002182596</v>
      </c>
      <c r="AG136">
        <v>609483</v>
      </c>
    </row>
    <row r="137" spans="1:38" x14ac:dyDescent="0.25">
      <c r="A137">
        <v>9365355</v>
      </c>
      <c r="B137" t="s">
        <v>604</v>
      </c>
      <c r="C137" t="s">
        <v>605</v>
      </c>
      <c r="D137" t="s">
        <v>39</v>
      </c>
      <c r="E137" t="s">
        <v>49</v>
      </c>
      <c r="G137" t="s">
        <v>606</v>
      </c>
      <c r="H137">
        <v>94</v>
      </c>
      <c r="V137">
        <v>0</v>
      </c>
      <c r="X137">
        <v>0</v>
      </c>
      <c r="Z137">
        <v>0</v>
      </c>
      <c r="AA137">
        <v>0</v>
      </c>
      <c r="AF137">
        <v>1009365355</v>
      </c>
    </row>
    <row r="138" spans="1:38" x14ac:dyDescent="0.25">
      <c r="A138">
        <v>2182601</v>
      </c>
      <c r="B138" t="s">
        <v>608</v>
      </c>
      <c r="C138" t="s">
        <v>609</v>
      </c>
      <c r="D138" t="s">
        <v>39</v>
      </c>
      <c r="E138" t="s">
        <v>49</v>
      </c>
      <c r="F138" t="s">
        <v>610</v>
      </c>
      <c r="G138" t="s">
        <v>611</v>
      </c>
      <c r="H138">
        <v>2</v>
      </c>
      <c r="U138" t="s">
        <v>46</v>
      </c>
      <c r="V138">
        <v>32496034315</v>
      </c>
      <c r="AC138" t="s">
        <v>612</v>
      </c>
      <c r="AF138">
        <v>1002182601</v>
      </c>
      <c r="AG138">
        <v>661059</v>
      </c>
    </row>
    <row r="139" spans="1:38" x14ac:dyDescent="0.25">
      <c r="A139">
        <v>4024795</v>
      </c>
      <c r="B139" t="s">
        <v>613</v>
      </c>
      <c r="C139" t="s">
        <v>529</v>
      </c>
      <c r="D139" t="s">
        <v>39</v>
      </c>
      <c r="E139" t="s">
        <v>40</v>
      </c>
      <c r="F139" t="s">
        <v>614</v>
      </c>
      <c r="G139" t="s">
        <v>382</v>
      </c>
      <c r="H139" t="s">
        <v>615</v>
      </c>
      <c r="U139" t="s">
        <v>46</v>
      </c>
      <c r="V139" t="s">
        <v>617</v>
      </c>
      <c r="AC139" t="s">
        <v>618</v>
      </c>
      <c r="AE139" t="s">
        <v>619</v>
      </c>
      <c r="AF139">
        <v>1004024795</v>
      </c>
      <c r="AG139">
        <v>32746</v>
      </c>
      <c r="AJ139" t="s">
        <v>179</v>
      </c>
      <c r="AK139" t="s">
        <v>65</v>
      </c>
      <c r="AL139" t="s">
        <v>620</v>
      </c>
    </row>
    <row r="140" spans="1:38" x14ac:dyDescent="0.25">
      <c r="A140">
        <v>4024795</v>
      </c>
      <c r="B140" t="s">
        <v>613</v>
      </c>
      <c r="C140" t="s">
        <v>529</v>
      </c>
      <c r="D140" t="s">
        <v>39</v>
      </c>
      <c r="E140" t="s">
        <v>40</v>
      </c>
      <c r="F140" t="s">
        <v>614</v>
      </c>
      <c r="G140" t="s">
        <v>382</v>
      </c>
      <c r="H140" t="s">
        <v>615</v>
      </c>
      <c r="U140" t="s">
        <v>46</v>
      </c>
      <c r="V140" t="s">
        <v>617</v>
      </c>
      <c r="AC140" t="s">
        <v>618</v>
      </c>
      <c r="AE140" t="s">
        <v>619</v>
      </c>
      <c r="AF140">
        <v>1004024795</v>
      </c>
      <c r="AG140">
        <v>32746</v>
      </c>
      <c r="AJ140" t="s">
        <v>63</v>
      </c>
      <c r="AK140" t="s">
        <v>65</v>
      </c>
      <c r="AL140" t="s">
        <v>621</v>
      </c>
    </row>
    <row r="141" spans="1:38" x14ac:dyDescent="0.25">
      <c r="A141">
        <v>4024795</v>
      </c>
      <c r="B141" t="s">
        <v>613</v>
      </c>
      <c r="C141" t="s">
        <v>529</v>
      </c>
      <c r="D141" t="s">
        <v>39</v>
      </c>
      <c r="E141" t="s">
        <v>40</v>
      </c>
      <c r="F141" t="s">
        <v>614</v>
      </c>
      <c r="G141" t="s">
        <v>382</v>
      </c>
      <c r="H141" t="s">
        <v>615</v>
      </c>
      <c r="U141" t="s">
        <v>46</v>
      </c>
      <c r="V141" t="s">
        <v>617</v>
      </c>
      <c r="AC141" t="s">
        <v>618</v>
      </c>
      <c r="AE141" t="s">
        <v>619</v>
      </c>
      <c r="AF141">
        <v>1004024795</v>
      </c>
      <c r="AG141">
        <v>32746</v>
      </c>
      <c r="AJ141" t="s">
        <v>180</v>
      </c>
      <c r="AK141" t="s">
        <v>65</v>
      </c>
    </row>
    <row r="142" spans="1:38" x14ac:dyDescent="0.25">
      <c r="A142">
        <v>4024795</v>
      </c>
      <c r="B142" t="s">
        <v>613</v>
      </c>
      <c r="C142" t="s">
        <v>529</v>
      </c>
      <c r="D142" t="s">
        <v>39</v>
      </c>
      <c r="E142" t="s">
        <v>40</v>
      </c>
      <c r="F142" t="s">
        <v>614</v>
      </c>
      <c r="G142" t="s">
        <v>382</v>
      </c>
      <c r="H142" t="s">
        <v>615</v>
      </c>
      <c r="U142" t="s">
        <v>46</v>
      </c>
      <c r="V142" t="s">
        <v>617</v>
      </c>
      <c r="AC142" t="s">
        <v>618</v>
      </c>
      <c r="AE142" t="s">
        <v>619</v>
      </c>
      <c r="AF142">
        <v>1004024795</v>
      </c>
      <c r="AG142">
        <v>32746</v>
      </c>
      <c r="AJ142" t="s">
        <v>286</v>
      </c>
      <c r="AK142" t="s">
        <v>65</v>
      </c>
    </row>
    <row r="143" spans="1:38" x14ac:dyDescent="0.25">
      <c r="A143">
        <v>3519915</v>
      </c>
      <c r="B143" t="s">
        <v>613</v>
      </c>
      <c r="C143" t="s">
        <v>622</v>
      </c>
      <c r="D143" t="s">
        <v>39</v>
      </c>
      <c r="E143" t="s">
        <v>40</v>
      </c>
      <c r="F143" t="s">
        <v>623</v>
      </c>
      <c r="G143" t="s">
        <v>382</v>
      </c>
      <c r="H143">
        <v>117</v>
      </c>
      <c r="I143" t="s">
        <v>624</v>
      </c>
      <c r="Q143" t="s">
        <v>53</v>
      </c>
      <c r="R143" t="s">
        <v>625</v>
      </c>
      <c r="S143" t="s">
        <v>51</v>
      </c>
      <c r="T143" t="s">
        <v>616</v>
      </c>
      <c r="U143" t="s">
        <v>53</v>
      </c>
      <c r="V143" t="s">
        <v>626</v>
      </c>
      <c r="W143" t="s">
        <v>51</v>
      </c>
      <c r="X143" t="s">
        <v>617</v>
      </c>
      <c r="Y143" t="s">
        <v>116</v>
      </c>
      <c r="Z143" t="s">
        <v>627</v>
      </c>
      <c r="AC143" t="s">
        <v>628</v>
      </c>
      <c r="AD143">
        <v>14</v>
      </c>
      <c r="AE143" t="s">
        <v>629</v>
      </c>
      <c r="AF143">
        <v>1003519915</v>
      </c>
      <c r="AG143">
        <v>748910</v>
      </c>
      <c r="AJ143" t="s">
        <v>286</v>
      </c>
      <c r="AK143" t="s">
        <v>61</v>
      </c>
      <c r="AL143" t="s">
        <v>62</v>
      </c>
    </row>
    <row r="144" spans="1:38" x14ac:dyDescent="0.25">
      <c r="A144">
        <v>3519915</v>
      </c>
      <c r="B144" t="s">
        <v>613</v>
      </c>
      <c r="C144" t="s">
        <v>622</v>
      </c>
      <c r="D144" t="s">
        <v>39</v>
      </c>
      <c r="E144" t="s">
        <v>40</v>
      </c>
      <c r="F144" t="s">
        <v>623</v>
      </c>
      <c r="G144" t="s">
        <v>382</v>
      </c>
      <c r="H144">
        <v>117</v>
      </c>
      <c r="I144" t="s">
        <v>624</v>
      </c>
      <c r="Q144" t="s">
        <v>53</v>
      </c>
      <c r="R144" t="s">
        <v>625</v>
      </c>
      <c r="S144" t="s">
        <v>51</v>
      </c>
      <c r="T144" t="s">
        <v>616</v>
      </c>
      <c r="U144" t="s">
        <v>53</v>
      </c>
      <c r="V144" t="s">
        <v>626</v>
      </c>
      <c r="W144" t="s">
        <v>51</v>
      </c>
      <c r="X144" t="s">
        <v>617</v>
      </c>
      <c r="Y144" t="s">
        <v>116</v>
      </c>
      <c r="Z144" t="s">
        <v>627</v>
      </c>
      <c r="AC144" t="s">
        <v>628</v>
      </c>
      <c r="AD144">
        <v>14</v>
      </c>
      <c r="AE144" t="s">
        <v>629</v>
      </c>
      <c r="AF144">
        <v>1003519915</v>
      </c>
      <c r="AG144">
        <v>748910</v>
      </c>
      <c r="AJ144" t="s">
        <v>180</v>
      </c>
      <c r="AK144" t="s">
        <v>61</v>
      </c>
    </row>
    <row r="145" spans="1:38" x14ac:dyDescent="0.25">
      <c r="A145">
        <v>5748747</v>
      </c>
      <c r="B145" t="s">
        <v>630</v>
      </c>
      <c r="C145" t="s">
        <v>631</v>
      </c>
      <c r="D145" t="s">
        <v>39</v>
      </c>
      <c r="E145" t="s">
        <v>49</v>
      </c>
      <c r="F145" t="s">
        <v>632</v>
      </c>
      <c r="G145" t="s">
        <v>633</v>
      </c>
      <c r="H145">
        <v>24</v>
      </c>
      <c r="Q145" t="s">
        <v>51</v>
      </c>
      <c r="R145" t="s">
        <v>634</v>
      </c>
      <c r="U145" t="s">
        <v>53</v>
      </c>
      <c r="V145" t="s">
        <v>635</v>
      </c>
      <c r="X145">
        <v>0</v>
      </c>
      <c r="Z145">
        <v>0</v>
      </c>
      <c r="AA145">
        <v>0</v>
      </c>
      <c r="AF145">
        <v>1005748747</v>
      </c>
    </row>
    <row r="146" spans="1:38" x14ac:dyDescent="0.25">
      <c r="A146">
        <v>11270367</v>
      </c>
      <c r="B146" t="s">
        <v>636</v>
      </c>
      <c r="C146" t="s">
        <v>637</v>
      </c>
      <c r="D146" t="s">
        <v>39</v>
      </c>
      <c r="E146" t="s">
        <v>40</v>
      </c>
      <c r="F146" t="s">
        <v>638</v>
      </c>
      <c r="G146" t="s">
        <v>611</v>
      </c>
      <c r="H146">
        <v>22</v>
      </c>
      <c r="U146" t="s">
        <v>46</v>
      </c>
      <c r="V146" t="s">
        <v>639</v>
      </c>
      <c r="X146">
        <v>0</v>
      </c>
      <c r="Z146">
        <v>0</v>
      </c>
      <c r="AA146">
        <v>0</v>
      </c>
      <c r="AF146">
        <v>1011270367</v>
      </c>
      <c r="AJ146" t="s">
        <v>483</v>
      </c>
      <c r="AK146" t="s">
        <v>61</v>
      </c>
    </row>
    <row r="147" spans="1:38" x14ac:dyDescent="0.25">
      <c r="A147">
        <v>2182611</v>
      </c>
      <c r="B147" t="s">
        <v>640</v>
      </c>
      <c r="C147" t="s">
        <v>641</v>
      </c>
      <c r="D147" t="s">
        <v>39</v>
      </c>
      <c r="E147" t="s">
        <v>40</v>
      </c>
      <c r="F147" t="s">
        <v>642</v>
      </c>
      <c r="G147" t="s">
        <v>643</v>
      </c>
      <c r="H147">
        <v>17</v>
      </c>
      <c r="AC147" t="s">
        <v>644</v>
      </c>
      <c r="AF147">
        <v>1002182611</v>
      </c>
    </row>
    <row r="148" spans="1:38" x14ac:dyDescent="0.25">
      <c r="A148">
        <v>2182626</v>
      </c>
      <c r="B148" t="s">
        <v>640</v>
      </c>
      <c r="C148" t="s">
        <v>344</v>
      </c>
      <c r="D148" t="s">
        <v>39</v>
      </c>
      <c r="E148" t="s">
        <v>40</v>
      </c>
      <c r="F148" t="s">
        <v>645</v>
      </c>
      <c r="G148" t="s">
        <v>581</v>
      </c>
      <c r="H148">
        <v>189</v>
      </c>
      <c r="U148" t="s">
        <v>46</v>
      </c>
      <c r="V148" t="s">
        <v>646</v>
      </c>
      <c r="AC148" t="s">
        <v>647</v>
      </c>
      <c r="AF148">
        <v>1002182626</v>
      </c>
      <c r="AG148">
        <v>600191</v>
      </c>
      <c r="AJ148" t="s">
        <v>180</v>
      </c>
      <c r="AK148" t="s">
        <v>61</v>
      </c>
    </row>
    <row r="149" spans="1:38" x14ac:dyDescent="0.25">
      <c r="A149">
        <v>2668135</v>
      </c>
      <c r="B149" t="s">
        <v>640</v>
      </c>
      <c r="C149" t="s">
        <v>648</v>
      </c>
      <c r="D149" t="s">
        <v>39</v>
      </c>
      <c r="E149" t="s">
        <v>40</v>
      </c>
      <c r="F149" t="s">
        <v>649</v>
      </c>
      <c r="G149" t="s">
        <v>650</v>
      </c>
      <c r="H149">
        <v>31</v>
      </c>
      <c r="AC149" t="s">
        <v>651</v>
      </c>
      <c r="AF149">
        <v>1002668135</v>
      </c>
      <c r="AG149">
        <v>631328</v>
      </c>
      <c r="AJ149" t="s">
        <v>483</v>
      </c>
      <c r="AK149" t="s">
        <v>61</v>
      </c>
    </row>
    <row r="150" spans="1:38" x14ac:dyDescent="0.25">
      <c r="A150">
        <v>10452798</v>
      </c>
      <c r="B150" t="s">
        <v>640</v>
      </c>
      <c r="C150" t="s">
        <v>652</v>
      </c>
      <c r="D150" t="s">
        <v>39</v>
      </c>
      <c r="E150" t="s">
        <v>40</v>
      </c>
      <c r="F150" t="s">
        <v>653</v>
      </c>
      <c r="G150" t="s">
        <v>487</v>
      </c>
      <c r="H150">
        <v>36</v>
      </c>
      <c r="R150" t="s">
        <v>654</v>
      </c>
      <c r="V150" t="s">
        <v>655</v>
      </c>
      <c r="AF150">
        <v>1010452798</v>
      </c>
      <c r="AJ150" t="s">
        <v>656</v>
      </c>
      <c r="AK150" t="s">
        <v>61</v>
      </c>
    </row>
    <row r="151" spans="1:38" x14ac:dyDescent="0.25">
      <c r="A151">
        <v>10452798</v>
      </c>
      <c r="B151" t="s">
        <v>640</v>
      </c>
      <c r="C151" t="s">
        <v>652</v>
      </c>
      <c r="D151" t="s">
        <v>39</v>
      </c>
      <c r="E151" t="s">
        <v>40</v>
      </c>
      <c r="F151" t="s">
        <v>653</v>
      </c>
      <c r="G151" t="s">
        <v>487</v>
      </c>
      <c r="H151">
        <v>36</v>
      </c>
      <c r="R151" t="s">
        <v>654</v>
      </c>
      <c r="V151" t="s">
        <v>655</v>
      </c>
      <c r="AF151">
        <v>1010452798</v>
      </c>
      <c r="AJ151" t="s">
        <v>295</v>
      </c>
      <c r="AK151" t="s">
        <v>61</v>
      </c>
    </row>
    <row r="152" spans="1:38" x14ac:dyDescent="0.25">
      <c r="A152">
        <v>1932665</v>
      </c>
      <c r="B152" t="s">
        <v>640</v>
      </c>
      <c r="C152" t="s">
        <v>657</v>
      </c>
      <c r="D152" t="s">
        <v>39</v>
      </c>
      <c r="E152" t="s">
        <v>40</v>
      </c>
      <c r="F152" t="s">
        <v>658</v>
      </c>
      <c r="G152" t="s">
        <v>659</v>
      </c>
      <c r="H152">
        <v>22</v>
      </c>
      <c r="I152">
        <v>401</v>
      </c>
      <c r="U152" t="s">
        <v>46</v>
      </c>
      <c r="V152" t="s">
        <v>660</v>
      </c>
      <c r="AC152" t="s">
        <v>661</v>
      </c>
      <c r="AF152">
        <v>1001932665</v>
      </c>
      <c r="AG152">
        <v>250423</v>
      </c>
      <c r="AL152" t="s">
        <v>662</v>
      </c>
    </row>
    <row r="153" spans="1:38" x14ac:dyDescent="0.25">
      <c r="A153">
        <v>1932665</v>
      </c>
      <c r="B153" t="s">
        <v>640</v>
      </c>
      <c r="C153" t="s">
        <v>657</v>
      </c>
      <c r="D153" t="s">
        <v>39</v>
      </c>
      <c r="E153" t="s">
        <v>40</v>
      </c>
      <c r="F153" t="s">
        <v>658</v>
      </c>
      <c r="G153" t="s">
        <v>659</v>
      </c>
      <c r="H153">
        <v>22</v>
      </c>
      <c r="I153">
        <v>401</v>
      </c>
      <c r="U153" t="s">
        <v>46</v>
      </c>
      <c r="V153" t="s">
        <v>660</v>
      </c>
      <c r="AC153" t="s">
        <v>661</v>
      </c>
      <c r="AF153">
        <v>1001932665</v>
      </c>
      <c r="AG153">
        <v>250423</v>
      </c>
      <c r="AL153" t="s">
        <v>663</v>
      </c>
    </row>
    <row r="154" spans="1:38" x14ac:dyDescent="0.25">
      <c r="A154">
        <v>4080388</v>
      </c>
      <c r="B154" t="s">
        <v>664</v>
      </c>
      <c r="C154" t="s">
        <v>665</v>
      </c>
      <c r="D154" t="s">
        <v>39</v>
      </c>
      <c r="E154" t="s">
        <v>49</v>
      </c>
      <c r="F154" t="s">
        <v>666</v>
      </c>
      <c r="G154" t="s">
        <v>667</v>
      </c>
      <c r="H154">
        <v>5</v>
      </c>
      <c r="Q154" t="s">
        <v>51</v>
      </c>
      <c r="R154" t="s">
        <v>668</v>
      </c>
      <c r="U154" t="s">
        <v>53</v>
      </c>
      <c r="V154" t="s">
        <v>669</v>
      </c>
      <c r="W154" t="s">
        <v>51</v>
      </c>
      <c r="X154">
        <v>32479655812</v>
      </c>
      <c r="AD154">
        <v>14</v>
      </c>
      <c r="AF154">
        <v>1004080388</v>
      </c>
      <c r="AJ154" t="s">
        <v>97</v>
      </c>
      <c r="AK154" t="s">
        <v>61</v>
      </c>
    </row>
    <row r="155" spans="1:38" x14ac:dyDescent="0.25">
      <c r="A155">
        <v>2182631</v>
      </c>
      <c r="B155" t="s">
        <v>670</v>
      </c>
      <c r="C155" t="s">
        <v>671</v>
      </c>
      <c r="D155" t="s">
        <v>39</v>
      </c>
      <c r="E155" t="s">
        <v>40</v>
      </c>
      <c r="F155" t="s">
        <v>672</v>
      </c>
      <c r="G155" t="s">
        <v>673</v>
      </c>
      <c r="H155">
        <v>50</v>
      </c>
      <c r="V155">
        <v>320472679659</v>
      </c>
      <c r="AC155" t="s">
        <v>674</v>
      </c>
      <c r="AF155">
        <v>1002182631</v>
      </c>
      <c r="AG155">
        <v>630887</v>
      </c>
    </row>
    <row r="156" spans="1:38" x14ac:dyDescent="0.25">
      <c r="A156">
        <v>6109371</v>
      </c>
      <c r="B156" t="s">
        <v>675</v>
      </c>
      <c r="C156" t="s">
        <v>676</v>
      </c>
      <c r="D156" t="s">
        <v>39</v>
      </c>
      <c r="E156" t="s">
        <v>49</v>
      </c>
      <c r="F156" t="s">
        <v>677</v>
      </c>
      <c r="G156" t="s">
        <v>678</v>
      </c>
      <c r="H156">
        <v>39</v>
      </c>
      <c r="Q156" t="s">
        <v>53</v>
      </c>
      <c r="R156" t="s">
        <v>679</v>
      </c>
      <c r="U156" t="s">
        <v>51</v>
      </c>
      <c r="V156" t="s">
        <v>680</v>
      </c>
      <c r="AF156">
        <v>1006109371</v>
      </c>
    </row>
    <row r="157" spans="1:38" x14ac:dyDescent="0.25">
      <c r="A157">
        <v>7279153</v>
      </c>
      <c r="B157" t="s">
        <v>675</v>
      </c>
      <c r="C157" t="s">
        <v>681</v>
      </c>
      <c r="D157" t="s">
        <v>39</v>
      </c>
      <c r="E157" t="s">
        <v>49</v>
      </c>
      <c r="F157" t="s">
        <v>682</v>
      </c>
      <c r="G157" t="s">
        <v>683</v>
      </c>
      <c r="H157">
        <v>2</v>
      </c>
      <c r="Q157" t="s">
        <v>51</v>
      </c>
      <c r="R157" t="s">
        <v>684</v>
      </c>
      <c r="U157" t="s">
        <v>53</v>
      </c>
      <c r="V157" t="s">
        <v>685</v>
      </c>
      <c r="W157" t="s">
        <v>51</v>
      </c>
      <c r="X157" t="s">
        <v>686</v>
      </c>
      <c r="AC157" t="s">
        <v>687</v>
      </c>
      <c r="AF157">
        <v>1007279153</v>
      </c>
      <c r="AG157">
        <v>762628</v>
      </c>
      <c r="AJ157" t="s">
        <v>174</v>
      </c>
      <c r="AK157" t="s">
        <v>61</v>
      </c>
    </row>
    <row r="158" spans="1:38" x14ac:dyDescent="0.25">
      <c r="A158">
        <v>2182636</v>
      </c>
      <c r="B158" t="s">
        <v>688</v>
      </c>
      <c r="C158" t="s">
        <v>689</v>
      </c>
      <c r="D158" t="s">
        <v>39</v>
      </c>
      <c r="E158" t="s">
        <v>40</v>
      </c>
      <c r="F158" t="s">
        <v>690</v>
      </c>
      <c r="G158" t="s">
        <v>691</v>
      </c>
      <c r="H158">
        <v>34</v>
      </c>
      <c r="Q158" t="s">
        <v>53</v>
      </c>
      <c r="R158" t="s">
        <v>692</v>
      </c>
      <c r="U158" t="s">
        <v>46</v>
      </c>
      <c r="V158">
        <v>32468280854</v>
      </c>
      <c r="W158" t="s">
        <v>53</v>
      </c>
      <c r="X158">
        <v>32472666182</v>
      </c>
      <c r="AC158" t="s">
        <v>693</v>
      </c>
      <c r="AE158" t="s">
        <v>694</v>
      </c>
      <c r="AF158">
        <v>1002182636</v>
      </c>
      <c r="AG158">
        <v>717356</v>
      </c>
      <c r="AJ158" t="s">
        <v>143</v>
      </c>
      <c r="AK158" t="s">
        <v>61</v>
      </c>
      <c r="AL158" t="s">
        <v>62</v>
      </c>
    </row>
    <row r="159" spans="1:38" x14ac:dyDescent="0.25">
      <c r="A159">
        <v>2182636</v>
      </c>
      <c r="B159" t="s">
        <v>688</v>
      </c>
      <c r="C159" t="s">
        <v>689</v>
      </c>
      <c r="D159" t="s">
        <v>39</v>
      </c>
      <c r="E159" t="s">
        <v>40</v>
      </c>
      <c r="F159" t="s">
        <v>690</v>
      </c>
      <c r="G159" t="s">
        <v>691</v>
      </c>
      <c r="H159">
        <v>34</v>
      </c>
      <c r="Q159" t="s">
        <v>53</v>
      </c>
      <c r="R159" t="s">
        <v>692</v>
      </c>
      <c r="U159" t="s">
        <v>46</v>
      </c>
      <c r="V159">
        <v>32468280854</v>
      </c>
      <c r="W159" t="s">
        <v>53</v>
      </c>
      <c r="X159">
        <v>32472666182</v>
      </c>
      <c r="AC159" t="s">
        <v>693</v>
      </c>
      <c r="AE159" t="s">
        <v>694</v>
      </c>
      <c r="AF159">
        <v>1002182636</v>
      </c>
      <c r="AG159">
        <v>717356</v>
      </c>
      <c r="AJ159" t="s">
        <v>63</v>
      </c>
      <c r="AK159" t="s">
        <v>61</v>
      </c>
    </row>
    <row r="160" spans="1:38" x14ac:dyDescent="0.25">
      <c r="A160">
        <v>2182641</v>
      </c>
      <c r="B160" t="s">
        <v>688</v>
      </c>
      <c r="C160" t="s">
        <v>695</v>
      </c>
      <c r="D160" t="s">
        <v>39</v>
      </c>
      <c r="E160" t="s">
        <v>40</v>
      </c>
      <c r="F160" t="s">
        <v>696</v>
      </c>
      <c r="G160" t="s">
        <v>691</v>
      </c>
      <c r="H160">
        <v>34</v>
      </c>
      <c r="Q160" t="s">
        <v>53</v>
      </c>
      <c r="R160" t="s">
        <v>697</v>
      </c>
      <c r="U160" t="s">
        <v>46</v>
      </c>
      <c r="V160">
        <v>32490195438</v>
      </c>
      <c r="W160" t="s">
        <v>53</v>
      </c>
      <c r="X160">
        <v>32472666182</v>
      </c>
      <c r="AC160" t="s">
        <v>698</v>
      </c>
      <c r="AE160" t="s">
        <v>699</v>
      </c>
      <c r="AF160">
        <v>1002182641</v>
      </c>
      <c r="AG160">
        <v>708695</v>
      </c>
      <c r="AJ160" t="s">
        <v>121</v>
      </c>
      <c r="AK160" t="s">
        <v>61</v>
      </c>
      <c r="AL160" t="s">
        <v>62</v>
      </c>
    </row>
    <row r="161" spans="1:37" x14ac:dyDescent="0.25">
      <c r="A161">
        <v>2182641</v>
      </c>
      <c r="B161" t="s">
        <v>688</v>
      </c>
      <c r="C161" t="s">
        <v>695</v>
      </c>
      <c r="D161" t="s">
        <v>39</v>
      </c>
      <c r="E161" t="s">
        <v>40</v>
      </c>
      <c r="F161" t="s">
        <v>696</v>
      </c>
      <c r="G161" t="s">
        <v>691</v>
      </c>
      <c r="H161">
        <v>34</v>
      </c>
      <c r="Q161" t="s">
        <v>53</v>
      </c>
      <c r="R161" t="s">
        <v>697</v>
      </c>
      <c r="U161" t="s">
        <v>46</v>
      </c>
      <c r="V161">
        <v>32490195438</v>
      </c>
      <c r="W161" t="s">
        <v>53</v>
      </c>
      <c r="X161">
        <v>32472666182</v>
      </c>
      <c r="AC161" t="s">
        <v>698</v>
      </c>
      <c r="AE161" t="s">
        <v>699</v>
      </c>
      <c r="AF161">
        <v>1002182641</v>
      </c>
      <c r="AG161">
        <v>708695</v>
      </c>
      <c r="AJ161" t="s">
        <v>63</v>
      </c>
      <c r="AK161" t="s">
        <v>61</v>
      </c>
    </row>
    <row r="162" spans="1:37" x14ac:dyDescent="0.25">
      <c r="A162">
        <v>10452733</v>
      </c>
      <c r="B162" t="s">
        <v>700</v>
      </c>
      <c r="C162" t="s">
        <v>701</v>
      </c>
      <c r="D162" t="s">
        <v>39</v>
      </c>
      <c r="E162" t="s">
        <v>49</v>
      </c>
      <c r="F162" t="s">
        <v>702</v>
      </c>
      <c r="G162" t="s">
        <v>703</v>
      </c>
      <c r="H162">
        <v>27</v>
      </c>
      <c r="R162" t="s">
        <v>704</v>
      </c>
      <c r="V162" t="s">
        <v>705</v>
      </c>
      <c r="X162" t="s">
        <v>706</v>
      </c>
      <c r="AF162">
        <v>1010452733</v>
      </c>
      <c r="AJ162" t="s">
        <v>442</v>
      </c>
      <c r="AK162" t="s">
        <v>61</v>
      </c>
    </row>
    <row r="163" spans="1:37" x14ac:dyDescent="0.25">
      <c r="A163">
        <v>7992432</v>
      </c>
      <c r="B163" t="s">
        <v>700</v>
      </c>
      <c r="C163" t="s">
        <v>707</v>
      </c>
      <c r="D163" t="s">
        <v>39</v>
      </c>
      <c r="E163" t="s">
        <v>49</v>
      </c>
      <c r="F163" t="s">
        <v>708</v>
      </c>
      <c r="G163" t="s">
        <v>703</v>
      </c>
      <c r="H163">
        <v>27</v>
      </c>
      <c r="R163" t="s">
        <v>704</v>
      </c>
      <c r="V163" t="s">
        <v>705</v>
      </c>
      <c r="X163" t="s">
        <v>706</v>
      </c>
      <c r="AE163" t="s">
        <v>709</v>
      </c>
      <c r="AF163">
        <v>1007992432</v>
      </c>
      <c r="AJ163" t="s">
        <v>192</v>
      </c>
      <c r="AK163" t="s">
        <v>61</v>
      </c>
    </row>
    <row r="164" spans="1:37" x14ac:dyDescent="0.25">
      <c r="A164">
        <v>7663442</v>
      </c>
      <c r="B164" t="s">
        <v>710</v>
      </c>
      <c r="C164" t="s">
        <v>711</v>
      </c>
      <c r="D164" t="s">
        <v>39</v>
      </c>
      <c r="E164" t="s">
        <v>49</v>
      </c>
      <c r="F164" t="s">
        <v>712</v>
      </c>
      <c r="G164" t="s">
        <v>713</v>
      </c>
      <c r="H164">
        <v>7</v>
      </c>
      <c r="U164" t="s">
        <v>53</v>
      </c>
      <c r="V164" t="s">
        <v>714</v>
      </c>
      <c r="AC164" t="s">
        <v>715</v>
      </c>
      <c r="AE164" t="s">
        <v>716</v>
      </c>
      <c r="AF164">
        <v>1007663442</v>
      </c>
      <c r="AG164">
        <v>766478</v>
      </c>
      <c r="AJ164" t="s">
        <v>174</v>
      </c>
      <c r="AK164" t="s">
        <v>61</v>
      </c>
    </row>
    <row r="165" spans="1:37" x14ac:dyDescent="0.25">
      <c r="A165">
        <v>2182646</v>
      </c>
      <c r="B165" t="s">
        <v>717</v>
      </c>
      <c r="C165" t="s">
        <v>718</v>
      </c>
      <c r="D165" t="s">
        <v>39</v>
      </c>
      <c r="E165" t="s">
        <v>40</v>
      </c>
      <c r="F165" t="s">
        <v>719</v>
      </c>
      <c r="G165" t="s">
        <v>720</v>
      </c>
      <c r="H165">
        <v>39</v>
      </c>
      <c r="U165" t="s">
        <v>46</v>
      </c>
      <c r="V165">
        <v>486971134</v>
      </c>
      <c r="AC165" t="s">
        <v>721</v>
      </c>
      <c r="AF165">
        <v>1002182646</v>
      </c>
      <c r="AG165">
        <v>219616</v>
      </c>
    </row>
    <row r="166" spans="1:37" x14ac:dyDescent="0.25">
      <c r="A166">
        <v>2182651</v>
      </c>
      <c r="B166" t="s">
        <v>722</v>
      </c>
      <c r="C166" t="s">
        <v>413</v>
      </c>
      <c r="D166" t="s">
        <v>39</v>
      </c>
      <c r="E166" t="s">
        <v>40</v>
      </c>
      <c r="F166" t="s">
        <v>723</v>
      </c>
      <c r="G166" t="s">
        <v>724</v>
      </c>
      <c r="H166">
        <v>4</v>
      </c>
      <c r="R166" t="s">
        <v>725</v>
      </c>
      <c r="AA166">
        <v>0</v>
      </c>
      <c r="AF166">
        <v>1002182651</v>
      </c>
    </row>
    <row r="167" spans="1:37" x14ac:dyDescent="0.25">
      <c r="A167">
        <v>10388879</v>
      </c>
      <c r="B167" t="s">
        <v>726</v>
      </c>
      <c r="C167" t="s">
        <v>727</v>
      </c>
      <c r="D167" t="s">
        <v>39</v>
      </c>
      <c r="E167" t="s">
        <v>49</v>
      </c>
      <c r="F167" t="s">
        <v>728</v>
      </c>
      <c r="G167" t="s">
        <v>729</v>
      </c>
      <c r="H167">
        <v>15</v>
      </c>
      <c r="Q167" t="s">
        <v>51</v>
      </c>
      <c r="R167" t="s">
        <v>730</v>
      </c>
      <c r="U167" t="s">
        <v>53</v>
      </c>
      <c r="V167" t="s">
        <v>731</v>
      </c>
      <c r="W167" t="s">
        <v>51</v>
      </c>
      <c r="X167" t="s">
        <v>732</v>
      </c>
      <c r="AF167">
        <v>1010388879</v>
      </c>
      <c r="AJ167" t="s">
        <v>174</v>
      </c>
      <c r="AK167" t="s">
        <v>61</v>
      </c>
    </row>
    <row r="168" spans="1:37" x14ac:dyDescent="0.25">
      <c r="A168">
        <v>10653407</v>
      </c>
      <c r="B168" t="s">
        <v>726</v>
      </c>
      <c r="C168" t="s">
        <v>733</v>
      </c>
      <c r="D168" t="s">
        <v>39</v>
      </c>
      <c r="E168" t="s">
        <v>40</v>
      </c>
      <c r="U168" t="s">
        <v>46</v>
      </c>
      <c r="V168" t="s">
        <v>732</v>
      </c>
      <c r="AF168">
        <v>1010653407</v>
      </c>
    </row>
    <row r="169" spans="1:37" x14ac:dyDescent="0.25">
      <c r="A169">
        <v>10450570</v>
      </c>
      <c r="B169" t="s">
        <v>734</v>
      </c>
      <c r="C169" t="s">
        <v>307</v>
      </c>
      <c r="D169" t="s">
        <v>39</v>
      </c>
      <c r="E169" t="s">
        <v>40</v>
      </c>
      <c r="F169" t="s">
        <v>735</v>
      </c>
      <c r="G169" t="s">
        <v>736</v>
      </c>
      <c r="H169">
        <v>2</v>
      </c>
      <c r="Q169" t="s">
        <v>53</v>
      </c>
      <c r="R169" t="s">
        <v>737</v>
      </c>
      <c r="V169" t="s">
        <v>738</v>
      </c>
      <c r="AF169">
        <v>1010450570</v>
      </c>
      <c r="AJ169" t="s">
        <v>442</v>
      </c>
      <c r="AK169" t="s">
        <v>61</v>
      </c>
    </row>
    <row r="170" spans="1:37" x14ac:dyDescent="0.25">
      <c r="A170">
        <v>2182666</v>
      </c>
      <c r="B170" t="s">
        <v>739</v>
      </c>
      <c r="C170" t="s">
        <v>695</v>
      </c>
      <c r="D170" t="s">
        <v>39</v>
      </c>
      <c r="E170" t="s">
        <v>40</v>
      </c>
      <c r="F170" t="s">
        <v>740</v>
      </c>
      <c r="G170" t="s">
        <v>741</v>
      </c>
      <c r="H170">
        <v>31</v>
      </c>
      <c r="U170" t="s">
        <v>46</v>
      </c>
      <c r="V170">
        <v>320470775058</v>
      </c>
      <c r="AC170" t="s">
        <v>742</v>
      </c>
      <c r="AF170">
        <v>1002182666</v>
      </c>
      <c r="AG170">
        <v>213745</v>
      </c>
      <c r="AJ170" t="s">
        <v>743</v>
      </c>
      <c r="AK170" t="s">
        <v>61</v>
      </c>
    </row>
    <row r="171" spans="1:37" x14ac:dyDescent="0.25">
      <c r="A171">
        <v>2182666</v>
      </c>
      <c r="B171" t="s">
        <v>739</v>
      </c>
      <c r="C171" t="s">
        <v>695</v>
      </c>
      <c r="D171" t="s">
        <v>39</v>
      </c>
      <c r="E171" t="s">
        <v>40</v>
      </c>
      <c r="F171" t="s">
        <v>740</v>
      </c>
      <c r="G171" t="s">
        <v>741</v>
      </c>
      <c r="H171">
        <v>31</v>
      </c>
      <c r="U171" t="s">
        <v>46</v>
      </c>
      <c r="V171">
        <v>320470775058</v>
      </c>
      <c r="AC171" t="s">
        <v>742</v>
      </c>
      <c r="AF171">
        <v>1002182666</v>
      </c>
      <c r="AG171">
        <v>213745</v>
      </c>
      <c r="AJ171" t="s">
        <v>143</v>
      </c>
      <c r="AK171" t="s">
        <v>65</v>
      </c>
    </row>
    <row r="172" spans="1:37" x14ac:dyDescent="0.25">
      <c r="A172">
        <v>2182666</v>
      </c>
      <c r="B172" t="s">
        <v>739</v>
      </c>
      <c r="C172" t="s">
        <v>695</v>
      </c>
      <c r="D172" t="s">
        <v>39</v>
      </c>
      <c r="E172" t="s">
        <v>40</v>
      </c>
      <c r="F172" t="s">
        <v>740</v>
      </c>
      <c r="G172" t="s">
        <v>741</v>
      </c>
      <c r="H172">
        <v>31</v>
      </c>
      <c r="U172" t="s">
        <v>46</v>
      </c>
      <c r="V172">
        <v>320470775058</v>
      </c>
      <c r="AC172" t="s">
        <v>742</v>
      </c>
      <c r="AF172">
        <v>1002182666</v>
      </c>
      <c r="AG172">
        <v>213745</v>
      </c>
      <c r="AJ172" t="s">
        <v>744</v>
      </c>
      <c r="AK172" t="s">
        <v>65</v>
      </c>
    </row>
    <row r="173" spans="1:37" x14ac:dyDescent="0.25">
      <c r="A173">
        <v>2650646</v>
      </c>
      <c r="B173" t="s">
        <v>745</v>
      </c>
      <c r="C173" t="s">
        <v>297</v>
      </c>
      <c r="D173" t="s">
        <v>39</v>
      </c>
      <c r="E173" t="s">
        <v>40</v>
      </c>
      <c r="F173" t="s">
        <v>746</v>
      </c>
      <c r="G173" t="s">
        <v>747</v>
      </c>
      <c r="H173">
        <v>14</v>
      </c>
      <c r="Q173" t="s">
        <v>53</v>
      </c>
      <c r="R173" t="s">
        <v>749</v>
      </c>
      <c r="V173">
        <v>4721630933</v>
      </c>
      <c r="X173">
        <v>493144091</v>
      </c>
      <c r="AC173" t="s">
        <v>750</v>
      </c>
      <c r="AE173" t="s">
        <v>751</v>
      </c>
      <c r="AF173">
        <v>1002650646</v>
      </c>
      <c r="AG173">
        <v>742106</v>
      </c>
    </row>
    <row r="174" spans="1:37" x14ac:dyDescent="0.25">
      <c r="A174">
        <v>2182671</v>
      </c>
      <c r="B174" t="s">
        <v>752</v>
      </c>
      <c r="C174" t="s">
        <v>753</v>
      </c>
      <c r="D174" t="s">
        <v>39</v>
      </c>
      <c r="E174" t="s">
        <v>40</v>
      </c>
      <c r="F174" t="s">
        <v>754</v>
      </c>
      <c r="G174" t="s">
        <v>184</v>
      </c>
      <c r="H174">
        <v>13</v>
      </c>
      <c r="AC174" t="s">
        <v>755</v>
      </c>
      <c r="AF174">
        <v>1002182671</v>
      </c>
      <c r="AG174">
        <v>655853</v>
      </c>
      <c r="AJ174" t="s">
        <v>483</v>
      </c>
      <c r="AK174" t="s">
        <v>61</v>
      </c>
    </row>
    <row r="175" spans="1:37" x14ac:dyDescent="0.25">
      <c r="A175">
        <v>2182681</v>
      </c>
      <c r="B175" t="s">
        <v>756</v>
      </c>
      <c r="C175" t="s">
        <v>757</v>
      </c>
      <c r="D175" t="s">
        <v>39</v>
      </c>
      <c r="E175" t="s">
        <v>40</v>
      </c>
      <c r="F175" t="s">
        <v>758</v>
      </c>
      <c r="G175" t="s">
        <v>759</v>
      </c>
      <c r="H175">
        <v>164</v>
      </c>
      <c r="AC175" t="s">
        <v>760</v>
      </c>
      <c r="AF175">
        <v>1002182681</v>
      </c>
      <c r="AG175">
        <v>724983</v>
      </c>
    </row>
    <row r="176" spans="1:37" x14ac:dyDescent="0.25">
      <c r="A176">
        <v>2182686</v>
      </c>
      <c r="B176" t="s">
        <v>756</v>
      </c>
      <c r="C176" t="s">
        <v>761</v>
      </c>
      <c r="D176" t="s">
        <v>39</v>
      </c>
      <c r="E176" t="s">
        <v>40</v>
      </c>
      <c r="F176" t="s">
        <v>762</v>
      </c>
      <c r="G176" t="s">
        <v>763</v>
      </c>
      <c r="H176">
        <v>164</v>
      </c>
      <c r="AC176" t="s">
        <v>764</v>
      </c>
      <c r="AF176">
        <v>1002182686</v>
      </c>
      <c r="AG176">
        <v>718057</v>
      </c>
    </row>
    <row r="177" spans="1:38" x14ac:dyDescent="0.25">
      <c r="A177">
        <v>2182691</v>
      </c>
      <c r="B177" t="s">
        <v>765</v>
      </c>
      <c r="C177" t="s">
        <v>766</v>
      </c>
      <c r="D177" t="s">
        <v>39</v>
      </c>
      <c r="E177" t="s">
        <v>49</v>
      </c>
      <c r="F177" t="s">
        <v>767</v>
      </c>
      <c r="G177" t="s">
        <v>768</v>
      </c>
      <c r="H177">
        <v>51</v>
      </c>
      <c r="AC177" t="s">
        <v>769</v>
      </c>
      <c r="AF177">
        <v>1002182691</v>
      </c>
    </row>
    <row r="178" spans="1:38" x14ac:dyDescent="0.25">
      <c r="A178">
        <v>5540831</v>
      </c>
      <c r="B178" t="s">
        <v>770</v>
      </c>
      <c r="C178" t="s">
        <v>771</v>
      </c>
      <c r="D178" t="s">
        <v>39</v>
      </c>
      <c r="E178" t="s">
        <v>40</v>
      </c>
      <c r="F178" t="s">
        <v>772</v>
      </c>
      <c r="G178" t="s">
        <v>759</v>
      </c>
      <c r="H178">
        <v>44</v>
      </c>
      <c r="Q178" t="s">
        <v>46</v>
      </c>
      <c r="U178" t="s">
        <v>51</v>
      </c>
      <c r="V178" t="s">
        <v>773</v>
      </c>
      <c r="W178" t="s">
        <v>46</v>
      </c>
      <c r="X178" t="s">
        <v>774</v>
      </c>
      <c r="AC178" t="s">
        <v>775</v>
      </c>
      <c r="AF178">
        <v>1005540831</v>
      </c>
      <c r="AL178" t="s">
        <v>62</v>
      </c>
    </row>
    <row r="179" spans="1:38" x14ac:dyDescent="0.25">
      <c r="A179">
        <v>5540831</v>
      </c>
      <c r="B179" t="s">
        <v>770</v>
      </c>
      <c r="C179" t="s">
        <v>771</v>
      </c>
      <c r="D179" t="s">
        <v>39</v>
      </c>
      <c r="E179" t="s">
        <v>40</v>
      </c>
      <c r="F179" t="s">
        <v>772</v>
      </c>
      <c r="G179" t="s">
        <v>759</v>
      </c>
      <c r="H179">
        <v>44</v>
      </c>
      <c r="Q179" t="s">
        <v>46</v>
      </c>
      <c r="U179" t="s">
        <v>51</v>
      </c>
      <c r="V179" t="s">
        <v>773</v>
      </c>
      <c r="W179" t="s">
        <v>46</v>
      </c>
      <c r="X179" t="s">
        <v>774</v>
      </c>
      <c r="AC179" t="s">
        <v>775</v>
      </c>
      <c r="AF179">
        <v>1005540831</v>
      </c>
      <c r="AL179" t="s">
        <v>62</v>
      </c>
    </row>
    <row r="180" spans="1:38" x14ac:dyDescent="0.25">
      <c r="A180">
        <v>4358429</v>
      </c>
      <c r="B180" t="s">
        <v>776</v>
      </c>
      <c r="C180" t="s">
        <v>777</v>
      </c>
      <c r="D180" t="s">
        <v>39</v>
      </c>
      <c r="E180" t="s">
        <v>49</v>
      </c>
      <c r="G180" t="s">
        <v>778</v>
      </c>
      <c r="H180">
        <v>47</v>
      </c>
      <c r="U180" t="s">
        <v>46</v>
      </c>
      <c r="V180" t="s">
        <v>779</v>
      </c>
      <c r="AE180" t="s">
        <v>780</v>
      </c>
      <c r="AF180">
        <v>1004358429</v>
      </c>
      <c r="AL180" t="s">
        <v>593</v>
      </c>
    </row>
    <row r="181" spans="1:38" x14ac:dyDescent="0.25">
      <c r="A181">
        <v>4297476</v>
      </c>
      <c r="B181" t="s">
        <v>776</v>
      </c>
      <c r="C181" t="s">
        <v>781</v>
      </c>
      <c r="D181" t="s">
        <v>39</v>
      </c>
      <c r="E181" t="s">
        <v>49</v>
      </c>
      <c r="F181" t="s">
        <v>782</v>
      </c>
      <c r="G181" t="s">
        <v>783</v>
      </c>
      <c r="H181">
        <v>27</v>
      </c>
      <c r="U181" t="s">
        <v>46</v>
      </c>
      <c r="V181" t="s">
        <v>784</v>
      </c>
      <c r="AF181">
        <v>1004297476</v>
      </c>
    </row>
    <row r="182" spans="1:38" x14ac:dyDescent="0.25">
      <c r="A182">
        <v>3361769</v>
      </c>
      <c r="B182" t="s">
        <v>785</v>
      </c>
      <c r="C182" t="s">
        <v>786</v>
      </c>
      <c r="D182" t="s">
        <v>39</v>
      </c>
      <c r="E182" t="s">
        <v>49</v>
      </c>
      <c r="F182" t="s">
        <v>787</v>
      </c>
      <c r="G182" t="s">
        <v>606</v>
      </c>
      <c r="H182">
        <v>94</v>
      </c>
      <c r="Q182" t="s">
        <v>53</v>
      </c>
      <c r="R182" t="s">
        <v>607</v>
      </c>
      <c r="V182" t="s">
        <v>788</v>
      </c>
      <c r="X182" t="s">
        <v>789</v>
      </c>
      <c r="AC182" t="s">
        <v>790</v>
      </c>
      <c r="AE182" t="s">
        <v>791</v>
      </c>
      <c r="AF182">
        <v>1003361769</v>
      </c>
      <c r="AG182">
        <v>744635</v>
      </c>
    </row>
    <row r="183" spans="1:38" x14ac:dyDescent="0.25">
      <c r="A183">
        <v>7311118</v>
      </c>
      <c r="B183" t="s">
        <v>792</v>
      </c>
      <c r="C183" t="s">
        <v>793</v>
      </c>
      <c r="D183" t="s">
        <v>39</v>
      </c>
      <c r="E183" t="s">
        <v>49</v>
      </c>
      <c r="F183" t="s">
        <v>794</v>
      </c>
      <c r="G183" t="s">
        <v>795</v>
      </c>
      <c r="H183">
        <v>25</v>
      </c>
      <c r="V183">
        <v>0</v>
      </c>
      <c r="X183">
        <v>0</v>
      </c>
      <c r="Z183">
        <v>0</v>
      </c>
      <c r="AA183">
        <v>0</v>
      </c>
      <c r="AC183" t="s">
        <v>796</v>
      </c>
      <c r="AF183">
        <v>1007311118</v>
      </c>
      <c r="AG183">
        <v>763285</v>
      </c>
    </row>
    <row r="184" spans="1:38" x14ac:dyDescent="0.25">
      <c r="A184">
        <v>3434759</v>
      </c>
      <c r="B184" t="s">
        <v>797</v>
      </c>
      <c r="C184" t="s">
        <v>798</v>
      </c>
      <c r="D184" t="s">
        <v>39</v>
      </c>
      <c r="E184" t="s">
        <v>49</v>
      </c>
      <c r="F184" t="s">
        <v>799</v>
      </c>
      <c r="G184" t="s">
        <v>800</v>
      </c>
      <c r="H184">
        <v>15</v>
      </c>
      <c r="U184" t="s">
        <v>53</v>
      </c>
      <c r="V184">
        <v>497389636</v>
      </c>
      <c r="X184">
        <v>495459982</v>
      </c>
      <c r="AE184" t="s">
        <v>801</v>
      </c>
      <c r="AF184">
        <v>1003434759</v>
      </c>
    </row>
    <row r="185" spans="1:38" x14ac:dyDescent="0.25">
      <c r="A185">
        <v>3372129</v>
      </c>
      <c r="B185" t="s">
        <v>802</v>
      </c>
      <c r="C185" t="s">
        <v>803</v>
      </c>
      <c r="D185" t="s">
        <v>39</v>
      </c>
      <c r="E185" t="s">
        <v>49</v>
      </c>
      <c r="V185">
        <v>0</v>
      </c>
      <c r="X185">
        <v>0</v>
      </c>
      <c r="Z185">
        <v>0</v>
      </c>
      <c r="AA185">
        <v>0</v>
      </c>
      <c r="AF185">
        <v>1003372129</v>
      </c>
    </row>
    <row r="186" spans="1:38" x14ac:dyDescent="0.25">
      <c r="A186">
        <v>2182696</v>
      </c>
      <c r="B186" t="s">
        <v>802</v>
      </c>
      <c r="C186" t="s">
        <v>805</v>
      </c>
      <c r="D186" t="s">
        <v>39</v>
      </c>
      <c r="E186" t="s">
        <v>49</v>
      </c>
      <c r="F186" t="s">
        <v>806</v>
      </c>
      <c r="G186" t="s">
        <v>807</v>
      </c>
      <c r="H186">
        <v>15</v>
      </c>
      <c r="AC186" t="s">
        <v>808</v>
      </c>
      <c r="AE186" t="s">
        <v>809</v>
      </c>
      <c r="AF186">
        <v>1002182696</v>
      </c>
      <c r="AG186">
        <v>266618</v>
      </c>
      <c r="AJ186" t="s">
        <v>60</v>
      </c>
      <c r="AK186" t="s">
        <v>61</v>
      </c>
      <c r="AL186" t="s">
        <v>62</v>
      </c>
    </row>
    <row r="187" spans="1:38" x14ac:dyDescent="0.25">
      <c r="A187">
        <v>2182696</v>
      </c>
      <c r="B187" t="s">
        <v>802</v>
      </c>
      <c r="C187" t="s">
        <v>805</v>
      </c>
      <c r="D187" t="s">
        <v>39</v>
      </c>
      <c r="E187" t="s">
        <v>49</v>
      </c>
      <c r="F187" t="s">
        <v>806</v>
      </c>
      <c r="G187" t="s">
        <v>807</v>
      </c>
      <c r="H187">
        <v>15</v>
      </c>
      <c r="AC187" t="s">
        <v>808</v>
      </c>
      <c r="AE187" t="s">
        <v>809</v>
      </c>
      <c r="AF187">
        <v>1002182696</v>
      </c>
      <c r="AG187">
        <v>266618</v>
      </c>
      <c r="AJ187" t="s">
        <v>64</v>
      </c>
      <c r="AK187" t="s">
        <v>65</v>
      </c>
    </row>
    <row r="188" spans="1:38" x14ac:dyDescent="0.25">
      <c r="A188">
        <v>4196362</v>
      </c>
      <c r="B188" t="s">
        <v>802</v>
      </c>
      <c r="C188" t="s">
        <v>810</v>
      </c>
      <c r="D188" t="s">
        <v>39</v>
      </c>
      <c r="E188" t="s">
        <v>40</v>
      </c>
      <c r="F188" t="s">
        <v>811</v>
      </c>
      <c r="U188" t="s">
        <v>46</v>
      </c>
      <c r="V188">
        <v>320491647774</v>
      </c>
      <c r="X188">
        <v>0</v>
      </c>
      <c r="Z188">
        <v>0</v>
      </c>
      <c r="AA188">
        <v>0</v>
      </c>
      <c r="AC188" t="s">
        <v>812</v>
      </c>
      <c r="AF188">
        <v>1004196362</v>
      </c>
      <c r="AG188">
        <v>639029</v>
      </c>
    </row>
    <row r="189" spans="1:38" x14ac:dyDescent="0.25">
      <c r="A189">
        <v>4196386</v>
      </c>
      <c r="B189" t="s">
        <v>802</v>
      </c>
      <c r="C189" t="s">
        <v>813</v>
      </c>
      <c r="D189" t="s">
        <v>39</v>
      </c>
      <c r="E189" t="s">
        <v>40</v>
      </c>
      <c r="F189" t="s">
        <v>814</v>
      </c>
      <c r="G189" t="s">
        <v>815</v>
      </c>
      <c r="H189">
        <v>21</v>
      </c>
      <c r="U189" t="s">
        <v>46</v>
      </c>
      <c r="V189">
        <v>320491520844</v>
      </c>
      <c r="X189">
        <v>0</v>
      </c>
      <c r="Z189">
        <v>0</v>
      </c>
      <c r="AA189">
        <v>0</v>
      </c>
      <c r="AC189" t="s">
        <v>816</v>
      </c>
      <c r="AF189">
        <v>1004196386</v>
      </c>
      <c r="AG189">
        <v>637076</v>
      </c>
    </row>
    <row r="190" spans="1:38" x14ac:dyDescent="0.25">
      <c r="A190">
        <v>3440013</v>
      </c>
      <c r="B190" t="s">
        <v>817</v>
      </c>
      <c r="C190" t="s">
        <v>818</v>
      </c>
      <c r="D190" t="s">
        <v>39</v>
      </c>
      <c r="E190" t="s">
        <v>40</v>
      </c>
      <c r="F190" t="s">
        <v>819</v>
      </c>
      <c r="G190" t="s">
        <v>820</v>
      </c>
      <c r="H190">
        <v>21</v>
      </c>
      <c r="Q190" t="s">
        <v>53</v>
      </c>
      <c r="R190" t="s">
        <v>821</v>
      </c>
      <c r="U190" t="s">
        <v>51</v>
      </c>
      <c r="V190" t="s">
        <v>822</v>
      </c>
      <c r="AE190" t="s">
        <v>823</v>
      </c>
      <c r="AF190">
        <v>1003440013</v>
      </c>
    </row>
    <row r="191" spans="1:38" x14ac:dyDescent="0.25">
      <c r="A191">
        <v>2182701</v>
      </c>
      <c r="B191" t="s">
        <v>817</v>
      </c>
      <c r="C191" t="s">
        <v>824</v>
      </c>
      <c r="D191" t="s">
        <v>39</v>
      </c>
      <c r="E191" t="s">
        <v>40</v>
      </c>
      <c r="F191" t="s">
        <v>825</v>
      </c>
      <c r="G191" t="s">
        <v>703</v>
      </c>
      <c r="H191">
        <v>114</v>
      </c>
      <c r="I191">
        <v>102</v>
      </c>
      <c r="AC191" t="s">
        <v>826</v>
      </c>
      <c r="AF191">
        <v>1002182701</v>
      </c>
    </row>
    <row r="192" spans="1:38" x14ac:dyDescent="0.25">
      <c r="A192">
        <v>2182706</v>
      </c>
      <c r="B192" t="s">
        <v>817</v>
      </c>
      <c r="C192" t="s">
        <v>827</v>
      </c>
      <c r="D192" t="s">
        <v>39</v>
      </c>
      <c r="E192" t="s">
        <v>40</v>
      </c>
      <c r="F192" t="s">
        <v>828</v>
      </c>
      <c r="G192" t="s">
        <v>783</v>
      </c>
      <c r="H192">
        <v>27</v>
      </c>
      <c r="V192" t="s">
        <v>784</v>
      </c>
      <c r="AC192" t="s">
        <v>829</v>
      </c>
      <c r="AF192">
        <v>1002182706</v>
      </c>
      <c r="AG192">
        <v>732757</v>
      </c>
    </row>
    <row r="193" spans="1:38" x14ac:dyDescent="0.25">
      <c r="A193">
        <v>2182711</v>
      </c>
      <c r="B193" t="s">
        <v>830</v>
      </c>
      <c r="C193" t="s">
        <v>831</v>
      </c>
      <c r="D193" t="s">
        <v>39</v>
      </c>
      <c r="E193" t="s">
        <v>49</v>
      </c>
      <c r="F193" t="s">
        <v>832</v>
      </c>
      <c r="G193" t="s">
        <v>114</v>
      </c>
      <c r="H193">
        <v>62</v>
      </c>
      <c r="AC193" t="s">
        <v>833</v>
      </c>
      <c r="AE193" t="s">
        <v>834</v>
      </c>
      <c r="AF193">
        <v>1002182711</v>
      </c>
      <c r="AG193">
        <v>725134</v>
      </c>
      <c r="AL193" t="s">
        <v>621</v>
      </c>
    </row>
    <row r="194" spans="1:38" x14ac:dyDescent="0.25">
      <c r="A194">
        <v>2182711</v>
      </c>
      <c r="B194" t="s">
        <v>830</v>
      </c>
      <c r="C194" t="s">
        <v>831</v>
      </c>
      <c r="D194" t="s">
        <v>39</v>
      </c>
      <c r="E194" t="s">
        <v>49</v>
      </c>
      <c r="F194" t="s">
        <v>832</v>
      </c>
      <c r="G194" t="s">
        <v>114</v>
      </c>
      <c r="H194">
        <v>62</v>
      </c>
      <c r="AC194" t="s">
        <v>833</v>
      </c>
      <c r="AE194" t="s">
        <v>834</v>
      </c>
      <c r="AF194">
        <v>1002182711</v>
      </c>
      <c r="AG194">
        <v>725134</v>
      </c>
      <c r="AL194" t="s">
        <v>835</v>
      </c>
    </row>
    <row r="195" spans="1:38" x14ac:dyDescent="0.25">
      <c r="A195">
        <v>3850749</v>
      </c>
      <c r="B195" t="s">
        <v>836</v>
      </c>
      <c r="C195" t="s">
        <v>837</v>
      </c>
      <c r="D195" t="s">
        <v>39</v>
      </c>
      <c r="E195" t="s">
        <v>40</v>
      </c>
      <c r="F195" t="s">
        <v>838</v>
      </c>
      <c r="G195" t="s">
        <v>839</v>
      </c>
      <c r="H195">
        <v>90</v>
      </c>
      <c r="U195" t="s">
        <v>53</v>
      </c>
      <c r="V195">
        <v>473544353</v>
      </c>
      <c r="X195">
        <v>0</v>
      </c>
      <c r="Z195">
        <v>0</v>
      </c>
      <c r="AA195">
        <v>0</v>
      </c>
      <c r="AF195">
        <v>1003850749</v>
      </c>
    </row>
    <row r="196" spans="1:38" x14ac:dyDescent="0.25">
      <c r="A196">
        <v>7284534</v>
      </c>
      <c r="B196" t="s">
        <v>840</v>
      </c>
      <c r="C196" t="s">
        <v>841</v>
      </c>
      <c r="D196" t="s">
        <v>39</v>
      </c>
      <c r="E196" t="s">
        <v>49</v>
      </c>
      <c r="F196" t="s">
        <v>842</v>
      </c>
      <c r="G196" t="s">
        <v>843</v>
      </c>
      <c r="H196">
        <v>95</v>
      </c>
      <c r="U196" t="s">
        <v>53</v>
      </c>
      <c r="V196" t="s">
        <v>844</v>
      </c>
      <c r="AC196" t="s">
        <v>845</v>
      </c>
      <c r="AE196" t="s">
        <v>846</v>
      </c>
      <c r="AF196">
        <v>1007284534</v>
      </c>
      <c r="AJ196" t="s">
        <v>164</v>
      </c>
      <c r="AK196" t="s">
        <v>61</v>
      </c>
    </row>
    <row r="197" spans="1:38" x14ac:dyDescent="0.25">
      <c r="A197">
        <v>3470116</v>
      </c>
      <c r="B197" t="s">
        <v>847</v>
      </c>
      <c r="C197" t="s">
        <v>848</v>
      </c>
      <c r="D197" t="s">
        <v>39</v>
      </c>
      <c r="E197" t="s">
        <v>40</v>
      </c>
      <c r="F197" t="s">
        <v>849</v>
      </c>
      <c r="G197" t="s">
        <v>850</v>
      </c>
      <c r="H197">
        <v>34</v>
      </c>
      <c r="I197" t="s">
        <v>851</v>
      </c>
      <c r="U197" t="s">
        <v>53</v>
      </c>
      <c r="V197">
        <v>32473582756</v>
      </c>
      <c r="X197">
        <v>0</v>
      </c>
      <c r="Z197">
        <v>0</v>
      </c>
      <c r="AA197">
        <v>0</v>
      </c>
      <c r="AF197">
        <v>1003470116</v>
      </c>
    </row>
    <row r="198" spans="1:38" x14ac:dyDescent="0.25">
      <c r="A198">
        <v>2182716</v>
      </c>
      <c r="B198" t="s">
        <v>852</v>
      </c>
      <c r="C198" t="s">
        <v>853</v>
      </c>
      <c r="D198" t="s">
        <v>39</v>
      </c>
      <c r="E198" t="s">
        <v>40</v>
      </c>
      <c r="F198" t="s">
        <v>854</v>
      </c>
      <c r="G198" t="s">
        <v>69</v>
      </c>
      <c r="H198">
        <v>150</v>
      </c>
      <c r="V198" t="s">
        <v>855</v>
      </c>
      <c r="AF198">
        <v>1002182716</v>
      </c>
      <c r="AG198">
        <v>733207</v>
      </c>
    </row>
    <row r="199" spans="1:38" x14ac:dyDescent="0.25">
      <c r="A199">
        <v>3467711</v>
      </c>
      <c r="B199" t="s">
        <v>856</v>
      </c>
      <c r="C199" t="s">
        <v>857</v>
      </c>
      <c r="D199" t="s">
        <v>39</v>
      </c>
      <c r="E199" t="s">
        <v>40</v>
      </c>
      <c r="F199" t="s">
        <v>858</v>
      </c>
      <c r="G199" t="s">
        <v>859</v>
      </c>
      <c r="H199">
        <v>22</v>
      </c>
      <c r="Q199" t="s">
        <v>51</v>
      </c>
      <c r="R199" t="s">
        <v>860</v>
      </c>
      <c r="U199" t="s">
        <v>46</v>
      </c>
      <c r="V199">
        <v>499789499</v>
      </c>
      <c r="W199" t="s">
        <v>51</v>
      </c>
      <c r="X199">
        <v>497434133</v>
      </c>
      <c r="Z199">
        <v>0</v>
      </c>
      <c r="AA199">
        <v>0</v>
      </c>
      <c r="AF199">
        <v>1003467711</v>
      </c>
    </row>
    <row r="200" spans="1:38" x14ac:dyDescent="0.25">
      <c r="A200">
        <v>4024808</v>
      </c>
      <c r="B200" t="s">
        <v>861</v>
      </c>
      <c r="C200" t="s">
        <v>862</v>
      </c>
      <c r="D200" t="s">
        <v>39</v>
      </c>
      <c r="E200" t="s">
        <v>40</v>
      </c>
      <c r="F200" t="s">
        <v>863</v>
      </c>
      <c r="G200" t="s">
        <v>768</v>
      </c>
      <c r="H200" t="s">
        <v>864</v>
      </c>
      <c r="U200" t="s">
        <v>46</v>
      </c>
      <c r="V200" t="s">
        <v>865</v>
      </c>
      <c r="AC200" t="s">
        <v>866</v>
      </c>
      <c r="AE200" t="s">
        <v>867</v>
      </c>
      <c r="AF200">
        <v>1004024808</v>
      </c>
      <c r="AG200">
        <v>252069</v>
      </c>
    </row>
    <row r="201" spans="1:38" x14ac:dyDescent="0.25">
      <c r="A201">
        <v>3463928</v>
      </c>
      <c r="B201" t="s">
        <v>868</v>
      </c>
      <c r="C201" t="s">
        <v>869</v>
      </c>
      <c r="D201" t="s">
        <v>39</v>
      </c>
      <c r="E201" t="s">
        <v>40</v>
      </c>
      <c r="F201" t="s">
        <v>870</v>
      </c>
      <c r="G201" t="s">
        <v>871</v>
      </c>
      <c r="R201" t="s">
        <v>872</v>
      </c>
      <c r="V201" t="s">
        <v>873</v>
      </c>
      <c r="X201" t="s">
        <v>874</v>
      </c>
      <c r="AE201" t="s">
        <v>875</v>
      </c>
      <c r="AF201">
        <v>1003463928</v>
      </c>
      <c r="AG201">
        <v>747479</v>
      </c>
      <c r="AJ201" t="s">
        <v>286</v>
      </c>
      <c r="AK201" t="s">
        <v>61</v>
      </c>
    </row>
    <row r="202" spans="1:38" x14ac:dyDescent="0.25">
      <c r="A202">
        <v>6095741</v>
      </c>
      <c r="B202" t="s">
        <v>876</v>
      </c>
      <c r="C202" t="s">
        <v>877</v>
      </c>
      <c r="D202" t="s">
        <v>39</v>
      </c>
      <c r="E202" t="s">
        <v>49</v>
      </c>
      <c r="F202" t="s">
        <v>878</v>
      </c>
      <c r="G202" t="s">
        <v>581</v>
      </c>
      <c r="H202">
        <v>69</v>
      </c>
      <c r="R202" t="s">
        <v>879</v>
      </c>
      <c r="V202" t="s">
        <v>880</v>
      </c>
      <c r="X202" t="s">
        <v>881</v>
      </c>
      <c r="AF202">
        <v>1006095741</v>
      </c>
      <c r="AJ202" t="s">
        <v>192</v>
      </c>
      <c r="AK202" t="s">
        <v>61</v>
      </c>
    </row>
    <row r="203" spans="1:38" x14ac:dyDescent="0.25">
      <c r="A203">
        <v>6095741</v>
      </c>
      <c r="B203" t="s">
        <v>876</v>
      </c>
      <c r="C203" t="s">
        <v>877</v>
      </c>
      <c r="D203" t="s">
        <v>39</v>
      </c>
      <c r="E203" t="s">
        <v>49</v>
      </c>
      <c r="F203" t="s">
        <v>878</v>
      </c>
      <c r="G203" t="s">
        <v>581</v>
      </c>
      <c r="H203">
        <v>69</v>
      </c>
      <c r="R203" t="s">
        <v>879</v>
      </c>
      <c r="V203" t="s">
        <v>880</v>
      </c>
      <c r="X203" t="s">
        <v>881</v>
      </c>
      <c r="AF203">
        <v>1006095741</v>
      </c>
      <c r="AJ203" t="s">
        <v>295</v>
      </c>
      <c r="AK203" t="s">
        <v>61</v>
      </c>
    </row>
    <row r="204" spans="1:38" x14ac:dyDescent="0.25">
      <c r="A204">
        <v>2650905</v>
      </c>
      <c r="B204" t="s">
        <v>876</v>
      </c>
      <c r="C204" t="s">
        <v>882</v>
      </c>
      <c r="D204" t="s">
        <v>39</v>
      </c>
      <c r="E204" t="s">
        <v>49</v>
      </c>
      <c r="F204" t="s">
        <v>883</v>
      </c>
      <c r="G204" t="s">
        <v>581</v>
      </c>
      <c r="H204">
        <v>69</v>
      </c>
      <c r="R204" t="s">
        <v>879</v>
      </c>
      <c r="V204">
        <v>473423222</v>
      </c>
      <c r="X204">
        <v>473544531</v>
      </c>
      <c r="Z204">
        <v>0</v>
      </c>
      <c r="AA204">
        <v>0</v>
      </c>
      <c r="AF204">
        <v>1002650905</v>
      </c>
      <c r="AG204">
        <v>742327</v>
      </c>
      <c r="AJ204" t="s">
        <v>63</v>
      </c>
      <c r="AK204" t="s">
        <v>61</v>
      </c>
    </row>
    <row r="205" spans="1:38" x14ac:dyDescent="0.25">
      <c r="A205">
        <v>2650905</v>
      </c>
      <c r="B205" t="s">
        <v>876</v>
      </c>
      <c r="C205" t="s">
        <v>882</v>
      </c>
      <c r="D205" t="s">
        <v>39</v>
      </c>
      <c r="E205" t="s">
        <v>49</v>
      </c>
      <c r="F205" t="s">
        <v>883</v>
      </c>
      <c r="G205" t="s">
        <v>581</v>
      </c>
      <c r="H205">
        <v>69</v>
      </c>
      <c r="R205" t="s">
        <v>879</v>
      </c>
      <c r="V205">
        <v>473423222</v>
      </c>
      <c r="X205">
        <v>473544531</v>
      </c>
      <c r="Z205">
        <v>0</v>
      </c>
      <c r="AA205">
        <v>0</v>
      </c>
      <c r="AF205">
        <v>1002650905</v>
      </c>
      <c r="AG205">
        <v>742327</v>
      </c>
      <c r="AJ205" t="s">
        <v>127</v>
      </c>
      <c r="AK205" t="s">
        <v>61</v>
      </c>
    </row>
    <row r="206" spans="1:38" x14ac:dyDescent="0.25">
      <c r="A206">
        <v>10670630</v>
      </c>
      <c r="B206" t="s">
        <v>884</v>
      </c>
      <c r="C206" t="s">
        <v>885</v>
      </c>
      <c r="D206" t="s">
        <v>39</v>
      </c>
      <c r="E206" t="s">
        <v>40</v>
      </c>
      <c r="U206" t="s">
        <v>46</v>
      </c>
      <c r="V206" t="s">
        <v>886</v>
      </c>
      <c r="AF206">
        <v>1010670630</v>
      </c>
    </row>
    <row r="207" spans="1:38" x14ac:dyDescent="0.25">
      <c r="A207">
        <v>7307064</v>
      </c>
      <c r="B207" t="s">
        <v>884</v>
      </c>
      <c r="C207" t="s">
        <v>288</v>
      </c>
      <c r="D207" t="s">
        <v>39</v>
      </c>
      <c r="E207" t="s">
        <v>40</v>
      </c>
      <c r="F207" t="s">
        <v>887</v>
      </c>
      <c r="G207" t="s">
        <v>888</v>
      </c>
      <c r="H207">
        <v>10</v>
      </c>
      <c r="U207" t="s">
        <v>46</v>
      </c>
      <c r="V207" t="s">
        <v>889</v>
      </c>
      <c r="AC207" t="s">
        <v>890</v>
      </c>
      <c r="AE207" t="s">
        <v>891</v>
      </c>
      <c r="AF207">
        <v>1007307064</v>
      </c>
      <c r="AJ207" t="s">
        <v>131</v>
      </c>
      <c r="AK207" t="s">
        <v>61</v>
      </c>
    </row>
    <row r="208" spans="1:38" x14ac:dyDescent="0.25">
      <c r="A208">
        <v>11846382</v>
      </c>
      <c r="B208" t="s">
        <v>892</v>
      </c>
      <c r="C208" t="s">
        <v>542</v>
      </c>
      <c r="D208" t="s">
        <v>39</v>
      </c>
      <c r="E208" t="s">
        <v>40</v>
      </c>
      <c r="F208" t="s">
        <v>893</v>
      </c>
      <c r="G208" t="s">
        <v>894</v>
      </c>
      <c r="H208">
        <v>11</v>
      </c>
      <c r="V208" t="s">
        <v>895</v>
      </c>
      <c r="AF208">
        <v>1011846382</v>
      </c>
      <c r="AJ208" t="s">
        <v>83</v>
      </c>
      <c r="AK208" t="s">
        <v>61</v>
      </c>
    </row>
    <row r="209" spans="1:37" x14ac:dyDescent="0.25">
      <c r="A209">
        <v>2182731</v>
      </c>
      <c r="B209" t="s">
        <v>896</v>
      </c>
      <c r="C209" t="s">
        <v>897</v>
      </c>
      <c r="D209" t="s">
        <v>39</v>
      </c>
      <c r="E209" t="s">
        <v>40</v>
      </c>
      <c r="F209" t="s">
        <v>898</v>
      </c>
      <c r="G209" t="s">
        <v>448</v>
      </c>
      <c r="H209">
        <v>16</v>
      </c>
      <c r="U209" t="s">
        <v>46</v>
      </c>
      <c r="V209">
        <v>320496247133</v>
      </c>
      <c r="AC209" t="s">
        <v>900</v>
      </c>
      <c r="AF209">
        <v>1002182731</v>
      </c>
      <c r="AG209">
        <v>271615</v>
      </c>
      <c r="AJ209" t="s">
        <v>88</v>
      </c>
      <c r="AK209" t="s">
        <v>65</v>
      </c>
    </row>
    <row r="210" spans="1:37" x14ac:dyDescent="0.25">
      <c r="A210">
        <v>2182731</v>
      </c>
      <c r="B210" t="s">
        <v>896</v>
      </c>
      <c r="C210" t="s">
        <v>897</v>
      </c>
      <c r="D210" t="s">
        <v>39</v>
      </c>
      <c r="E210" t="s">
        <v>40</v>
      </c>
      <c r="F210" t="s">
        <v>898</v>
      </c>
      <c r="G210" t="s">
        <v>448</v>
      </c>
      <c r="H210">
        <v>16</v>
      </c>
      <c r="U210" t="s">
        <v>46</v>
      </c>
      <c r="V210">
        <v>320496247133</v>
      </c>
      <c r="AC210" t="s">
        <v>900</v>
      </c>
      <c r="AF210">
        <v>1002182731</v>
      </c>
      <c r="AG210">
        <v>271615</v>
      </c>
      <c r="AJ210" t="s">
        <v>483</v>
      </c>
      <c r="AK210" t="s">
        <v>65</v>
      </c>
    </row>
    <row r="211" spans="1:37" x14ac:dyDescent="0.25">
      <c r="A211">
        <v>2182731</v>
      </c>
      <c r="B211" t="s">
        <v>896</v>
      </c>
      <c r="C211" t="s">
        <v>897</v>
      </c>
      <c r="D211" t="s">
        <v>39</v>
      </c>
      <c r="E211" t="s">
        <v>40</v>
      </c>
      <c r="F211" t="s">
        <v>898</v>
      </c>
      <c r="G211" t="s">
        <v>448</v>
      </c>
      <c r="H211">
        <v>16</v>
      </c>
      <c r="U211" t="s">
        <v>46</v>
      </c>
      <c r="V211">
        <v>320496247133</v>
      </c>
      <c r="AC211" t="s">
        <v>900</v>
      </c>
      <c r="AF211">
        <v>1002182731</v>
      </c>
      <c r="AG211">
        <v>271615</v>
      </c>
      <c r="AJ211" t="s">
        <v>180</v>
      </c>
      <c r="AK211" t="s">
        <v>61</v>
      </c>
    </row>
    <row r="212" spans="1:37" x14ac:dyDescent="0.25">
      <c r="A212">
        <v>3470113</v>
      </c>
      <c r="B212" t="s">
        <v>896</v>
      </c>
      <c r="C212" t="s">
        <v>901</v>
      </c>
      <c r="D212" t="s">
        <v>39</v>
      </c>
      <c r="E212" t="s">
        <v>40</v>
      </c>
      <c r="F212" t="s">
        <v>902</v>
      </c>
      <c r="G212" t="s">
        <v>448</v>
      </c>
      <c r="H212">
        <v>16</v>
      </c>
      <c r="U212" t="s">
        <v>53</v>
      </c>
      <c r="V212">
        <v>32474278078</v>
      </c>
      <c r="AD212">
        <v>6</v>
      </c>
      <c r="AE212" t="s">
        <v>903</v>
      </c>
      <c r="AF212">
        <v>1003470113</v>
      </c>
      <c r="AJ212" t="s">
        <v>88</v>
      </c>
      <c r="AK212" t="s">
        <v>61</v>
      </c>
    </row>
    <row r="213" spans="1:37" x14ac:dyDescent="0.25">
      <c r="A213">
        <v>10452578</v>
      </c>
      <c r="B213" t="s">
        <v>896</v>
      </c>
      <c r="C213" t="s">
        <v>904</v>
      </c>
      <c r="D213" t="s">
        <v>39</v>
      </c>
      <c r="E213" t="s">
        <v>49</v>
      </c>
      <c r="F213" t="s">
        <v>905</v>
      </c>
      <c r="G213" t="s">
        <v>448</v>
      </c>
      <c r="H213">
        <v>16</v>
      </c>
      <c r="R213" t="s">
        <v>899</v>
      </c>
      <c r="V213">
        <v>32474278078</v>
      </c>
      <c r="AE213" t="s">
        <v>906</v>
      </c>
      <c r="AF213">
        <v>1010452578</v>
      </c>
      <c r="AJ213" t="s">
        <v>294</v>
      </c>
      <c r="AK213" t="s">
        <v>61</v>
      </c>
    </row>
    <row r="214" spans="1:37" x14ac:dyDescent="0.25">
      <c r="A214">
        <v>9358687</v>
      </c>
      <c r="B214" t="s">
        <v>907</v>
      </c>
      <c r="C214" t="s">
        <v>908</v>
      </c>
      <c r="D214" t="s">
        <v>39</v>
      </c>
      <c r="E214" t="s">
        <v>40</v>
      </c>
      <c r="F214" t="s">
        <v>909</v>
      </c>
      <c r="G214" t="s">
        <v>910</v>
      </c>
      <c r="H214">
        <v>5</v>
      </c>
      <c r="Q214" t="s">
        <v>51</v>
      </c>
      <c r="R214" t="s">
        <v>911</v>
      </c>
      <c r="U214" t="s">
        <v>53</v>
      </c>
      <c r="V214" t="s">
        <v>912</v>
      </c>
      <c r="W214" t="s">
        <v>51</v>
      </c>
      <c r="X214" t="s">
        <v>913</v>
      </c>
      <c r="AE214" t="s">
        <v>914</v>
      </c>
      <c r="AF214">
        <v>1009358687</v>
      </c>
    </row>
    <row r="215" spans="1:37" x14ac:dyDescent="0.25">
      <c r="A215">
        <v>6831668</v>
      </c>
      <c r="B215" t="s">
        <v>915</v>
      </c>
      <c r="C215" t="s">
        <v>916</v>
      </c>
      <c r="D215" t="s">
        <v>39</v>
      </c>
      <c r="E215" t="s">
        <v>40</v>
      </c>
      <c r="F215" t="s">
        <v>917</v>
      </c>
      <c r="U215" t="s">
        <v>46</v>
      </c>
      <c r="V215" t="s">
        <v>918</v>
      </c>
      <c r="AF215">
        <v>1006831668</v>
      </c>
      <c r="AJ215" t="s">
        <v>483</v>
      </c>
      <c r="AK215" t="s">
        <v>61</v>
      </c>
    </row>
    <row r="216" spans="1:37" x14ac:dyDescent="0.25">
      <c r="A216">
        <v>2934328</v>
      </c>
      <c r="B216" t="s">
        <v>919</v>
      </c>
      <c r="C216" t="s">
        <v>920</v>
      </c>
      <c r="D216" t="s">
        <v>39</v>
      </c>
      <c r="E216" t="s">
        <v>40</v>
      </c>
      <c r="F216" t="s">
        <v>921</v>
      </c>
      <c r="U216" t="s">
        <v>46</v>
      </c>
      <c r="V216">
        <v>490413065</v>
      </c>
      <c r="AF216">
        <v>1002934328</v>
      </c>
      <c r="AG216">
        <v>284348</v>
      </c>
    </row>
    <row r="217" spans="1:37" x14ac:dyDescent="0.25">
      <c r="A217">
        <v>10452700</v>
      </c>
      <c r="B217" t="s">
        <v>922</v>
      </c>
      <c r="C217" t="s">
        <v>923</v>
      </c>
      <c r="D217" t="s">
        <v>39</v>
      </c>
      <c r="E217" t="s">
        <v>40</v>
      </c>
      <c r="F217" t="s">
        <v>924</v>
      </c>
      <c r="G217" t="s">
        <v>925</v>
      </c>
      <c r="H217">
        <v>114</v>
      </c>
      <c r="R217" t="s">
        <v>926</v>
      </c>
      <c r="V217" t="s">
        <v>927</v>
      </c>
      <c r="AF217">
        <v>1010452700</v>
      </c>
      <c r="AJ217" t="s">
        <v>442</v>
      </c>
      <c r="AK217" t="s">
        <v>61</v>
      </c>
    </row>
    <row r="218" spans="1:37" x14ac:dyDescent="0.25">
      <c r="A218">
        <v>11850222</v>
      </c>
      <c r="B218" t="s">
        <v>922</v>
      </c>
      <c r="C218" t="s">
        <v>928</v>
      </c>
      <c r="D218" t="s">
        <v>39</v>
      </c>
      <c r="E218" t="s">
        <v>49</v>
      </c>
      <c r="F218" t="s">
        <v>929</v>
      </c>
      <c r="G218" t="s">
        <v>930</v>
      </c>
      <c r="H218">
        <v>20</v>
      </c>
      <c r="Q218" t="s">
        <v>51</v>
      </c>
      <c r="R218" t="s">
        <v>931</v>
      </c>
      <c r="U218" t="s">
        <v>53</v>
      </c>
      <c r="V218" t="s">
        <v>932</v>
      </c>
      <c r="W218" t="s">
        <v>51</v>
      </c>
      <c r="X218">
        <v>320491551932</v>
      </c>
      <c r="AC218" t="s">
        <v>933</v>
      </c>
      <c r="AF218">
        <v>1011850222</v>
      </c>
    </row>
    <row r="219" spans="1:37" x14ac:dyDescent="0.25">
      <c r="A219">
        <v>3861404</v>
      </c>
      <c r="B219" t="s">
        <v>934</v>
      </c>
      <c r="C219" t="s">
        <v>935</v>
      </c>
      <c r="D219" t="s">
        <v>39</v>
      </c>
      <c r="E219" t="s">
        <v>49</v>
      </c>
      <c r="F219" t="s">
        <v>936</v>
      </c>
      <c r="G219" t="s">
        <v>937</v>
      </c>
      <c r="H219">
        <v>118</v>
      </c>
      <c r="Q219" t="s">
        <v>51</v>
      </c>
      <c r="R219" t="s">
        <v>938</v>
      </c>
      <c r="T219" t="s">
        <v>939</v>
      </c>
      <c r="U219" t="s">
        <v>51</v>
      </c>
      <c r="V219" t="s">
        <v>940</v>
      </c>
      <c r="AF219">
        <v>1003861404</v>
      </c>
      <c r="AG219">
        <v>752195</v>
      </c>
      <c r="AJ219" t="s">
        <v>323</v>
      </c>
      <c r="AK219" t="s">
        <v>61</v>
      </c>
    </row>
    <row r="220" spans="1:37" x14ac:dyDescent="0.25">
      <c r="A220">
        <v>1933235</v>
      </c>
      <c r="B220" t="s">
        <v>941</v>
      </c>
      <c r="C220" t="s">
        <v>942</v>
      </c>
      <c r="D220" t="s">
        <v>39</v>
      </c>
      <c r="E220" t="s">
        <v>40</v>
      </c>
      <c r="F220" t="s">
        <v>943</v>
      </c>
      <c r="G220" t="s">
        <v>944</v>
      </c>
      <c r="H220">
        <v>138</v>
      </c>
      <c r="U220" t="s">
        <v>46</v>
      </c>
      <c r="V220" t="s">
        <v>945</v>
      </c>
      <c r="AC220" t="s">
        <v>946</v>
      </c>
      <c r="AF220">
        <v>1001933235</v>
      </c>
    </row>
    <row r="221" spans="1:37" x14ac:dyDescent="0.25">
      <c r="A221">
        <v>5573322</v>
      </c>
      <c r="B221" t="s">
        <v>947</v>
      </c>
      <c r="C221" t="s">
        <v>948</v>
      </c>
      <c r="D221" t="s">
        <v>39</v>
      </c>
      <c r="E221" t="s">
        <v>40</v>
      </c>
      <c r="F221" t="s">
        <v>949</v>
      </c>
      <c r="G221" t="s">
        <v>950</v>
      </c>
      <c r="H221">
        <v>4</v>
      </c>
      <c r="I221">
        <v>2002</v>
      </c>
      <c r="AC221" t="s">
        <v>951</v>
      </c>
      <c r="AF221">
        <v>1005573322</v>
      </c>
    </row>
    <row r="222" spans="1:37" x14ac:dyDescent="0.25">
      <c r="A222">
        <v>2182746</v>
      </c>
      <c r="B222" t="s">
        <v>952</v>
      </c>
      <c r="C222" t="s">
        <v>953</v>
      </c>
      <c r="D222" t="s">
        <v>39</v>
      </c>
      <c r="E222" t="s">
        <v>49</v>
      </c>
      <c r="F222" t="s">
        <v>512</v>
      </c>
      <c r="G222" t="s">
        <v>954</v>
      </c>
      <c r="H222">
        <v>85</v>
      </c>
      <c r="V222">
        <v>479645729</v>
      </c>
      <c r="AF222">
        <v>1002182746</v>
      </c>
      <c r="AG222">
        <v>714081</v>
      </c>
    </row>
    <row r="223" spans="1:37" x14ac:dyDescent="0.25">
      <c r="A223">
        <v>3526506</v>
      </c>
      <c r="B223" t="s">
        <v>952</v>
      </c>
      <c r="C223" t="s">
        <v>955</v>
      </c>
      <c r="D223" t="s">
        <v>39</v>
      </c>
      <c r="E223" t="s">
        <v>49</v>
      </c>
      <c r="F223" t="s">
        <v>956</v>
      </c>
      <c r="G223" t="s">
        <v>954</v>
      </c>
      <c r="H223">
        <v>85</v>
      </c>
      <c r="U223" t="s">
        <v>51</v>
      </c>
      <c r="V223">
        <v>479645729</v>
      </c>
      <c r="X223">
        <v>0</v>
      </c>
      <c r="Z223">
        <v>0</v>
      </c>
      <c r="AA223">
        <v>0</v>
      </c>
      <c r="AF223">
        <v>1003526506</v>
      </c>
    </row>
    <row r="224" spans="1:37" x14ac:dyDescent="0.25">
      <c r="A224">
        <v>3463906</v>
      </c>
      <c r="B224" t="s">
        <v>952</v>
      </c>
      <c r="C224" t="s">
        <v>948</v>
      </c>
      <c r="D224" t="s">
        <v>39</v>
      </c>
      <c r="E224" t="s">
        <v>40</v>
      </c>
      <c r="F224" t="s">
        <v>957</v>
      </c>
      <c r="G224" t="s">
        <v>958</v>
      </c>
      <c r="H224">
        <v>26</v>
      </c>
      <c r="Q224" t="s">
        <v>53</v>
      </c>
      <c r="R224" t="s">
        <v>959</v>
      </c>
      <c r="U224" t="s">
        <v>51</v>
      </c>
      <c r="V224">
        <v>494275249</v>
      </c>
      <c r="W224" t="s">
        <v>53</v>
      </c>
      <c r="X224">
        <v>473354172</v>
      </c>
      <c r="Z224">
        <v>0</v>
      </c>
      <c r="AA224">
        <v>0</v>
      </c>
      <c r="AF224">
        <v>1003463906</v>
      </c>
    </row>
    <row r="225" spans="1:38" x14ac:dyDescent="0.25">
      <c r="A225">
        <v>2182751</v>
      </c>
      <c r="B225" t="s">
        <v>952</v>
      </c>
      <c r="C225" t="s">
        <v>942</v>
      </c>
      <c r="D225" t="s">
        <v>39</v>
      </c>
      <c r="E225" t="s">
        <v>40</v>
      </c>
      <c r="F225" t="s">
        <v>960</v>
      </c>
      <c r="G225" t="s">
        <v>954</v>
      </c>
      <c r="H225">
        <v>85</v>
      </c>
      <c r="AA225">
        <v>0</v>
      </c>
      <c r="AF225">
        <v>1002182751</v>
      </c>
      <c r="AG225">
        <v>719164</v>
      </c>
    </row>
    <row r="226" spans="1:38" x14ac:dyDescent="0.25">
      <c r="A226">
        <v>3451601</v>
      </c>
      <c r="B226" t="s">
        <v>961</v>
      </c>
      <c r="C226" t="s">
        <v>481</v>
      </c>
      <c r="D226" t="s">
        <v>39</v>
      </c>
      <c r="E226" t="s">
        <v>40</v>
      </c>
      <c r="F226" t="s">
        <v>962</v>
      </c>
      <c r="G226" t="s">
        <v>963</v>
      </c>
      <c r="H226">
        <v>33</v>
      </c>
      <c r="Q226" t="s">
        <v>51</v>
      </c>
      <c r="R226" t="s">
        <v>964</v>
      </c>
      <c r="U226" t="s">
        <v>53</v>
      </c>
      <c r="V226">
        <v>32499679978</v>
      </c>
      <c r="W226" t="s">
        <v>51</v>
      </c>
      <c r="X226">
        <v>32476488212</v>
      </c>
      <c r="AC226" t="s">
        <v>965</v>
      </c>
      <c r="AE226" t="s">
        <v>966</v>
      </c>
      <c r="AF226">
        <v>1003451601</v>
      </c>
      <c r="AG226">
        <v>747253</v>
      </c>
      <c r="AJ226" t="s">
        <v>75</v>
      </c>
      <c r="AK226" t="s">
        <v>61</v>
      </c>
    </row>
    <row r="227" spans="1:38" x14ac:dyDescent="0.25">
      <c r="A227">
        <v>3451601</v>
      </c>
      <c r="B227" t="s">
        <v>961</v>
      </c>
      <c r="C227" t="s">
        <v>481</v>
      </c>
      <c r="D227" t="s">
        <v>39</v>
      </c>
      <c r="E227" t="s">
        <v>40</v>
      </c>
      <c r="F227" t="s">
        <v>962</v>
      </c>
      <c r="G227" t="s">
        <v>963</v>
      </c>
      <c r="H227">
        <v>33</v>
      </c>
      <c r="Q227" t="s">
        <v>51</v>
      </c>
      <c r="R227" t="s">
        <v>964</v>
      </c>
      <c r="U227" t="s">
        <v>53</v>
      </c>
      <c r="V227">
        <v>32499679978</v>
      </c>
      <c r="W227" t="s">
        <v>51</v>
      </c>
      <c r="X227">
        <v>32476488212</v>
      </c>
      <c r="AC227" t="s">
        <v>965</v>
      </c>
      <c r="AE227" t="s">
        <v>966</v>
      </c>
      <c r="AF227">
        <v>1003451601</v>
      </c>
      <c r="AG227">
        <v>747253</v>
      </c>
      <c r="AJ227" t="s">
        <v>63</v>
      </c>
      <c r="AK227" t="s">
        <v>61</v>
      </c>
    </row>
    <row r="228" spans="1:38" x14ac:dyDescent="0.25">
      <c r="A228">
        <v>2182756</v>
      </c>
      <c r="B228" t="s">
        <v>967</v>
      </c>
      <c r="C228" t="s">
        <v>968</v>
      </c>
      <c r="D228" t="s">
        <v>39</v>
      </c>
      <c r="E228" t="s">
        <v>49</v>
      </c>
      <c r="F228" t="s">
        <v>969</v>
      </c>
      <c r="G228" t="s">
        <v>970</v>
      </c>
      <c r="H228">
        <v>1</v>
      </c>
      <c r="AA228">
        <v>0</v>
      </c>
      <c r="AF228">
        <v>1002182756</v>
      </c>
      <c r="AG228">
        <v>37999</v>
      </c>
    </row>
    <row r="229" spans="1:38" x14ac:dyDescent="0.25">
      <c r="A229">
        <v>10452720</v>
      </c>
      <c r="B229" t="s">
        <v>971</v>
      </c>
      <c r="C229" t="s">
        <v>972</v>
      </c>
      <c r="D229" t="s">
        <v>39</v>
      </c>
      <c r="E229" t="s">
        <v>40</v>
      </c>
      <c r="F229" t="s">
        <v>973</v>
      </c>
      <c r="G229" t="s">
        <v>974</v>
      </c>
      <c r="H229">
        <v>12</v>
      </c>
      <c r="V229" t="s">
        <v>975</v>
      </c>
      <c r="AF229">
        <v>1010452720</v>
      </c>
      <c r="AJ229" t="s">
        <v>442</v>
      </c>
      <c r="AK229" t="s">
        <v>61</v>
      </c>
    </row>
    <row r="230" spans="1:38" x14ac:dyDescent="0.25">
      <c r="A230">
        <v>2650658</v>
      </c>
      <c r="B230" t="s">
        <v>976</v>
      </c>
      <c r="C230" t="s">
        <v>977</v>
      </c>
      <c r="D230" t="s">
        <v>39</v>
      </c>
      <c r="E230" t="s">
        <v>40</v>
      </c>
      <c r="F230" t="s">
        <v>256</v>
      </c>
      <c r="G230" t="s">
        <v>978</v>
      </c>
      <c r="H230">
        <v>3</v>
      </c>
      <c r="R230" t="s">
        <v>979</v>
      </c>
      <c r="V230" t="s">
        <v>980</v>
      </c>
      <c r="X230" t="s">
        <v>981</v>
      </c>
      <c r="AE230" t="s">
        <v>982</v>
      </c>
      <c r="AF230">
        <v>1002650658</v>
      </c>
      <c r="AG230">
        <v>742174</v>
      </c>
      <c r="AL230" t="s">
        <v>62</v>
      </c>
    </row>
    <row r="231" spans="1:38" x14ac:dyDescent="0.25">
      <c r="A231">
        <v>2650658</v>
      </c>
      <c r="B231" t="s">
        <v>976</v>
      </c>
      <c r="C231" t="s">
        <v>977</v>
      </c>
      <c r="D231" t="s">
        <v>39</v>
      </c>
      <c r="E231" t="s">
        <v>40</v>
      </c>
      <c r="F231" t="s">
        <v>256</v>
      </c>
      <c r="G231" t="s">
        <v>978</v>
      </c>
      <c r="H231">
        <v>3</v>
      </c>
      <c r="R231" t="s">
        <v>979</v>
      </c>
      <c r="V231" t="s">
        <v>980</v>
      </c>
      <c r="X231" t="s">
        <v>981</v>
      </c>
      <c r="AE231" t="s">
        <v>982</v>
      </c>
      <c r="AF231">
        <v>1002650658</v>
      </c>
      <c r="AG231">
        <v>742174</v>
      </c>
      <c r="AL231" t="s">
        <v>62</v>
      </c>
    </row>
    <row r="232" spans="1:38" x14ac:dyDescent="0.25">
      <c r="A232">
        <v>7664291</v>
      </c>
      <c r="B232" t="s">
        <v>976</v>
      </c>
      <c r="C232" t="s">
        <v>983</v>
      </c>
      <c r="D232" t="s">
        <v>39</v>
      </c>
      <c r="E232" t="s">
        <v>40</v>
      </c>
      <c r="F232" t="s">
        <v>984</v>
      </c>
      <c r="G232" t="s">
        <v>978</v>
      </c>
      <c r="H232">
        <v>3</v>
      </c>
      <c r="V232">
        <v>0</v>
      </c>
      <c r="X232">
        <v>0</v>
      </c>
      <c r="Z232">
        <v>0</v>
      </c>
      <c r="AA232">
        <v>0</v>
      </c>
      <c r="AC232" t="s">
        <v>985</v>
      </c>
      <c r="AF232">
        <v>1007664291</v>
      </c>
    </row>
    <row r="233" spans="1:38" x14ac:dyDescent="0.25">
      <c r="A233">
        <v>4307499</v>
      </c>
      <c r="B233" t="s">
        <v>986</v>
      </c>
      <c r="C233" t="s">
        <v>987</v>
      </c>
      <c r="D233" t="s">
        <v>39</v>
      </c>
      <c r="E233" t="s">
        <v>40</v>
      </c>
      <c r="F233" t="s">
        <v>988</v>
      </c>
      <c r="G233" t="s">
        <v>989</v>
      </c>
      <c r="H233">
        <v>94</v>
      </c>
      <c r="Q233" t="s">
        <v>51</v>
      </c>
      <c r="R233" t="s">
        <v>990</v>
      </c>
      <c r="U233" t="s">
        <v>53</v>
      </c>
      <c r="V233" t="s">
        <v>991</v>
      </c>
      <c r="AF233">
        <v>1004307499</v>
      </c>
      <c r="AJ233" t="s">
        <v>104</v>
      </c>
      <c r="AK233" t="s">
        <v>61</v>
      </c>
    </row>
    <row r="234" spans="1:38" x14ac:dyDescent="0.25">
      <c r="A234">
        <v>4307499</v>
      </c>
      <c r="B234" t="s">
        <v>986</v>
      </c>
      <c r="C234" t="s">
        <v>987</v>
      </c>
      <c r="D234" t="s">
        <v>39</v>
      </c>
      <c r="E234" t="s">
        <v>40</v>
      </c>
      <c r="F234" t="s">
        <v>988</v>
      </c>
      <c r="G234" t="s">
        <v>989</v>
      </c>
      <c r="H234">
        <v>94</v>
      </c>
      <c r="Q234" t="s">
        <v>51</v>
      </c>
      <c r="R234" t="s">
        <v>990</v>
      </c>
      <c r="U234" t="s">
        <v>53</v>
      </c>
      <c r="V234" t="s">
        <v>991</v>
      </c>
      <c r="AF234">
        <v>1004307499</v>
      </c>
      <c r="AJ234" t="s">
        <v>63</v>
      </c>
      <c r="AK234" t="s">
        <v>61</v>
      </c>
    </row>
    <row r="235" spans="1:38" x14ac:dyDescent="0.25">
      <c r="A235">
        <v>3526489</v>
      </c>
      <c r="B235" t="s">
        <v>992</v>
      </c>
      <c r="C235" t="s">
        <v>558</v>
      </c>
      <c r="D235" t="s">
        <v>39</v>
      </c>
      <c r="E235" t="s">
        <v>40</v>
      </c>
      <c r="F235" t="s">
        <v>993</v>
      </c>
      <c r="G235" t="s">
        <v>994</v>
      </c>
      <c r="H235">
        <v>35</v>
      </c>
      <c r="U235" t="s">
        <v>46</v>
      </c>
      <c r="V235">
        <v>320478547008</v>
      </c>
      <c r="X235">
        <v>0</v>
      </c>
      <c r="Z235">
        <v>0</v>
      </c>
      <c r="AA235">
        <v>0</v>
      </c>
      <c r="AF235">
        <v>1003526489</v>
      </c>
    </row>
    <row r="236" spans="1:38" x14ac:dyDescent="0.25">
      <c r="A236">
        <v>2182771</v>
      </c>
      <c r="B236" t="s">
        <v>995</v>
      </c>
      <c r="C236" t="s">
        <v>996</v>
      </c>
      <c r="D236" t="s">
        <v>39</v>
      </c>
      <c r="E236" t="s">
        <v>40</v>
      </c>
      <c r="F236" t="s">
        <v>997</v>
      </c>
      <c r="G236" t="s">
        <v>998</v>
      </c>
      <c r="H236">
        <v>52</v>
      </c>
      <c r="AC236" t="s">
        <v>999</v>
      </c>
      <c r="AF236">
        <v>1002182771</v>
      </c>
    </row>
    <row r="237" spans="1:38" x14ac:dyDescent="0.25">
      <c r="A237">
        <v>2670015</v>
      </c>
      <c r="B237" t="s">
        <v>1000</v>
      </c>
      <c r="C237" t="s">
        <v>1001</v>
      </c>
      <c r="D237" t="s">
        <v>39</v>
      </c>
      <c r="E237" t="s">
        <v>40</v>
      </c>
      <c r="F237" t="s">
        <v>1002</v>
      </c>
      <c r="G237" t="s">
        <v>1003</v>
      </c>
      <c r="H237">
        <v>4</v>
      </c>
      <c r="AD237">
        <v>5</v>
      </c>
      <c r="AE237" t="s">
        <v>1004</v>
      </c>
      <c r="AF237">
        <v>1002670015</v>
      </c>
      <c r="AG237">
        <v>671179</v>
      </c>
    </row>
    <row r="238" spans="1:38" x14ac:dyDescent="0.25">
      <c r="A238">
        <v>2650806</v>
      </c>
      <c r="B238" t="s">
        <v>1005</v>
      </c>
      <c r="C238" t="s">
        <v>1006</v>
      </c>
      <c r="D238" t="s">
        <v>39</v>
      </c>
      <c r="E238" t="s">
        <v>49</v>
      </c>
      <c r="F238" t="s">
        <v>1007</v>
      </c>
      <c r="G238" t="s">
        <v>1008</v>
      </c>
      <c r="H238">
        <v>4</v>
      </c>
      <c r="Q238" t="s">
        <v>51</v>
      </c>
      <c r="R238" t="s">
        <v>1009</v>
      </c>
      <c r="V238" t="s">
        <v>1010</v>
      </c>
      <c r="X238" t="s">
        <v>1011</v>
      </c>
      <c r="AC238" t="s">
        <v>1012</v>
      </c>
      <c r="AF238">
        <v>1002650806</v>
      </c>
      <c r="AG238">
        <v>741137</v>
      </c>
      <c r="AJ238" t="s">
        <v>63</v>
      </c>
      <c r="AK238" t="s">
        <v>61</v>
      </c>
    </row>
    <row r="239" spans="1:38" x14ac:dyDescent="0.25">
      <c r="A239">
        <v>2650806</v>
      </c>
      <c r="B239" t="s">
        <v>1005</v>
      </c>
      <c r="C239" t="s">
        <v>1006</v>
      </c>
      <c r="D239" t="s">
        <v>39</v>
      </c>
      <c r="E239" t="s">
        <v>49</v>
      </c>
      <c r="F239" t="s">
        <v>1007</v>
      </c>
      <c r="G239" t="s">
        <v>1008</v>
      </c>
      <c r="H239">
        <v>4</v>
      </c>
      <c r="Q239" t="s">
        <v>51</v>
      </c>
      <c r="R239" t="s">
        <v>1009</v>
      </c>
      <c r="V239" t="s">
        <v>1010</v>
      </c>
      <c r="X239" t="s">
        <v>1011</v>
      </c>
      <c r="AC239" t="s">
        <v>1012</v>
      </c>
      <c r="AF239">
        <v>1002650806</v>
      </c>
      <c r="AG239">
        <v>741137</v>
      </c>
      <c r="AJ239" t="s">
        <v>323</v>
      </c>
      <c r="AK239" t="s">
        <v>61</v>
      </c>
    </row>
    <row r="240" spans="1:38" x14ac:dyDescent="0.25">
      <c r="A240">
        <v>3028031</v>
      </c>
      <c r="B240" t="s">
        <v>1005</v>
      </c>
      <c r="C240" t="s">
        <v>1013</v>
      </c>
      <c r="D240" t="s">
        <v>39</v>
      </c>
      <c r="E240" t="s">
        <v>49</v>
      </c>
      <c r="F240" t="s">
        <v>1014</v>
      </c>
      <c r="U240" t="s">
        <v>53</v>
      </c>
      <c r="V240" t="s">
        <v>1015</v>
      </c>
      <c r="AF240">
        <v>1003028031</v>
      </c>
      <c r="AG240">
        <v>668841</v>
      </c>
    </row>
    <row r="241" spans="1:38" x14ac:dyDescent="0.25">
      <c r="A241">
        <v>3028036</v>
      </c>
      <c r="B241" t="s">
        <v>1005</v>
      </c>
      <c r="C241" t="s">
        <v>1016</v>
      </c>
      <c r="D241" t="s">
        <v>39</v>
      </c>
      <c r="E241" t="s">
        <v>49</v>
      </c>
      <c r="F241" t="s">
        <v>1014</v>
      </c>
      <c r="U241" t="s">
        <v>53</v>
      </c>
      <c r="V241">
        <v>497388351</v>
      </c>
      <c r="AF241">
        <v>1003028036</v>
      </c>
      <c r="AG241">
        <v>668842</v>
      </c>
    </row>
    <row r="242" spans="1:38" x14ac:dyDescent="0.25">
      <c r="A242">
        <v>4457350</v>
      </c>
      <c r="B242" t="s">
        <v>1005</v>
      </c>
      <c r="C242" t="s">
        <v>1017</v>
      </c>
      <c r="D242" t="s">
        <v>39</v>
      </c>
      <c r="E242" t="s">
        <v>40</v>
      </c>
      <c r="F242" t="s">
        <v>1018</v>
      </c>
      <c r="G242" t="s">
        <v>1008</v>
      </c>
      <c r="H242">
        <v>4</v>
      </c>
      <c r="Q242" t="s">
        <v>51</v>
      </c>
      <c r="R242" t="s">
        <v>1009</v>
      </c>
      <c r="V242" t="s">
        <v>1010</v>
      </c>
      <c r="X242" t="s">
        <v>1011</v>
      </c>
      <c r="AF242">
        <v>1004457350</v>
      </c>
      <c r="AJ242" t="s">
        <v>63</v>
      </c>
      <c r="AK242" t="s">
        <v>61</v>
      </c>
    </row>
    <row r="243" spans="1:38" x14ac:dyDescent="0.25">
      <c r="A243">
        <v>4457350</v>
      </c>
      <c r="B243" t="s">
        <v>1005</v>
      </c>
      <c r="C243" t="s">
        <v>1017</v>
      </c>
      <c r="D243" t="s">
        <v>39</v>
      </c>
      <c r="E243" t="s">
        <v>40</v>
      </c>
      <c r="F243" t="s">
        <v>1018</v>
      </c>
      <c r="G243" t="s">
        <v>1008</v>
      </c>
      <c r="H243">
        <v>4</v>
      </c>
      <c r="Q243" t="s">
        <v>51</v>
      </c>
      <c r="R243" t="s">
        <v>1009</v>
      </c>
      <c r="V243" t="s">
        <v>1010</v>
      </c>
      <c r="X243" t="s">
        <v>1011</v>
      </c>
      <c r="AF243">
        <v>1004457350</v>
      </c>
      <c r="AJ243" t="s">
        <v>744</v>
      </c>
      <c r="AK243" t="s">
        <v>61</v>
      </c>
    </row>
    <row r="244" spans="1:38" x14ac:dyDescent="0.25">
      <c r="A244">
        <v>2650861</v>
      </c>
      <c r="B244" t="s">
        <v>1019</v>
      </c>
      <c r="C244" t="s">
        <v>1020</v>
      </c>
      <c r="D244" t="s">
        <v>39</v>
      </c>
      <c r="E244" t="s">
        <v>49</v>
      </c>
      <c r="F244" t="s">
        <v>1021</v>
      </c>
      <c r="G244" t="s">
        <v>147</v>
      </c>
      <c r="H244">
        <v>35</v>
      </c>
      <c r="V244">
        <v>486584984</v>
      </c>
      <c r="X244">
        <v>473888092</v>
      </c>
      <c r="AC244" t="s">
        <v>1022</v>
      </c>
      <c r="AF244">
        <v>1002650861</v>
      </c>
      <c r="AG244">
        <v>737364</v>
      </c>
    </row>
    <row r="245" spans="1:38" x14ac:dyDescent="0.25">
      <c r="A245">
        <v>3927708</v>
      </c>
      <c r="B245" t="s">
        <v>1023</v>
      </c>
      <c r="C245" t="s">
        <v>1024</v>
      </c>
      <c r="D245" t="s">
        <v>39</v>
      </c>
      <c r="E245" t="s">
        <v>40</v>
      </c>
      <c r="F245" t="s">
        <v>1025</v>
      </c>
      <c r="G245" t="s">
        <v>448</v>
      </c>
      <c r="H245">
        <v>52</v>
      </c>
      <c r="I245">
        <v>8</v>
      </c>
      <c r="U245" t="s">
        <v>51</v>
      </c>
      <c r="V245" t="s">
        <v>1026</v>
      </c>
      <c r="W245" t="s">
        <v>53</v>
      </c>
      <c r="X245" t="s">
        <v>1027</v>
      </c>
      <c r="AC245" t="s">
        <v>1028</v>
      </c>
      <c r="AF245">
        <v>1003927708</v>
      </c>
      <c r="AG245">
        <v>752310</v>
      </c>
    </row>
    <row r="246" spans="1:38" x14ac:dyDescent="0.25">
      <c r="A246">
        <v>2182781</v>
      </c>
      <c r="B246" t="s">
        <v>1029</v>
      </c>
      <c r="C246" t="s">
        <v>1030</v>
      </c>
      <c r="D246" t="s">
        <v>39</v>
      </c>
      <c r="E246" t="s">
        <v>40</v>
      </c>
      <c r="F246" t="s">
        <v>1031</v>
      </c>
      <c r="G246" t="s">
        <v>1032</v>
      </c>
      <c r="H246">
        <v>68</v>
      </c>
      <c r="R246" t="s">
        <v>1033</v>
      </c>
      <c r="AF246">
        <v>1002182781</v>
      </c>
      <c r="AG246">
        <v>711210</v>
      </c>
    </row>
    <row r="247" spans="1:38" x14ac:dyDescent="0.25">
      <c r="A247">
        <v>2182786</v>
      </c>
      <c r="B247" t="s">
        <v>1029</v>
      </c>
      <c r="C247" t="s">
        <v>1034</v>
      </c>
      <c r="D247" t="s">
        <v>39</v>
      </c>
      <c r="E247" t="s">
        <v>40</v>
      </c>
      <c r="F247" t="s">
        <v>1035</v>
      </c>
      <c r="G247" t="s">
        <v>1032</v>
      </c>
      <c r="H247">
        <v>68</v>
      </c>
      <c r="AC247" t="s">
        <v>1036</v>
      </c>
      <c r="AF247">
        <v>1002182786</v>
      </c>
      <c r="AG247">
        <v>716405</v>
      </c>
      <c r="AL247" t="s">
        <v>62</v>
      </c>
    </row>
    <row r="248" spans="1:38" x14ac:dyDescent="0.25">
      <c r="A248">
        <v>7328300</v>
      </c>
      <c r="B248" t="s">
        <v>1037</v>
      </c>
      <c r="C248" t="s">
        <v>1038</v>
      </c>
      <c r="D248" t="s">
        <v>39</v>
      </c>
      <c r="E248" t="s">
        <v>49</v>
      </c>
      <c r="F248" t="s">
        <v>1039</v>
      </c>
      <c r="G248" t="s">
        <v>1040</v>
      </c>
      <c r="H248">
        <v>32</v>
      </c>
      <c r="U248" t="s">
        <v>51</v>
      </c>
      <c r="V248">
        <v>320477714035</v>
      </c>
      <c r="AE248" t="s">
        <v>1041</v>
      </c>
      <c r="AF248">
        <v>1007328300</v>
      </c>
      <c r="AJ248" t="s">
        <v>164</v>
      </c>
      <c r="AK248" t="s">
        <v>61</v>
      </c>
    </row>
    <row r="249" spans="1:38" x14ac:dyDescent="0.25">
      <c r="A249">
        <v>7328300</v>
      </c>
      <c r="B249" t="s">
        <v>1037</v>
      </c>
      <c r="C249" t="s">
        <v>1038</v>
      </c>
      <c r="D249" t="s">
        <v>39</v>
      </c>
      <c r="E249" t="s">
        <v>49</v>
      </c>
      <c r="F249" t="s">
        <v>1039</v>
      </c>
      <c r="G249" t="s">
        <v>1040</v>
      </c>
      <c r="H249">
        <v>32</v>
      </c>
      <c r="U249" t="s">
        <v>51</v>
      </c>
      <c r="V249">
        <v>320477714035</v>
      </c>
      <c r="AE249" t="s">
        <v>1041</v>
      </c>
      <c r="AF249">
        <v>1007328300</v>
      </c>
      <c r="AJ249" t="s">
        <v>87</v>
      </c>
      <c r="AK249" t="s">
        <v>61</v>
      </c>
    </row>
    <row r="250" spans="1:38" x14ac:dyDescent="0.25">
      <c r="A250">
        <v>9543039</v>
      </c>
      <c r="B250" t="s">
        <v>1042</v>
      </c>
      <c r="C250" t="s">
        <v>226</v>
      </c>
      <c r="D250" t="s">
        <v>39</v>
      </c>
      <c r="E250" t="s">
        <v>40</v>
      </c>
      <c r="F250" t="s">
        <v>1043</v>
      </c>
      <c r="G250" t="s">
        <v>1044</v>
      </c>
      <c r="H250">
        <v>13</v>
      </c>
      <c r="U250" t="s">
        <v>46</v>
      </c>
      <c r="V250" t="s">
        <v>1045</v>
      </c>
      <c r="AC250" t="s">
        <v>1046</v>
      </c>
      <c r="AF250">
        <v>1009543039</v>
      </c>
      <c r="AG250">
        <v>624753</v>
      </c>
      <c r="AJ250" t="s">
        <v>743</v>
      </c>
      <c r="AK250" t="s">
        <v>61</v>
      </c>
    </row>
    <row r="251" spans="1:38" x14ac:dyDescent="0.25">
      <c r="A251">
        <v>9357209</v>
      </c>
      <c r="B251" t="s">
        <v>1047</v>
      </c>
      <c r="C251" t="s">
        <v>1048</v>
      </c>
      <c r="D251" t="s">
        <v>39</v>
      </c>
      <c r="E251" t="s">
        <v>40</v>
      </c>
      <c r="F251" t="s">
        <v>1049</v>
      </c>
      <c r="G251" t="s">
        <v>1050</v>
      </c>
      <c r="H251">
        <v>3</v>
      </c>
      <c r="Q251" t="s">
        <v>51</v>
      </c>
      <c r="R251" t="s">
        <v>1051</v>
      </c>
      <c r="U251" t="s">
        <v>53</v>
      </c>
      <c r="V251">
        <v>32484679541</v>
      </c>
      <c r="W251" t="s">
        <v>51</v>
      </c>
      <c r="X251">
        <v>32496478968</v>
      </c>
      <c r="AB251" t="s">
        <v>1052</v>
      </c>
      <c r="AC251" t="s">
        <v>1053</v>
      </c>
      <c r="AF251">
        <v>1009357209</v>
      </c>
      <c r="AJ251" t="s">
        <v>744</v>
      </c>
      <c r="AK251" t="s">
        <v>61</v>
      </c>
    </row>
    <row r="252" spans="1:38" x14ac:dyDescent="0.25">
      <c r="A252">
        <v>9357209</v>
      </c>
      <c r="B252" t="s">
        <v>1047</v>
      </c>
      <c r="C252" t="s">
        <v>1048</v>
      </c>
      <c r="D252" t="s">
        <v>39</v>
      </c>
      <c r="E252" t="s">
        <v>40</v>
      </c>
      <c r="F252" t="s">
        <v>1049</v>
      </c>
      <c r="G252" t="s">
        <v>1050</v>
      </c>
      <c r="H252">
        <v>3</v>
      </c>
      <c r="Q252" t="s">
        <v>51</v>
      </c>
      <c r="R252" t="s">
        <v>1051</v>
      </c>
      <c r="U252" t="s">
        <v>53</v>
      </c>
      <c r="V252">
        <v>32484679541</v>
      </c>
      <c r="W252" t="s">
        <v>51</v>
      </c>
      <c r="X252">
        <v>32496478968</v>
      </c>
      <c r="AB252" t="s">
        <v>1052</v>
      </c>
      <c r="AC252" t="s">
        <v>1053</v>
      </c>
      <c r="AF252">
        <v>1009357209</v>
      </c>
      <c r="AJ252" t="s">
        <v>87</v>
      </c>
      <c r="AK252" t="s">
        <v>61</v>
      </c>
    </row>
    <row r="253" spans="1:38" x14ac:dyDescent="0.25">
      <c r="A253">
        <v>2668133</v>
      </c>
      <c r="B253" t="s">
        <v>1054</v>
      </c>
      <c r="C253" t="s">
        <v>827</v>
      </c>
      <c r="D253" t="s">
        <v>39</v>
      </c>
      <c r="E253" t="s">
        <v>40</v>
      </c>
      <c r="F253" t="s">
        <v>1055</v>
      </c>
      <c r="G253" t="s">
        <v>1056</v>
      </c>
      <c r="H253">
        <v>117</v>
      </c>
      <c r="AC253" t="s">
        <v>1057</v>
      </c>
      <c r="AF253">
        <v>1002668133</v>
      </c>
      <c r="AG253">
        <v>604348</v>
      </c>
    </row>
    <row r="254" spans="1:38" x14ac:dyDescent="0.25">
      <c r="A254">
        <v>2650916</v>
      </c>
      <c r="B254" t="s">
        <v>1054</v>
      </c>
      <c r="C254" t="s">
        <v>1058</v>
      </c>
      <c r="D254" t="s">
        <v>39</v>
      </c>
      <c r="E254" t="s">
        <v>49</v>
      </c>
      <c r="F254" t="s">
        <v>1059</v>
      </c>
      <c r="G254" t="s">
        <v>1060</v>
      </c>
      <c r="H254">
        <v>35</v>
      </c>
      <c r="Q254" t="s">
        <v>53</v>
      </c>
      <c r="R254" t="s">
        <v>1061</v>
      </c>
      <c r="V254" t="s">
        <v>1062</v>
      </c>
      <c r="X254" t="s">
        <v>1063</v>
      </c>
      <c r="AB254" t="s">
        <v>1064</v>
      </c>
      <c r="AC254" t="s">
        <v>1065</v>
      </c>
      <c r="AE254" t="s">
        <v>1066</v>
      </c>
      <c r="AF254">
        <v>1002650916</v>
      </c>
      <c r="AG254">
        <v>742234</v>
      </c>
      <c r="AJ254" t="s">
        <v>63</v>
      </c>
      <c r="AK254" t="s">
        <v>61</v>
      </c>
      <c r="AL254" t="s">
        <v>62</v>
      </c>
    </row>
    <row r="255" spans="1:38" x14ac:dyDescent="0.25">
      <c r="A255">
        <v>2650916</v>
      </c>
      <c r="B255" t="s">
        <v>1054</v>
      </c>
      <c r="C255" t="s">
        <v>1058</v>
      </c>
      <c r="D255" t="s">
        <v>39</v>
      </c>
      <c r="E255" t="s">
        <v>49</v>
      </c>
      <c r="F255" t="s">
        <v>1059</v>
      </c>
      <c r="G255" t="s">
        <v>1060</v>
      </c>
      <c r="H255">
        <v>35</v>
      </c>
      <c r="Q255" t="s">
        <v>53</v>
      </c>
      <c r="R255" t="s">
        <v>1061</v>
      </c>
      <c r="V255" t="s">
        <v>1062</v>
      </c>
      <c r="X255" t="s">
        <v>1063</v>
      </c>
      <c r="AB255" t="s">
        <v>1064</v>
      </c>
      <c r="AC255" t="s">
        <v>1065</v>
      </c>
      <c r="AE255" t="s">
        <v>1066</v>
      </c>
      <c r="AF255">
        <v>1002650916</v>
      </c>
      <c r="AG255">
        <v>742234</v>
      </c>
      <c r="AJ255" t="s">
        <v>127</v>
      </c>
      <c r="AK255" t="s">
        <v>61</v>
      </c>
    </row>
    <row r="256" spans="1:38" x14ac:dyDescent="0.25">
      <c r="A256">
        <v>6122653</v>
      </c>
      <c r="B256" t="s">
        <v>1067</v>
      </c>
      <c r="C256" t="s">
        <v>1068</v>
      </c>
      <c r="D256" t="s">
        <v>39</v>
      </c>
      <c r="E256" t="s">
        <v>40</v>
      </c>
      <c r="F256" t="s">
        <v>1069</v>
      </c>
      <c r="G256" t="s">
        <v>1070</v>
      </c>
      <c r="H256">
        <v>14</v>
      </c>
      <c r="Q256" t="s">
        <v>116</v>
      </c>
      <c r="R256" t="s">
        <v>1071</v>
      </c>
      <c r="AC256" t="s">
        <v>1072</v>
      </c>
      <c r="AD256">
        <v>11</v>
      </c>
      <c r="AF256">
        <v>1006122653</v>
      </c>
      <c r="AL256" t="s">
        <v>62</v>
      </c>
    </row>
    <row r="257" spans="1:38" x14ac:dyDescent="0.25">
      <c r="A257">
        <v>3884890</v>
      </c>
      <c r="B257" t="s">
        <v>1067</v>
      </c>
      <c r="C257" t="s">
        <v>837</v>
      </c>
      <c r="D257" t="s">
        <v>39</v>
      </c>
      <c r="E257" t="s">
        <v>40</v>
      </c>
      <c r="F257" t="s">
        <v>1073</v>
      </c>
      <c r="G257" t="s">
        <v>1070</v>
      </c>
      <c r="H257">
        <v>14</v>
      </c>
      <c r="Q257" t="s">
        <v>116</v>
      </c>
      <c r="R257" t="s">
        <v>1074</v>
      </c>
      <c r="AC257" t="s">
        <v>1075</v>
      </c>
      <c r="AE257" t="s">
        <v>1076</v>
      </c>
      <c r="AF257">
        <v>1003884890</v>
      </c>
      <c r="AJ257" t="s">
        <v>202</v>
      </c>
      <c r="AK257" t="s">
        <v>61</v>
      </c>
      <c r="AL257" t="s">
        <v>62</v>
      </c>
    </row>
    <row r="258" spans="1:38" x14ac:dyDescent="0.25">
      <c r="A258">
        <v>3884890</v>
      </c>
      <c r="B258" t="s">
        <v>1067</v>
      </c>
      <c r="C258" t="s">
        <v>837</v>
      </c>
      <c r="D258" t="s">
        <v>39</v>
      </c>
      <c r="E258" t="s">
        <v>40</v>
      </c>
      <c r="F258" t="s">
        <v>1073</v>
      </c>
      <c r="G258" t="s">
        <v>1070</v>
      </c>
      <c r="H258">
        <v>14</v>
      </c>
      <c r="Q258" t="s">
        <v>116</v>
      </c>
      <c r="R258" t="s">
        <v>1074</v>
      </c>
      <c r="AC258" t="s">
        <v>1075</v>
      </c>
      <c r="AE258" t="s">
        <v>1076</v>
      </c>
      <c r="AF258">
        <v>1003884890</v>
      </c>
      <c r="AJ258" t="s">
        <v>63</v>
      </c>
      <c r="AK258" t="s">
        <v>61</v>
      </c>
    </row>
    <row r="259" spans="1:38" x14ac:dyDescent="0.25">
      <c r="A259">
        <v>2182801</v>
      </c>
      <c r="B259" t="s">
        <v>1077</v>
      </c>
      <c r="C259" t="s">
        <v>1078</v>
      </c>
      <c r="D259" t="s">
        <v>39</v>
      </c>
      <c r="E259" t="s">
        <v>49</v>
      </c>
      <c r="F259" t="s">
        <v>1079</v>
      </c>
      <c r="G259" t="s">
        <v>1080</v>
      </c>
      <c r="H259">
        <v>18</v>
      </c>
      <c r="R259" t="s">
        <v>1081</v>
      </c>
      <c r="AF259">
        <v>1002182801</v>
      </c>
      <c r="AG259">
        <v>728182</v>
      </c>
    </row>
    <row r="260" spans="1:38" x14ac:dyDescent="0.25">
      <c r="A260">
        <v>7212696</v>
      </c>
      <c r="B260" t="s">
        <v>1082</v>
      </c>
      <c r="C260" t="s">
        <v>312</v>
      </c>
      <c r="D260" t="s">
        <v>39</v>
      </c>
      <c r="E260" t="s">
        <v>40</v>
      </c>
      <c r="F260" t="s">
        <v>1083</v>
      </c>
      <c r="G260" t="s">
        <v>581</v>
      </c>
      <c r="H260">
        <v>104</v>
      </c>
      <c r="Q260" t="s">
        <v>51</v>
      </c>
      <c r="R260" t="s">
        <v>1084</v>
      </c>
      <c r="U260" t="s">
        <v>53</v>
      </c>
      <c r="V260" t="s">
        <v>1085</v>
      </c>
      <c r="AC260" t="s">
        <v>1086</v>
      </c>
      <c r="AE260" t="s">
        <v>1087</v>
      </c>
      <c r="AF260">
        <v>1007212696</v>
      </c>
    </row>
    <row r="261" spans="1:38" x14ac:dyDescent="0.25">
      <c r="A261">
        <v>6106676</v>
      </c>
      <c r="B261" t="s">
        <v>1088</v>
      </c>
      <c r="C261" t="s">
        <v>1089</v>
      </c>
      <c r="D261" t="s">
        <v>39</v>
      </c>
      <c r="E261" t="s">
        <v>40</v>
      </c>
      <c r="F261" t="s">
        <v>1090</v>
      </c>
      <c r="G261" t="s">
        <v>1091</v>
      </c>
      <c r="H261">
        <v>20</v>
      </c>
      <c r="U261" t="s">
        <v>53</v>
      </c>
      <c r="V261" t="s">
        <v>1092</v>
      </c>
      <c r="AC261" t="s">
        <v>1093</v>
      </c>
      <c r="AE261" t="s">
        <v>1094</v>
      </c>
      <c r="AF261">
        <v>1006106676</v>
      </c>
      <c r="AG261">
        <v>763877</v>
      </c>
      <c r="AJ261" t="s">
        <v>83</v>
      </c>
      <c r="AK261" t="s">
        <v>61</v>
      </c>
      <c r="AL261" t="s">
        <v>62</v>
      </c>
    </row>
    <row r="262" spans="1:38" x14ac:dyDescent="0.25">
      <c r="A262">
        <v>6106676</v>
      </c>
      <c r="B262" t="s">
        <v>1088</v>
      </c>
      <c r="C262" t="s">
        <v>1089</v>
      </c>
      <c r="D262" t="s">
        <v>39</v>
      </c>
      <c r="E262" t="s">
        <v>40</v>
      </c>
      <c r="F262" t="s">
        <v>1090</v>
      </c>
      <c r="G262" t="s">
        <v>1091</v>
      </c>
      <c r="H262">
        <v>20</v>
      </c>
      <c r="U262" t="s">
        <v>53</v>
      </c>
      <c r="V262" t="s">
        <v>1092</v>
      </c>
      <c r="AC262" t="s">
        <v>1093</v>
      </c>
      <c r="AE262" t="s">
        <v>1094</v>
      </c>
      <c r="AF262">
        <v>1006106676</v>
      </c>
      <c r="AG262">
        <v>763877</v>
      </c>
      <c r="AJ262" t="s">
        <v>63</v>
      </c>
      <c r="AK262" t="s">
        <v>61</v>
      </c>
    </row>
    <row r="263" spans="1:38" x14ac:dyDescent="0.25">
      <c r="A263">
        <v>8412026</v>
      </c>
      <c r="B263" t="s">
        <v>1095</v>
      </c>
      <c r="C263" t="s">
        <v>1096</v>
      </c>
      <c r="D263" t="s">
        <v>39</v>
      </c>
      <c r="E263" t="s">
        <v>49</v>
      </c>
      <c r="F263" t="s">
        <v>1097</v>
      </c>
      <c r="G263" t="s">
        <v>683</v>
      </c>
      <c r="H263">
        <v>26</v>
      </c>
      <c r="U263" t="s">
        <v>51</v>
      </c>
      <c r="V263" t="s">
        <v>1098</v>
      </c>
      <c r="AC263" t="s">
        <v>1099</v>
      </c>
      <c r="AF263">
        <v>1008412026</v>
      </c>
      <c r="AJ263" t="s">
        <v>174</v>
      </c>
      <c r="AK263" t="s">
        <v>61</v>
      </c>
    </row>
    <row r="264" spans="1:38" x14ac:dyDescent="0.25">
      <c r="A264">
        <v>2650836</v>
      </c>
      <c r="B264" t="s">
        <v>1095</v>
      </c>
      <c r="C264" t="s">
        <v>558</v>
      </c>
      <c r="D264" t="s">
        <v>39</v>
      </c>
      <c r="E264" t="s">
        <v>40</v>
      </c>
      <c r="F264" t="s">
        <v>1100</v>
      </c>
      <c r="G264" t="s">
        <v>1101</v>
      </c>
      <c r="H264">
        <v>6</v>
      </c>
      <c r="V264">
        <v>4731881534</v>
      </c>
      <c r="X264">
        <v>479793824</v>
      </c>
      <c r="AF264">
        <v>1002650836</v>
      </c>
      <c r="AG264">
        <v>740066</v>
      </c>
    </row>
    <row r="265" spans="1:38" x14ac:dyDescent="0.25">
      <c r="A265">
        <v>4309504</v>
      </c>
      <c r="B265" t="s">
        <v>1095</v>
      </c>
      <c r="C265" t="s">
        <v>622</v>
      </c>
      <c r="D265" t="s">
        <v>39</v>
      </c>
      <c r="E265" t="s">
        <v>40</v>
      </c>
      <c r="F265" t="s">
        <v>1102</v>
      </c>
      <c r="G265" t="s">
        <v>1103</v>
      </c>
      <c r="H265">
        <v>116</v>
      </c>
      <c r="U265" t="s">
        <v>53</v>
      </c>
      <c r="V265" t="s">
        <v>1104</v>
      </c>
      <c r="AF265">
        <v>1004309504</v>
      </c>
    </row>
    <row r="266" spans="1:38" x14ac:dyDescent="0.25">
      <c r="A266">
        <v>2182816</v>
      </c>
      <c r="B266" t="s">
        <v>1095</v>
      </c>
      <c r="C266" t="s">
        <v>1105</v>
      </c>
      <c r="D266" t="s">
        <v>39</v>
      </c>
      <c r="E266" t="s">
        <v>40</v>
      </c>
      <c r="F266" t="s">
        <v>1106</v>
      </c>
      <c r="G266" t="s">
        <v>778</v>
      </c>
      <c r="H266">
        <v>47</v>
      </c>
      <c r="Q266" t="s">
        <v>51</v>
      </c>
      <c r="R266" t="s">
        <v>1107</v>
      </c>
      <c r="V266">
        <v>478347087</v>
      </c>
      <c r="W266" t="s">
        <v>51</v>
      </c>
      <c r="X266">
        <v>32470540240</v>
      </c>
      <c r="AE266" t="s">
        <v>1108</v>
      </c>
      <c r="AF266">
        <v>1002182816</v>
      </c>
      <c r="AG266">
        <v>718781</v>
      </c>
      <c r="AJ266" t="s">
        <v>202</v>
      </c>
      <c r="AK266" t="s">
        <v>61</v>
      </c>
      <c r="AL266" t="s">
        <v>62</v>
      </c>
    </row>
    <row r="267" spans="1:38" x14ac:dyDescent="0.25">
      <c r="A267">
        <v>2182816</v>
      </c>
      <c r="B267" t="s">
        <v>1095</v>
      </c>
      <c r="C267" t="s">
        <v>1105</v>
      </c>
      <c r="D267" t="s">
        <v>39</v>
      </c>
      <c r="E267" t="s">
        <v>40</v>
      </c>
      <c r="F267" t="s">
        <v>1106</v>
      </c>
      <c r="G267" t="s">
        <v>778</v>
      </c>
      <c r="H267">
        <v>47</v>
      </c>
      <c r="Q267" t="s">
        <v>51</v>
      </c>
      <c r="R267" t="s">
        <v>1107</v>
      </c>
      <c r="V267">
        <v>478347087</v>
      </c>
      <c r="W267" t="s">
        <v>51</v>
      </c>
      <c r="X267">
        <v>32470540240</v>
      </c>
      <c r="AE267" t="s">
        <v>1108</v>
      </c>
      <c r="AF267">
        <v>1002182816</v>
      </c>
      <c r="AG267">
        <v>718781</v>
      </c>
      <c r="AJ267" t="s">
        <v>63</v>
      </c>
      <c r="AK267" t="s">
        <v>61</v>
      </c>
    </row>
    <row r="268" spans="1:38" x14ac:dyDescent="0.25">
      <c r="A268">
        <v>11244594</v>
      </c>
      <c r="B268" t="s">
        <v>1095</v>
      </c>
      <c r="C268" t="s">
        <v>1109</v>
      </c>
      <c r="D268" t="s">
        <v>39</v>
      </c>
      <c r="E268" t="s">
        <v>40</v>
      </c>
      <c r="F268" t="s">
        <v>1110</v>
      </c>
      <c r="G268" t="s">
        <v>778</v>
      </c>
      <c r="H268">
        <v>47</v>
      </c>
      <c r="V268" t="s">
        <v>1111</v>
      </c>
      <c r="AC268" t="s">
        <v>1112</v>
      </c>
      <c r="AF268">
        <v>1011244594</v>
      </c>
      <c r="AG268">
        <v>758055</v>
      </c>
    </row>
    <row r="269" spans="1:38" x14ac:dyDescent="0.25">
      <c r="A269">
        <v>2182821</v>
      </c>
      <c r="B269" t="s">
        <v>1113</v>
      </c>
      <c r="C269" t="s">
        <v>1114</v>
      </c>
      <c r="D269" t="s">
        <v>39</v>
      </c>
      <c r="E269" t="s">
        <v>49</v>
      </c>
      <c r="F269" t="s">
        <v>1115</v>
      </c>
      <c r="G269" t="s">
        <v>1116</v>
      </c>
      <c r="H269">
        <v>47</v>
      </c>
      <c r="AF269">
        <v>1002182821</v>
      </c>
    </row>
    <row r="270" spans="1:38" x14ac:dyDescent="0.25">
      <c r="A270">
        <v>8620057</v>
      </c>
      <c r="B270" t="s">
        <v>1117</v>
      </c>
      <c r="C270" t="s">
        <v>481</v>
      </c>
      <c r="D270" t="s">
        <v>39</v>
      </c>
      <c r="E270" t="s">
        <v>40</v>
      </c>
      <c r="F270" t="s">
        <v>1118</v>
      </c>
      <c r="G270" t="s">
        <v>238</v>
      </c>
      <c r="H270">
        <v>59</v>
      </c>
      <c r="Q270" t="s">
        <v>51</v>
      </c>
      <c r="R270" t="s">
        <v>1119</v>
      </c>
      <c r="U270" t="s">
        <v>53</v>
      </c>
      <c r="V270" t="s">
        <v>1120</v>
      </c>
      <c r="W270" t="s">
        <v>51</v>
      </c>
      <c r="X270" t="s">
        <v>1121</v>
      </c>
      <c r="AF270">
        <v>1008620057</v>
      </c>
      <c r="AJ270" t="s">
        <v>75</v>
      </c>
      <c r="AK270" t="s">
        <v>61</v>
      </c>
    </row>
    <row r="271" spans="1:38" x14ac:dyDescent="0.25">
      <c r="A271">
        <v>8620057</v>
      </c>
      <c r="B271" t="s">
        <v>1117</v>
      </c>
      <c r="C271" t="s">
        <v>481</v>
      </c>
      <c r="D271" t="s">
        <v>39</v>
      </c>
      <c r="E271" t="s">
        <v>40</v>
      </c>
      <c r="F271" t="s">
        <v>1118</v>
      </c>
      <c r="G271" t="s">
        <v>238</v>
      </c>
      <c r="H271">
        <v>59</v>
      </c>
      <c r="Q271" t="s">
        <v>51</v>
      </c>
      <c r="R271" t="s">
        <v>1119</v>
      </c>
      <c r="U271" t="s">
        <v>53</v>
      </c>
      <c r="V271" t="s">
        <v>1120</v>
      </c>
      <c r="W271" t="s">
        <v>51</v>
      </c>
      <c r="X271" t="s">
        <v>1121</v>
      </c>
      <c r="AF271">
        <v>1008620057</v>
      </c>
      <c r="AJ271" t="s">
        <v>63</v>
      </c>
      <c r="AK271" t="s">
        <v>61</v>
      </c>
    </row>
    <row r="272" spans="1:38" x14ac:dyDescent="0.25">
      <c r="A272">
        <v>6106680</v>
      </c>
      <c r="B272" t="s">
        <v>1122</v>
      </c>
      <c r="C272" t="s">
        <v>1123</v>
      </c>
      <c r="D272" t="s">
        <v>39</v>
      </c>
      <c r="E272" t="s">
        <v>49</v>
      </c>
      <c r="F272" t="s">
        <v>1124</v>
      </c>
      <c r="Q272" t="s">
        <v>53</v>
      </c>
      <c r="R272" t="s">
        <v>1125</v>
      </c>
      <c r="U272" t="s">
        <v>51</v>
      </c>
      <c r="V272" t="s">
        <v>1126</v>
      </c>
      <c r="AF272">
        <v>1006106680</v>
      </c>
    </row>
    <row r="273" spans="1:38" x14ac:dyDescent="0.25">
      <c r="A273">
        <v>8620049</v>
      </c>
      <c r="B273" t="s">
        <v>1127</v>
      </c>
      <c r="C273" t="s">
        <v>1128</v>
      </c>
      <c r="D273" t="s">
        <v>39</v>
      </c>
      <c r="E273" t="s">
        <v>40</v>
      </c>
      <c r="F273" t="s">
        <v>1129</v>
      </c>
      <c r="U273" t="s">
        <v>53</v>
      </c>
      <c r="V273" t="s">
        <v>1130</v>
      </c>
      <c r="AF273">
        <v>1008620049</v>
      </c>
    </row>
    <row r="274" spans="1:38" x14ac:dyDescent="0.25">
      <c r="A274">
        <v>7790378</v>
      </c>
      <c r="B274" t="s">
        <v>1131</v>
      </c>
      <c r="C274" t="s">
        <v>1132</v>
      </c>
      <c r="D274" t="s">
        <v>39</v>
      </c>
      <c r="E274" t="s">
        <v>40</v>
      </c>
      <c r="F274" t="s">
        <v>1133</v>
      </c>
      <c r="G274" t="s">
        <v>114</v>
      </c>
      <c r="H274">
        <v>68</v>
      </c>
      <c r="Q274" t="s">
        <v>53</v>
      </c>
      <c r="R274" t="s">
        <v>1134</v>
      </c>
      <c r="V274" t="s">
        <v>1135</v>
      </c>
      <c r="AF274">
        <v>1007790378</v>
      </c>
    </row>
    <row r="275" spans="1:38" x14ac:dyDescent="0.25">
      <c r="A275">
        <v>2182826</v>
      </c>
      <c r="B275" t="s">
        <v>1136</v>
      </c>
      <c r="C275" t="s">
        <v>1137</v>
      </c>
      <c r="D275" t="s">
        <v>39</v>
      </c>
      <c r="E275" t="s">
        <v>40</v>
      </c>
      <c r="F275" t="s">
        <v>1138</v>
      </c>
      <c r="G275" t="s">
        <v>290</v>
      </c>
      <c r="H275">
        <v>59</v>
      </c>
      <c r="R275" t="s">
        <v>1140</v>
      </c>
      <c r="T275" t="s">
        <v>1141</v>
      </c>
      <c r="V275">
        <v>320468292174</v>
      </c>
      <c r="AC275" t="s">
        <v>1142</v>
      </c>
      <c r="AF275">
        <v>1002182826</v>
      </c>
      <c r="AG275">
        <v>658022</v>
      </c>
      <c r="AJ275" t="s">
        <v>483</v>
      </c>
      <c r="AK275" t="s">
        <v>61</v>
      </c>
    </row>
    <row r="276" spans="1:38" x14ac:dyDescent="0.25">
      <c r="A276">
        <v>2182831</v>
      </c>
      <c r="B276" t="s">
        <v>1136</v>
      </c>
      <c r="C276" t="s">
        <v>1143</v>
      </c>
      <c r="D276" t="s">
        <v>39</v>
      </c>
      <c r="E276" t="s">
        <v>40</v>
      </c>
      <c r="F276" t="s">
        <v>1144</v>
      </c>
      <c r="G276" t="s">
        <v>944</v>
      </c>
      <c r="H276">
        <v>42</v>
      </c>
      <c r="U276" t="s">
        <v>46</v>
      </c>
      <c r="V276" t="s">
        <v>1145</v>
      </c>
      <c r="AB276" t="s">
        <v>1146</v>
      </c>
      <c r="AC276" t="s">
        <v>1147</v>
      </c>
      <c r="AF276">
        <v>1002182831</v>
      </c>
      <c r="AG276">
        <v>50455</v>
      </c>
      <c r="AJ276" t="s">
        <v>63</v>
      </c>
      <c r="AK276" t="s">
        <v>65</v>
      </c>
      <c r="AL276" t="s">
        <v>620</v>
      </c>
    </row>
    <row r="277" spans="1:38" x14ac:dyDescent="0.25">
      <c r="A277">
        <v>2182831</v>
      </c>
      <c r="B277" t="s">
        <v>1136</v>
      </c>
      <c r="C277" t="s">
        <v>1143</v>
      </c>
      <c r="D277" t="s">
        <v>39</v>
      </c>
      <c r="E277" t="s">
        <v>40</v>
      </c>
      <c r="F277" t="s">
        <v>1144</v>
      </c>
      <c r="G277" t="s">
        <v>944</v>
      </c>
      <c r="H277">
        <v>42</v>
      </c>
      <c r="U277" t="s">
        <v>46</v>
      </c>
      <c r="V277" t="s">
        <v>1145</v>
      </c>
      <c r="AB277" t="s">
        <v>1146</v>
      </c>
      <c r="AC277" t="s">
        <v>1147</v>
      </c>
      <c r="AF277">
        <v>1002182831</v>
      </c>
      <c r="AG277">
        <v>50455</v>
      </c>
      <c r="AJ277" t="s">
        <v>295</v>
      </c>
      <c r="AK277" t="s">
        <v>65</v>
      </c>
    </row>
    <row r="278" spans="1:38" x14ac:dyDescent="0.25">
      <c r="A278">
        <v>2182831</v>
      </c>
      <c r="B278" t="s">
        <v>1136</v>
      </c>
      <c r="C278" t="s">
        <v>1143</v>
      </c>
      <c r="D278" t="s">
        <v>39</v>
      </c>
      <c r="E278" t="s">
        <v>40</v>
      </c>
      <c r="F278" t="s">
        <v>1144</v>
      </c>
      <c r="G278" t="s">
        <v>944</v>
      </c>
      <c r="H278">
        <v>42</v>
      </c>
      <c r="U278" t="s">
        <v>46</v>
      </c>
      <c r="V278" t="s">
        <v>1145</v>
      </c>
      <c r="AB278" t="s">
        <v>1146</v>
      </c>
      <c r="AC278" t="s">
        <v>1147</v>
      </c>
      <c r="AF278">
        <v>1002182831</v>
      </c>
      <c r="AG278">
        <v>50455</v>
      </c>
      <c r="AJ278" t="s">
        <v>87</v>
      </c>
      <c r="AK278" t="s">
        <v>65</v>
      </c>
    </row>
    <row r="279" spans="1:38" x14ac:dyDescent="0.25">
      <c r="A279">
        <v>2182831</v>
      </c>
      <c r="B279" t="s">
        <v>1136</v>
      </c>
      <c r="C279" t="s">
        <v>1143</v>
      </c>
      <c r="D279" t="s">
        <v>39</v>
      </c>
      <c r="E279" t="s">
        <v>40</v>
      </c>
      <c r="F279" t="s">
        <v>1144</v>
      </c>
      <c r="G279" t="s">
        <v>944</v>
      </c>
      <c r="H279">
        <v>42</v>
      </c>
      <c r="U279" t="s">
        <v>46</v>
      </c>
      <c r="V279" t="s">
        <v>1145</v>
      </c>
      <c r="AB279" t="s">
        <v>1146</v>
      </c>
      <c r="AC279" t="s">
        <v>1147</v>
      </c>
      <c r="AF279">
        <v>1002182831</v>
      </c>
      <c r="AG279">
        <v>50455</v>
      </c>
      <c r="AJ279" t="s">
        <v>323</v>
      </c>
      <c r="AK279" t="s">
        <v>65</v>
      </c>
    </row>
    <row r="280" spans="1:38" x14ac:dyDescent="0.25">
      <c r="A280">
        <v>2182831</v>
      </c>
      <c r="B280" t="s">
        <v>1136</v>
      </c>
      <c r="C280" t="s">
        <v>1143</v>
      </c>
      <c r="D280" t="s">
        <v>39</v>
      </c>
      <c r="E280" t="s">
        <v>40</v>
      </c>
      <c r="F280" t="s">
        <v>1144</v>
      </c>
      <c r="G280" t="s">
        <v>944</v>
      </c>
      <c r="H280">
        <v>42</v>
      </c>
      <c r="U280" t="s">
        <v>46</v>
      </c>
      <c r="V280" t="s">
        <v>1145</v>
      </c>
      <c r="AB280" t="s">
        <v>1146</v>
      </c>
      <c r="AC280" t="s">
        <v>1147</v>
      </c>
      <c r="AF280">
        <v>1002182831</v>
      </c>
      <c r="AG280">
        <v>50455</v>
      </c>
      <c r="AJ280" t="s">
        <v>104</v>
      </c>
      <c r="AK280" t="s">
        <v>65</v>
      </c>
    </row>
    <row r="281" spans="1:38" x14ac:dyDescent="0.25">
      <c r="A281">
        <v>2182836</v>
      </c>
      <c r="B281" t="s">
        <v>1136</v>
      </c>
      <c r="C281" t="s">
        <v>641</v>
      </c>
      <c r="D281" t="s">
        <v>39</v>
      </c>
      <c r="E281" t="s">
        <v>40</v>
      </c>
      <c r="F281" t="s">
        <v>1148</v>
      </c>
      <c r="G281" t="s">
        <v>290</v>
      </c>
      <c r="H281">
        <v>59</v>
      </c>
      <c r="AF281">
        <v>1002182836</v>
      </c>
      <c r="AG281">
        <v>702229</v>
      </c>
    </row>
    <row r="282" spans="1:38" x14ac:dyDescent="0.25">
      <c r="A282">
        <v>2182841</v>
      </c>
      <c r="B282" t="s">
        <v>1136</v>
      </c>
      <c r="C282" t="s">
        <v>558</v>
      </c>
      <c r="D282" t="s">
        <v>39</v>
      </c>
      <c r="E282" t="s">
        <v>40</v>
      </c>
      <c r="F282" t="s">
        <v>1138</v>
      </c>
      <c r="G282" t="s">
        <v>290</v>
      </c>
      <c r="H282">
        <v>59</v>
      </c>
      <c r="AA282">
        <v>320468250844</v>
      </c>
      <c r="AC282" t="s">
        <v>1149</v>
      </c>
      <c r="AD282">
        <v>4</v>
      </c>
      <c r="AF282">
        <v>1002182841</v>
      </c>
      <c r="AG282">
        <v>660481</v>
      </c>
      <c r="AJ282" t="s">
        <v>483</v>
      </c>
      <c r="AK282" t="s">
        <v>61</v>
      </c>
    </row>
    <row r="283" spans="1:38" x14ac:dyDescent="0.25">
      <c r="A283">
        <v>2650946</v>
      </c>
      <c r="B283" t="s">
        <v>1150</v>
      </c>
      <c r="C283" t="s">
        <v>1151</v>
      </c>
      <c r="D283" t="s">
        <v>39</v>
      </c>
      <c r="E283" t="s">
        <v>40</v>
      </c>
      <c r="F283" t="s">
        <v>1152</v>
      </c>
      <c r="G283" t="s">
        <v>141</v>
      </c>
      <c r="H283">
        <v>42</v>
      </c>
      <c r="U283" t="s">
        <v>51</v>
      </c>
      <c r="V283" t="s">
        <v>1153</v>
      </c>
      <c r="AC283" t="s">
        <v>1154</v>
      </c>
      <c r="AF283">
        <v>1002650946</v>
      </c>
      <c r="AG283">
        <v>742181</v>
      </c>
    </row>
    <row r="284" spans="1:38" x14ac:dyDescent="0.25">
      <c r="A284">
        <v>2650816</v>
      </c>
      <c r="B284" t="s">
        <v>1155</v>
      </c>
      <c r="C284" t="s">
        <v>1156</v>
      </c>
      <c r="D284" t="s">
        <v>39</v>
      </c>
      <c r="E284" t="s">
        <v>40</v>
      </c>
      <c r="F284" t="s">
        <v>1157</v>
      </c>
      <c r="V284">
        <v>0</v>
      </c>
      <c r="X284">
        <v>0</v>
      </c>
      <c r="Z284">
        <v>0</v>
      </c>
      <c r="AA284">
        <v>0</v>
      </c>
      <c r="AE284" t="s">
        <v>1158</v>
      </c>
      <c r="AF284">
        <v>1002650816</v>
      </c>
      <c r="AG284">
        <v>739985</v>
      </c>
    </row>
    <row r="285" spans="1:38" x14ac:dyDescent="0.25">
      <c r="A285">
        <v>4196380</v>
      </c>
      <c r="B285" t="s">
        <v>1159</v>
      </c>
      <c r="C285" t="s">
        <v>1160</v>
      </c>
      <c r="D285" t="s">
        <v>39</v>
      </c>
      <c r="E285" t="s">
        <v>40</v>
      </c>
      <c r="F285" t="s">
        <v>1161</v>
      </c>
      <c r="G285" t="s">
        <v>1162</v>
      </c>
      <c r="H285">
        <v>17</v>
      </c>
      <c r="U285" t="s">
        <v>46</v>
      </c>
      <c r="V285">
        <v>320499754251</v>
      </c>
      <c r="X285">
        <v>0</v>
      </c>
      <c r="Z285">
        <v>0</v>
      </c>
      <c r="AA285">
        <v>0</v>
      </c>
      <c r="AC285" t="s">
        <v>1163</v>
      </c>
      <c r="AF285">
        <v>1004196380</v>
      </c>
      <c r="AG285">
        <v>633923</v>
      </c>
      <c r="AJ285" t="s">
        <v>743</v>
      </c>
      <c r="AK285" t="s">
        <v>61</v>
      </c>
    </row>
    <row r="286" spans="1:38" x14ac:dyDescent="0.25">
      <c r="A286">
        <v>2668132</v>
      </c>
      <c r="B286" t="s">
        <v>1164</v>
      </c>
      <c r="C286" t="s">
        <v>1165</v>
      </c>
      <c r="D286" t="s">
        <v>39</v>
      </c>
      <c r="E286" t="s">
        <v>40</v>
      </c>
      <c r="F286" t="s">
        <v>1166</v>
      </c>
      <c r="G286" t="s">
        <v>1167</v>
      </c>
      <c r="H286">
        <v>28</v>
      </c>
      <c r="V286">
        <v>32478510919</v>
      </c>
      <c r="W286" t="s">
        <v>46</v>
      </c>
      <c r="X286">
        <v>32478510919</v>
      </c>
      <c r="AC286" t="s">
        <v>1168</v>
      </c>
      <c r="AF286">
        <v>1002668132</v>
      </c>
    </row>
    <row r="287" spans="1:38" x14ac:dyDescent="0.25">
      <c r="A287">
        <v>3239965</v>
      </c>
      <c r="B287" t="s">
        <v>1169</v>
      </c>
      <c r="C287" t="s">
        <v>1170</v>
      </c>
      <c r="D287" t="s">
        <v>39</v>
      </c>
      <c r="E287" t="s">
        <v>40</v>
      </c>
      <c r="F287" t="s">
        <v>1171</v>
      </c>
      <c r="G287" t="s">
        <v>1080</v>
      </c>
      <c r="H287">
        <v>34</v>
      </c>
      <c r="Q287" t="s">
        <v>430</v>
      </c>
      <c r="R287" t="s">
        <v>1172</v>
      </c>
      <c r="U287" t="s">
        <v>46</v>
      </c>
      <c r="V287">
        <v>32479044986</v>
      </c>
      <c r="AC287" t="s">
        <v>1173</v>
      </c>
      <c r="AE287" t="s">
        <v>1174</v>
      </c>
      <c r="AF287">
        <v>1003239965</v>
      </c>
      <c r="AG287">
        <v>658023</v>
      </c>
      <c r="AJ287" t="s">
        <v>179</v>
      </c>
      <c r="AK287" t="s">
        <v>61</v>
      </c>
    </row>
    <row r="288" spans="1:38" x14ac:dyDescent="0.25">
      <c r="A288">
        <v>2934223</v>
      </c>
      <c r="B288" t="s">
        <v>1175</v>
      </c>
      <c r="C288" t="s">
        <v>1176</v>
      </c>
      <c r="D288" t="s">
        <v>39</v>
      </c>
      <c r="E288" t="s">
        <v>49</v>
      </c>
      <c r="F288" t="s">
        <v>1177</v>
      </c>
      <c r="G288" t="s">
        <v>1178</v>
      </c>
      <c r="H288">
        <v>9</v>
      </c>
      <c r="U288" t="s">
        <v>53</v>
      </c>
      <c r="V288">
        <v>491630065</v>
      </c>
      <c r="AF288">
        <v>1002934223</v>
      </c>
    </row>
    <row r="289" spans="1:37" x14ac:dyDescent="0.25">
      <c r="A289">
        <v>3050631</v>
      </c>
      <c r="B289" t="s">
        <v>1179</v>
      </c>
      <c r="C289" t="s">
        <v>1180</v>
      </c>
      <c r="D289" t="s">
        <v>39</v>
      </c>
      <c r="E289" t="s">
        <v>40</v>
      </c>
      <c r="F289" t="s">
        <v>1181</v>
      </c>
      <c r="G289" t="s">
        <v>1182</v>
      </c>
      <c r="H289">
        <v>62</v>
      </c>
      <c r="U289" t="s">
        <v>46</v>
      </c>
      <c r="V289">
        <v>320497937319</v>
      </c>
      <c r="AC289" t="s">
        <v>1183</v>
      </c>
      <c r="AF289">
        <v>1003050631</v>
      </c>
      <c r="AG289">
        <v>660243</v>
      </c>
    </row>
    <row r="290" spans="1:37" x14ac:dyDescent="0.25">
      <c r="A290">
        <v>2934216</v>
      </c>
      <c r="B290" t="s">
        <v>1184</v>
      </c>
      <c r="C290" t="s">
        <v>1185</v>
      </c>
      <c r="D290" t="s">
        <v>39</v>
      </c>
      <c r="E290" t="s">
        <v>49</v>
      </c>
      <c r="F290" t="s">
        <v>1186</v>
      </c>
      <c r="G290" t="s">
        <v>1187</v>
      </c>
      <c r="H290">
        <v>14</v>
      </c>
      <c r="U290" t="s">
        <v>53</v>
      </c>
      <c r="V290" t="s">
        <v>1188</v>
      </c>
      <c r="AC290" t="s">
        <v>1189</v>
      </c>
      <c r="AE290" t="s">
        <v>1190</v>
      </c>
      <c r="AF290">
        <v>1002934216</v>
      </c>
      <c r="AG290">
        <v>732388</v>
      </c>
    </row>
    <row r="291" spans="1:37" x14ac:dyDescent="0.25">
      <c r="A291">
        <v>10715676</v>
      </c>
      <c r="B291" t="s">
        <v>1191</v>
      </c>
      <c r="C291" t="s">
        <v>1192</v>
      </c>
      <c r="D291" t="s">
        <v>39</v>
      </c>
      <c r="E291" t="s">
        <v>40</v>
      </c>
      <c r="F291" t="s">
        <v>1193</v>
      </c>
      <c r="G291" t="s">
        <v>1194</v>
      </c>
      <c r="H291" t="s">
        <v>1195</v>
      </c>
      <c r="Q291" t="s">
        <v>51</v>
      </c>
      <c r="R291" t="s">
        <v>1196</v>
      </c>
      <c r="V291" t="s">
        <v>1197</v>
      </c>
      <c r="AF291">
        <v>1010715676</v>
      </c>
      <c r="AJ291" t="s">
        <v>442</v>
      </c>
      <c r="AK291" t="s">
        <v>61</v>
      </c>
    </row>
    <row r="292" spans="1:37" x14ac:dyDescent="0.25">
      <c r="A292">
        <v>7664262</v>
      </c>
      <c r="B292" t="s">
        <v>1191</v>
      </c>
      <c r="C292" t="s">
        <v>1198</v>
      </c>
      <c r="D292" t="s">
        <v>39</v>
      </c>
      <c r="E292" t="s">
        <v>40</v>
      </c>
      <c r="F292" t="s">
        <v>1199</v>
      </c>
      <c r="G292" t="s">
        <v>1194</v>
      </c>
      <c r="H292" t="s">
        <v>1195</v>
      </c>
      <c r="Q292" t="s">
        <v>51</v>
      </c>
      <c r="R292" t="s">
        <v>1196</v>
      </c>
      <c r="V292" t="s">
        <v>1200</v>
      </c>
      <c r="X292">
        <v>0</v>
      </c>
      <c r="Z292">
        <v>0</v>
      </c>
      <c r="AA292">
        <v>0</v>
      </c>
      <c r="AE292" t="s">
        <v>1201</v>
      </c>
      <c r="AF292">
        <v>1007664262</v>
      </c>
    </row>
    <row r="293" spans="1:37" x14ac:dyDescent="0.25">
      <c r="A293">
        <v>2182846</v>
      </c>
      <c r="B293" t="s">
        <v>1202</v>
      </c>
      <c r="C293" t="s">
        <v>1203</v>
      </c>
      <c r="D293" t="s">
        <v>39</v>
      </c>
      <c r="E293" t="s">
        <v>40</v>
      </c>
      <c r="F293" t="s">
        <v>1204</v>
      </c>
      <c r="G293" t="s">
        <v>1205</v>
      </c>
      <c r="H293">
        <v>11</v>
      </c>
      <c r="AC293" t="s">
        <v>1206</v>
      </c>
      <c r="AF293">
        <v>1002182846</v>
      </c>
    </row>
    <row r="294" spans="1:37" x14ac:dyDescent="0.25">
      <c r="A294">
        <v>8620046</v>
      </c>
      <c r="B294" t="s">
        <v>1207</v>
      </c>
      <c r="C294" t="s">
        <v>1208</v>
      </c>
      <c r="D294" t="s">
        <v>39</v>
      </c>
      <c r="E294" t="s">
        <v>40</v>
      </c>
      <c r="F294" t="s">
        <v>1209</v>
      </c>
      <c r="U294" t="s">
        <v>51</v>
      </c>
      <c r="V294" t="s">
        <v>1210</v>
      </c>
      <c r="AF294">
        <v>1008620046</v>
      </c>
      <c r="AJ294" t="s">
        <v>143</v>
      </c>
      <c r="AK294" t="s">
        <v>61</v>
      </c>
    </row>
    <row r="295" spans="1:37" x14ac:dyDescent="0.25">
      <c r="A295">
        <v>2182861</v>
      </c>
      <c r="B295" t="s">
        <v>1211</v>
      </c>
      <c r="C295" t="s">
        <v>1212</v>
      </c>
      <c r="D295" t="s">
        <v>39</v>
      </c>
      <c r="E295" t="s">
        <v>40</v>
      </c>
      <c r="F295" t="s">
        <v>1213</v>
      </c>
      <c r="G295" t="s">
        <v>69</v>
      </c>
      <c r="H295">
        <v>161</v>
      </c>
      <c r="AC295" t="s">
        <v>1214</v>
      </c>
      <c r="AF295">
        <v>1002182861</v>
      </c>
      <c r="AG295">
        <v>644666</v>
      </c>
    </row>
    <row r="296" spans="1:37" x14ac:dyDescent="0.25">
      <c r="A296">
        <v>9680213</v>
      </c>
      <c r="B296" t="s">
        <v>1211</v>
      </c>
      <c r="C296" t="s">
        <v>250</v>
      </c>
      <c r="D296" t="s">
        <v>39</v>
      </c>
      <c r="E296" t="s">
        <v>40</v>
      </c>
      <c r="F296" t="s">
        <v>1215</v>
      </c>
      <c r="G296" t="s">
        <v>1216</v>
      </c>
      <c r="H296">
        <v>88</v>
      </c>
      <c r="I296" t="s">
        <v>624</v>
      </c>
      <c r="Q296" t="s">
        <v>53</v>
      </c>
      <c r="R296" t="s">
        <v>1217</v>
      </c>
      <c r="V296" t="s">
        <v>1218</v>
      </c>
      <c r="AF296">
        <v>1009680213</v>
      </c>
      <c r="AJ296" t="s">
        <v>192</v>
      </c>
      <c r="AK296" t="s">
        <v>61</v>
      </c>
    </row>
    <row r="297" spans="1:37" x14ac:dyDescent="0.25">
      <c r="A297">
        <v>2182866</v>
      </c>
      <c r="B297" t="s">
        <v>1219</v>
      </c>
      <c r="C297" t="s">
        <v>537</v>
      </c>
      <c r="D297" t="s">
        <v>39</v>
      </c>
      <c r="E297" t="s">
        <v>40</v>
      </c>
      <c r="F297" t="s">
        <v>1220</v>
      </c>
      <c r="G297" t="s">
        <v>994</v>
      </c>
      <c r="H297">
        <v>10</v>
      </c>
      <c r="V297" t="s">
        <v>1221</v>
      </c>
      <c r="AF297">
        <v>1002182866</v>
      </c>
      <c r="AG297">
        <v>708296</v>
      </c>
    </row>
    <row r="298" spans="1:37" x14ac:dyDescent="0.25">
      <c r="A298">
        <v>5748750</v>
      </c>
      <c r="B298" t="s">
        <v>1222</v>
      </c>
      <c r="C298" t="s">
        <v>1223</v>
      </c>
      <c r="D298" t="s">
        <v>39</v>
      </c>
      <c r="E298" t="s">
        <v>40</v>
      </c>
      <c r="F298" t="s">
        <v>1224</v>
      </c>
      <c r="G298" t="s">
        <v>1225</v>
      </c>
      <c r="H298">
        <v>18</v>
      </c>
      <c r="R298" t="s">
        <v>1226</v>
      </c>
      <c r="V298" t="s">
        <v>1227</v>
      </c>
      <c r="AC298" t="s">
        <v>1228</v>
      </c>
      <c r="AE298" t="s">
        <v>1229</v>
      </c>
      <c r="AF298">
        <v>1005748750</v>
      </c>
      <c r="AJ298" t="s">
        <v>131</v>
      </c>
      <c r="AK298" t="s">
        <v>61</v>
      </c>
    </row>
    <row r="299" spans="1:37" x14ac:dyDescent="0.25">
      <c r="A299">
        <v>2668086</v>
      </c>
      <c r="B299" t="s">
        <v>1230</v>
      </c>
      <c r="C299" t="s">
        <v>1231</v>
      </c>
      <c r="D299" t="s">
        <v>39</v>
      </c>
      <c r="E299" t="s">
        <v>40</v>
      </c>
      <c r="F299" t="s">
        <v>1232</v>
      </c>
      <c r="G299" t="s">
        <v>1233</v>
      </c>
      <c r="H299">
        <v>78</v>
      </c>
      <c r="U299" t="s">
        <v>46</v>
      </c>
      <c r="V299">
        <v>479762435</v>
      </c>
      <c r="AC299" t="s">
        <v>1234</v>
      </c>
      <c r="AF299">
        <v>1002668086</v>
      </c>
    </row>
    <row r="300" spans="1:37" x14ac:dyDescent="0.25">
      <c r="A300">
        <v>7311326</v>
      </c>
      <c r="B300" t="s">
        <v>1235</v>
      </c>
      <c r="C300" t="s">
        <v>1236</v>
      </c>
      <c r="D300" t="s">
        <v>39</v>
      </c>
      <c r="E300" t="s">
        <v>40</v>
      </c>
      <c r="F300" t="s">
        <v>1237</v>
      </c>
      <c r="G300" t="s">
        <v>736</v>
      </c>
      <c r="H300">
        <v>9</v>
      </c>
      <c r="AC300" t="s">
        <v>1238</v>
      </c>
      <c r="AF300">
        <v>1007311326</v>
      </c>
    </row>
    <row r="301" spans="1:37" x14ac:dyDescent="0.25">
      <c r="A301">
        <v>4076908</v>
      </c>
      <c r="B301" t="s">
        <v>1239</v>
      </c>
      <c r="C301" t="s">
        <v>1240</v>
      </c>
      <c r="D301" t="s">
        <v>39</v>
      </c>
      <c r="E301" t="s">
        <v>40</v>
      </c>
      <c r="F301" t="s">
        <v>1241</v>
      </c>
      <c r="G301" t="s">
        <v>1242</v>
      </c>
      <c r="H301">
        <v>15</v>
      </c>
      <c r="Q301" t="s">
        <v>51</v>
      </c>
      <c r="R301" t="s">
        <v>1243</v>
      </c>
      <c r="S301" t="s">
        <v>46</v>
      </c>
      <c r="T301" t="s">
        <v>1244</v>
      </c>
      <c r="U301" t="s">
        <v>53</v>
      </c>
      <c r="V301">
        <v>32477256935</v>
      </c>
      <c r="AC301" t="s">
        <v>1245</v>
      </c>
      <c r="AF301">
        <v>1004076908</v>
      </c>
      <c r="AG301">
        <v>752538</v>
      </c>
    </row>
    <row r="302" spans="1:37" x14ac:dyDescent="0.25">
      <c r="A302">
        <v>2182871</v>
      </c>
      <c r="B302" t="s">
        <v>1246</v>
      </c>
      <c r="C302" t="s">
        <v>1247</v>
      </c>
      <c r="D302" t="s">
        <v>39</v>
      </c>
      <c r="E302" t="s">
        <v>40</v>
      </c>
      <c r="F302" t="s">
        <v>1248</v>
      </c>
      <c r="G302" t="s">
        <v>1249</v>
      </c>
      <c r="H302">
        <v>26</v>
      </c>
      <c r="V302">
        <v>472041772</v>
      </c>
      <c r="AF302">
        <v>1002182871</v>
      </c>
      <c r="AG302">
        <v>725719</v>
      </c>
    </row>
    <row r="303" spans="1:37" x14ac:dyDescent="0.25">
      <c r="A303">
        <v>10452550</v>
      </c>
      <c r="B303" t="s">
        <v>1250</v>
      </c>
      <c r="C303" t="s">
        <v>1251</v>
      </c>
      <c r="D303" t="s">
        <v>39</v>
      </c>
      <c r="E303" t="s">
        <v>40</v>
      </c>
      <c r="F303" t="s">
        <v>1252</v>
      </c>
      <c r="G303" t="s">
        <v>1253</v>
      </c>
      <c r="H303">
        <v>18</v>
      </c>
      <c r="Q303" t="s">
        <v>53</v>
      </c>
      <c r="R303" t="s">
        <v>1254</v>
      </c>
      <c r="V303" t="s">
        <v>1255</v>
      </c>
      <c r="AF303">
        <v>1010452550</v>
      </c>
      <c r="AJ303" t="s">
        <v>442</v>
      </c>
      <c r="AK303" t="s">
        <v>61</v>
      </c>
    </row>
    <row r="304" spans="1:37" x14ac:dyDescent="0.25">
      <c r="A304">
        <v>2182876</v>
      </c>
      <c r="B304" t="s">
        <v>1250</v>
      </c>
      <c r="C304" t="s">
        <v>1256</v>
      </c>
      <c r="D304" t="s">
        <v>39</v>
      </c>
      <c r="E304" t="s">
        <v>49</v>
      </c>
      <c r="F304" t="s">
        <v>1257</v>
      </c>
      <c r="G304" t="s">
        <v>92</v>
      </c>
      <c r="H304">
        <v>43</v>
      </c>
      <c r="V304">
        <v>320495653737</v>
      </c>
      <c r="AC304" t="s">
        <v>1258</v>
      </c>
      <c r="AF304">
        <v>1002182876</v>
      </c>
      <c r="AG304">
        <v>267006</v>
      </c>
    </row>
    <row r="305" spans="1:38" x14ac:dyDescent="0.25">
      <c r="A305">
        <v>3324599</v>
      </c>
      <c r="B305" t="s">
        <v>1250</v>
      </c>
      <c r="C305" t="s">
        <v>1259</v>
      </c>
      <c r="D305" t="s">
        <v>39</v>
      </c>
      <c r="E305" t="s">
        <v>49</v>
      </c>
      <c r="F305" t="s">
        <v>1260</v>
      </c>
      <c r="G305" t="s">
        <v>1261</v>
      </c>
      <c r="H305">
        <v>21</v>
      </c>
      <c r="V305">
        <v>0</v>
      </c>
      <c r="X305">
        <v>0</v>
      </c>
      <c r="Z305">
        <v>0</v>
      </c>
      <c r="AA305">
        <v>0</v>
      </c>
      <c r="AC305" t="s">
        <v>1262</v>
      </c>
      <c r="AF305">
        <v>1003324599</v>
      </c>
      <c r="AG305">
        <v>742390</v>
      </c>
    </row>
    <row r="306" spans="1:38" x14ac:dyDescent="0.25">
      <c r="A306">
        <v>3412871</v>
      </c>
      <c r="B306" t="s">
        <v>1250</v>
      </c>
      <c r="C306" t="s">
        <v>1263</v>
      </c>
      <c r="D306" t="s">
        <v>39</v>
      </c>
      <c r="E306" t="s">
        <v>49</v>
      </c>
      <c r="F306" t="s">
        <v>1264</v>
      </c>
      <c r="G306" t="s">
        <v>1265</v>
      </c>
      <c r="H306">
        <v>8</v>
      </c>
      <c r="U306" t="s">
        <v>46</v>
      </c>
      <c r="V306">
        <v>472595888</v>
      </c>
      <c r="X306">
        <v>0</v>
      </c>
      <c r="Z306">
        <v>0</v>
      </c>
      <c r="AA306">
        <v>0</v>
      </c>
      <c r="AF306">
        <v>1003412871</v>
      </c>
      <c r="AG306">
        <v>258653</v>
      </c>
    </row>
    <row r="307" spans="1:38" x14ac:dyDescent="0.25">
      <c r="A307">
        <v>3324602</v>
      </c>
      <c r="B307" t="s">
        <v>1250</v>
      </c>
      <c r="C307" t="s">
        <v>1266</v>
      </c>
      <c r="D307" t="s">
        <v>39</v>
      </c>
      <c r="E307" t="s">
        <v>49</v>
      </c>
      <c r="F307" t="s">
        <v>1267</v>
      </c>
      <c r="G307" t="s">
        <v>1261</v>
      </c>
      <c r="H307">
        <v>21</v>
      </c>
      <c r="V307">
        <v>0</v>
      </c>
      <c r="X307">
        <v>0</v>
      </c>
      <c r="Z307">
        <v>0</v>
      </c>
      <c r="AA307">
        <v>0</v>
      </c>
      <c r="AC307" t="s">
        <v>1268</v>
      </c>
      <c r="AF307">
        <v>1003324602</v>
      </c>
      <c r="AG307">
        <v>742391</v>
      </c>
    </row>
    <row r="308" spans="1:38" x14ac:dyDescent="0.25">
      <c r="A308">
        <v>3435383</v>
      </c>
      <c r="B308" t="s">
        <v>1250</v>
      </c>
      <c r="C308" t="s">
        <v>1269</v>
      </c>
      <c r="D308" t="s">
        <v>39</v>
      </c>
      <c r="E308" t="s">
        <v>40</v>
      </c>
      <c r="F308" t="s">
        <v>1270</v>
      </c>
      <c r="G308" t="s">
        <v>1253</v>
      </c>
      <c r="H308">
        <v>18</v>
      </c>
      <c r="Q308" t="s">
        <v>53</v>
      </c>
      <c r="R308" t="s">
        <v>1271</v>
      </c>
      <c r="AF308">
        <v>1003435383</v>
      </c>
      <c r="AJ308" t="s">
        <v>88</v>
      </c>
      <c r="AK308" t="s">
        <v>61</v>
      </c>
    </row>
    <row r="309" spans="1:38" x14ac:dyDescent="0.25">
      <c r="A309">
        <v>3435383</v>
      </c>
      <c r="B309" t="s">
        <v>1250</v>
      </c>
      <c r="C309" t="s">
        <v>1269</v>
      </c>
      <c r="D309" t="s">
        <v>39</v>
      </c>
      <c r="E309" t="s">
        <v>40</v>
      </c>
      <c r="F309" t="s">
        <v>1270</v>
      </c>
      <c r="G309" t="s">
        <v>1253</v>
      </c>
      <c r="H309">
        <v>18</v>
      </c>
      <c r="Q309" t="s">
        <v>53</v>
      </c>
      <c r="R309" t="s">
        <v>1271</v>
      </c>
      <c r="AF309">
        <v>1003435383</v>
      </c>
      <c r="AJ309" t="s">
        <v>87</v>
      </c>
      <c r="AK309" t="s">
        <v>61</v>
      </c>
    </row>
    <row r="310" spans="1:38" x14ac:dyDescent="0.25">
      <c r="A310">
        <v>5566412</v>
      </c>
      <c r="B310" t="s">
        <v>1250</v>
      </c>
      <c r="C310" t="s">
        <v>1272</v>
      </c>
      <c r="D310" t="s">
        <v>39</v>
      </c>
      <c r="E310" t="s">
        <v>49</v>
      </c>
      <c r="F310" t="s">
        <v>1273</v>
      </c>
      <c r="G310" t="s">
        <v>1253</v>
      </c>
      <c r="H310">
        <v>18</v>
      </c>
      <c r="Q310" t="s">
        <v>53</v>
      </c>
      <c r="R310" t="s">
        <v>1254</v>
      </c>
      <c r="V310" t="s">
        <v>1255</v>
      </c>
      <c r="AF310">
        <v>1005566412</v>
      </c>
      <c r="AJ310" t="s">
        <v>192</v>
      </c>
      <c r="AK310" t="s">
        <v>61</v>
      </c>
    </row>
    <row r="311" spans="1:38" x14ac:dyDescent="0.25">
      <c r="A311">
        <v>2182881</v>
      </c>
      <c r="B311" t="s">
        <v>1274</v>
      </c>
      <c r="C311" t="s">
        <v>1275</v>
      </c>
      <c r="D311" t="s">
        <v>39</v>
      </c>
      <c r="E311" t="s">
        <v>49</v>
      </c>
      <c r="F311" t="s">
        <v>1276</v>
      </c>
      <c r="G311" t="s">
        <v>1277</v>
      </c>
      <c r="H311">
        <v>20</v>
      </c>
      <c r="AC311" t="s">
        <v>1278</v>
      </c>
      <c r="AF311">
        <v>1002182881</v>
      </c>
    </row>
    <row r="312" spans="1:38" x14ac:dyDescent="0.25">
      <c r="A312">
        <v>3463922</v>
      </c>
      <c r="B312" t="s">
        <v>1279</v>
      </c>
      <c r="C312" t="s">
        <v>145</v>
      </c>
      <c r="D312" t="s">
        <v>39</v>
      </c>
      <c r="E312" t="s">
        <v>40</v>
      </c>
      <c r="F312" t="s">
        <v>1280</v>
      </c>
      <c r="G312" t="s">
        <v>1281</v>
      </c>
      <c r="H312">
        <v>21</v>
      </c>
      <c r="Q312" t="s">
        <v>53</v>
      </c>
      <c r="R312" t="s">
        <v>1282</v>
      </c>
      <c r="S312" t="s">
        <v>46</v>
      </c>
      <c r="T312" t="s">
        <v>1283</v>
      </c>
      <c r="U312" t="s">
        <v>46</v>
      </c>
      <c r="V312" t="s">
        <v>1284</v>
      </c>
      <c r="W312" t="s">
        <v>53</v>
      </c>
      <c r="X312" t="s">
        <v>1285</v>
      </c>
      <c r="Y312" t="s">
        <v>51</v>
      </c>
      <c r="Z312" t="s">
        <v>1286</v>
      </c>
      <c r="AB312" t="s">
        <v>1287</v>
      </c>
      <c r="AC312" t="s">
        <v>1288</v>
      </c>
      <c r="AF312">
        <v>1003463922</v>
      </c>
      <c r="AG312">
        <v>749137</v>
      </c>
      <c r="AJ312" t="s">
        <v>286</v>
      </c>
      <c r="AK312" t="s">
        <v>61</v>
      </c>
      <c r="AL312" t="s">
        <v>62</v>
      </c>
    </row>
    <row r="313" spans="1:38" x14ac:dyDescent="0.25">
      <c r="A313">
        <v>3463922</v>
      </c>
      <c r="B313" t="s">
        <v>1279</v>
      </c>
      <c r="C313" t="s">
        <v>145</v>
      </c>
      <c r="D313" t="s">
        <v>39</v>
      </c>
      <c r="E313" t="s">
        <v>40</v>
      </c>
      <c r="F313" t="s">
        <v>1280</v>
      </c>
      <c r="G313" t="s">
        <v>1281</v>
      </c>
      <c r="H313">
        <v>21</v>
      </c>
      <c r="Q313" t="s">
        <v>53</v>
      </c>
      <c r="R313" t="s">
        <v>1282</v>
      </c>
      <c r="S313" t="s">
        <v>46</v>
      </c>
      <c r="T313" t="s">
        <v>1283</v>
      </c>
      <c r="U313" t="s">
        <v>46</v>
      </c>
      <c r="V313" t="s">
        <v>1284</v>
      </c>
      <c r="W313" t="s">
        <v>53</v>
      </c>
      <c r="X313" t="s">
        <v>1285</v>
      </c>
      <c r="Y313" t="s">
        <v>51</v>
      </c>
      <c r="Z313" t="s">
        <v>1286</v>
      </c>
      <c r="AB313" t="s">
        <v>1287</v>
      </c>
      <c r="AC313" t="s">
        <v>1288</v>
      </c>
      <c r="AF313">
        <v>1003463922</v>
      </c>
      <c r="AG313">
        <v>749137</v>
      </c>
      <c r="AL313" t="s">
        <v>62</v>
      </c>
    </row>
    <row r="314" spans="1:38" x14ac:dyDescent="0.25">
      <c r="A314">
        <v>6417328</v>
      </c>
      <c r="B314" t="s">
        <v>1279</v>
      </c>
      <c r="C314" t="s">
        <v>335</v>
      </c>
      <c r="D314" t="s">
        <v>39</v>
      </c>
      <c r="E314" t="s">
        <v>40</v>
      </c>
      <c r="F314" t="s">
        <v>1289</v>
      </c>
      <c r="G314" t="s">
        <v>1281</v>
      </c>
      <c r="H314">
        <v>21</v>
      </c>
      <c r="U314" t="s">
        <v>53</v>
      </c>
      <c r="V314" t="s">
        <v>1285</v>
      </c>
      <c r="AF314">
        <v>1006417328</v>
      </c>
      <c r="AJ314" t="s">
        <v>75</v>
      </c>
      <c r="AK314" t="s">
        <v>61</v>
      </c>
    </row>
    <row r="315" spans="1:38" x14ac:dyDescent="0.25">
      <c r="A315">
        <v>11855241</v>
      </c>
      <c r="B315" t="s">
        <v>1290</v>
      </c>
      <c r="C315" t="s">
        <v>1291</v>
      </c>
      <c r="D315" t="s">
        <v>39</v>
      </c>
      <c r="E315" t="s">
        <v>40</v>
      </c>
      <c r="F315" t="s">
        <v>1292</v>
      </c>
      <c r="G315" t="s">
        <v>1293</v>
      </c>
      <c r="H315">
        <v>106</v>
      </c>
      <c r="U315" t="s">
        <v>46</v>
      </c>
      <c r="V315" t="s">
        <v>1294</v>
      </c>
      <c r="X315">
        <v>0</v>
      </c>
      <c r="Z315">
        <v>0</v>
      </c>
      <c r="AA315">
        <v>0</v>
      </c>
      <c r="AC315" t="s">
        <v>1295</v>
      </c>
      <c r="AF315">
        <v>1011855241</v>
      </c>
      <c r="AG315">
        <v>648536</v>
      </c>
      <c r="AJ315" t="s">
        <v>743</v>
      </c>
      <c r="AK315" t="s">
        <v>61</v>
      </c>
    </row>
    <row r="316" spans="1:38" x14ac:dyDescent="0.25">
      <c r="A316">
        <v>11846391</v>
      </c>
      <c r="B316" t="s">
        <v>1296</v>
      </c>
      <c r="C316" t="s">
        <v>1297</v>
      </c>
      <c r="D316" t="s">
        <v>39</v>
      </c>
      <c r="E316" t="s">
        <v>49</v>
      </c>
      <c r="F316" t="s">
        <v>1298</v>
      </c>
      <c r="G316" t="s">
        <v>1299</v>
      </c>
      <c r="V316" t="s">
        <v>1300</v>
      </c>
      <c r="AF316">
        <v>1011846391</v>
      </c>
      <c r="AJ316" t="s">
        <v>164</v>
      </c>
      <c r="AK316" t="s">
        <v>61</v>
      </c>
    </row>
    <row r="317" spans="1:38" x14ac:dyDescent="0.25">
      <c r="A317">
        <v>9617396</v>
      </c>
      <c r="B317" t="s">
        <v>1296</v>
      </c>
      <c r="C317" t="s">
        <v>1301</v>
      </c>
      <c r="D317" t="s">
        <v>39</v>
      </c>
      <c r="E317" t="s">
        <v>49</v>
      </c>
      <c r="F317" t="s">
        <v>1302</v>
      </c>
      <c r="G317" t="s">
        <v>1299</v>
      </c>
      <c r="V317" t="s">
        <v>1300</v>
      </c>
      <c r="AF317">
        <v>1009617396</v>
      </c>
      <c r="AJ317" t="s">
        <v>97</v>
      </c>
      <c r="AK317" t="s">
        <v>61</v>
      </c>
    </row>
    <row r="318" spans="1:38" x14ac:dyDescent="0.25">
      <c r="A318">
        <v>5532461</v>
      </c>
      <c r="B318" t="s">
        <v>1303</v>
      </c>
      <c r="C318" t="s">
        <v>1304</v>
      </c>
      <c r="D318" t="s">
        <v>39</v>
      </c>
      <c r="E318" t="s">
        <v>49</v>
      </c>
      <c r="F318" t="s">
        <v>1305</v>
      </c>
      <c r="G318" t="s">
        <v>1306</v>
      </c>
      <c r="H318">
        <v>21</v>
      </c>
      <c r="R318" t="s">
        <v>1307</v>
      </c>
      <c r="V318" t="s">
        <v>1308</v>
      </c>
      <c r="X318" t="s">
        <v>1309</v>
      </c>
      <c r="Z318">
        <v>0</v>
      </c>
      <c r="AA318">
        <v>0</v>
      </c>
      <c r="AF318">
        <v>1005532461</v>
      </c>
    </row>
    <row r="319" spans="1:38" x14ac:dyDescent="0.25">
      <c r="A319">
        <v>4276094</v>
      </c>
      <c r="B319" t="s">
        <v>1310</v>
      </c>
      <c r="C319" t="s">
        <v>1311</v>
      </c>
      <c r="D319" t="s">
        <v>39</v>
      </c>
      <c r="E319" t="s">
        <v>49</v>
      </c>
      <c r="F319" t="s">
        <v>1312</v>
      </c>
      <c r="G319" t="s">
        <v>633</v>
      </c>
      <c r="H319">
        <v>2</v>
      </c>
      <c r="U319" t="s">
        <v>51</v>
      </c>
      <c r="V319" t="s">
        <v>1313</v>
      </c>
      <c r="AE319" t="s">
        <v>1314</v>
      </c>
      <c r="AF319">
        <v>1004276094</v>
      </c>
      <c r="AJ319" t="s">
        <v>97</v>
      </c>
      <c r="AK319" t="s">
        <v>61</v>
      </c>
      <c r="AL319" t="s">
        <v>62</v>
      </c>
    </row>
    <row r="320" spans="1:38" x14ac:dyDescent="0.25">
      <c r="A320">
        <v>4276094</v>
      </c>
      <c r="B320" t="s">
        <v>1310</v>
      </c>
      <c r="C320" t="s">
        <v>1311</v>
      </c>
      <c r="D320" t="s">
        <v>39</v>
      </c>
      <c r="E320" t="s">
        <v>49</v>
      </c>
      <c r="F320" t="s">
        <v>1312</v>
      </c>
      <c r="G320" t="s">
        <v>633</v>
      </c>
      <c r="H320">
        <v>2</v>
      </c>
      <c r="U320" t="s">
        <v>51</v>
      </c>
      <c r="V320" t="s">
        <v>1313</v>
      </c>
      <c r="AE320" t="s">
        <v>1314</v>
      </c>
      <c r="AF320">
        <v>1004276094</v>
      </c>
      <c r="AJ320" t="s">
        <v>63</v>
      </c>
      <c r="AK320" t="s">
        <v>61</v>
      </c>
    </row>
    <row r="321" spans="1:38" x14ac:dyDescent="0.25">
      <c r="A321">
        <v>3581792</v>
      </c>
      <c r="B321" t="s">
        <v>1315</v>
      </c>
      <c r="C321" t="s">
        <v>1316</v>
      </c>
      <c r="D321" t="s">
        <v>39</v>
      </c>
      <c r="E321" t="s">
        <v>40</v>
      </c>
      <c r="F321" t="s">
        <v>1014</v>
      </c>
      <c r="G321" t="s">
        <v>1317</v>
      </c>
      <c r="H321">
        <v>11</v>
      </c>
      <c r="U321" t="s">
        <v>51</v>
      </c>
      <c r="V321">
        <v>32473663542</v>
      </c>
      <c r="X321">
        <v>471063501</v>
      </c>
      <c r="Z321">
        <v>0</v>
      </c>
      <c r="AA321">
        <v>0</v>
      </c>
      <c r="AF321">
        <v>1003581792</v>
      </c>
    </row>
    <row r="322" spans="1:38" x14ac:dyDescent="0.25">
      <c r="A322">
        <v>2650960</v>
      </c>
      <c r="B322" t="s">
        <v>1318</v>
      </c>
      <c r="C322" t="s">
        <v>1319</v>
      </c>
      <c r="D322" t="s">
        <v>39</v>
      </c>
      <c r="E322" t="s">
        <v>40</v>
      </c>
      <c r="F322" t="s">
        <v>1320</v>
      </c>
      <c r="G322" t="s">
        <v>1321</v>
      </c>
      <c r="H322">
        <v>10</v>
      </c>
      <c r="V322">
        <v>477187671</v>
      </c>
      <c r="AA322">
        <v>55457865</v>
      </c>
      <c r="AC322" t="s">
        <v>1322</v>
      </c>
      <c r="AF322">
        <v>1002650960</v>
      </c>
    </row>
    <row r="323" spans="1:38" x14ac:dyDescent="0.25">
      <c r="A323">
        <v>7663249</v>
      </c>
      <c r="B323" t="s">
        <v>1323</v>
      </c>
      <c r="C323" t="s">
        <v>1324</v>
      </c>
      <c r="D323" t="s">
        <v>39</v>
      </c>
      <c r="E323" t="s">
        <v>49</v>
      </c>
      <c r="G323" t="s">
        <v>944</v>
      </c>
      <c r="H323">
        <v>42</v>
      </c>
      <c r="AF323">
        <v>1007663249</v>
      </c>
    </row>
    <row r="324" spans="1:38" x14ac:dyDescent="0.25">
      <c r="A324">
        <v>2668160</v>
      </c>
      <c r="B324" t="s">
        <v>1325</v>
      </c>
      <c r="C324" t="s">
        <v>1326</v>
      </c>
      <c r="D324" t="s">
        <v>39</v>
      </c>
      <c r="E324" t="s">
        <v>40</v>
      </c>
      <c r="F324" t="s">
        <v>1327</v>
      </c>
      <c r="G324" t="s">
        <v>1328</v>
      </c>
      <c r="H324">
        <v>9</v>
      </c>
      <c r="AC324" t="s">
        <v>1329</v>
      </c>
      <c r="AF324">
        <v>1002668160</v>
      </c>
    </row>
    <row r="325" spans="1:38" x14ac:dyDescent="0.25">
      <c r="A325">
        <v>2182896</v>
      </c>
      <c r="B325" t="s">
        <v>1325</v>
      </c>
      <c r="C325" t="s">
        <v>1330</v>
      </c>
      <c r="D325" t="s">
        <v>39</v>
      </c>
      <c r="E325" t="s">
        <v>40</v>
      </c>
      <c r="F325" t="s">
        <v>1331</v>
      </c>
      <c r="G325" t="s">
        <v>1328</v>
      </c>
      <c r="H325">
        <v>9</v>
      </c>
      <c r="AC325" t="s">
        <v>1332</v>
      </c>
      <c r="AF325">
        <v>1002182896</v>
      </c>
      <c r="AG325">
        <v>646498</v>
      </c>
    </row>
    <row r="326" spans="1:38" x14ac:dyDescent="0.25">
      <c r="A326">
        <v>8614145</v>
      </c>
      <c r="B326" t="s">
        <v>1333</v>
      </c>
      <c r="C326" t="s">
        <v>1334</v>
      </c>
      <c r="D326" t="s">
        <v>39</v>
      </c>
      <c r="E326" t="s">
        <v>49</v>
      </c>
      <c r="F326" t="s">
        <v>1335</v>
      </c>
      <c r="G326" t="s">
        <v>1336</v>
      </c>
      <c r="H326" t="s">
        <v>1337</v>
      </c>
      <c r="Q326" t="s">
        <v>51</v>
      </c>
      <c r="R326" t="s">
        <v>1338</v>
      </c>
      <c r="U326" t="s">
        <v>53</v>
      </c>
      <c r="V326" t="s">
        <v>1339</v>
      </c>
      <c r="W326" t="s">
        <v>51</v>
      </c>
      <c r="X326">
        <v>32494195355</v>
      </c>
      <c r="AF326">
        <v>1008614145</v>
      </c>
      <c r="AJ326" t="s">
        <v>164</v>
      </c>
      <c r="AK326" t="s">
        <v>61</v>
      </c>
    </row>
    <row r="327" spans="1:38" x14ac:dyDescent="0.25">
      <c r="A327">
        <v>8614145</v>
      </c>
      <c r="B327" t="s">
        <v>1333</v>
      </c>
      <c r="C327" t="s">
        <v>1334</v>
      </c>
      <c r="D327" t="s">
        <v>39</v>
      </c>
      <c r="E327" t="s">
        <v>49</v>
      </c>
      <c r="F327" t="s">
        <v>1335</v>
      </c>
      <c r="G327" t="s">
        <v>1336</v>
      </c>
      <c r="H327" t="s">
        <v>1337</v>
      </c>
      <c r="Q327" t="s">
        <v>51</v>
      </c>
      <c r="R327" t="s">
        <v>1338</v>
      </c>
      <c r="U327" t="s">
        <v>53</v>
      </c>
      <c r="V327" t="s">
        <v>1339</v>
      </c>
      <c r="W327" t="s">
        <v>51</v>
      </c>
      <c r="X327">
        <v>32494195355</v>
      </c>
      <c r="AF327">
        <v>1008614145</v>
      </c>
      <c r="AJ327" t="s">
        <v>87</v>
      </c>
      <c r="AK327" t="s">
        <v>61</v>
      </c>
    </row>
    <row r="328" spans="1:38" x14ac:dyDescent="0.25">
      <c r="A328">
        <v>6119134</v>
      </c>
      <c r="B328" t="s">
        <v>1333</v>
      </c>
      <c r="C328" t="s">
        <v>255</v>
      </c>
      <c r="D328" t="s">
        <v>39</v>
      </c>
      <c r="E328" t="s">
        <v>49</v>
      </c>
      <c r="F328" t="s">
        <v>1340</v>
      </c>
      <c r="G328" t="s">
        <v>1336</v>
      </c>
      <c r="H328" t="s">
        <v>1337</v>
      </c>
      <c r="Q328" t="s">
        <v>51</v>
      </c>
      <c r="R328" t="s">
        <v>1338</v>
      </c>
      <c r="U328" t="s">
        <v>53</v>
      </c>
      <c r="V328" t="s">
        <v>1339</v>
      </c>
      <c r="W328" t="s">
        <v>51</v>
      </c>
      <c r="X328">
        <v>32494195355</v>
      </c>
      <c r="AC328" t="s">
        <v>1341</v>
      </c>
      <c r="AF328">
        <v>1006119134</v>
      </c>
      <c r="AJ328" t="s">
        <v>63</v>
      </c>
      <c r="AK328" t="s">
        <v>61</v>
      </c>
    </row>
    <row r="329" spans="1:38" x14ac:dyDescent="0.25">
      <c r="A329">
        <v>6119134</v>
      </c>
      <c r="B329" t="s">
        <v>1333</v>
      </c>
      <c r="C329" t="s">
        <v>255</v>
      </c>
      <c r="D329" t="s">
        <v>39</v>
      </c>
      <c r="E329" t="s">
        <v>49</v>
      </c>
      <c r="F329" t="s">
        <v>1340</v>
      </c>
      <c r="G329" t="s">
        <v>1336</v>
      </c>
      <c r="H329" t="s">
        <v>1337</v>
      </c>
      <c r="Q329" t="s">
        <v>51</v>
      </c>
      <c r="R329" t="s">
        <v>1338</v>
      </c>
      <c r="U329" t="s">
        <v>53</v>
      </c>
      <c r="V329" t="s">
        <v>1339</v>
      </c>
      <c r="W329" t="s">
        <v>51</v>
      </c>
      <c r="X329">
        <v>32494195355</v>
      </c>
      <c r="AC329" t="s">
        <v>1341</v>
      </c>
      <c r="AF329">
        <v>1006119134</v>
      </c>
      <c r="AJ329" t="s">
        <v>127</v>
      </c>
      <c r="AK329" t="s">
        <v>61</v>
      </c>
    </row>
    <row r="330" spans="1:38" x14ac:dyDescent="0.25">
      <c r="A330">
        <v>10377574</v>
      </c>
      <c r="B330" t="s">
        <v>1333</v>
      </c>
      <c r="C330" t="s">
        <v>562</v>
      </c>
      <c r="D330" t="s">
        <v>39</v>
      </c>
      <c r="E330" t="s">
        <v>40</v>
      </c>
      <c r="F330" t="s">
        <v>1342</v>
      </c>
      <c r="G330" t="s">
        <v>1343</v>
      </c>
      <c r="H330">
        <v>30</v>
      </c>
      <c r="U330" t="s">
        <v>53</v>
      </c>
      <c r="V330" t="s">
        <v>1344</v>
      </c>
      <c r="W330" t="s">
        <v>51</v>
      </c>
      <c r="X330" t="s">
        <v>1345</v>
      </c>
      <c r="AC330" t="s">
        <v>1346</v>
      </c>
      <c r="AE330" t="s">
        <v>1347</v>
      </c>
      <c r="AF330">
        <v>1010377574</v>
      </c>
      <c r="AJ330" t="s">
        <v>104</v>
      </c>
      <c r="AK330" t="s">
        <v>61</v>
      </c>
    </row>
    <row r="331" spans="1:38" x14ac:dyDescent="0.25">
      <c r="A331">
        <v>11244586</v>
      </c>
      <c r="B331" t="s">
        <v>1333</v>
      </c>
      <c r="C331" t="s">
        <v>1348</v>
      </c>
      <c r="D331" t="s">
        <v>39</v>
      </c>
      <c r="E331" t="s">
        <v>40</v>
      </c>
      <c r="F331" t="s">
        <v>1349</v>
      </c>
      <c r="G331" t="s">
        <v>1336</v>
      </c>
      <c r="H331" t="s">
        <v>1337</v>
      </c>
      <c r="V331" t="s">
        <v>1350</v>
      </c>
      <c r="AC331" t="s">
        <v>1351</v>
      </c>
      <c r="AF331">
        <v>1011244586</v>
      </c>
      <c r="AG331">
        <v>773025</v>
      </c>
      <c r="AL331" t="s">
        <v>621</v>
      </c>
    </row>
    <row r="332" spans="1:38" x14ac:dyDescent="0.25">
      <c r="A332">
        <v>11244586</v>
      </c>
      <c r="B332" t="s">
        <v>1333</v>
      </c>
      <c r="C332" t="s">
        <v>1348</v>
      </c>
      <c r="D332" t="s">
        <v>39</v>
      </c>
      <c r="E332" t="s">
        <v>40</v>
      </c>
      <c r="F332" t="s">
        <v>1349</v>
      </c>
      <c r="G332" t="s">
        <v>1336</v>
      </c>
      <c r="H332" t="s">
        <v>1337</v>
      </c>
      <c r="V332" t="s">
        <v>1350</v>
      </c>
      <c r="AC332" t="s">
        <v>1351</v>
      </c>
      <c r="AF332">
        <v>1011244586</v>
      </c>
      <c r="AG332">
        <v>773025</v>
      </c>
      <c r="AL332" t="s">
        <v>620</v>
      </c>
    </row>
    <row r="333" spans="1:38" x14ac:dyDescent="0.25">
      <c r="A333">
        <v>3405198</v>
      </c>
      <c r="B333" t="s">
        <v>1352</v>
      </c>
      <c r="C333" t="s">
        <v>380</v>
      </c>
      <c r="D333" t="s">
        <v>39</v>
      </c>
      <c r="E333" t="s">
        <v>40</v>
      </c>
      <c r="F333" t="s">
        <v>1353</v>
      </c>
      <c r="G333" t="s">
        <v>1354</v>
      </c>
      <c r="H333">
        <v>25</v>
      </c>
      <c r="V333" t="s">
        <v>1355</v>
      </c>
      <c r="X333" t="s">
        <v>1356</v>
      </c>
      <c r="AF333">
        <v>1003405198</v>
      </c>
    </row>
    <row r="334" spans="1:38" x14ac:dyDescent="0.25">
      <c r="A334">
        <v>10753754</v>
      </c>
      <c r="B334" t="s">
        <v>1352</v>
      </c>
      <c r="C334" t="s">
        <v>1357</v>
      </c>
      <c r="D334" t="s">
        <v>39</v>
      </c>
      <c r="E334" t="s">
        <v>40</v>
      </c>
      <c r="F334" t="s">
        <v>1358</v>
      </c>
      <c r="Q334" t="s">
        <v>51</v>
      </c>
      <c r="R334" t="s">
        <v>1359</v>
      </c>
      <c r="S334" t="s">
        <v>46</v>
      </c>
      <c r="T334" t="s">
        <v>1360</v>
      </c>
      <c r="U334" t="s">
        <v>53</v>
      </c>
      <c r="V334" t="s">
        <v>1361</v>
      </c>
      <c r="W334" t="s">
        <v>51</v>
      </c>
      <c r="X334" t="s">
        <v>1362</v>
      </c>
      <c r="Y334" t="s">
        <v>46</v>
      </c>
      <c r="Z334" t="s">
        <v>1363</v>
      </c>
      <c r="AF334">
        <v>1010753754</v>
      </c>
      <c r="AJ334" t="s">
        <v>143</v>
      </c>
      <c r="AK334" t="s">
        <v>61</v>
      </c>
    </row>
    <row r="335" spans="1:38" x14ac:dyDescent="0.25">
      <c r="A335">
        <v>10753754</v>
      </c>
      <c r="B335" t="s">
        <v>1352</v>
      </c>
      <c r="C335" t="s">
        <v>1357</v>
      </c>
      <c r="D335" t="s">
        <v>39</v>
      </c>
      <c r="E335" t="s">
        <v>40</v>
      </c>
      <c r="F335" t="s">
        <v>1358</v>
      </c>
      <c r="Q335" t="s">
        <v>51</v>
      </c>
      <c r="R335" t="s">
        <v>1359</v>
      </c>
      <c r="S335" t="s">
        <v>46</v>
      </c>
      <c r="T335" t="s">
        <v>1360</v>
      </c>
      <c r="U335" t="s">
        <v>53</v>
      </c>
      <c r="V335" t="s">
        <v>1361</v>
      </c>
      <c r="W335" t="s">
        <v>51</v>
      </c>
      <c r="X335" t="s">
        <v>1362</v>
      </c>
      <c r="Y335" t="s">
        <v>46</v>
      </c>
      <c r="Z335" t="s">
        <v>1363</v>
      </c>
      <c r="AF335">
        <v>1010753754</v>
      </c>
      <c r="AJ335" t="s">
        <v>63</v>
      </c>
      <c r="AK335" t="s">
        <v>61</v>
      </c>
    </row>
    <row r="336" spans="1:38" x14ac:dyDescent="0.25">
      <c r="A336">
        <v>8579142</v>
      </c>
      <c r="B336" t="s">
        <v>1364</v>
      </c>
      <c r="C336" t="s">
        <v>1365</v>
      </c>
      <c r="D336" t="s">
        <v>39</v>
      </c>
      <c r="E336" t="s">
        <v>40</v>
      </c>
      <c r="F336" t="s">
        <v>1366</v>
      </c>
      <c r="G336" t="s">
        <v>1367</v>
      </c>
      <c r="H336" t="s">
        <v>1368</v>
      </c>
      <c r="Q336" t="s">
        <v>116</v>
      </c>
      <c r="R336" t="s">
        <v>1369</v>
      </c>
      <c r="U336" t="s">
        <v>51</v>
      </c>
      <c r="V336" t="s">
        <v>1370</v>
      </c>
      <c r="AC336" t="s">
        <v>1371</v>
      </c>
      <c r="AE336" t="s">
        <v>1372</v>
      </c>
      <c r="AF336">
        <v>1008579142</v>
      </c>
      <c r="AJ336" t="s">
        <v>202</v>
      </c>
      <c r="AK336" t="s">
        <v>61</v>
      </c>
    </row>
    <row r="337" spans="1:38" x14ac:dyDescent="0.25">
      <c r="A337">
        <v>8579142</v>
      </c>
      <c r="B337" t="s">
        <v>1364</v>
      </c>
      <c r="C337" t="s">
        <v>1365</v>
      </c>
      <c r="D337" t="s">
        <v>39</v>
      </c>
      <c r="E337" t="s">
        <v>40</v>
      </c>
      <c r="F337" t="s">
        <v>1366</v>
      </c>
      <c r="G337" t="s">
        <v>1367</v>
      </c>
      <c r="H337" t="s">
        <v>1368</v>
      </c>
      <c r="Q337" t="s">
        <v>116</v>
      </c>
      <c r="R337" t="s">
        <v>1369</v>
      </c>
      <c r="U337" t="s">
        <v>51</v>
      </c>
      <c r="V337" t="s">
        <v>1370</v>
      </c>
      <c r="AC337" t="s">
        <v>1371</v>
      </c>
      <c r="AE337" t="s">
        <v>1372</v>
      </c>
      <c r="AF337">
        <v>1008579142</v>
      </c>
      <c r="AJ337" t="s">
        <v>63</v>
      </c>
      <c r="AK337" t="s">
        <v>61</v>
      </c>
    </row>
    <row r="338" spans="1:38" x14ac:dyDescent="0.25">
      <c r="A338">
        <v>11278064</v>
      </c>
      <c r="B338" t="s">
        <v>1364</v>
      </c>
      <c r="C338" t="s">
        <v>1373</v>
      </c>
      <c r="D338" t="s">
        <v>39</v>
      </c>
      <c r="E338" t="s">
        <v>40</v>
      </c>
      <c r="F338" t="s">
        <v>1374</v>
      </c>
      <c r="G338" t="s">
        <v>1367</v>
      </c>
      <c r="H338" t="s">
        <v>1375</v>
      </c>
      <c r="V338" t="s">
        <v>1370</v>
      </c>
      <c r="AB338" t="s">
        <v>1376</v>
      </c>
      <c r="AC338" t="s">
        <v>1377</v>
      </c>
      <c r="AF338">
        <v>1011278064</v>
      </c>
      <c r="AJ338" t="s">
        <v>64</v>
      </c>
      <c r="AK338" t="s">
        <v>65</v>
      </c>
    </row>
    <row r="339" spans="1:38" x14ac:dyDescent="0.25">
      <c r="A339">
        <v>2182901</v>
      </c>
      <c r="B339" t="s">
        <v>1378</v>
      </c>
      <c r="C339" t="s">
        <v>1379</v>
      </c>
      <c r="D339" t="s">
        <v>39</v>
      </c>
      <c r="E339" t="s">
        <v>49</v>
      </c>
      <c r="F339" t="s">
        <v>1380</v>
      </c>
      <c r="G339" t="s">
        <v>1381</v>
      </c>
      <c r="H339">
        <v>1</v>
      </c>
      <c r="R339" t="s">
        <v>1382</v>
      </c>
      <c r="U339" t="s">
        <v>46</v>
      </c>
      <c r="V339">
        <v>32497236008</v>
      </c>
      <c r="AE339" t="s">
        <v>1383</v>
      </c>
      <c r="AF339">
        <v>1002182901</v>
      </c>
    </row>
    <row r="340" spans="1:38" x14ac:dyDescent="0.25">
      <c r="A340">
        <v>3050641</v>
      </c>
      <c r="B340" t="s">
        <v>1378</v>
      </c>
      <c r="C340" t="s">
        <v>1384</v>
      </c>
      <c r="D340" t="s">
        <v>39</v>
      </c>
      <c r="E340" t="s">
        <v>40</v>
      </c>
      <c r="F340" t="s">
        <v>1385</v>
      </c>
      <c r="G340" t="s">
        <v>1381</v>
      </c>
      <c r="H340">
        <v>1</v>
      </c>
      <c r="U340" t="s">
        <v>46</v>
      </c>
      <c r="V340">
        <v>320493192487</v>
      </c>
      <c r="AC340" t="s">
        <v>1386</v>
      </c>
      <c r="AF340">
        <v>1003050641</v>
      </c>
      <c r="AG340">
        <v>619160</v>
      </c>
    </row>
    <row r="341" spans="1:38" x14ac:dyDescent="0.25">
      <c r="A341">
        <v>2650932</v>
      </c>
      <c r="B341" t="s">
        <v>1378</v>
      </c>
      <c r="C341" t="s">
        <v>786</v>
      </c>
      <c r="D341" t="s">
        <v>39</v>
      </c>
      <c r="E341" t="s">
        <v>49</v>
      </c>
      <c r="F341" t="s">
        <v>1387</v>
      </c>
      <c r="AF341">
        <v>1002650932</v>
      </c>
    </row>
    <row r="342" spans="1:38" x14ac:dyDescent="0.25">
      <c r="A342">
        <v>6094387</v>
      </c>
      <c r="B342" t="s">
        <v>1388</v>
      </c>
      <c r="C342" t="s">
        <v>1389</v>
      </c>
      <c r="D342" t="s">
        <v>39</v>
      </c>
      <c r="E342" t="s">
        <v>40</v>
      </c>
      <c r="F342" t="s">
        <v>1390</v>
      </c>
      <c r="G342" t="s">
        <v>1391</v>
      </c>
      <c r="H342">
        <v>102</v>
      </c>
      <c r="Q342" t="s">
        <v>53</v>
      </c>
      <c r="R342" t="s">
        <v>1392</v>
      </c>
      <c r="V342" t="s">
        <v>1393</v>
      </c>
      <c r="AF342">
        <v>1006094387</v>
      </c>
    </row>
    <row r="343" spans="1:38" x14ac:dyDescent="0.25">
      <c r="A343">
        <v>2182906</v>
      </c>
      <c r="B343" t="s">
        <v>1388</v>
      </c>
      <c r="C343" t="s">
        <v>1394</v>
      </c>
      <c r="D343" t="s">
        <v>39</v>
      </c>
      <c r="E343" t="s">
        <v>49</v>
      </c>
      <c r="F343" t="s">
        <v>1395</v>
      </c>
      <c r="G343" t="s">
        <v>429</v>
      </c>
      <c r="H343">
        <v>186</v>
      </c>
      <c r="AF343">
        <v>1002182906</v>
      </c>
    </row>
    <row r="344" spans="1:38" x14ac:dyDescent="0.25">
      <c r="A344">
        <v>11861360</v>
      </c>
      <c r="B344" t="s">
        <v>1396</v>
      </c>
      <c r="C344" t="s">
        <v>1397</v>
      </c>
      <c r="D344" t="s">
        <v>39</v>
      </c>
      <c r="E344" t="s">
        <v>40</v>
      </c>
      <c r="F344" t="s">
        <v>1398</v>
      </c>
      <c r="G344" t="s">
        <v>1399</v>
      </c>
      <c r="H344">
        <v>12</v>
      </c>
      <c r="I344">
        <v>2</v>
      </c>
      <c r="U344" t="s">
        <v>46</v>
      </c>
      <c r="V344" t="s">
        <v>1400</v>
      </c>
      <c r="AC344" t="s">
        <v>1401</v>
      </c>
      <c r="AF344">
        <v>1011861360</v>
      </c>
      <c r="AJ344" t="s">
        <v>180</v>
      </c>
      <c r="AK344" t="s">
        <v>61</v>
      </c>
    </row>
    <row r="345" spans="1:38" x14ac:dyDescent="0.25">
      <c r="A345">
        <v>2714005</v>
      </c>
      <c r="B345" t="s">
        <v>1402</v>
      </c>
      <c r="C345" t="s">
        <v>1403</v>
      </c>
      <c r="D345" t="s">
        <v>39</v>
      </c>
      <c r="E345" t="s">
        <v>49</v>
      </c>
      <c r="F345" t="s">
        <v>1404</v>
      </c>
      <c r="G345" t="s">
        <v>747</v>
      </c>
      <c r="H345">
        <v>14</v>
      </c>
      <c r="Q345" t="s">
        <v>51</v>
      </c>
      <c r="R345" t="s">
        <v>748</v>
      </c>
      <c r="V345">
        <v>4721630933</v>
      </c>
      <c r="AC345" t="s">
        <v>1405</v>
      </c>
      <c r="AF345">
        <v>1002714005</v>
      </c>
    </row>
    <row r="346" spans="1:38" x14ac:dyDescent="0.25">
      <c r="A346">
        <v>11859963</v>
      </c>
      <c r="B346" t="s">
        <v>1406</v>
      </c>
      <c r="C346" t="s">
        <v>1407</v>
      </c>
      <c r="D346" t="s">
        <v>39</v>
      </c>
      <c r="E346" t="s">
        <v>49</v>
      </c>
      <c r="F346" t="s">
        <v>1408</v>
      </c>
      <c r="U346" t="s">
        <v>53</v>
      </c>
      <c r="V346" t="s">
        <v>1409</v>
      </c>
      <c r="X346">
        <v>0</v>
      </c>
      <c r="Z346">
        <v>0</v>
      </c>
      <c r="AA346">
        <v>0</v>
      </c>
      <c r="AF346">
        <v>1011859963</v>
      </c>
      <c r="AJ346" t="s">
        <v>164</v>
      </c>
      <c r="AK346" t="s">
        <v>61</v>
      </c>
    </row>
    <row r="347" spans="1:38" x14ac:dyDescent="0.25">
      <c r="A347">
        <v>7212699</v>
      </c>
      <c r="B347" t="s">
        <v>1410</v>
      </c>
      <c r="C347" t="s">
        <v>481</v>
      </c>
      <c r="D347" t="s">
        <v>39</v>
      </c>
      <c r="E347" t="s">
        <v>40</v>
      </c>
      <c r="F347" t="s">
        <v>1411</v>
      </c>
      <c r="G347" t="s">
        <v>1412</v>
      </c>
      <c r="H347">
        <v>27</v>
      </c>
      <c r="U347" t="s">
        <v>46</v>
      </c>
      <c r="V347" t="s">
        <v>1413</v>
      </c>
      <c r="AF347">
        <v>1007212699</v>
      </c>
      <c r="AG347">
        <v>747253</v>
      </c>
    </row>
    <row r="348" spans="1:38" x14ac:dyDescent="0.25">
      <c r="A348">
        <v>4200263</v>
      </c>
      <c r="B348" t="s">
        <v>1410</v>
      </c>
      <c r="C348" t="s">
        <v>1414</v>
      </c>
      <c r="D348" t="s">
        <v>39</v>
      </c>
      <c r="E348" t="s">
        <v>40</v>
      </c>
      <c r="F348" t="s">
        <v>1415</v>
      </c>
      <c r="G348" t="s">
        <v>1412</v>
      </c>
      <c r="H348">
        <v>27</v>
      </c>
      <c r="U348" t="s">
        <v>51</v>
      </c>
      <c r="V348">
        <v>320473683008</v>
      </c>
      <c r="X348">
        <v>0</v>
      </c>
      <c r="Z348">
        <v>0</v>
      </c>
      <c r="AA348">
        <v>0</v>
      </c>
      <c r="AC348" t="s">
        <v>1416</v>
      </c>
      <c r="AF348">
        <v>1004200263</v>
      </c>
    </row>
    <row r="349" spans="1:38" x14ac:dyDescent="0.25">
      <c r="A349">
        <v>9681283</v>
      </c>
      <c r="B349" t="s">
        <v>1417</v>
      </c>
      <c r="C349" t="s">
        <v>1418</v>
      </c>
      <c r="D349" t="s">
        <v>39</v>
      </c>
      <c r="E349" t="s">
        <v>40</v>
      </c>
      <c r="F349" t="s">
        <v>1419</v>
      </c>
      <c r="U349" t="s">
        <v>53</v>
      </c>
      <c r="V349" t="s">
        <v>1420</v>
      </c>
      <c r="AF349">
        <v>1009681283</v>
      </c>
      <c r="AJ349" t="s">
        <v>83</v>
      </c>
      <c r="AK349" t="s">
        <v>61</v>
      </c>
    </row>
    <row r="350" spans="1:38" x14ac:dyDescent="0.25">
      <c r="A350">
        <v>2182911</v>
      </c>
      <c r="B350" t="s">
        <v>1421</v>
      </c>
      <c r="C350" t="s">
        <v>1422</v>
      </c>
      <c r="D350" t="s">
        <v>39</v>
      </c>
      <c r="E350" t="s">
        <v>40</v>
      </c>
      <c r="F350" t="s">
        <v>1423</v>
      </c>
      <c r="G350" t="s">
        <v>219</v>
      </c>
      <c r="H350">
        <v>18</v>
      </c>
      <c r="Q350" t="s">
        <v>51</v>
      </c>
      <c r="R350" t="s">
        <v>221</v>
      </c>
      <c r="S350" t="s">
        <v>46</v>
      </c>
      <c r="T350" t="s">
        <v>222</v>
      </c>
      <c r="U350" t="s">
        <v>53</v>
      </c>
      <c r="V350">
        <v>320497948892</v>
      </c>
      <c r="W350" t="s">
        <v>51</v>
      </c>
      <c r="X350">
        <v>320478766076</v>
      </c>
      <c r="Y350" t="s">
        <v>46</v>
      </c>
      <c r="Z350">
        <v>320495362023</v>
      </c>
      <c r="AF350">
        <v>1002182911</v>
      </c>
      <c r="AG350">
        <v>735147</v>
      </c>
      <c r="AJ350" t="s">
        <v>202</v>
      </c>
      <c r="AK350" t="s">
        <v>61</v>
      </c>
      <c r="AL350" t="s">
        <v>62</v>
      </c>
    </row>
    <row r="351" spans="1:38" x14ac:dyDescent="0.25">
      <c r="A351">
        <v>2182911</v>
      </c>
      <c r="B351" t="s">
        <v>1421</v>
      </c>
      <c r="C351" t="s">
        <v>1422</v>
      </c>
      <c r="D351" t="s">
        <v>39</v>
      </c>
      <c r="E351" t="s">
        <v>40</v>
      </c>
      <c r="F351" t="s">
        <v>1423</v>
      </c>
      <c r="G351" t="s">
        <v>219</v>
      </c>
      <c r="H351">
        <v>18</v>
      </c>
      <c r="Q351" t="s">
        <v>51</v>
      </c>
      <c r="R351" t="s">
        <v>221</v>
      </c>
      <c r="S351" t="s">
        <v>46</v>
      </c>
      <c r="T351" t="s">
        <v>222</v>
      </c>
      <c r="U351" t="s">
        <v>53</v>
      </c>
      <c r="V351">
        <v>320497948892</v>
      </c>
      <c r="W351" t="s">
        <v>51</v>
      </c>
      <c r="X351">
        <v>320478766076</v>
      </c>
      <c r="Y351" t="s">
        <v>46</v>
      </c>
      <c r="Z351">
        <v>320495362023</v>
      </c>
      <c r="AF351">
        <v>1002182911</v>
      </c>
      <c r="AG351">
        <v>735147</v>
      </c>
      <c r="AJ351" t="s">
        <v>63</v>
      </c>
      <c r="AK351" t="s">
        <v>61</v>
      </c>
    </row>
    <row r="352" spans="1:38" x14ac:dyDescent="0.25">
      <c r="A352">
        <v>2182916</v>
      </c>
      <c r="B352" t="s">
        <v>1421</v>
      </c>
      <c r="C352" t="s">
        <v>1424</v>
      </c>
      <c r="D352" t="s">
        <v>39</v>
      </c>
      <c r="E352" t="s">
        <v>40</v>
      </c>
      <c r="F352" t="s">
        <v>1425</v>
      </c>
      <c r="G352" t="s">
        <v>1426</v>
      </c>
      <c r="H352">
        <v>74</v>
      </c>
      <c r="AA352">
        <v>0</v>
      </c>
      <c r="AF352">
        <v>1002182916</v>
      </c>
      <c r="AG352">
        <v>727876</v>
      </c>
    </row>
    <row r="353" spans="1:37" x14ac:dyDescent="0.25">
      <c r="A353">
        <v>2934245</v>
      </c>
      <c r="B353" t="s">
        <v>1421</v>
      </c>
      <c r="C353" t="s">
        <v>1427</v>
      </c>
      <c r="D353" t="s">
        <v>39</v>
      </c>
      <c r="E353" t="s">
        <v>40</v>
      </c>
      <c r="F353" t="s">
        <v>1428</v>
      </c>
      <c r="G353" t="s">
        <v>1429</v>
      </c>
      <c r="H353">
        <v>74</v>
      </c>
      <c r="AC353" t="s">
        <v>1430</v>
      </c>
      <c r="AE353" t="s">
        <v>1431</v>
      </c>
      <c r="AF353">
        <v>1002934245</v>
      </c>
      <c r="AG353">
        <v>711026</v>
      </c>
    </row>
    <row r="354" spans="1:37" x14ac:dyDescent="0.25">
      <c r="A354">
        <v>2182921</v>
      </c>
      <c r="B354" t="s">
        <v>1421</v>
      </c>
      <c r="C354" t="s">
        <v>413</v>
      </c>
      <c r="D354" t="s">
        <v>39</v>
      </c>
      <c r="E354" t="s">
        <v>40</v>
      </c>
      <c r="F354" t="s">
        <v>1432</v>
      </c>
      <c r="G354" t="s">
        <v>1429</v>
      </c>
      <c r="H354">
        <v>74</v>
      </c>
      <c r="V354" t="s">
        <v>1433</v>
      </c>
      <c r="AE354" t="s">
        <v>1434</v>
      </c>
      <c r="AF354">
        <v>1002182921</v>
      </c>
      <c r="AG354">
        <v>708299</v>
      </c>
      <c r="AJ354" t="s">
        <v>179</v>
      </c>
      <c r="AK354" t="s">
        <v>61</v>
      </c>
    </row>
    <row r="355" spans="1:37" x14ac:dyDescent="0.25">
      <c r="A355">
        <v>2182921</v>
      </c>
      <c r="B355" t="s">
        <v>1421</v>
      </c>
      <c r="C355" t="s">
        <v>413</v>
      </c>
      <c r="D355" t="s">
        <v>39</v>
      </c>
      <c r="E355" t="s">
        <v>40</v>
      </c>
      <c r="F355" t="s">
        <v>1432</v>
      </c>
      <c r="G355" t="s">
        <v>1429</v>
      </c>
      <c r="H355">
        <v>74</v>
      </c>
      <c r="V355" t="s">
        <v>1433</v>
      </c>
      <c r="AE355" t="s">
        <v>1434</v>
      </c>
      <c r="AF355">
        <v>1002182921</v>
      </c>
      <c r="AG355">
        <v>708299</v>
      </c>
      <c r="AJ355" t="s">
        <v>180</v>
      </c>
      <c r="AK355" t="s">
        <v>61</v>
      </c>
    </row>
    <row r="356" spans="1:37" x14ac:dyDescent="0.25">
      <c r="A356">
        <v>2182927</v>
      </c>
      <c r="B356" t="s">
        <v>1421</v>
      </c>
      <c r="C356" t="s">
        <v>1373</v>
      </c>
      <c r="D356" t="s">
        <v>39</v>
      </c>
      <c r="E356" t="s">
        <v>40</v>
      </c>
      <c r="F356" t="s">
        <v>1435</v>
      </c>
      <c r="G356" t="s">
        <v>219</v>
      </c>
      <c r="H356">
        <v>18</v>
      </c>
      <c r="Q356" t="s">
        <v>51</v>
      </c>
      <c r="R356" t="s">
        <v>221</v>
      </c>
      <c r="S356" t="s">
        <v>46</v>
      </c>
      <c r="T356" t="s">
        <v>1436</v>
      </c>
      <c r="U356" t="s">
        <v>53</v>
      </c>
      <c r="V356">
        <v>320497948892</v>
      </c>
      <c r="W356" t="s">
        <v>51</v>
      </c>
      <c r="X356">
        <v>320478766076</v>
      </c>
      <c r="AC356" t="s">
        <v>1437</v>
      </c>
      <c r="AF356">
        <v>1002182927</v>
      </c>
      <c r="AG356">
        <v>735148</v>
      </c>
      <c r="AJ356" t="s">
        <v>83</v>
      </c>
      <c r="AK356" t="s">
        <v>61</v>
      </c>
    </row>
    <row r="357" spans="1:37" x14ac:dyDescent="0.25">
      <c r="A357">
        <v>2669946</v>
      </c>
      <c r="B357" t="s">
        <v>1438</v>
      </c>
      <c r="C357" t="s">
        <v>1439</v>
      </c>
      <c r="D357" t="s">
        <v>39</v>
      </c>
      <c r="E357" t="s">
        <v>49</v>
      </c>
      <c r="F357" t="s">
        <v>1440</v>
      </c>
      <c r="G357" t="s">
        <v>1441</v>
      </c>
      <c r="H357">
        <v>12</v>
      </c>
      <c r="Q357" t="s">
        <v>46</v>
      </c>
      <c r="R357" t="s">
        <v>1442</v>
      </c>
      <c r="U357" t="s">
        <v>53</v>
      </c>
      <c r="V357" t="s">
        <v>1443</v>
      </c>
      <c r="W357" t="s">
        <v>46</v>
      </c>
      <c r="X357" t="s">
        <v>1444</v>
      </c>
      <c r="AC357" t="s">
        <v>1445</v>
      </c>
      <c r="AF357">
        <v>1002669946</v>
      </c>
      <c r="AG357">
        <v>727038</v>
      </c>
      <c r="AJ357" t="s">
        <v>60</v>
      </c>
      <c r="AK357" t="s">
        <v>61</v>
      </c>
    </row>
    <row r="358" spans="1:37" x14ac:dyDescent="0.25">
      <c r="A358">
        <v>2669946</v>
      </c>
      <c r="B358" t="s">
        <v>1438</v>
      </c>
      <c r="C358" t="s">
        <v>1439</v>
      </c>
      <c r="D358" t="s">
        <v>39</v>
      </c>
      <c r="E358" t="s">
        <v>49</v>
      </c>
      <c r="F358" t="s">
        <v>1440</v>
      </c>
      <c r="G358" t="s">
        <v>1441</v>
      </c>
      <c r="H358">
        <v>12</v>
      </c>
      <c r="Q358" t="s">
        <v>46</v>
      </c>
      <c r="R358" t="s">
        <v>1442</v>
      </c>
      <c r="U358" t="s">
        <v>53</v>
      </c>
      <c r="V358" t="s">
        <v>1443</v>
      </c>
      <c r="W358" t="s">
        <v>46</v>
      </c>
      <c r="X358" t="s">
        <v>1444</v>
      </c>
      <c r="AC358" t="s">
        <v>1445</v>
      </c>
      <c r="AF358">
        <v>1002669946</v>
      </c>
      <c r="AG358">
        <v>727038</v>
      </c>
      <c r="AJ358" t="s">
        <v>63</v>
      </c>
      <c r="AK358" t="s">
        <v>61</v>
      </c>
    </row>
    <row r="359" spans="1:37" x14ac:dyDescent="0.25">
      <c r="A359">
        <v>2669946</v>
      </c>
      <c r="B359" t="s">
        <v>1438</v>
      </c>
      <c r="C359" t="s">
        <v>1439</v>
      </c>
      <c r="D359" t="s">
        <v>39</v>
      </c>
      <c r="E359" t="s">
        <v>49</v>
      </c>
      <c r="F359" t="s">
        <v>1440</v>
      </c>
      <c r="G359" t="s">
        <v>1441</v>
      </c>
      <c r="H359">
        <v>12</v>
      </c>
      <c r="Q359" t="s">
        <v>46</v>
      </c>
      <c r="R359" t="s">
        <v>1442</v>
      </c>
      <c r="U359" t="s">
        <v>53</v>
      </c>
      <c r="V359" t="s">
        <v>1443</v>
      </c>
      <c r="W359" t="s">
        <v>46</v>
      </c>
      <c r="X359" t="s">
        <v>1444</v>
      </c>
      <c r="AC359" t="s">
        <v>1445</v>
      </c>
      <c r="AF359">
        <v>1002669946</v>
      </c>
      <c r="AG359">
        <v>727038</v>
      </c>
      <c r="AJ359" t="s">
        <v>323</v>
      </c>
      <c r="AK359" t="s">
        <v>61</v>
      </c>
    </row>
    <row r="360" spans="1:37" x14ac:dyDescent="0.25">
      <c r="A360">
        <v>6125412</v>
      </c>
      <c r="B360" t="s">
        <v>1151</v>
      </c>
      <c r="C360" t="s">
        <v>1446</v>
      </c>
      <c r="D360" t="s">
        <v>39</v>
      </c>
      <c r="E360" t="s">
        <v>40</v>
      </c>
      <c r="F360" t="s">
        <v>1447</v>
      </c>
      <c r="G360" t="s">
        <v>597</v>
      </c>
      <c r="H360">
        <v>81</v>
      </c>
      <c r="Q360" t="s">
        <v>51</v>
      </c>
      <c r="R360" t="s">
        <v>1448</v>
      </c>
      <c r="U360" t="s">
        <v>53</v>
      </c>
      <c r="V360" t="s">
        <v>1449</v>
      </c>
      <c r="W360" t="s">
        <v>51</v>
      </c>
      <c r="X360" t="s">
        <v>1450</v>
      </c>
      <c r="AF360">
        <v>1006125412</v>
      </c>
      <c r="AJ360" t="s">
        <v>131</v>
      </c>
      <c r="AK360" t="s">
        <v>61</v>
      </c>
    </row>
    <row r="361" spans="1:37" x14ac:dyDescent="0.25">
      <c r="A361">
        <v>6067229</v>
      </c>
      <c r="B361" t="s">
        <v>1451</v>
      </c>
      <c r="C361" t="s">
        <v>378</v>
      </c>
      <c r="D361" t="s">
        <v>39</v>
      </c>
      <c r="E361" t="s">
        <v>49</v>
      </c>
      <c r="F361" t="s">
        <v>1452</v>
      </c>
      <c r="G361" t="s">
        <v>1453</v>
      </c>
      <c r="H361">
        <v>38</v>
      </c>
      <c r="Q361" t="s">
        <v>53</v>
      </c>
      <c r="R361" t="s">
        <v>1454</v>
      </c>
      <c r="U361" t="s">
        <v>51</v>
      </c>
      <c r="V361" t="s">
        <v>1455</v>
      </c>
      <c r="AF361">
        <v>1006067229</v>
      </c>
    </row>
    <row r="362" spans="1:37" x14ac:dyDescent="0.25">
      <c r="A362">
        <v>2182947</v>
      </c>
      <c r="B362" t="s">
        <v>1456</v>
      </c>
      <c r="C362" t="s">
        <v>1457</v>
      </c>
      <c r="D362" t="s">
        <v>39</v>
      </c>
      <c r="E362" t="s">
        <v>49</v>
      </c>
      <c r="F362" t="s">
        <v>1458</v>
      </c>
      <c r="G362" t="s">
        <v>1459</v>
      </c>
      <c r="H362">
        <v>5</v>
      </c>
      <c r="V362" t="s">
        <v>1460</v>
      </c>
      <c r="AC362" t="s">
        <v>1461</v>
      </c>
      <c r="AF362">
        <v>1002182947</v>
      </c>
      <c r="AG362">
        <v>721092</v>
      </c>
      <c r="AJ362" t="s">
        <v>97</v>
      </c>
      <c r="AK362" t="s">
        <v>61</v>
      </c>
    </row>
    <row r="363" spans="1:37" x14ac:dyDescent="0.25">
      <c r="A363">
        <v>2182947</v>
      </c>
      <c r="B363" t="s">
        <v>1456</v>
      </c>
      <c r="C363" t="s">
        <v>1457</v>
      </c>
      <c r="D363" t="s">
        <v>39</v>
      </c>
      <c r="E363" t="s">
        <v>49</v>
      </c>
      <c r="F363" t="s">
        <v>1458</v>
      </c>
      <c r="G363" t="s">
        <v>1459</v>
      </c>
      <c r="H363">
        <v>5</v>
      </c>
      <c r="V363" t="s">
        <v>1460</v>
      </c>
      <c r="AC363" t="s">
        <v>1461</v>
      </c>
      <c r="AF363">
        <v>1002182947</v>
      </c>
      <c r="AG363">
        <v>721092</v>
      </c>
      <c r="AJ363" t="s">
        <v>63</v>
      </c>
      <c r="AK363" t="s">
        <v>61</v>
      </c>
    </row>
    <row r="364" spans="1:37" x14ac:dyDescent="0.25">
      <c r="A364">
        <v>3627079</v>
      </c>
      <c r="B364" t="s">
        <v>1456</v>
      </c>
      <c r="C364" t="s">
        <v>1462</v>
      </c>
      <c r="D364" t="s">
        <v>39</v>
      </c>
      <c r="E364" t="s">
        <v>40</v>
      </c>
      <c r="F364" t="s">
        <v>1463</v>
      </c>
      <c r="G364" t="s">
        <v>1459</v>
      </c>
      <c r="H364">
        <v>5</v>
      </c>
      <c r="U364" t="s">
        <v>51</v>
      </c>
      <c r="V364" t="s">
        <v>1460</v>
      </c>
      <c r="W364" t="s">
        <v>46</v>
      </c>
      <c r="X364" t="s">
        <v>1464</v>
      </c>
      <c r="AF364">
        <v>1003627079</v>
      </c>
      <c r="AJ364" t="s">
        <v>179</v>
      </c>
      <c r="AK364" t="s">
        <v>61</v>
      </c>
    </row>
    <row r="365" spans="1:37" x14ac:dyDescent="0.25">
      <c r="A365">
        <v>3627079</v>
      </c>
      <c r="B365" t="s">
        <v>1456</v>
      </c>
      <c r="C365" t="s">
        <v>1462</v>
      </c>
      <c r="D365" t="s">
        <v>39</v>
      </c>
      <c r="E365" t="s">
        <v>40</v>
      </c>
      <c r="F365" t="s">
        <v>1463</v>
      </c>
      <c r="G365" t="s">
        <v>1459</v>
      </c>
      <c r="H365">
        <v>5</v>
      </c>
      <c r="U365" t="s">
        <v>51</v>
      </c>
      <c r="V365" t="s">
        <v>1460</v>
      </c>
      <c r="W365" t="s">
        <v>46</v>
      </c>
      <c r="X365" t="s">
        <v>1464</v>
      </c>
      <c r="AF365">
        <v>1003627079</v>
      </c>
      <c r="AJ365" t="s">
        <v>180</v>
      </c>
      <c r="AK365" t="s">
        <v>61</v>
      </c>
    </row>
    <row r="366" spans="1:37" x14ac:dyDescent="0.25">
      <c r="A366">
        <v>2182952</v>
      </c>
      <c r="B366" t="s">
        <v>1465</v>
      </c>
      <c r="C366" t="s">
        <v>1151</v>
      </c>
      <c r="D366" t="s">
        <v>39</v>
      </c>
      <c r="E366" t="s">
        <v>40</v>
      </c>
      <c r="F366" t="s">
        <v>1466</v>
      </c>
      <c r="G366" t="s">
        <v>1467</v>
      </c>
      <c r="H366">
        <v>33</v>
      </c>
      <c r="R366" t="s">
        <v>1468</v>
      </c>
      <c r="AC366" t="s">
        <v>1469</v>
      </c>
      <c r="AF366">
        <v>1002182952</v>
      </c>
      <c r="AG366">
        <v>630471</v>
      </c>
    </row>
    <row r="367" spans="1:37" x14ac:dyDescent="0.25">
      <c r="A367">
        <v>6085560</v>
      </c>
      <c r="B367" t="s">
        <v>1470</v>
      </c>
      <c r="C367" t="s">
        <v>1471</v>
      </c>
      <c r="D367" t="s">
        <v>39</v>
      </c>
      <c r="E367" t="s">
        <v>40</v>
      </c>
      <c r="F367" t="s">
        <v>1472</v>
      </c>
      <c r="G367" t="s">
        <v>1473</v>
      </c>
      <c r="H367">
        <v>121</v>
      </c>
      <c r="Q367" t="s">
        <v>51</v>
      </c>
      <c r="R367" t="s">
        <v>1474</v>
      </c>
      <c r="U367" t="s">
        <v>53</v>
      </c>
      <c r="V367" t="s">
        <v>1475</v>
      </c>
      <c r="W367" t="s">
        <v>51</v>
      </c>
      <c r="X367" t="s">
        <v>1476</v>
      </c>
      <c r="AF367">
        <v>1006085560</v>
      </c>
    </row>
    <row r="368" spans="1:37" x14ac:dyDescent="0.25">
      <c r="A368">
        <v>2182957</v>
      </c>
      <c r="B368" t="s">
        <v>1477</v>
      </c>
      <c r="C368" t="s">
        <v>1478</v>
      </c>
      <c r="D368" t="s">
        <v>39</v>
      </c>
      <c r="E368" t="s">
        <v>40</v>
      </c>
      <c r="F368" t="s">
        <v>1479</v>
      </c>
      <c r="G368" t="s">
        <v>1480</v>
      </c>
      <c r="H368">
        <v>1</v>
      </c>
      <c r="AA368">
        <v>0</v>
      </c>
      <c r="AF368">
        <v>1002182957</v>
      </c>
    </row>
    <row r="369" spans="1:37" x14ac:dyDescent="0.25">
      <c r="A369">
        <v>2182962</v>
      </c>
      <c r="B369" t="s">
        <v>1477</v>
      </c>
      <c r="C369" t="s">
        <v>1481</v>
      </c>
      <c r="D369" t="s">
        <v>39</v>
      </c>
      <c r="E369" t="s">
        <v>49</v>
      </c>
      <c r="F369" t="s">
        <v>1482</v>
      </c>
      <c r="G369" t="s">
        <v>970</v>
      </c>
      <c r="H369">
        <v>1</v>
      </c>
      <c r="V369" t="s">
        <v>1483</v>
      </c>
      <c r="AE369" t="s">
        <v>1484</v>
      </c>
      <c r="AF369">
        <v>1002182962</v>
      </c>
      <c r="AG369">
        <v>668596</v>
      </c>
    </row>
    <row r="370" spans="1:37" x14ac:dyDescent="0.25">
      <c r="A370">
        <v>2182967</v>
      </c>
      <c r="B370" t="s">
        <v>1477</v>
      </c>
      <c r="C370" t="s">
        <v>1485</v>
      </c>
      <c r="D370" t="s">
        <v>39</v>
      </c>
      <c r="E370" t="s">
        <v>40</v>
      </c>
      <c r="F370" t="s">
        <v>1486</v>
      </c>
      <c r="G370" t="s">
        <v>970</v>
      </c>
      <c r="H370">
        <v>1</v>
      </c>
      <c r="V370" t="s">
        <v>1483</v>
      </c>
      <c r="AE370" t="s">
        <v>1487</v>
      </c>
      <c r="AF370">
        <v>1002182967</v>
      </c>
      <c r="AG370">
        <v>668593</v>
      </c>
    </row>
    <row r="371" spans="1:37" x14ac:dyDescent="0.25">
      <c r="A371">
        <v>11850507</v>
      </c>
      <c r="B371" t="s">
        <v>1488</v>
      </c>
      <c r="C371" t="s">
        <v>1489</v>
      </c>
      <c r="D371" t="s">
        <v>39</v>
      </c>
      <c r="E371" t="s">
        <v>40</v>
      </c>
      <c r="F371" t="s">
        <v>1490</v>
      </c>
      <c r="U371" t="s">
        <v>46</v>
      </c>
      <c r="V371" t="s">
        <v>1491</v>
      </c>
      <c r="AF371">
        <v>1011850507</v>
      </c>
      <c r="AJ371" t="s">
        <v>97</v>
      </c>
      <c r="AK371" t="s">
        <v>65</v>
      </c>
    </row>
    <row r="372" spans="1:37" x14ac:dyDescent="0.25">
      <c r="A372">
        <v>2182972</v>
      </c>
      <c r="B372" t="s">
        <v>1492</v>
      </c>
      <c r="C372" t="s">
        <v>1493</v>
      </c>
      <c r="D372" t="s">
        <v>39</v>
      </c>
      <c r="E372" t="s">
        <v>49</v>
      </c>
      <c r="F372" t="s">
        <v>1494</v>
      </c>
      <c r="G372" t="s">
        <v>1495</v>
      </c>
      <c r="H372">
        <v>27</v>
      </c>
      <c r="AC372" t="s">
        <v>1496</v>
      </c>
      <c r="AF372">
        <v>1002182972</v>
      </c>
    </row>
    <row r="373" spans="1:37" x14ac:dyDescent="0.25">
      <c r="A373">
        <v>2936177</v>
      </c>
      <c r="B373" t="s">
        <v>1497</v>
      </c>
      <c r="C373" t="s">
        <v>1498</v>
      </c>
      <c r="D373" t="s">
        <v>39</v>
      </c>
      <c r="E373" t="s">
        <v>40</v>
      </c>
      <c r="F373" t="s">
        <v>1499</v>
      </c>
      <c r="V373">
        <v>0</v>
      </c>
      <c r="X373">
        <v>0</v>
      </c>
      <c r="Z373">
        <v>0</v>
      </c>
      <c r="AA373">
        <v>0</v>
      </c>
      <c r="AF373">
        <v>1002936177</v>
      </c>
    </row>
    <row r="374" spans="1:37" x14ac:dyDescent="0.25">
      <c r="A374">
        <v>2182987</v>
      </c>
      <c r="B374" t="s">
        <v>1500</v>
      </c>
      <c r="C374" t="s">
        <v>1501</v>
      </c>
      <c r="D374" t="s">
        <v>39</v>
      </c>
      <c r="E374" t="s">
        <v>49</v>
      </c>
      <c r="F374" t="s">
        <v>1502</v>
      </c>
      <c r="G374" t="s">
        <v>448</v>
      </c>
      <c r="H374">
        <v>135</v>
      </c>
      <c r="AC374" t="s">
        <v>1503</v>
      </c>
      <c r="AF374">
        <v>1002182987</v>
      </c>
    </row>
    <row r="375" spans="1:37" x14ac:dyDescent="0.25">
      <c r="A375">
        <v>11852342</v>
      </c>
      <c r="B375" t="s">
        <v>1504</v>
      </c>
      <c r="C375" t="s">
        <v>1505</v>
      </c>
      <c r="D375" t="s">
        <v>39</v>
      </c>
      <c r="E375" t="s">
        <v>40</v>
      </c>
      <c r="F375" t="s">
        <v>1506</v>
      </c>
      <c r="G375" t="s">
        <v>1507</v>
      </c>
      <c r="H375">
        <v>16</v>
      </c>
      <c r="U375" t="s">
        <v>46</v>
      </c>
      <c r="V375" t="s">
        <v>1508</v>
      </c>
      <c r="W375" t="s">
        <v>51</v>
      </c>
      <c r="X375" t="s">
        <v>1509</v>
      </c>
      <c r="AC375" t="s">
        <v>1510</v>
      </c>
      <c r="AF375">
        <v>1011852342</v>
      </c>
      <c r="AG375">
        <v>665927</v>
      </c>
      <c r="AJ375" t="s">
        <v>179</v>
      </c>
      <c r="AK375" t="s">
        <v>61</v>
      </c>
    </row>
    <row r="376" spans="1:37" x14ac:dyDescent="0.25">
      <c r="A376">
        <v>11852342</v>
      </c>
      <c r="B376" t="s">
        <v>1504</v>
      </c>
      <c r="C376" t="s">
        <v>1505</v>
      </c>
      <c r="D376" t="s">
        <v>39</v>
      </c>
      <c r="E376" t="s">
        <v>40</v>
      </c>
      <c r="F376" t="s">
        <v>1506</v>
      </c>
      <c r="G376" t="s">
        <v>1507</v>
      </c>
      <c r="H376">
        <v>16</v>
      </c>
      <c r="U376" t="s">
        <v>46</v>
      </c>
      <c r="V376" t="s">
        <v>1508</v>
      </c>
      <c r="W376" t="s">
        <v>51</v>
      </c>
      <c r="X376" t="s">
        <v>1509</v>
      </c>
      <c r="AC376" t="s">
        <v>1510</v>
      </c>
      <c r="AF376">
        <v>1011852342</v>
      </c>
      <c r="AG376">
        <v>665927</v>
      </c>
      <c r="AJ376" t="s">
        <v>180</v>
      </c>
      <c r="AK376" t="s">
        <v>61</v>
      </c>
    </row>
    <row r="377" spans="1:37" x14ac:dyDescent="0.25">
      <c r="A377">
        <v>2182992</v>
      </c>
      <c r="B377" t="s">
        <v>1511</v>
      </c>
      <c r="C377" t="s">
        <v>1512</v>
      </c>
      <c r="D377" t="s">
        <v>39</v>
      </c>
      <c r="E377" t="s">
        <v>49</v>
      </c>
      <c r="F377" t="s">
        <v>1513</v>
      </c>
      <c r="G377" t="s">
        <v>768</v>
      </c>
      <c r="H377" t="s">
        <v>864</v>
      </c>
      <c r="V377">
        <v>320493707989</v>
      </c>
      <c r="AC377" t="s">
        <v>1514</v>
      </c>
      <c r="AD377">
        <v>9</v>
      </c>
      <c r="AF377">
        <v>1002182992</v>
      </c>
      <c r="AG377">
        <v>633338</v>
      </c>
    </row>
    <row r="378" spans="1:37" x14ac:dyDescent="0.25">
      <c r="A378">
        <v>2668117</v>
      </c>
      <c r="B378" t="s">
        <v>1511</v>
      </c>
      <c r="C378" t="s">
        <v>1515</v>
      </c>
      <c r="D378" t="s">
        <v>39</v>
      </c>
      <c r="E378" t="s">
        <v>40</v>
      </c>
      <c r="F378" t="s">
        <v>1516</v>
      </c>
      <c r="U378" t="s">
        <v>46</v>
      </c>
      <c r="V378">
        <v>476590142</v>
      </c>
      <c r="AC378" t="s">
        <v>1517</v>
      </c>
      <c r="AF378">
        <v>1002668117</v>
      </c>
    </row>
    <row r="379" spans="1:37" x14ac:dyDescent="0.25">
      <c r="A379">
        <v>2182997</v>
      </c>
      <c r="B379" t="s">
        <v>1518</v>
      </c>
      <c r="C379" t="s">
        <v>1519</v>
      </c>
      <c r="D379" t="s">
        <v>39</v>
      </c>
      <c r="E379" t="s">
        <v>40</v>
      </c>
      <c r="F379" t="s">
        <v>1520</v>
      </c>
      <c r="G379" t="s">
        <v>1521</v>
      </c>
      <c r="H379">
        <v>15</v>
      </c>
      <c r="R379" t="s">
        <v>1522</v>
      </c>
      <c r="AA379">
        <v>0</v>
      </c>
      <c r="AF379">
        <v>1002182997</v>
      </c>
    </row>
    <row r="380" spans="1:37" x14ac:dyDescent="0.25">
      <c r="A380">
        <v>2669996</v>
      </c>
      <c r="B380" t="s">
        <v>1523</v>
      </c>
      <c r="C380" t="s">
        <v>427</v>
      </c>
      <c r="D380" t="s">
        <v>39</v>
      </c>
      <c r="E380" t="s">
        <v>40</v>
      </c>
      <c r="F380" t="s">
        <v>1524</v>
      </c>
      <c r="V380">
        <v>320472994952</v>
      </c>
      <c r="AC380" t="s">
        <v>1525</v>
      </c>
      <c r="AF380">
        <v>1002669996</v>
      </c>
      <c r="AG380">
        <v>601162</v>
      </c>
    </row>
    <row r="381" spans="1:37" x14ac:dyDescent="0.25">
      <c r="A381">
        <v>7501932</v>
      </c>
      <c r="B381" t="s">
        <v>1526</v>
      </c>
      <c r="C381" t="s">
        <v>1527</v>
      </c>
      <c r="D381" t="s">
        <v>39</v>
      </c>
      <c r="E381" t="s">
        <v>40</v>
      </c>
      <c r="F381" t="s">
        <v>1528</v>
      </c>
      <c r="G381" t="s">
        <v>1529</v>
      </c>
      <c r="H381">
        <v>44</v>
      </c>
      <c r="V381" t="s">
        <v>1530</v>
      </c>
      <c r="AC381" t="s">
        <v>1531</v>
      </c>
      <c r="AF381">
        <v>1007501932</v>
      </c>
    </row>
    <row r="382" spans="1:37" x14ac:dyDescent="0.25">
      <c r="A382">
        <v>2714018</v>
      </c>
      <c r="B382" t="s">
        <v>1532</v>
      </c>
      <c r="C382" t="s">
        <v>1533</v>
      </c>
      <c r="D382" t="s">
        <v>39</v>
      </c>
      <c r="E382" t="s">
        <v>49</v>
      </c>
      <c r="F382" t="s">
        <v>1534</v>
      </c>
      <c r="G382" t="s">
        <v>691</v>
      </c>
      <c r="H382">
        <v>90</v>
      </c>
      <c r="V382">
        <v>474721420</v>
      </c>
      <c r="X382">
        <v>0</v>
      </c>
      <c r="Z382">
        <v>0</v>
      </c>
      <c r="AA382">
        <v>0</v>
      </c>
      <c r="AC382" t="s">
        <v>1535</v>
      </c>
      <c r="AF382">
        <v>1002714018</v>
      </c>
      <c r="AG382">
        <v>742177</v>
      </c>
    </row>
    <row r="383" spans="1:37" x14ac:dyDescent="0.25">
      <c r="A383">
        <v>2183002</v>
      </c>
      <c r="B383" t="s">
        <v>1536</v>
      </c>
      <c r="C383" t="s">
        <v>1537</v>
      </c>
      <c r="D383" t="s">
        <v>39</v>
      </c>
      <c r="E383" t="s">
        <v>40</v>
      </c>
      <c r="F383" t="s">
        <v>1538</v>
      </c>
      <c r="G383" t="s">
        <v>1539</v>
      </c>
      <c r="H383">
        <v>66</v>
      </c>
      <c r="U383" t="s">
        <v>53</v>
      </c>
      <c r="V383">
        <v>32498104852</v>
      </c>
      <c r="W383" t="s">
        <v>51</v>
      </c>
      <c r="X383">
        <v>32498103578</v>
      </c>
      <c r="AF383">
        <v>1002183002</v>
      </c>
      <c r="AG383">
        <v>735041</v>
      </c>
      <c r="AJ383" t="s">
        <v>75</v>
      </c>
      <c r="AK383" t="s">
        <v>61</v>
      </c>
    </row>
    <row r="384" spans="1:37" x14ac:dyDescent="0.25">
      <c r="A384">
        <v>2183002</v>
      </c>
      <c r="B384" t="s">
        <v>1536</v>
      </c>
      <c r="C384" t="s">
        <v>1537</v>
      </c>
      <c r="D384" t="s">
        <v>39</v>
      </c>
      <c r="E384" t="s">
        <v>40</v>
      </c>
      <c r="F384" t="s">
        <v>1538</v>
      </c>
      <c r="G384" t="s">
        <v>1539</v>
      </c>
      <c r="H384">
        <v>66</v>
      </c>
      <c r="U384" t="s">
        <v>53</v>
      </c>
      <c r="V384">
        <v>32498104852</v>
      </c>
      <c r="W384" t="s">
        <v>51</v>
      </c>
      <c r="X384">
        <v>32498103578</v>
      </c>
      <c r="AF384">
        <v>1002183002</v>
      </c>
      <c r="AG384">
        <v>735041</v>
      </c>
      <c r="AJ384" t="s">
        <v>63</v>
      </c>
      <c r="AK384" t="s">
        <v>61</v>
      </c>
    </row>
    <row r="385" spans="1:38" x14ac:dyDescent="0.25">
      <c r="A385">
        <v>2650962</v>
      </c>
      <c r="B385" t="s">
        <v>1540</v>
      </c>
      <c r="C385" t="s">
        <v>818</v>
      </c>
      <c r="D385" t="s">
        <v>39</v>
      </c>
      <c r="E385" t="s">
        <v>40</v>
      </c>
      <c r="F385" t="s">
        <v>1541</v>
      </c>
      <c r="G385" t="s">
        <v>1473</v>
      </c>
      <c r="H385">
        <v>235</v>
      </c>
      <c r="Q385" t="s">
        <v>46</v>
      </c>
      <c r="R385" t="s">
        <v>1542</v>
      </c>
      <c r="V385" t="s">
        <v>1543</v>
      </c>
      <c r="X385" t="s">
        <v>1544</v>
      </c>
      <c r="AC385" t="s">
        <v>1545</v>
      </c>
      <c r="AF385">
        <v>1002650962</v>
      </c>
      <c r="AG385">
        <v>741745</v>
      </c>
    </row>
    <row r="386" spans="1:38" x14ac:dyDescent="0.25">
      <c r="A386">
        <v>10335270</v>
      </c>
      <c r="B386" t="s">
        <v>1540</v>
      </c>
      <c r="C386" t="s">
        <v>1231</v>
      </c>
      <c r="D386" t="s">
        <v>39</v>
      </c>
      <c r="E386" t="s">
        <v>40</v>
      </c>
      <c r="F386" t="s">
        <v>1546</v>
      </c>
      <c r="G386" t="s">
        <v>1473</v>
      </c>
      <c r="H386">
        <v>135</v>
      </c>
      <c r="Q386" t="s">
        <v>46</v>
      </c>
      <c r="R386" t="s">
        <v>1547</v>
      </c>
      <c r="V386" t="s">
        <v>1543</v>
      </c>
      <c r="AA386">
        <v>3255239015</v>
      </c>
      <c r="AF386">
        <v>1010335270</v>
      </c>
    </row>
    <row r="387" spans="1:38" x14ac:dyDescent="0.25">
      <c r="A387">
        <v>2936186</v>
      </c>
      <c r="B387" t="s">
        <v>1540</v>
      </c>
      <c r="C387" t="s">
        <v>266</v>
      </c>
      <c r="D387" t="s">
        <v>39</v>
      </c>
      <c r="E387" t="s">
        <v>40</v>
      </c>
      <c r="F387" t="s">
        <v>1548</v>
      </c>
      <c r="G387" t="s">
        <v>1473</v>
      </c>
      <c r="H387">
        <v>135</v>
      </c>
      <c r="V387">
        <v>474884540</v>
      </c>
      <c r="AE387" t="s">
        <v>1549</v>
      </c>
      <c r="AF387">
        <v>1002936186</v>
      </c>
      <c r="AG387">
        <v>744354</v>
      </c>
      <c r="AJ387" t="s">
        <v>286</v>
      </c>
      <c r="AK387" t="s">
        <v>61</v>
      </c>
    </row>
    <row r="388" spans="1:38" x14ac:dyDescent="0.25">
      <c r="A388">
        <v>2936186</v>
      </c>
      <c r="B388" t="s">
        <v>1540</v>
      </c>
      <c r="C388" t="s">
        <v>266</v>
      </c>
      <c r="D388" t="s">
        <v>39</v>
      </c>
      <c r="E388" t="s">
        <v>40</v>
      </c>
      <c r="F388" t="s">
        <v>1548</v>
      </c>
      <c r="G388" t="s">
        <v>1473</v>
      </c>
      <c r="H388">
        <v>135</v>
      </c>
      <c r="V388">
        <v>474884540</v>
      </c>
      <c r="AE388" t="s">
        <v>1549</v>
      </c>
      <c r="AF388">
        <v>1002936186</v>
      </c>
      <c r="AG388">
        <v>744354</v>
      </c>
      <c r="AJ388" t="s">
        <v>63</v>
      </c>
      <c r="AK388" t="s">
        <v>61</v>
      </c>
    </row>
    <row r="389" spans="1:38" x14ac:dyDescent="0.25">
      <c r="A389">
        <v>2936186</v>
      </c>
      <c r="B389" t="s">
        <v>1540</v>
      </c>
      <c r="C389" t="s">
        <v>266</v>
      </c>
      <c r="D389" t="s">
        <v>39</v>
      </c>
      <c r="E389" t="s">
        <v>40</v>
      </c>
      <c r="F389" t="s">
        <v>1548</v>
      </c>
      <c r="G389" t="s">
        <v>1473</v>
      </c>
      <c r="H389">
        <v>135</v>
      </c>
      <c r="V389">
        <v>474884540</v>
      </c>
      <c r="AE389" t="s">
        <v>1549</v>
      </c>
      <c r="AF389">
        <v>1002936186</v>
      </c>
      <c r="AG389">
        <v>744354</v>
      </c>
      <c r="AJ389" t="s">
        <v>180</v>
      </c>
      <c r="AK389" t="s">
        <v>61</v>
      </c>
    </row>
    <row r="390" spans="1:38" x14ac:dyDescent="0.25">
      <c r="A390">
        <v>2183007</v>
      </c>
      <c r="B390" t="s">
        <v>1550</v>
      </c>
      <c r="C390" t="s">
        <v>1551</v>
      </c>
      <c r="D390" t="s">
        <v>39</v>
      </c>
      <c r="E390" t="s">
        <v>40</v>
      </c>
      <c r="F390" t="s">
        <v>1552</v>
      </c>
      <c r="G390" t="s">
        <v>1553</v>
      </c>
      <c r="H390">
        <v>33</v>
      </c>
      <c r="U390" t="s">
        <v>46</v>
      </c>
      <c r="V390">
        <v>320456548873</v>
      </c>
      <c r="AC390" t="s">
        <v>1554</v>
      </c>
      <c r="AF390">
        <v>1002183007</v>
      </c>
      <c r="AG390">
        <v>631406</v>
      </c>
    </row>
    <row r="391" spans="1:38" x14ac:dyDescent="0.25">
      <c r="A391">
        <v>6709437</v>
      </c>
      <c r="B391" t="s">
        <v>1550</v>
      </c>
      <c r="C391" t="s">
        <v>1555</v>
      </c>
      <c r="D391" t="s">
        <v>39</v>
      </c>
      <c r="E391" t="s">
        <v>40</v>
      </c>
      <c r="F391" t="s">
        <v>1556</v>
      </c>
      <c r="G391" t="s">
        <v>1557</v>
      </c>
      <c r="H391">
        <v>128</v>
      </c>
      <c r="AC391" t="s">
        <v>1558</v>
      </c>
      <c r="AF391">
        <v>1006709437</v>
      </c>
      <c r="AG391">
        <v>612532</v>
      </c>
    </row>
    <row r="392" spans="1:38" x14ac:dyDescent="0.25">
      <c r="A392">
        <v>8482996</v>
      </c>
      <c r="B392" t="s">
        <v>1559</v>
      </c>
      <c r="C392" t="s">
        <v>1560</v>
      </c>
      <c r="D392" t="s">
        <v>39</v>
      </c>
      <c r="E392" t="s">
        <v>49</v>
      </c>
      <c r="F392" t="s">
        <v>1561</v>
      </c>
      <c r="G392" t="s">
        <v>1562</v>
      </c>
      <c r="H392">
        <v>91</v>
      </c>
      <c r="R392" t="s">
        <v>1563</v>
      </c>
      <c r="V392" t="s">
        <v>1564</v>
      </c>
      <c r="AF392">
        <v>1008482996</v>
      </c>
    </row>
    <row r="393" spans="1:38" x14ac:dyDescent="0.25">
      <c r="A393">
        <v>2669942</v>
      </c>
      <c r="B393" t="s">
        <v>1565</v>
      </c>
      <c r="C393" t="s">
        <v>1566</v>
      </c>
      <c r="D393" t="s">
        <v>39</v>
      </c>
      <c r="E393" t="s">
        <v>49</v>
      </c>
      <c r="F393" t="s">
        <v>1567</v>
      </c>
      <c r="G393" t="s">
        <v>1568</v>
      </c>
      <c r="H393">
        <v>221</v>
      </c>
      <c r="Q393" t="s">
        <v>53</v>
      </c>
      <c r="R393" t="s">
        <v>1569</v>
      </c>
      <c r="T393" t="s">
        <v>1570</v>
      </c>
      <c r="AD393">
        <v>6</v>
      </c>
      <c r="AE393" t="s">
        <v>1571</v>
      </c>
      <c r="AF393">
        <v>1002669942</v>
      </c>
      <c r="AG393">
        <v>704269</v>
      </c>
      <c r="AL393" t="s">
        <v>62</v>
      </c>
    </row>
    <row r="394" spans="1:38" x14ac:dyDescent="0.25">
      <c r="A394">
        <v>2669942</v>
      </c>
      <c r="B394" t="s">
        <v>1565</v>
      </c>
      <c r="C394" t="s">
        <v>1566</v>
      </c>
      <c r="D394" t="s">
        <v>39</v>
      </c>
      <c r="E394" t="s">
        <v>49</v>
      </c>
      <c r="F394" t="s">
        <v>1567</v>
      </c>
      <c r="G394" t="s">
        <v>1568</v>
      </c>
      <c r="H394">
        <v>221</v>
      </c>
      <c r="Q394" t="s">
        <v>53</v>
      </c>
      <c r="R394" t="s">
        <v>1569</v>
      </c>
      <c r="T394" t="s">
        <v>1570</v>
      </c>
      <c r="AD394">
        <v>6</v>
      </c>
      <c r="AE394" t="s">
        <v>1571</v>
      </c>
      <c r="AF394">
        <v>1002669942</v>
      </c>
      <c r="AG394">
        <v>704269</v>
      </c>
      <c r="AL394" t="s">
        <v>62</v>
      </c>
    </row>
    <row r="395" spans="1:38" x14ac:dyDescent="0.25">
      <c r="A395">
        <v>1933520</v>
      </c>
      <c r="B395" t="s">
        <v>1565</v>
      </c>
      <c r="C395" t="s">
        <v>1572</v>
      </c>
      <c r="D395" t="s">
        <v>39</v>
      </c>
      <c r="E395" t="s">
        <v>40</v>
      </c>
      <c r="F395" t="s">
        <v>1573</v>
      </c>
      <c r="G395" t="s">
        <v>603</v>
      </c>
      <c r="H395">
        <v>6</v>
      </c>
      <c r="I395">
        <v>202</v>
      </c>
      <c r="V395" t="s">
        <v>1574</v>
      </c>
      <c r="AC395" t="s">
        <v>1575</v>
      </c>
      <c r="AF395">
        <v>1001933520</v>
      </c>
      <c r="AG395">
        <v>80412</v>
      </c>
      <c r="AL395" t="s">
        <v>621</v>
      </c>
    </row>
    <row r="396" spans="1:38" x14ac:dyDescent="0.25">
      <c r="A396">
        <v>11852347</v>
      </c>
      <c r="B396" t="s">
        <v>1576</v>
      </c>
      <c r="C396" t="s">
        <v>1577</v>
      </c>
      <c r="D396" t="s">
        <v>39</v>
      </c>
      <c r="E396" t="s">
        <v>40</v>
      </c>
      <c r="F396" t="s">
        <v>1578</v>
      </c>
      <c r="G396" t="s">
        <v>1579</v>
      </c>
      <c r="H396" t="s">
        <v>1580</v>
      </c>
      <c r="Q396" t="s">
        <v>430</v>
      </c>
      <c r="R396" t="s">
        <v>1581</v>
      </c>
      <c r="AF396">
        <v>1011852347</v>
      </c>
      <c r="AG396">
        <v>280658</v>
      </c>
      <c r="AJ396" t="s">
        <v>180</v>
      </c>
      <c r="AK396" t="s">
        <v>61</v>
      </c>
    </row>
    <row r="397" spans="1:38" x14ac:dyDescent="0.25">
      <c r="A397">
        <v>2183017</v>
      </c>
      <c r="B397" t="s">
        <v>1582</v>
      </c>
      <c r="C397" t="s">
        <v>501</v>
      </c>
      <c r="D397" t="s">
        <v>39</v>
      </c>
      <c r="E397" t="s">
        <v>40</v>
      </c>
      <c r="F397" t="s">
        <v>1583</v>
      </c>
      <c r="G397" t="s">
        <v>1584</v>
      </c>
      <c r="H397">
        <v>128</v>
      </c>
      <c r="U397" t="s">
        <v>46</v>
      </c>
      <c r="V397" t="s">
        <v>1585</v>
      </c>
      <c r="AC397" t="s">
        <v>1586</v>
      </c>
      <c r="AE397" t="s">
        <v>1587</v>
      </c>
      <c r="AF397">
        <v>1002183017</v>
      </c>
      <c r="AG397">
        <v>233069</v>
      </c>
    </row>
    <row r="398" spans="1:38" x14ac:dyDescent="0.25">
      <c r="A398">
        <v>2183037</v>
      </c>
      <c r="B398" t="s">
        <v>1588</v>
      </c>
      <c r="C398" t="s">
        <v>1589</v>
      </c>
      <c r="D398" t="s">
        <v>39</v>
      </c>
      <c r="E398" t="s">
        <v>40</v>
      </c>
      <c r="F398" t="s">
        <v>1590</v>
      </c>
      <c r="G398" t="s">
        <v>1591</v>
      </c>
      <c r="H398" t="s">
        <v>1592</v>
      </c>
      <c r="R398" t="s">
        <v>1593</v>
      </c>
      <c r="U398" t="s">
        <v>46</v>
      </c>
      <c r="V398">
        <v>32479376759</v>
      </c>
      <c r="AC398" t="s">
        <v>1594</v>
      </c>
      <c r="AF398">
        <v>1002183037</v>
      </c>
      <c r="AG398">
        <v>92637</v>
      </c>
      <c r="AJ398" t="s">
        <v>75</v>
      </c>
      <c r="AK398" t="s">
        <v>65</v>
      </c>
    </row>
    <row r="399" spans="1:38" x14ac:dyDescent="0.25">
      <c r="A399">
        <v>2183042</v>
      </c>
      <c r="B399" t="s">
        <v>1588</v>
      </c>
      <c r="C399" t="s">
        <v>297</v>
      </c>
      <c r="D399" t="s">
        <v>39</v>
      </c>
      <c r="E399" t="s">
        <v>40</v>
      </c>
      <c r="F399" t="s">
        <v>1595</v>
      </c>
      <c r="G399" t="s">
        <v>1596</v>
      </c>
      <c r="H399" t="s">
        <v>1592</v>
      </c>
      <c r="Q399" t="s">
        <v>53</v>
      </c>
      <c r="R399" t="s">
        <v>1597</v>
      </c>
      <c r="V399">
        <v>479376759</v>
      </c>
      <c r="AF399">
        <v>1002183042</v>
      </c>
      <c r="AG399">
        <v>733228</v>
      </c>
      <c r="AJ399" t="s">
        <v>75</v>
      </c>
      <c r="AK399" t="s">
        <v>61</v>
      </c>
    </row>
    <row r="400" spans="1:38" x14ac:dyDescent="0.25">
      <c r="A400">
        <v>2183042</v>
      </c>
      <c r="B400" t="s">
        <v>1588</v>
      </c>
      <c r="C400" t="s">
        <v>297</v>
      </c>
      <c r="D400" t="s">
        <v>39</v>
      </c>
      <c r="E400" t="s">
        <v>40</v>
      </c>
      <c r="F400" t="s">
        <v>1595</v>
      </c>
      <c r="G400" t="s">
        <v>1596</v>
      </c>
      <c r="H400" t="s">
        <v>1592</v>
      </c>
      <c r="Q400" t="s">
        <v>53</v>
      </c>
      <c r="R400" t="s">
        <v>1597</v>
      </c>
      <c r="V400">
        <v>479376759</v>
      </c>
      <c r="AF400">
        <v>1002183042</v>
      </c>
      <c r="AG400">
        <v>733228</v>
      </c>
      <c r="AJ400" t="s">
        <v>63</v>
      </c>
      <c r="AK400" t="s">
        <v>61</v>
      </c>
    </row>
    <row r="401" spans="1:38" x14ac:dyDescent="0.25">
      <c r="A401">
        <v>7284400</v>
      </c>
      <c r="B401" t="s">
        <v>1598</v>
      </c>
      <c r="C401" t="s">
        <v>1599</v>
      </c>
      <c r="D401" t="s">
        <v>39</v>
      </c>
      <c r="E401" t="s">
        <v>49</v>
      </c>
      <c r="F401" t="s">
        <v>1600</v>
      </c>
      <c r="G401" t="s">
        <v>1601</v>
      </c>
      <c r="H401">
        <v>16</v>
      </c>
      <c r="Q401" t="s">
        <v>53</v>
      </c>
      <c r="R401" t="s">
        <v>1602</v>
      </c>
      <c r="U401" t="s">
        <v>51</v>
      </c>
      <c r="V401" t="s">
        <v>1603</v>
      </c>
      <c r="W401" t="s">
        <v>53</v>
      </c>
      <c r="X401">
        <v>32485592473</v>
      </c>
      <c r="AC401" t="s">
        <v>1604</v>
      </c>
      <c r="AD401">
        <v>9</v>
      </c>
      <c r="AE401" t="s">
        <v>1605</v>
      </c>
      <c r="AF401">
        <v>1007284400</v>
      </c>
      <c r="AG401">
        <v>764842</v>
      </c>
      <c r="AJ401" t="s">
        <v>174</v>
      </c>
      <c r="AK401" t="s">
        <v>61</v>
      </c>
      <c r="AL401" t="s">
        <v>62</v>
      </c>
    </row>
    <row r="402" spans="1:38" x14ac:dyDescent="0.25">
      <c r="A402">
        <v>10761826</v>
      </c>
      <c r="B402" t="s">
        <v>1606</v>
      </c>
      <c r="C402" t="s">
        <v>1607</v>
      </c>
      <c r="D402" t="s">
        <v>39</v>
      </c>
      <c r="E402" t="s">
        <v>40</v>
      </c>
      <c r="F402" t="s">
        <v>1608</v>
      </c>
      <c r="G402" t="s">
        <v>1609</v>
      </c>
      <c r="H402">
        <v>34</v>
      </c>
      <c r="Q402" t="s">
        <v>46</v>
      </c>
      <c r="R402" t="s">
        <v>1610</v>
      </c>
      <c r="S402" t="s">
        <v>51</v>
      </c>
      <c r="T402" t="s">
        <v>1611</v>
      </c>
      <c r="V402">
        <v>32486615053</v>
      </c>
      <c r="X402">
        <v>32471247514</v>
      </c>
      <c r="Z402">
        <v>0</v>
      </c>
      <c r="AA402">
        <v>0</v>
      </c>
      <c r="AF402">
        <v>1010761826</v>
      </c>
    </row>
    <row r="403" spans="1:38" x14ac:dyDescent="0.25">
      <c r="A403">
        <v>6358737</v>
      </c>
      <c r="B403" t="s">
        <v>1606</v>
      </c>
      <c r="C403" t="s">
        <v>1612</v>
      </c>
      <c r="D403" t="s">
        <v>39</v>
      </c>
      <c r="E403" t="s">
        <v>40</v>
      </c>
      <c r="F403" t="s">
        <v>1613</v>
      </c>
      <c r="G403" t="s">
        <v>1609</v>
      </c>
      <c r="H403">
        <v>34</v>
      </c>
      <c r="Q403" t="s">
        <v>46</v>
      </c>
      <c r="R403" t="s">
        <v>1610</v>
      </c>
      <c r="S403" t="s">
        <v>51</v>
      </c>
      <c r="T403" t="s">
        <v>1611</v>
      </c>
      <c r="U403" t="s">
        <v>53</v>
      </c>
      <c r="V403">
        <v>32486615053</v>
      </c>
      <c r="W403" t="s">
        <v>46</v>
      </c>
      <c r="X403">
        <v>32471247514</v>
      </c>
      <c r="AC403" t="s">
        <v>1614</v>
      </c>
      <c r="AF403">
        <v>1006358737</v>
      </c>
      <c r="AJ403" t="s">
        <v>75</v>
      </c>
      <c r="AK403" t="s">
        <v>61</v>
      </c>
    </row>
    <row r="404" spans="1:38" x14ac:dyDescent="0.25">
      <c r="A404">
        <v>6358737</v>
      </c>
      <c r="B404" t="s">
        <v>1606</v>
      </c>
      <c r="C404" t="s">
        <v>1612</v>
      </c>
      <c r="D404" t="s">
        <v>39</v>
      </c>
      <c r="E404" t="s">
        <v>40</v>
      </c>
      <c r="F404" t="s">
        <v>1613</v>
      </c>
      <c r="G404" t="s">
        <v>1609</v>
      </c>
      <c r="H404">
        <v>34</v>
      </c>
      <c r="Q404" t="s">
        <v>46</v>
      </c>
      <c r="R404" t="s">
        <v>1610</v>
      </c>
      <c r="S404" t="s">
        <v>51</v>
      </c>
      <c r="T404" t="s">
        <v>1611</v>
      </c>
      <c r="U404" t="s">
        <v>53</v>
      </c>
      <c r="V404">
        <v>32486615053</v>
      </c>
      <c r="W404" t="s">
        <v>46</v>
      </c>
      <c r="X404">
        <v>32471247514</v>
      </c>
      <c r="AC404" t="s">
        <v>1614</v>
      </c>
      <c r="AF404">
        <v>1006358737</v>
      </c>
      <c r="AJ404" t="s">
        <v>63</v>
      </c>
      <c r="AK404" t="s">
        <v>61</v>
      </c>
    </row>
    <row r="405" spans="1:38" x14ac:dyDescent="0.25">
      <c r="A405">
        <v>2650870</v>
      </c>
      <c r="B405" t="s">
        <v>1615</v>
      </c>
      <c r="C405" t="s">
        <v>1616</v>
      </c>
      <c r="D405" t="s">
        <v>39</v>
      </c>
      <c r="E405" t="s">
        <v>49</v>
      </c>
      <c r="F405" t="s">
        <v>1617</v>
      </c>
      <c r="G405" t="s">
        <v>238</v>
      </c>
      <c r="H405">
        <v>12</v>
      </c>
      <c r="V405">
        <v>474613344</v>
      </c>
      <c r="AC405" t="s">
        <v>1618</v>
      </c>
      <c r="AF405">
        <v>1002650870</v>
      </c>
    </row>
    <row r="406" spans="1:38" x14ac:dyDescent="0.25">
      <c r="A406">
        <v>2669937</v>
      </c>
      <c r="B406" t="s">
        <v>1619</v>
      </c>
      <c r="C406" t="s">
        <v>1620</v>
      </c>
      <c r="D406" t="s">
        <v>39</v>
      </c>
      <c r="E406" t="s">
        <v>49</v>
      </c>
      <c r="F406" t="s">
        <v>1621</v>
      </c>
      <c r="G406" t="s">
        <v>1622</v>
      </c>
      <c r="H406">
        <v>64</v>
      </c>
      <c r="Q406" t="s">
        <v>51</v>
      </c>
      <c r="R406" t="s">
        <v>1623</v>
      </c>
      <c r="S406" t="s">
        <v>46</v>
      </c>
      <c r="T406" t="s">
        <v>1624</v>
      </c>
      <c r="AC406" t="s">
        <v>1625</v>
      </c>
      <c r="AF406">
        <v>1002669937</v>
      </c>
      <c r="AG406">
        <v>717008</v>
      </c>
    </row>
    <row r="407" spans="1:38" x14ac:dyDescent="0.25">
      <c r="A407">
        <v>2183047</v>
      </c>
      <c r="B407" t="s">
        <v>1626</v>
      </c>
      <c r="C407" t="s">
        <v>1627</v>
      </c>
      <c r="D407" t="s">
        <v>39</v>
      </c>
      <c r="E407" t="s">
        <v>49</v>
      </c>
      <c r="F407" t="s">
        <v>1628</v>
      </c>
      <c r="G407" t="s">
        <v>673</v>
      </c>
      <c r="H407">
        <v>50</v>
      </c>
      <c r="AC407" t="s">
        <v>1629</v>
      </c>
      <c r="AF407">
        <v>1002183047</v>
      </c>
      <c r="AG407">
        <v>640293</v>
      </c>
    </row>
    <row r="408" spans="1:38" x14ac:dyDescent="0.25">
      <c r="A408">
        <v>2183052</v>
      </c>
      <c r="B408" t="s">
        <v>1630</v>
      </c>
      <c r="C408" t="s">
        <v>1631</v>
      </c>
      <c r="D408" t="s">
        <v>39</v>
      </c>
      <c r="E408" t="s">
        <v>40</v>
      </c>
      <c r="F408" t="s">
        <v>1632</v>
      </c>
      <c r="G408" t="s">
        <v>611</v>
      </c>
      <c r="H408">
        <v>2</v>
      </c>
      <c r="AC408" t="s">
        <v>1633</v>
      </c>
      <c r="AF408">
        <v>1002183052</v>
      </c>
      <c r="AG408">
        <v>638439</v>
      </c>
    </row>
    <row r="409" spans="1:38" x14ac:dyDescent="0.25">
      <c r="A409">
        <v>2183057</v>
      </c>
      <c r="B409" t="s">
        <v>1630</v>
      </c>
      <c r="C409" t="s">
        <v>1634</v>
      </c>
      <c r="D409" t="s">
        <v>39</v>
      </c>
      <c r="E409" t="s">
        <v>40</v>
      </c>
      <c r="F409" t="s">
        <v>1635</v>
      </c>
      <c r="G409" t="s">
        <v>611</v>
      </c>
      <c r="H409">
        <v>2</v>
      </c>
      <c r="U409" t="s">
        <v>46</v>
      </c>
      <c r="V409">
        <v>32468406427</v>
      </c>
      <c r="AC409" t="s">
        <v>1636</v>
      </c>
      <c r="AF409">
        <v>1002183057</v>
      </c>
      <c r="AG409">
        <v>661064</v>
      </c>
    </row>
    <row r="410" spans="1:38" x14ac:dyDescent="0.25">
      <c r="A410">
        <v>2934326</v>
      </c>
      <c r="B410" t="s">
        <v>1637</v>
      </c>
      <c r="C410" t="s">
        <v>1170</v>
      </c>
      <c r="D410" t="s">
        <v>39</v>
      </c>
      <c r="E410" t="s">
        <v>40</v>
      </c>
      <c r="F410" t="s">
        <v>1638</v>
      </c>
      <c r="G410" t="s">
        <v>1639</v>
      </c>
      <c r="H410">
        <v>44</v>
      </c>
      <c r="U410" t="s">
        <v>46</v>
      </c>
      <c r="V410" t="s">
        <v>1640</v>
      </c>
      <c r="AC410" t="s">
        <v>1641</v>
      </c>
      <c r="AF410">
        <v>1002934326</v>
      </c>
      <c r="AG410">
        <v>214428</v>
      </c>
    </row>
    <row r="411" spans="1:38" x14ac:dyDescent="0.25">
      <c r="A411">
        <v>10452623</v>
      </c>
      <c r="B411" t="s">
        <v>1642</v>
      </c>
      <c r="C411" t="s">
        <v>1643</v>
      </c>
      <c r="D411" t="s">
        <v>39</v>
      </c>
      <c r="E411" t="s">
        <v>40</v>
      </c>
      <c r="F411" t="s">
        <v>1644</v>
      </c>
      <c r="G411" t="s">
        <v>1645</v>
      </c>
      <c r="H411">
        <v>1</v>
      </c>
      <c r="R411" t="s">
        <v>1646</v>
      </c>
      <c r="V411" t="s">
        <v>1647</v>
      </c>
      <c r="AF411">
        <v>1010452623</v>
      </c>
    </row>
    <row r="412" spans="1:38" x14ac:dyDescent="0.25">
      <c r="A412">
        <v>10447457</v>
      </c>
      <c r="B412" t="s">
        <v>1648</v>
      </c>
      <c r="C412" t="s">
        <v>1649</v>
      </c>
      <c r="D412" t="s">
        <v>39</v>
      </c>
      <c r="E412" t="s">
        <v>49</v>
      </c>
      <c r="F412" t="s">
        <v>1650</v>
      </c>
      <c r="G412" t="s">
        <v>850</v>
      </c>
      <c r="H412">
        <v>73</v>
      </c>
      <c r="U412" t="s">
        <v>51</v>
      </c>
      <c r="V412" t="s">
        <v>1651</v>
      </c>
      <c r="W412" t="s">
        <v>53</v>
      </c>
      <c r="X412" t="s">
        <v>1652</v>
      </c>
      <c r="AC412" t="s">
        <v>1653</v>
      </c>
      <c r="AF412">
        <v>1010447457</v>
      </c>
      <c r="AJ412" t="s">
        <v>174</v>
      </c>
      <c r="AK412" t="s">
        <v>61</v>
      </c>
    </row>
    <row r="413" spans="1:38" x14ac:dyDescent="0.25">
      <c r="A413">
        <v>10452528</v>
      </c>
      <c r="B413" t="s">
        <v>1654</v>
      </c>
      <c r="C413" t="s">
        <v>1655</v>
      </c>
      <c r="D413" t="s">
        <v>39</v>
      </c>
      <c r="E413" t="s">
        <v>40</v>
      </c>
      <c r="F413" t="s">
        <v>1656</v>
      </c>
      <c r="G413" t="s">
        <v>1657</v>
      </c>
      <c r="H413">
        <v>39</v>
      </c>
      <c r="Q413" t="s">
        <v>51</v>
      </c>
      <c r="R413" t="s">
        <v>1658</v>
      </c>
      <c r="V413" t="s">
        <v>1659</v>
      </c>
      <c r="AF413">
        <v>1010452528</v>
      </c>
      <c r="AJ413" t="s">
        <v>656</v>
      </c>
      <c r="AK413" t="s">
        <v>61</v>
      </c>
    </row>
    <row r="414" spans="1:38" x14ac:dyDescent="0.25">
      <c r="A414">
        <v>10452528</v>
      </c>
      <c r="B414" t="s">
        <v>1654</v>
      </c>
      <c r="C414" t="s">
        <v>1655</v>
      </c>
      <c r="D414" t="s">
        <v>39</v>
      </c>
      <c r="E414" t="s">
        <v>40</v>
      </c>
      <c r="F414" t="s">
        <v>1656</v>
      </c>
      <c r="G414" t="s">
        <v>1657</v>
      </c>
      <c r="H414">
        <v>39</v>
      </c>
      <c r="Q414" t="s">
        <v>51</v>
      </c>
      <c r="R414" t="s">
        <v>1658</v>
      </c>
      <c r="V414" t="s">
        <v>1659</v>
      </c>
      <c r="AF414">
        <v>1010452528</v>
      </c>
      <c r="AJ414" t="s">
        <v>295</v>
      </c>
      <c r="AK414" t="s">
        <v>61</v>
      </c>
    </row>
    <row r="415" spans="1:38" x14ac:dyDescent="0.25">
      <c r="A415">
        <v>4303407</v>
      </c>
      <c r="B415" t="s">
        <v>1660</v>
      </c>
      <c r="C415" t="s">
        <v>1661</v>
      </c>
      <c r="D415" t="s">
        <v>39</v>
      </c>
      <c r="E415" t="s">
        <v>40</v>
      </c>
      <c r="F415" t="s">
        <v>1662</v>
      </c>
      <c r="G415" t="s">
        <v>1663</v>
      </c>
      <c r="H415">
        <v>1</v>
      </c>
      <c r="R415" t="s">
        <v>1664</v>
      </c>
      <c r="U415" t="s">
        <v>53</v>
      </c>
      <c r="V415" t="s">
        <v>1665</v>
      </c>
      <c r="AF415">
        <v>1004303407</v>
      </c>
      <c r="AG415">
        <v>758359</v>
      </c>
    </row>
    <row r="416" spans="1:38" x14ac:dyDescent="0.25">
      <c r="A416">
        <v>11858090</v>
      </c>
      <c r="B416" t="s">
        <v>1666</v>
      </c>
      <c r="C416" t="s">
        <v>1236</v>
      </c>
      <c r="D416" t="s">
        <v>39</v>
      </c>
      <c r="E416" t="s">
        <v>40</v>
      </c>
      <c r="F416" t="s">
        <v>1667</v>
      </c>
      <c r="G416" t="s">
        <v>1668</v>
      </c>
      <c r="H416">
        <v>27</v>
      </c>
      <c r="Q416" t="s">
        <v>53</v>
      </c>
      <c r="R416" t="s">
        <v>1669</v>
      </c>
      <c r="U416" t="s">
        <v>46</v>
      </c>
      <c r="V416" t="s">
        <v>1670</v>
      </c>
      <c r="W416" t="s">
        <v>53</v>
      </c>
      <c r="X416" t="s">
        <v>1671</v>
      </c>
      <c r="AF416">
        <v>1011858090</v>
      </c>
      <c r="AJ416" t="s">
        <v>179</v>
      </c>
      <c r="AK416" t="s">
        <v>61</v>
      </c>
    </row>
    <row r="417" spans="1:38" x14ac:dyDescent="0.25">
      <c r="A417">
        <v>11858090</v>
      </c>
      <c r="B417" t="s">
        <v>1666</v>
      </c>
      <c r="C417" t="s">
        <v>1236</v>
      </c>
      <c r="D417" t="s">
        <v>39</v>
      </c>
      <c r="E417" t="s">
        <v>40</v>
      </c>
      <c r="F417" t="s">
        <v>1667</v>
      </c>
      <c r="G417" t="s">
        <v>1668</v>
      </c>
      <c r="H417">
        <v>27</v>
      </c>
      <c r="Q417" t="s">
        <v>53</v>
      </c>
      <c r="R417" t="s">
        <v>1669</v>
      </c>
      <c r="U417" t="s">
        <v>46</v>
      </c>
      <c r="V417" t="s">
        <v>1670</v>
      </c>
      <c r="W417" t="s">
        <v>53</v>
      </c>
      <c r="X417" t="s">
        <v>1671</v>
      </c>
      <c r="AF417">
        <v>1011858090</v>
      </c>
      <c r="AJ417" t="s">
        <v>286</v>
      </c>
      <c r="AK417" t="s">
        <v>61</v>
      </c>
    </row>
    <row r="418" spans="1:38" x14ac:dyDescent="0.25">
      <c r="A418">
        <v>2183082</v>
      </c>
      <c r="B418" t="s">
        <v>1672</v>
      </c>
      <c r="C418" t="s">
        <v>1034</v>
      </c>
      <c r="D418" t="s">
        <v>39</v>
      </c>
      <c r="E418" t="s">
        <v>40</v>
      </c>
      <c r="F418" t="s">
        <v>1673</v>
      </c>
      <c r="G418" t="s">
        <v>1674</v>
      </c>
      <c r="H418">
        <v>51</v>
      </c>
      <c r="U418" t="s">
        <v>46</v>
      </c>
      <c r="V418">
        <v>320479175859</v>
      </c>
      <c r="AC418" t="s">
        <v>1675</v>
      </c>
      <c r="AF418">
        <v>1002183082</v>
      </c>
      <c r="AG418">
        <v>620445</v>
      </c>
    </row>
    <row r="419" spans="1:38" x14ac:dyDescent="0.25">
      <c r="A419">
        <v>9680220</v>
      </c>
      <c r="B419" t="s">
        <v>1676</v>
      </c>
      <c r="C419" t="s">
        <v>1677</v>
      </c>
      <c r="D419" t="s">
        <v>39</v>
      </c>
      <c r="E419" t="s">
        <v>40</v>
      </c>
      <c r="F419" t="s">
        <v>1678</v>
      </c>
      <c r="G419" t="s">
        <v>1679</v>
      </c>
      <c r="H419">
        <v>115</v>
      </c>
      <c r="Q419" t="s">
        <v>51</v>
      </c>
      <c r="R419" t="s">
        <v>1680</v>
      </c>
      <c r="V419" t="s">
        <v>1681</v>
      </c>
      <c r="AE419" t="s">
        <v>1682</v>
      </c>
      <c r="AF419">
        <v>1009680220</v>
      </c>
      <c r="AJ419" t="s">
        <v>131</v>
      </c>
      <c r="AK419" t="s">
        <v>61</v>
      </c>
    </row>
    <row r="420" spans="1:38" x14ac:dyDescent="0.25">
      <c r="A420">
        <v>10452680</v>
      </c>
      <c r="B420" t="s">
        <v>1683</v>
      </c>
      <c r="C420" t="s">
        <v>1684</v>
      </c>
      <c r="D420" t="s">
        <v>39</v>
      </c>
      <c r="E420" t="s">
        <v>49</v>
      </c>
      <c r="F420" t="s">
        <v>1685</v>
      </c>
      <c r="G420" t="s">
        <v>1686</v>
      </c>
      <c r="H420">
        <v>26</v>
      </c>
      <c r="R420" t="s">
        <v>1687</v>
      </c>
      <c r="U420" t="s">
        <v>53</v>
      </c>
      <c r="V420">
        <v>320478636087</v>
      </c>
      <c r="W420" t="s">
        <v>51</v>
      </c>
      <c r="X420">
        <v>32498735730</v>
      </c>
      <c r="AE420" t="s">
        <v>1688</v>
      </c>
      <c r="AF420">
        <v>1010452680</v>
      </c>
    </row>
    <row r="421" spans="1:38" x14ac:dyDescent="0.25">
      <c r="A421">
        <v>4393791</v>
      </c>
      <c r="B421" t="s">
        <v>1689</v>
      </c>
      <c r="C421" t="s">
        <v>1690</v>
      </c>
      <c r="D421" t="s">
        <v>39</v>
      </c>
      <c r="E421" t="s">
        <v>40</v>
      </c>
      <c r="F421" t="s">
        <v>1691</v>
      </c>
      <c r="G421" t="s">
        <v>535</v>
      </c>
      <c r="H421">
        <v>70</v>
      </c>
      <c r="Q421" t="s">
        <v>51</v>
      </c>
      <c r="R421" t="s">
        <v>1692</v>
      </c>
      <c r="U421" t="s">
        <v>53</v>
      </c>
      <c r="V421" t="s">
        <v>1693</v>
      </c>
      <c r="W421" t="s">
        <v>51</v>
      </c>
      <c r="X421" t="s">
        <v>1694</v>
      </c>
      <c r="AE421" t="s">
        <v>1695</v>
      </c>
      <c r="AF421">
        <v>1004393791</v>
      </c>
      <c r="AG421">
        <v>758517</v>
      </c>
      <c r="AJ421" t="s">
        <v>63</v>
      </c>
      <c r="AK421" t="s">
        <v>61</v>
      </c>
    </row>
    <row r="422" spans="1:38" x14ac:dyDescent="0.25">
      <c r="A422">
        <v>4393791</v>
      </c>
      <c r="B422" t="s">
        <v>1689</v>
      </c>
      <c r="C422" t="s">
        <v>1690</v>
      </c>
      <c r="D422" t="s">
        <v>39</v>
      </c>
      <c r="E422" t="s">
        <v>40</v>
      </c>
      <c r="F422" t="s">
        <v>1691</v>
      </c>
      <c r="G422" t="s">
        <v>535</v>
      </c>
      <c r="H422">
        <v>70</v>
      </c>
      <c r="Q422" t="s">
        <v>51</v>
      </c>
      <c r="R422" t="s">
        <v>1692</v>
      </c>
      <c r="U422" t="s">
        <v>53</v>
      </c>
      <c r="V422" t="s">
        <v>1693</v>
      </c>
      <c r="W422" t="s">
        <v>51</v>
      </c>
      <c r="X422" t="s">
        <v>1694</v>
      </c>
      <c r="AE422" t="s">
        <v>1695</v>
      </c>
      <c r="AF422">
        <v>1004393791</v>
      </c>
      <c r="AG422">
        <v>758517</v>
      </c>
      <c r="AJ422" t="s">
        <v>744</v>
      </c>
      <c r="AK422" t="s">
        <v>61</v>
      </c>
    </row>
    <row r="423" spans="1:38" x14ac:dyDescent="0.25">
      <c r="A423">
        <v>3580747</v>
      </c>
      <c r="B423" t="s">
        <v>1689</v>
      </c>
      <c r="C423" t="s">
        <v>1414</v>
      </c>
      <c r="D423" t="s">
        <v>39</v>
      </c>
      <c r="E423" t="s">
        <v>40</v>
      </c>
      <c r="F423" t="s">
        <v>1696</v>
      </c>
      <c r="G423" t="s">
        <v>535</v>
      </c>
      <c r="H423">
        <v>70</v>
      </c>
      <c r="U423" t="s">
        <v>53</v>
      </c>
      <c r="V423">
        <v>32494240195</v>
      </c>
      <c r="X423">
        <v>0</v>
      </c>
      <c r="Z423">
        <v>0</v>
      </c>
      <c r="AA423">
        <v>0</v>
      </c>
      <c r="AE423" t="s">
        <v>1697</v>
      </c>
      <c r="AF423">
        <v>1003580747</v>
      </c>
      <c r="AJ423" t="s">
        <v>88</v>
      </c>
      <c r="AK423" t="s">
        <v>61</v>
      </c>
    </row>
    <row r="424" spans="1:38" x14ac:dyDescent="0.25">
      <c r="A424">
        <v>6109381</v>
      </c>
      <c r="B424" t="s">
        <v>1698</v>
      </c>
      <c r="C424" t="s">
        <v>1699</v>
      </c>
      <c r="D424" t="s">
        <v>39</v>
      </c>
      <c r="E424" t="s">
        <v>49</v>
      </c>
      <c r="F424" t="s">
        <v>1700</v>
      </c>
      <c r="G424" t="s">
        <v>1701</v>
      </c>
      <c r="H424">
        <v>15</v>
      </c>
      <c r="AF424">
        <v>1006109381</v>
      </c>
    </row>
    <row r="425" spans="1:38" x14ac:dyDescent="0.25">
      <c r="A425">
        <v>2183087</v>
      </c>
      <c r="B425" t="s">
        <v>1702</v>
      </c>
      <c r="C425" t="s">
        <v>908</v>
      </c>
      <c r="D425" t="s">
        <v>39</v>
      </c>
      <c r="E425" t="s">
        <v>40</v>
      </c>
      <c r="F425" t="s">
        <v>1703</v>
      </c>
      <c r="G425" t="s">
        <v>1704</v>
      </c>
      <c r="H425">
        <v>38</v>
      </c>
      <c r="Q425" t="s">
        <v>53</v>
      </c>
      <c r="R425" t="s">
        <v>1705</v>
      </c>
      <c r="U425" t="s">
        <v>51</v>
      </c>
      <c r="V425" t="s">
        <v>1706</v>
      </c>
      <c r="W425" t="s">
        <v>46</v>
      </c>
      <c r="X425" t="s">
        <v>1707</v>
      </c>
      <c r="Y425" t="s">
        <v>53</v>
      </c>
      <c r="Z425" t="s">
        <v>1708</v>
      </c>
      <c r="AA425" t="s">
        <v>1709</v>
      </c>
      <c r="AC425" t="s">
        <v>1710</v>
      </c>
      <c r="AF425">
        <v>1002183087</v>
      </c>
      <c r="AG425">
        <v>723668</v>
      </c>
      <c r="AJ425" t="s">
        <v>143</v>
      </c>
      <c r="AK425" t="s">
        <v>61</v>
      </c>
      <c r="AL425" t="s">
        <v>62</v>
      </c>
    </row>
    <row r="426" spans="1:38" x14ac:dyDescent="0.25">
      <c r="A426">
        <v>2183087</v>
      </c>
      <c r="B426" t="s">
        <v>1702</v>
      </c>
      <c r="C426" t="s">
        <v>908</v>
      </c>
      <c r="D426" t="s">
        <v>39</v>
      </c>
      <c r="E426" t="s">
        <v>40</v>
      </c>
      <c r="F426" t="s">
        <v>1703</v>
      </c>
      <c r="G426" t="s">
        <v>1704</v>
      </c>
      <c r="H426">
        <v>38</v>
      </c>
      <c r="Q426" t="s">
        <v>53</v>
      </c>
      <c r="R426" t="s">
        <v>1705</v>
      </c>
      <c r="U426" t="s">
        <v>51</v>
      </c>
      <c r="V426" t="s">
        <v>1706</v>
      </c>
      <c r="W426" t="s">
        <v>46</v>
      </c>
      <c r="X426" t="s">
        <v>1707</v>
      </c>
      <c r="Y426" t="s">
        <v>53</v>
      </c>
      <c r="Z426" t="s">
        <v>1708</v>
      </c>
      <c r="AA426" t="s">
        <v>1709</v>
      </c>
      <c r="AC426" t="s">
        <v>1710</v>
      </c>
      <c r="AF426">
        <v>1002183087</v>
      </c>
      <c r="AG426">
        <v>723668</v>
      </c>
      <c r="AJ426" t="s">
        <v>63</v>
      </c>
      <c r="AK426" t="s">
        <v>61</v>
      </c>
      <c r="AL426" t="s">
        <v>62</v>
      </c>
    </row>
    <row r="427" spans="1:38" x14ac:dyDescent="0.25">
      <c r="A427">
        <v>2183087</v>
      </c>
      <c r="B427" t="s">
        <v>1702</v>
      </c>
      <c r="C427" t="s">
        <v>908</v>
      </c>
      <c r="D427" t="s">
        <v>39</v>
      </c>
      <c r="E427" t="s">
        <v>40</v>
      </c>
      <c r="F427" t="s">
        <v>1703</v>
      </c>
      <c r="G427" t="s">
        <v>1704</v>
      </c>
      <c r="H427">
        <v>38</v>
      </c>
      <c r="Q427" t="s">
        <v>53</v>
      </c>
      <c r="R427" t="s">
        <v>1705</v>
      </c>
      <c r="U427" t="s">
        <v>51</v>
      </c>
      <c r="V427" t="s">
        <v>1706</v>
      </c>
      <c r="W427" t="s">
        <v>46</v>
      </c>
      <c r="X427" t="s">
        <v>1707</v>
      </c>
      <c r="Y427" t="s">
        <v>53</v>
      </c>
      <c r="Z427" t="s">
        <v>1708</v>
      </c>
      <c r="AA427" t="s">
        <v>1709</v>
      </c>
      <c r="AC427" t="s">
        <v>1710</v>
      </c>
      <c r="AF427">
        <v>1002183087</v>
      </c>
      <c r="AG427">
        <v>723668</v>
      </c>
      <c r="AL427" t="s">
        <v>62</v>
      </c>
    </row>
    <row r="428" spans="1:38" x14ac:dyDescent="0.25">
      <c r="A428">
        <v>2650866</v>
      </c>
      <c r="B428" t="s">
        <v>1702</v>
      </c>
      <c r="C428" t="s">
        <v>274</v>
      </c>
      <c r="D428" t="s">
        <v>39</v>
      </c>
      <c r="E428" t="s">
        <v>40</v>
      </c>
      <c r="G428" t="s">
        <v>1704</v>
      </c>
      <c r="H428">
        <v>38</v>
      </c>
      <c r="V428">
        <v>0</v>
      </c>
      <c r="X428">
        <v>0</v>
      </c>
      <c r="Z428">
        <v>0</v>
      </c>
      <c r="AA428">
        <v>0</v>
      </c>
      <c r="AC428" t="s">
        <v>1711</v>
      </c>
      <c r="AF428">
        <v>1002650866</v>
      </c>
    </row>
    <row r="429" spans="1:38" x14ac:dyDescent="0.25">
      <c r="A429">
        <v>7279180</v>
      </c>
      <c r="B429" t="s">
        <v>1702</v>
      </c>
      <c r="C429" t="s">
        <v>1712</v>
      </c>
      <c r="D429" t="s">
        <v>39</v>
      </c>
      <c r="E429" t="s">
        <v>49</v>
      </c>
      <c r="F429" t="s">
        <v>1713</v>
      </c>
      <c r="G429" t="s">
        <v>581</v>
      </c>
      <c r="H429">
        <v>76</v>
      </c>
      <c r="U429" t="s">
        <v>51</v>
      </c>
      <c r="V429" t="s">
        <v>1714</v>
      </c>
      <c r="AD429">
        <v>10</v>
      </c>
      <c r="AE429" t="s">
        <v>1715</v>
      </c>
      <c r="AF429">
        <v>1007279180</v>
      </c>
      <c r="AG429">
        <v>762633</v>
      </c>
      <c r="AJ429" t="s">
        <v>174</v>
      </c>
      <c r="AK429" t="s">
        <v>61</v>
      </c>
    </row>
    <row r="430" spans="1:38" x14ac:dyDescent="0.25">
      <c r="A430">
        <v>3445781</v>
      </c>
      <c r="B430" t="s">
        <v>1702</v>
      </c>
      <c r="C430" t="s">
        <v>344</v>
      </c>
      <c r="D430" t="s">
        <v>39</v>
      </c>
      <c r="E430" t="s">
        <v>40</v>
      </c>
      <c r="F430" t="s">
        <v>1716</v>
      </c>
      <c r="G430" t="s">
        <v>1704</v>
      </c>
      <c r="H430">
        <v>38</v>
      </c>
      <c r="Q430" t="s">
        <v>53</v>
      </c>
      <c r="R430" t="s">
        <v>1705</v>
      </c>
      <c r="U430" t="s">
        <v>53</v>
      </c>
      <c r="V430">
        <v>32474397512</v>
      </c>
      <c r="W430" t="s">
        <v>51</v>
      </c>
      <c r="X430">
        <v>479788543</v>
      </c>
      <c r="AF430">
        <v>1003445781</v>
      </c>
      <c r="AJ430" t="s">
        <v>63</v>
      </c>
      <c r="AK430" t="s">
        <v>61</v>
      </c>
    </row>
    <row r="431" spans="1:38" x14ac:dyDescent="0.25">
      <c r="A431">
        <v>3445781</v>
      </c>
      <c r="B431" t="s">
        <v>1702</v>
      </c>
      <c r="C431" t="s">
        <v>344</v>
      </c>
      <c r="D431" t="s">
        <v>39</v>
      </c>
      <c r="E431" t="s">
        <v>40</v>
      </c>
      <c r="F431" t="s">
        <v>1716</v>
      </c>
      <c r="G431" t="s">
        <v>1704</v>
      </c>
      <c r="H431">
        <v>38</v>
      </c>
      <c r="Q431" t="s">
        <v>53</v>
      </c>
      <c r="R431" t="s">
        <v>1705</v>
      </c>
      <c r="U431" t="s">
        <v>53</v>
      </c>
      <c r="V431">
        <v>32474397512</v>
      </c>
      <c r="W431" t="s">
        <v>51</v>
      </c>
      <c r="X431">
        <v>479788543</v>
      </c>
      <c r="AF431">
        <v>1003445781</v>
      </c>
      <c r="AJ431" t="s">
        <v>744</v>
      </c>
      <c r="AK431" t="s">
        <v>61</v>
      </c>
    </row>
    <row r="432" spans="1:38" x14ac:dyDescent="0.25">
      <c r="A432">
        <v>7493172</v>
      </c>
      <c r="B432" t="s">
        <v>1702</v>
      </c>
      <c r="C432" t="s">
        <v>1357</v>
      </c>
      <c r="D432" t="s">
        <v>39</v>
      </c>
      <c r="E432" t="s">
        <v>40</v>
      </c>
      <c r="F432" t="s">
        <v>1717</v>
      </c>
      <c r="G432" t="s">
        <v>581</v>
      </c>
      <c r="H432">
        <v>76</v>
      </c>
      <c r="V432" t="s">
        <v>1714</v>
      </c>
      <c r="AD432">
        <v>4</v>
      </c>
      <c r="AE432" t="s">
        <v>1718</v>
      </c>
      <c r="AF432">
        <v>1007493172</v>
      </c>
      <c r="AJ432" t="s">
        <v>131</v>
      </c>
      <c r="AK432" t="s">
        <v>61</v>
      </c>
    </row>
    <row r="433" spans="1:38" x14ac:dyDescent="0.25">
      <c r="A433">
        <v>3475283</v>
      </c>
      <c r="B433" t="s">
        <v>1719</v>
      </c>
      <c r="C433" t="s">
        <v>1720</v>
      </c>
      <c r="D433" t="s">
        <v>39</v>
      </c>
      <c r="E433" t="s">
        <v>40</v>
      </c>
      <c r="F433" t="s">
        <v>1721</v>
      </c>
      <c r="G433" t="s">
        <v>252</v>
      </c>
      <c r="H433" t="s">
        <v>1722</v>
      </c>
      <c r="X433" t="s">
        <v>1723</v>
      </c>
      <c r="Z433" t="s">
        <v>1724</v>
      </c>
      <c r="AE433" t="s">
        <v>1725</v>
      </c>
      <c r="AF433">
        <v>1003475283</v>
      </c>
      <c r="AG433">
        <v>749236</v>
      </c>
      <c r="AJ433" t="s">
        <v>121</v>
      </c>
      <c r="AK433" t="s">
        <v>61</v>
      </c>
      <c r="AL433" t="s">
        <v>62</v>
      </c>
    </row>
    <row r="434" spans="1:38" x14ac:dyDescent="0.25">
      <c r="A434">
        <v>3475283</v>
      </c>
      <c r="B434" t="s">
        <v>1719</v>
      </c>
      <c r="C434" t="s">
        <v>1720</v>
      </c>
      <c r="D434" t="s">
        <v>39</v>
      </c>
      <c r="E434" t="s">
        <v>40</v>
      </c>
      <c r="F434" t="s">
        <v>1721</v>
      </c>
      <c r="G434" t="s">
        <v>252</v>
      </c>
      <c r="H434" t="s">
        <v>1722</v>
      </c>
      <c r="X434" t="s">
        <v>1723</v>
      </c>
      <c r="Z434" t="s">
        <v>1724</v>
      </c>
      <c r="AE434" t="s">
        <v>1725</v>
      </c>
      <c r="AF434">
        <v>1003475283</v>
      </c>
      <c r="AG434">
        <v>749236</v>
      </c>
      <c r="AJ434" t="s">
        <v>63</v>
      </c>
      <c r="AK434" t="s">
        <v>61</v>
      </c>
    </row>
    <row r="435" spans="1:38" x14ac:dyDescent="0.25">
      <c r="A435">
        <v>6049736</v>
      </c>
      <c r="B435" t="s">
        <v>1726</v>
      </c>
      <c r="C435" t="s">
        <v>1727</v>
      </c>
      <c r="D435" t="s">
        <v>39</v>
      </c>
      <c r="E435" t="s">
        <v>49</v>
      </c>
      <c r="F435" t="s">
        <v>1728</v>
      </c>
      <c r="G435" t="s">
        <v>1040</v>
      </c>
      <c r="H435">
        <v>23</v>
      </c>
      <c r="U435" t="s">
        <v>46</v>
      </c>
      <c r="V435" t="s">
        <v>1729</v>
      </c>
      <c r="X435">
        <v>0</v>
      </c>
      <c r="Z435">
        <v>0</v>
      </c>
      <c r="AA435">
        <v>0</v>
      </c>
      <c r="AF435">
        <v>1006049736</v>
      </c>
      <c r="AL435" t="s">
        <v>593</v>
      </c>
    </row>
    <row r="436" spans="1:38" x14ac:dyDescent="0.25">
      <c r="A436">
        <v>9543046</v>
      </c>
      <c r="B436" t="s">
        <v>1730</v>
      </c>
      <c r="C436" t="s">
        <v>1731</v>
      </c>
      <c r="D436" t="s">
        <v>39</v>
      </c>
      <c r="E436" t="s">
        <v>40</v>
      </c>
      <c r="F436" t="s">
        <v>1732</v>
      </c>
      <c r="G436" t="s">
        <v>1733</v>
      </c>
      <c r="H436">
        <v>44</v>
      </c>
      <c r="U436" t="s">
        <v>46</v>
      </c>
      <c r="V436" t="s">
        <v>1734</v>
      </c>
      <c r="AC436" t="s">
        <v>1735</v>
      </c>
      <c r="AF436">
        <v>1009543046</v>
      </c>
      <c r="AG436">
        <v>287179</v>
      </c>
      <c r="AJ436" t="s">
        <v>743</v>
      </c>
      <c r="AK436" t="s">
        <v>61</v>
      </c>
    </row>
    <row r="437" spans="1:38" x14ac:dyDescent="0.25">
      <c r="A437">
        <v>2650651</v>
      </c>
      <c r="B437" t="s">
        <v>1736</v>
      </c>
      <c r="C437" t="s">
        <v>1737</v>
      </c>
      <c r="D437" t="s">
        <v>39</v>
      </c>
      <c r="E437" t="s">
        <v>40</v>
      </c>
      <c r="F437" t="s">
        <v>1738</v>
      </c>
      <c r="G437" t="s">
        <v>411</v>
      </c>
      <c r="H437">
        <v>14</v>
      </c>
      <c r="V437">
        <v>495242000</v>
      </c>
      <c r="X437">
        <v>475821346</v>
      </c>
      <c r="Z437">
        <v>0</v>
      </c>
      <c r="AA437">
        <v>0</v>
      </c>
      <c r="AF437">
        <v>1002650651</v>
      </c>
    </row>
    <row r="438" spans="1:38" x14ac:dyDescent="0.25">
      <c r="A438">
        <v>2650675</v>
      </c>
      <c r="B438" t="s">
        <v>1736</v>
      </c>
      <c r="C438" t="s">
        <v>1631</v>
      </c>
      <c r="D438" t="s">
        <v>39</v>
      </c>
      <c r="E438" t="s">
        <v>40</v>
      </c>
      <c r="F438" t="s">
        <v>1738</v>
      </c>
      <c r="G438" t="s">
        <v>411</v>
      </c>
      <c r="H438">
        <v>14</v>
      </c>
      <c r="V438">
        <v>495242000</v>
      </c>
      <c r="X438">
        <v>475821346</v>
      </c>
      <c r="Z438">
        <v>0</v>
      </c>
      <c r="AA438">
        <v>0</v>
      </c>
      <c r="AF438">
        <v>1002650675</v>
      </c>
    </row>
    <row r="439" spans="1:38" x14ac:dyDescent="0.25">
      <c r="A439">
        <v>2650801</v>
      </c>
      <c r="B439" t="s">
        <v>1739</v>
      </c>
      <c r="C439" t="s">
        <v>1498</v>
      </c>
      <c r="D439" t="s">
        <v>39</v>
      </c>
      <c r="E439" t="s">
        <v>40</v>
      </c>
      <c r="F439" t="s">
        <v>1740</v>
      </c>
      <c r="G439" t="s">
        <v>1741</v>
      </c>
      <c r="H439">
        <v>3</v>
      </c>
      <c r="V439">
        <v>497030064</v>
      </c>
      <c r="AF439">
        <v>1002650801</v>
      </c>
      <c r="AG439">
        <v>740400</v>
      </c>
    </row>
    <row r="440" spans="1:38" x14ac:dyDescent="0.25">
      <c r="A440">
        <v>3437308</v>
      </c>
      <c r="B440" t="s">
        <v>1742</v>
      </c>
      <c r="C440" t="s">
        <v>1743</v>
      </c>
      <c r="D440" t="s">
        <v>39</v>
      </c>
      <c r="E440" t="s">
        <v>40</v>
      </c>
      <c r="F440" t="s">
        <v>1744</v>
      </c>
      <c r="G440" t="s">
        <v>1745</v>
      </c>
      <c r="H440">
        <v>83</v>
      </c>
      <c r="Q440" t="s">
        <v>53</v>
      </c>
      <c r="R440" t="s">
        <v>1746</v>
      </c>
      <c r="U440" t="s">
        <v>51</v>
      </c>
      <c r="V440">
        <v>32499650150</v>
      </c>
      <c r="W440" t="s">
        <v>53</v>
      </c>
      <c r="X440">
        <v>32498760929</v>
      </c>
      <c r="AE440" t="s">
        <v>1747</v>
      </c>
      <c r="AF440">
        <v>1003437308</v>
      </c>
      <c r="AJ440" t="s">
        <v>88</v>
      </c>
      <c r="AK440" t="s">
        <v>61</v>
      </c>
    </row>
    <row r="441" spans="1:38" x14ac:dyDescent="0.25">
      <c r="A441">
        <v>2934251</v>
      </c>
      <c r="B441" t="s">
        <v>1742</v>
      </c>
      <c r="C441" t="s">
        <v>1748</v>
      </c>
      <c r="D441" t="s">
        <v>39</v>
      </c>
      <c r="E441" t="s">
        <v>40</v>
      </c>
      <c r="F441" t="s">
        <v>1749</v>
      </c>
      <c r="G441" t="s">
        <v>944</v>
      </c>
      <c r="H441">
        <v>61</v>
      </c>
      <c r="AF441">
        <v>1002934251</v>
      </c>
      <c r="AG441">
        <v>738763</v>
      </c>
    </row>
    <row r="442" spans="1:38" x14ac:dyDescent="0.25">
      <c r="A442">
        <v>6067218</v>
      </c>
      <c r="B442" t="s">
        <v>1742</v>
      </c>
      <c r="C442" t="s">
        <v>1750</v>
      </c>
      <c r="D442" t="s">
        <v>39</v>
      </c>
      <c r="E442" t="s">
        <v>40</v>
      </c>
      <c r="F442" t="s">
        <v>1751</v>
      </c>
      <c r="G442" t="s">
        <v>1745</v>
      </c>
      <c r="H442">
        <v>83</v>
      </c>
      <c r="Q442" t="s">
        <v>53</v>
      </c>
      <c r="R442" t="s">
        <v>1746</v>
      </c>
      <c r="U442" t="s">
        <v>51</v>
      </c>
      <c r="V442">
        <v>32499650150</v>
      </c>
      <c r="W442" t="s">
        <v>53</v>
      </c>
      <c r="X442">
        <v>32498760929</v>
      </c>
      <c r="AE442" t="s">
        <v>1752</v>
      </c>
      <c r="AF442">
        <v>1006067218</v>
      </c>
      <c r="AJ442" t="s">
        <v>192</v>
      </c>
      <c r="AK442" t="s">
        <v>61</v>
      </c>
    </row>
    <row r="443" spans="1:38" x14ac:dyDescent="0.25">
      <c r="A443">
        <v>12000472</v>
      </c>
      <c r="B443" t="s">
        <v>1742</v>
      </c>
      <c r="C443" t="s">
        <v>1753</v>
      </c>
      <c r="D443" t="s">
        <v>39</v>
      </c>
      <c r="E443" t="s">
        <v>40</v>
      </c>
      <c r="G443" t="s">
        <v>1745</v>
      </c>
      <c r="H443">
        <v>83</v>
      </c>
      <c r="V443">
        <v>0</v>
      </c>
      <c r="X443">
        <v>0</v>
      </c>
      <c r="Z443">
        <v>0</v>
      </c>
      <c r="AA443">
        <v>0</v>
      </c>
      <c r="AF443">
        <v>1012000472</v>
      </c>
    </row>
    <row r="444" spans="1:38" x14ac:dyDescent="0.25">
      <c r="A444">
        <v>2183032</v>
      </c>
      <c r="B444" t="s">
        <v>1754</v>
      </c>
      <c r="C444" t="s">
        <v>1446</v>
      </c>
      <c r="D444" t="s">
        <v>39</v>
      </c>
      <c r="E444" t="s">
        <v>40</v>
      </c>
      <c r="F444" t="s">
        <v>1755</v>
      </c>
      <c r="G444" t="s">
        <v>1596</v>
      </c>
      <c r="H444">
        <v>147</v>
      </c>
      <c r="Q444" t="s">
        <v>53</v>
      </c>
      <c r="R444" t="s">
        <v>1597</v>
      </c>
      <c r="V444">
        <v>479376759</v>
      </c>
      <c r="AF444">
        <v>1002183032</v>
      </c>
      <c r="AG444">
        <v>714059</v>
      </c>
      <c r="AJ444" t="s">
        <v>202</v>
      </c>
      <c r="AK444" t="s">
        <v>61</v>
      </c>
    </row>
    <row r="445" spans="1:38" x14ac:dyDescent="0.25">
      <c r="A445">
        <v>2183032</v>
      </c>
      <c r="B445" t="s">
        <v>1754</v>
      </c>
      <c r="C445" t="s">
        <v>1446</v>
      </c>
      <c r="D445" t="s">
        <v>39</v>
      </c>
      <c r="E445" t="s">
        <v>40</v>
      </c>
      <c r="F445" t="s">
        <v>1755</v>
      </c>
      <c r="G445" t="s">
        <v>1596</v>
      </c>
      <c r="H445">
        <v>147</v>
      </c>
      <c r="Q445" t="s">
        <v>53</v>
      </c>
      <c r="R445" t="s">
        <v>1597</v>
      </c>
      <c r="V445">
        <v>479376759</v>
      </c>
      <c r="AF445">
        <v>1002183032</v>
      </c>
      <c r="AG445">
        <v>714059</v>
      </c>
      <c r="AJ445" t="s">
        <v>63</v>
      </c>
      <c r="AK445" t="s">
        <v>61</v>
      </c>
    </row>
    <row r="446" spans="1:38" x14ac:dyDescent="0.25">
      <c r="A446">
        <v>3472587</v>
      </c>
      <c r="B446" t="s">
        <v>1756</v>
      </c>
      <c r="C446" t="s">
        <v>1757</v>
      </c>
      <c r="D446" t="s">
        <v>39</v>
      </c>
      <c r="E446" t="s">
        <v>40</v>
      </c>
      <c r="F446" t="s">
        <v>1758</v>
      </c>
      <c r="G446" t="s">
        <v>1759</v>
      </c>
      <c r="H446">
        <v>26</v>
      </c>
      <c r="U446" t="s">
        <v>53</v>
      </c>
      <c r="V446">
        <v>496392771</v>
      </c>
      <c r="X446">
        <v>492317080</v>
      </c>
      <c r="Z446">
        <v>0</v>
      </c>
      <c r="AA446">
        <v>0</v>
      </c>
      <c r="AF446">
        <v>1003472587</v>
      </c>
    </row>
    <row r="447" spans="1:38" x14ac:dyDescent="0.25">
      <c r="A447">
        <v>9359547</v>
      </c>
      <c r="B447" t="s">
        <v>1760</v>
      </c>
      <c r="C447" t="s">
        <v>1105</v>
      </c>
      <c r="D447" t="s">
        <v>39</v>
      </c>
      <c r="E447" t="s">
        <v>40</v>
      </c>
      <c r="F447" t="s">
        <v>1761</v>
      </c>
      <c r="G447" t="s">
        <v>257</v>
      </c>
      <c r="H447">
        <v>137</v>
      </c>
      <c r="Q447" t="s">
        <v>53</v>
      </c>
      <c r="R447" t="s">
        <v>1762</v>
      </c>
      <c r="U447" t="s">
        <v>51</v>
      </c>
      <c r="V447" t="s">
        <v>1763</v>
      </c>
      <c r="W447" t="s">
        <v>53</v>
      </c>
      <c r="X447" t="s">
        <v>1764</v>
      </c>
      <c r="AE447" t="s">
        <v>1765</v>
      </c>
      <c r="AF447">
        <v>1009359547</v>
      </c>
      <c r="AJ447" t="s">
        <v>75</v>
      </c>
      <c r="AK447" t="s">
        <v>61</v>
      </c>
    </row>
    <row r="448" spans="1:38" x14ac:dyDescent="0.25">
      <c r="A448">
        <v>9359547</v>
      </c>
      <c r="B448" t="s">
        <v>1760</v>
      </c>
      <c r="C448" t="s">
        <v>1105</v>
      </c>
      <c r="D448" t="s">
        <v>39</v>
      </c>
      <c r="E448" t="s">
        <v>40</v>
      </c>
      <c r="F448" t="s">
        <v>1761</v>
      </c>
      <c r="G448" t="s">
        <v>257</v>
      </c>
      <c r="H448">
        <v>137</v>
      </c>
      <c r="Q448" t="s">
        <v>53</v>
      </c>
      <c r="R448" t="s">
        <v>1762</v>
      </c>
      <c r="U448" t="s">
        <v>51</v>
      </c>
      <c r="V448" t="s">
        <v>1763</v>
      </c>
      <c r="W448" t="s">
        <v>53</v>
      </c>
      <c r="X448" t="s">
        <v>1764</v>
      </c>
      <c r="AE448" t="s">
        <v>1765</v>
      </c>
      <c r="AF448">
        <v>1009359547</v>
      </c>
      <c r="AJ448" t="s">
        <v>63</v>
      </c>
      <c r="AK448" t="s">
        <v>61</v>
      </c>
    </row>
    <row r="449" spans="1:38" x14ac:dyDescent="0.25">
      <c r="A449">
        <v>2668083</v>
      </c>
      <c r="B449" t="s">
        <v>1766</v>
      </c>
      <c r="C449" t="s">
        <v>427</v>
      </c>
      <c r="D449" t="s">
        <v>39</v>
      </c>
      <c r="E449" t="s">
        <v>40</v>
      </c>
      <c r="F449" t="s">
        <v>1767</v>
      </c>
      <c r="G449" t="s">
        <v>1768</v>
      </c>
      <c r="H449">
        <v>1</v>
      </c>
      <c r="U449" t="s">
        <v>46</v>
      </c>
      <c r="V449">
        <v>477970937</v>
      </c>
      <c r="AC449" t="s">
        <v>1769</v>
      </c>
      <c r="AF449">
        <v>1002668083</v>
      </c>
      <c r="AG449">
        <v>95935</v>
      </c>
    </row>
    <row r="450" spans="1:38" x14ac:dyDescent="0.25">
      <c r="A450">
        <v>3412861</v>
      </c>
      <c r="B450" t="s">
        <v>1770</v>
      </c>
      <c r="C450" t="s">
        <v>1771</v>
      </c>
      <c r="D450" t="s">
        <v>39</v>
      </c>
      <c r="E450" t="s">
        <v>49</v>
      </c>
      <c r="F450" t="s">
        <v>1772</v>
      </c>
      <c r="G450" t="s">
        <v>1773</v>
      </c>
      <c r="H450">
        <v>97</v>
      </c>
      <c r="Q450" t="s">
        <v>53</v>
      </c>
      <c r="R450" t="s">
        <v>1774</v>
      </c>
      <c r="AA450" t="s">
        <v>1775</v>
      </c>
      <c r="AC450" t="s">
        <v>1776</v>
      </c>
      <c r="AD450">
        <v>9</v>
      </c>
      <c r="AE450" t="s">
        <v>1777</v>
      </c>
      <c r="AF450">
        <v>1003412861</v>
      </c>
      <c r="AJ450" t="s">
        <v>97</v>
      </c>
      <c r="AK450" t="s">
        <v>61</v>
      </c>
    </row>
    <row r="451" spans="1:38" x14ac:dyDescent="0.25">
      <c r="A451">
        <v>3412861</v>
      </c>
      <c r="B451" t="s">
        <v>1770</v>
      </c>
      <c r="C451" t="s">
        <v>1771</v>
      </c>
      <c r="D451" t="s">
        <v>39</v>
      </c>
      <c r="E451" t="s">
        <v>49</v>
      </c>
      <c r="F451" t="s">
        <v>1772</v>
      </c>
      <c r="G451" t="s">
        <v>1773</v>
      </c>
      <c r="H451">
        <v>97</v>
      </c>
      <c r="Q451" t="s">
        <v>53</v>
      </c>
      <c r="R451" t="s">
        <v>1774</v>
      </c>
      <c r="AA451" t="s">
        <v>1775</v>
      </c>
      <c r="AC451" t="s">
        <v>1776</v>
      </c>
      <c r="AD451">
        <v>9</v>
      </c>
      <c r="AE451" t="s">
        <v>1777</v>
      </c>
      <c r="AF451">
        <v>1003412861</v>
      </c>
      <c r="AJ451" t="s">
        <v>63</v>
      </c>
      <c r="AK451" t="s">
        <v>61</v>
      </c>
    </row>
    <row r="452" spans="1:38" x14ac:dyDescent="0.25">
      <c r="A452">
        <v>11846386</v>
      </c>
      <c r="B452" t="s">
        <v>1778</v>
      </c>
      <c r="C452" t="s">
        <v>1779</v>
      </c>
      <c r="D452" t="s">
        <v>39</v>
      </c>
      <c r="E452" t="s">
        <v>40</v>
      </c>
      <c r="F452" t="s">
        <v>1780</v>
      </c>
      <c r="U452" t="s">
        <v>53</v>
      </c>
      <c r="V452" t="s">
        <v>1781</v>
      </c>
      <c r="AF452">
        <v>1011846386</v>
      </c>
      <c r="AJ452" t="s">
        <v>121</v>
      </c>
      <c r="AK452" t="s">
        <v>61</v>
      </c>
    </row>
    <row r="453" spans="1:38" x14ac:dyDescent="0.25">
      <c r="A453">
        <v>3368754</v>
      </c>
      <c r="B453" t="s">
        <v>1778</v>
      </c>
      <c r="C453" t="s">
        <v>1498</v>
      </c>
      <c r="D453" t="s">
        <v>39</v>
      </c>
      <c r="E453" t="s">
        <v>40</v>
      </c>
      <c r="F453" t="s">
        <v>1782</v>
      </c>
      <c r="G453" t="s">
        <v>1783</v>
      </c>
      <c r="H453">
        <v>9</v>
      </c>
      <c r="AC453" t="s">
        <v>1784</v>
      </c>
      <c r="AF453">
        <v>1003368754</v>
      </c>
      <c r="AG453">
        <v>662953</v>
      </c>
    </row>
    <row r="454" spans="1:38" x14ac:dyDescent="0.25">
      <c r="A454">
        <v>2183092</v>
      </c>
      <c r="B454" t="s">
        <v>1785</v>
      </c>
      <c r="C454" t="s">
        <v>1786</v>
      </c>
      <c r="D454" t="s">
        <v>39</v>
      </c>
      <c r="E454" t="s">
        <v>40</v>
      </c>
      <c r="F454" t="s">
        <v>1787</v>
      </c>
      <c r="G454" t="s">
        <v>1788</v>
      </c>
      <c r="H454">
        <v>70</v>
      </c>
      <c r="U454" t="s">
        <v>46</v>
      </c>
      <c r="V454" t="s">
        <v>1789</v>
      </c>
      <c r="AC454" t="s">
        <v>1790</v>
      </c>
      <c r="AF454">
        <v>1002183092</v>
      </c>
      <c r="AG454">
        <v>612102</v>
      </c>
      <c r="AL454" t="s">
        <v>1791</v>
      </c>
    </row>
    <row r="455" spans="1:38" x14ac:dyDescent="0.25">
      <c r="A455">
        <v>8579146</v>
      </c>
      <c r="B455" t="s">
        <v>1792</v>
      </c>
      <c r="C455" t="s">
        <v>1128</v>
      </c>
      <c r="D455" t="s">
        <v>39</v>
      </c>
      <c r="E455" t="s">
        <v>40</v>
      </c>
      <c r="F455" t="s">
        <v>1793</v>
      </c>
      <c r="G455" t="s">
        <v>252</v>
      </c>
      <c r="H455">
        <v>80</v>
      </c>
      <c r="Q455" t="s">
        <v>53</v>
      </c>
      <c r="R455" t="s">
        <v>1794</v>
      </c>
      <c r="V455" t="s">
        <v>1795</v>
      </c>
      <c r="AF455">
        <v>1008579146</v>
      </c>
      <c r="AJ455" t="s">
        <v>104</v>
      </c>
      <c r="AK455" t="s">
        <v>61</v>
      </c>
    </row>
    <row r="456" spans="1:38" x14ac:dyDescent="0.25">
      <c r="A456">
        <v>9543041</v>
      </c>
      <c r="B456" t="s">
        <v>1796</v>
      </c>
      <c r="C456" t="s">
        <v>972</v>
      </c>
      <c r="D456" t="s">
        <v>39</v>
      </c>
      <c r="E456" t="s">
        <v>40</v>
      </c>
      <c r="F456" t="s">
        <v>1797</v>
      </c>
      <c r="G456" t="s">
        <v>1798</v>
      </c>
      <c r="H456">
        <v>47</v>
      </c>
      <c r="V456" t="s">
        <v>1799</v>
      </c>
      <c r="AC456" t="s">
        <v>1800</v>
      </c>
      <c r="AF456">
        <v>1009543041</v>
      </c>
      <c r="AG456">
        <v>608268</v>
      </c>
      <c r="AJ456" t="s">
        <v>743</v>
      </c>
      <c r="AK456" t="s">
        <v>61</v>
      </c>
    </row>
    <row r="457" spans="1:38" x14ac:dyDescent="0.25">
      <c r="A457">
        <v>2650891</v>
      </c>
      <c r="B457" t="s">
        <v>1801</v>
      </c>
      <c r="C457" t="s">
        <v>1802</v>
      </c>
      <c r="D457" t="s">
        <v>39</v>
      </c>
      <c r="E457" t="s">
        <v>40</v>
      </c>
      <c r="F457" t="s">
        <v>1803</v>
      </c>
      <c r="G457" t="s">
        <v>1804</v>
      </c>
      <c r="H457">
        <v>52</v>
      </c>
      <c r="V457">
        <v>473420843</v>
      </c>
      <c r="X457">
        <v>476417138</v>
      </c>
      <c r="AF457">
        <v>1002650891</v>
      </c>
    </row>
    <row r="458" spans="1:38" x14ac:dyDescent="0.25">
      <c r="A458">
        <v>3324593</v>
      </c>
      <c r="B458" t="s">
        <v>1805</v>
      </c>
      <c r="C458" t="s">
        <v>1806</v>
      </c>
      <c r="D458" t="s">
        <v>39</v>
      </c>
      <c r="E458" t="s">
        <v>49</v>
      </c>
      <c r="G458" t="s">
        <v>1807</v>
      </c>
      <c r="H458">
        <v>24</v>
      </c>
      <c r="AF458">
        <v>1003324593</v>
      </c>
    </row>
    <row r="459" spans="1:38" x14ac:dyDescent="0.25">
      <c r="A459">
        <v>1932950</v>
      </c>
      <c r="B459" t="s">
        <v>1808</v>
      </c>
      <c r="C459" t="s">
        <v>1515</v>
      </c>
      <c r="D459" t="s">
        <v>39</v>
      </c>
      <c r="E459" t="s">
        <v>40</v>
      </c>
      <c r="F459" t="s">
        <v>1809</v>
      </c>
      <c r="G459" t="s">
        <v>1810</v>
      </c>
      <c r="H459">
        <v>20</v>
      </c>
      <c r="I459">
        <v>202</v>
      </c>
      <c r="U459" t="s">
        <v>46</v>
      </c>
      <c r="V459">
        <v>320475330345</v>
      </c>
      <c r="AC459" t="s">
        <v>1811</v>
      </c>
      <c r="AF459">
        <v>1001932950</v>
      </c>
      <c r="AG459">
        <v>100834</v>
      </c>
      <c r="AJ459" t="s">
        <v>743</v>
      </c>
      <c r="AK459" t="s">
        <v>1812</v>
      </c>
      <c r="AL459" t="s">
        <v>1813</v>
      </c>
    </row>
    <row r="460" spans="1:38" x14ac:dyDescent="0.25">
      <c r="A460">
        <v>10488364</v>
      </c>
      <c r="B460" t="s">
        <v>1808</v>
      </c>
      <c r="C460" t="s">
        <v>1814</v>
      </c>
      <c r="D460" t="s">
        <v>39</v>
      </c>
      <c r="E460" t="s">
        <v>40</v>
      </c>
      <c r="F460" t="s">
        <v>1815</v>
      </c>
      <c r="G460" t="s">
        <v>1816</v>
      </c>
      <c r="H460">
        <v>21</v>
      </c>
      <c r="U460" t="s">
        <v>51</v>
      </c>
      <c r="V460" t="s">
        <v>1817</v>
      </c>
      <c r="W460" t="s">
        <v>53</v>
      </c>
      <c r="X460" t="s">
        <v>1818</v>
      </c>
      <c r="AE460" t="s">
        <v>1819</v>
      </c>
      <c r="AF460">
        <v>1010488364</v>
      </c>
      <c r="AJ460" t="s">
        <v>83</v>
      </c>
      <c r="AK460" t="s">
        <v>61</v>
      </c>
    </row>
    <row r="461" spans="1:38" x14ac:dyDescent="0.25">
      <c r="A461">
        <v>10488364</v>
      </c>
      <c r="B461" t="s">
        <v>1808</v>
      </c>
      <c r="C461" t="s">
        <v>1814</v>
      </c>
      <c r="D461" t="s">
        <v>39</v>
      </c>
      <c r="E461" t="s">
        <v>40</v>
      </c>
      <c r="F461" t="s">
        <v>1815</v>
      </c>
      <c r="G461" t="s">
        <v>1816</v>
      </c>
      <c r="H461">
        <v>21</v>
      </c>
      <c r="U461" t="s">
        <v>51</v>
      </c>
      <c r="V461" t="s">
        <v>1817</v>
      </c>
      <c r="W461" t="s">
        <v>53</v>
      </c>
      <c r="X461" t="s">
        <v>1818</v>
      </c>
      <c r="AE461" t="s">
        <v>1819</v>
      </c>
      <c r="AF461">
        <v>1010488364</v>
      </c>
      <c r="AJ461" t="s">
        <v>63</v>
      </c>
      <c r="AK461" t="s">
        <v>61</v>
      </c>
    </row>
    <row r="462" spans="1:38" x14ac:dyDescent="0.25">
      <c r="A462">
        <v>11855238</v>
      </c>
      <c r="B462" t="s">
        <v>948</v>
      </c>
      <c r="C462" t="s">
        <v>1820</v>
      </c>
      <c r="D462" t="s">
        <v>39</v>
      </c>
      <c r="E462" t="s">
        <v>40</v>
      </c>
      <c r="F462" t="s">
        <v>1821</v>
      </c>
      <c r="G462" t="s">
        <v>1822</v>
      </c>
      <c r="H462">
        <v>82</v>
      </c>
      <c r="U462" t="s">
        <v>46</v>
      </c>
      <c r="V462" t="s">
        <v>1823</v>
      </c>
      <c r="AC462" t="s">
        <v>1824</v>
      </c>
      <c r="AF462">
        <v>1011855238</v>
      </c>
      <c r="AG462">
        <v>661314</v>
      </c>
      <c r="AJ462" t="s">
        <v>743</v>
      </c>
      <c r="AK462" t="s">
        <v>61</v>
      </c>
    </row>
    <row r="463" spans="1:38" x14ac:dyDescent="0.25">
      <c r="A463">
        <v>2183102</v>
      </c>
      <c r="B463" t="s">
        <v>1825</v>
      </c>
      <c r="C463" t="s">
        <v>1826</v>
      </c>
      <c r="D463" t="s">
        <v>39</v>
      </c>
      <c r="E463" t="s">
        <v>40</v>
      </c>
      <c r="F463" t="s">
        <v>1827</v>
      </c>
      <c r="G463" t="s">
        <v>1040</v>
      </c>
      <c r="H463">
        <v>23</v>
      </c>
      <c r="R463" t="s">
        <v>1829</v>
      </c>
      <c r="AC463" t="s">
        <v>1830</v>
      </c>
      <c r="AF463">
        <v>1002183102</v>
      </c>
      <c r="AG463">
        <v>671215</v>
      </c>
      <c r="AL463" t="s">
        <v>1831</v>
      </c>
    </row>
    <row r="464" spans="1:38" x14ac:dyDescent="0.25">
      <c r="A464">
        <v>2183102</v>
      </c>
      <c r="B464" t="s">
        <v>1825</v>
      </c>
      <c r="C464" t="s">
        <v>1826</v>
      </c>
      <c r="D464" t="s">
        <v>39</v>
      </c>
      <c r="E464" t="s">
        <v>40</v>
      </c>
      <c r="F464" t="s">
        <v>1827</v>
      </c>
      <c r="G464" t="s">
        <v>1040</v>
      </c>
      <c r="H464">
        <v>23</v>
      </c>
      <c r="R464" t="s">
        <v>1829</v>
      </c>
      <c r="AC464" t="s">
        <v>1830</v>
      </c>
      <c r="AF464">
        <v>1002183102</v>
      </c>
      <c r="AG464">
        <v>671215</v>
      </c>
      <c r="AL464" t="s">
        <v>620</v>
      </c>
    </row>
    <row r="465" spans="1:38" x14ac:dyDescent="0.25">
      <c r="A465">
        <v>2183102</v>
      </c>
      <c r="B465" t="s">
        <v>1825</v>
      </c>
      <c r="C465" t="s">
        <v>1826</v>
      </c>
      <c r="D465" t="s">
        <v>39</v>
      </c>
      <c r="E465" t="s">
        <v>40</v>
      </c>
      <c r="F465" t="s">
        <v>1827</v>
      </c>
      <c r="G465" t="s">
        <v>1040</v>
      </c>
      <c r="H465">
        <v>23</v>
      </c>
      <c r="R465" t="s">
        <v>1829</v>
      </c>
      <c r="AC465" t="s">
        <v>1830</v>
      </c>
      <c r="AF465">
        <v>1002183102</v>
      </c>
      <c r="AG465">
        <v>671215</v>
      </c>
      <c r="AL465" t="s">
        <v>1832</v>
      </c>
    </row>
    <row r="466" spans="1:38" x14ac:dyDescent="0.25">
      <c r="A466">
        <v>2709295</v>
      </c>
      <c r="B466" t="s">
        <v>1825</v>
      </c>
      <c r="C466" t="s">
        <v>1833</v>
      </c>
      <c r="D466" t="s">
        <v>39</v>
      </c>
      <c r="E466" t="s">
        <v>49</v>
      </c>
      <c r="F466" t="s">
        <v>1834</v>
      </c>
      <c r="G466" t="s">
        <v>1040</v>
      </c>
      <c r="H466">
        <v>23</v>
      </c>
      <c r="Q466" t="s">
        <v>51</v>
      </c>
      <c r="R466" t="s">
        <v>1828</v>
      </c>
      <c r="U466" t="s">
        <v>46</v>
      </c>
      <c r="V466">
        <v>32470449365</v>
      </c>
      <c r="AB466" t="s">
        <v>1835</v>
      </c>
      <c r="AC466" t="s">
        <v>1836</v>
      </c>
      <c r="AF466">
        <v>1002709295</v>
      </c>
      <c r="AG466">
        <v>665060</v>
      </c>
      <c r="AJ466" t="s">
        <v>131</v>
      </c>
      <c r="AK466" t="s">
        <v>65</v>
      </c>
    </row>
    <row r="467" spans="1:38" x14ac:dyDescent="0.25">
      <c r="A467">
        <v>2183107</v>
      </c>
      <c r="B467" t="s">
        <v>1837</v>
      </c>
      <c r="C467" t="s">
        <v>443</v>
      </c>
      <c r="D467" t="s">
        <v>39</v>
      </c>
      <c r="E467" t="s">
        <v>40</v>
      </c>
      <c r="F467" t="s">
        <v>1838</v>
      </c>
      <c r="G467" t="s">
        <v>1839</v>
      </c>
      <c r="H467">
        <v>32</v>
      </c>
      <c r="R467" t="s">
        <v>1840</v>
      </c>
      <c r="AC467" t="s">
        <v>1841</v>
      </c>
      <c r="AF467">
        <v>1002183107</v>
      </c>
      <c r="AG467">
        <v>644105</v>
      </c>
    </row>
    <row r="468" spans="1:38" x14ac:dyDescent="0.25">
      <c r="A468">
        <v>3436128</v>
      </c>
      <c r="B468" t="s">
        <v>1842</v>
      </c>
      <c r="C468" t="s">
        <v>1843</v>
      </c>
      <c r="D468" t="s">
        <v>39</v>
      </c>
      <c r="E468" t="s">
        <v>40</v>
      </c>
      <c r="F468" t="s">
        <v>1844</v>
      </c>
      <c r="G468" t="s">
        <v>691</v>
      </c>
      <c r="H468">
        <v>90</v>
      </c>
      <c r="V468" t="s">
        <v>1845</v>
      </c>
      <c r="AA468" t="s">
        <v>1845</v>
      </c>
      <c r="AE468" t="s">
        <v>1846</v>
      </c>
      <c r="AF468">
        <v>1003436128</v>
      </c>
    </row>
    <row r="469" spans="1:38" x14ac:dyDescent="0.25">
      <c r="A469">
        <v>2650877</v>
      </c>
      <c r="B469" t="s">
        <v>1842</v>
      </c>
      <c r="C469" t="s">
        <v>972</v>
      </c>
      <c r="D469" t="s">
        <v>39</v>
      </c>
      <c r="E469" t="s">
        <v>40</v>
      </c>
      <c r="F469" t="s">
        <v>1600</v>
      </c>
      <c r="G469" t="s">
        <v>691</v>
      </c>
      <c r="H469">
        <v>90</v>
      </c>
      <c r="Q469" t="s">
        <v>51</v>
      </c>
      <c r="R469" t="s">
        <v>1847</v>
      </c>
      <c r="V469">
        <v>474721420</v>
      </c>
      <c r="X469">
        <v>473444249</v>
      </c>
      <c r="Z469">
        <v>0</v>
      </c>
      <c r="AA469">
        <v>0</v>
      </c>
      <c r="AF469">
        <v>1002650877</v>
      </c>
      <c r="AG469">
        <v>742176</v>
      </c>
    </row>
    <row r="470" spans="1:38" x14ac:dyDescent="0.25">
      <c r="A470">
        <v>2183112</v>
      </c>
      <c r="B470" t="s">
        <v>1842</v>
      </c>
      <c r="C470" t="s">
        <v>1848</v>
      </c>
      <c r="D470" t="s">
        <v>39</v>
      </c>
      <c r="E470" t="s">
        <v>40</v>
      </c>
      <c r="F470" t="s">
        <v>1849</v>
      </c>
      <c r="G470" t="s">
        <v>691</v>
      </c>
      <c r="H470">
        <v>90</v>
      </c>
      <c r="V470">
        <v>474721420</v>
      </c>
      <c r="AE470" t="s">
        <v>1850</v>
      </c>
      <c r="AF470">
        <v>1002183112</v>
      </c>
      <c r="AG470">
        <v>732219</v>
      </c>
      <c r="AJ470" t="s">
        <v>202</v>
      </c>
      <c r="AK470" t="s">
        <v>61</v>
      </c>
      <c r="AL470" t="s">
        <v>62</v>
      </c>
    </row>
    <row r="471" spans="1:38" x14ac:dyDescent="0.25">
      <c r="A471">
        <v>2183112</v>
      </c>
      <c r="B471" t="s">
        <v>1842</v>
      </c>
      <c r="C471" t="s">
        <v>1848</v>
      </c>
      <c r="D471" t="s">
        <v>39</v>
      </c>
      <c r="E471" t="s">
        <v>40</v>
      </c>
      <c r="F471" t="s">
        <v>1849</v>
      </c>
      <c r="G471" t="s">
        <v>691</v>
      </c>
      <c r="H471">
        <v>90</v>
      </c>
      <c r="V471">
        <v>474721420</v>
      </c>
      <c r="AE471" t="s">
        <v>1850</v>
      </c>
      <c r="AF471">
        <v>1002183112</v>
      </c>
      <c r="AG471">
        <v>732219</v>
      </c>
      <c r="AJ471" t="s">
        <v>63</v>
      </c>
      <c r="AK471" t="s">
        <v>61</v>
      </c>
    </row>
    <row r="472" spans="1:38" x14ac:dyDescent="0.25">
      <c r="A472">
        <v>4421822</v>
      </c>
      <c r="B472" t="s">
        <v>1851</v>
      </c>
      <c r="C472" t="s">
        <v>1852</v>
      </c>
      <c r="D472" t="s">
        <v>39</v>
      </c>
      <c r="E472" t="s">
        <v>40</v>
      </c>
      <c r="F472" t="s">
        <v>1853</v>
      </c>
      <c r="G472" t="s">
        <v>1854</v>
      </c>
      <c r="H472">
        <v>19</v>
      </c>
      <c r="U472" t="s">
        <v>46</v>
      </c>
      <c r="V472" t="s">
        <v>1855</v>
      </c>
      <c r="AC472" t="s">
        <v>1856</v>
      </c>
      <c r="AF472">
        <v>1004421822</v>
      </c>
      <c r="AG472">
        <v>626275</v>
      </c>
    </row>
    <row r="473" spans="1:38" x14ac:dyDescent="0.25">
      <c r="A473">
        <v>10525895</v>
      </c>
      <c r="B473" t="s">
        <v>1857</v>
      </c>
      <c r="C473" t="s">
        <v>1858</v>
      </c>
      <c r="D473" t="s">
        <v>39</v>
      </c>
      <c r="E473" t="s">
        <v>40</v>
      </c>
      <c r="F473" t="s">
        <v>1859</v>
      </c>
      <c r="G473" t="s">
        <v>1860</v>
      </c>
      <c r="H473">
        <v>38</v>
      </c>
      <c r="Q473" t="s">
        <v>51</v>
      </c>
      <c r="R473" t="s">
        <v>1861</v>
      </c>
      <c r="V473" t="s">
        <v>1862</v>
      </c>
      <c r="AF473">
        <v>1010525895</v>
      </c>
    </row>
    <row r="474" spans="1:38" x14ac:dyDescent="0.25">
      <c r="A474">
        <v>10525940</v>
      </c>
      <c r="B474" t="s">
        <v>1863</v>
      </c>
      <c r="C474" t="s">
        <v>1864</v>
      </c>
      <c r="D474" t="s">
        <v>39</v>
      </c>
      <c r="E474" t="s">
        <v>40</v>
      </c>
      <c r="F474" t="s">
        <v>1865</v>
      </c>
      <c r="G474" t="s">
        <v>1866</v>
      </c>
      <c r="H474">
        <v>6</v>
      </c>
      <c r="Q474" t="s">
        <v>53</v>
      </c>
      <c r="R474" t="s">
        <v>1867</v>
      </c>
      <c r="V474" t="s">
        <v>1868</v>
      </c>
      <c r="X474" t="s">
        <v>1869</v>
      </c>
      <c r="AF474">
        <v>1010525940</v>
      </c>
      <c r="AJ474" t="s">
        <v>656</v>
      </c>
      <c r="AK474" t="s">
        <v>61</v>
      </c>
    </row>
    <row r="475" spans="1:38" x14ac:dyDescent="0.25">
      <c r="A475">
        <v>10452557</v>
      </c>
      <c r="B475" t="s">
        <v>1870</v>
      </c>
      <c r="C475" t="s">
        <v>1871</v>
      </c>
      <c r="D475" t="s">
        <v>39</v>
      </c>
      <c r="E475" t="s">
        <v>40</v>
      </c>
      <c r="F475" t="s">
        <v>1872</v>
      </c>
      <c r="G475" t="s">
        <v>1873</v>
      </c>
      <c r="H475">
        <v>24</v>
      </c>
      <c r="R475" t="s">
        <v>1874</v>
      </c>
      <c r="V475" t="s">
        <v>1875</v>
      </c>
      <c r="AF475">
        <v>1010452557</v>
      </c>
      <c r="AJ475" t="s">
        <v>294</v>
      </c>
      <c r="AK475" t="s">
        <v>61</v>
      </c>
    </row>
    <row r="476" spans="1:38" x14ac:dyDescent="0.25">
      <c r="A476">
        <v>3485821</v>
      </c>
      <c r="B476" t="s">
        <v>1165</v>
      </c>
      <c r="C476" t="s">
        <v>1631</v>
      </c>
      <c r="D476" t="s">
        <v>39</v>
      </c>
      <c r="E476" t="s">
        <v>40</v>
      </c>
      <c r="F476" t="s">
        <v>1876</v>
      </c>
      <c r="G476" t="s">
        <v>1167</v>
      </c>
      <c r="H476">
        <v>28</v>
      </c>
      <c r="Q476" t="s">
        <v>51</v>
      </c>
      <c r="R476" t="s">
        <v>1877</v>
      </c>
      <c r="U476" t="s">
        <v>53</v>
      </c>
      <c r="V476" t="s">
        <v>1878</v>
      </c>
      <c r="W476" t="s">
        <v>51</v>
      </c>
      <c r="X476" t="s">
        <v>1879</v>
      </c>
      <c r="AC476" t="s">
        <v>1880</v>
      </c>
      <c r="AD476">
        <v>12</v>
      </c>
      <c r="AE476" t="s">
        <v>1881</v>
      </c>
      <c r="AF476">
        <v>1003485821</v>
      </c>
      <c r="AJ476" t="s">
        <v>131</v>
      </c>
      <c r="AK476" t="s">
        <v>61</v>
      </c>
    </row>
    <row r="477" spans="1:38" x14ac:dyDescent="0.25">
      <c r="A477">
        <v>10510398</v>
      </c>
      <c r="B477" t="s">
        <v>1165</v>
      </c>
      <c r="C477" t="s">
        <v>1882</v>
      </c>
      <c r="D477" t="s">
        <v>39</v>
      </c>
      <c r="E477" t="s">
        <v>40</v>
      </c>
      <c r="F477" t="s">
        <v>1883</v>
      </c>
      <c r="G477" t="s">
        <v>1167</v>
      </c>
      <c r="H477">
        <v>28</v>
      </c>
      <c r="Q477" t="s">
        <v>51</v>
      </c>
      <c r="R477" t="s">
        <v>1877</v>
      </c>
      <c r="V477" t="s">
        <v>1878</v>
      </c>
      <c r="X477" t="s">
        <v>1879</v>
      </c>
      <c r="AF477">
        <v>1010510398</v>
      </c>
      <c r="AJ477" t="s">
        <v>442</v>
      </c>
      <c r="AK477" t="s">
        <v>61</v>
      </c>
    </row>
    <row r="478" spans="1:38" x14ac:dyDescent="0.25">
      <c r="A478">
        <v>2183117</v>
      </c>
      <c r="B478" t="s">
        <v>1884</v>
      </c>
      <c r="C478" t="s">
        <v>1231</v>
      </c>
      <c r="D478" t="s">
        <v>39</v>
      </c>
      <c r="E478" t="s">
        <v>40</v>
      </c>
      <c r="F478" t="s">
        <v>1885</v>
      </c>
      <c r="G478" t="s">
        <v>492</v>
      </c>
      <c r="H478">
        <v>100</v>
      </c>
      <c r="AA478">
        <v>0</v>
      </c>
      <c r="AF478">
        <v>1002183117</v>
      </c>
    </row>
    <row r="479" spans="1:38" x14ac:dyDescent="0.25">
      <c r="A479">
        <v>10350943</v>
      </c>
      <c r="B479" t="s">
        <v>1886</v>
      </c>
      <c r="C479" t="s">
        <v>1887</v>
      </c>
      <c r="D479" t="s">
        <v>39</v>
      </c>
      <c r="E479" t="s">
        <v>49</v>
      </c>
      <c r="F479" t="s">
        <v>1888</v>
      </c>
      <c r="G479" t="s">
        <v>1253</v>
      </c>
      <c r="H479">
        <v>18</v>
      </c>
      <c r="U479" t="s">
        <v>46</v>
      </c>
      <c r="V479">
        <v>32472509246</v>
      </c>
      <c r="AC479" t="s">
        <v>1889</v>
      </c>
      <c r="AE479" t="s">
        <v>1890</v>
      </c>
      <c r="AF479">
        <v>1010350943</v>
      </c>
    </row>
    <row r="480" spans="1:38" x14ac:dyDescent="0.25">
      <c r="A480">
        <v>5575641</v>
      </c>
      <c r="B480" t="s">
        <v>1891</v>
      </c>
      <c r="C480" t="s">
        <v>1892</v>
      </c>
      <c r="D480" t="s">
        <v>39</v>
      </c>
      <c r="E480" t="s">
        <v>49</v>
      </c>
      <c r="F480" t="s">
        <v>1893</v>
      </c>
      <c r="V480" t="s">
        <v>1894</v>
      </c>
      <c r="AC480" t="s">
        <v>1895</v>
      </c>
      <c r="AF480">
        <v>1005575641</v>
      </c>
      <c r="AG480">
        <v>646639</v>
      </c>
    </row>
    <row r="481" spans="1:38" x14ac:dyDescent="0.25">
      <c r="A481">
        <v>11286575</v>
      </c>
      <c r="B481" t="s">
        <v>1896</v>
      </c>
      <c r="C481" t="s">
        <v>1897</v>
      </c>
      <c r="D481" t="s">
        <v>39</v>
      </c>
      <c r="E481" t="s">
        <v>40</v>
      </c>
      <c r="F481" t="s">
        <v>1898</v>
      </c>
      <c r="G481" t="s">
        <v>1899</v>
      </c>
      <c r="H481">
        <v>41</v>
      </c>
      <c r="Q481" t="s">
        <v>46</v>
      </c>
      <c r="R481" t="s">
        <v>1900</v>
      </c>
      <c r="U481" t="s">
        <v>53</v>
      </c>
      <c r="V481" t="s">
        <v>1901</v>
      </c>
      <c r="AF481">
        <v>1011286575</v>
      </c>
    </row>
    <row r="482" spans="1:38" x14ac:dyDescent="0.25">
      <c r="A482">
        <v>3526587</v>
      </c>
      <c r="B482" t="s">
        <v>1902</v>
      </c>
      <c r="C482" t="s">
        <v>1017</v>
      </c>
      <c r="D482" t="s">
        <v>39</v>
      </c>
      <c r="E482" t="s">
        <v>40</v>
      </c>
      <c r="F482" t="s">
        <v>1903</v>
      </c>
      <c r="G482" t="s">
        <v>1904</v>
      </c>
      <c r="H482">
        <v>3</v>
      </c>
      <c r="V482">
        <v>486032155</v>
      </c>
      <c r="X482">
        <v>477931456</v>
      </c>
      <c r="Z482">
        <v>0</v>
      </c>
      <c r="AA482">
        <v>0</v>
      </c>
      <c r="AE482" t="s">
        <v>1905</v>
      </c>
      <c r="AF482">
        <v>1003526587</v>
      </c>
      <c r="AJ482" t="s">
        <v>104</v>
      </c>
      <c r="AK482" t="s">
        <v>61</v>
      </c>
    </row>
    <row r="483" spans="1:38" x14ac:dyDescent="0.25">
      <c r="A483">
        <v>7328405</v>
      </c>
      <c r="B483" t="s">
        <v>1906</v>
      </c>
      <c r="C483" t="s">
        <v>1907</v>
      </c>
      <c r="D483" t="s">
        <v>39</v>
      </c>
      <c r="E483" t="s">
        <v>40</v>
      </c>
      <c r="F483" t="s">
        <v>1908</v>
      </c>
      <c r="G483" t="s">
        <v>1909</v>
      </c>
      <c r="H483">
        <v>34</v>
      </c>
      <c r="Q483" t="s">
        <v>51</v>
      </c>
      <c r="R483" t="s">
        <v>1910</v>
      </c>
      <c r="V483" t="s">
        <v>1911</v>
      </c>
      <c r="X483" t="s">
        <v>1912</v>
      </c>
      <c r="AE483" t="s">
        <v>1913</v>
      </c>
      <c r="AF483">
        <v>1007328405</v>
      </c>
      <c r="AJ483" t="s">
        <v>656</v>
      </c>
      <c r="AK483" t="s">
        <v>61</v>
      </c>
    </row>
    <row r="484" spans="1:38" x14ac:dyDescent="0.25">
      <c r="A484">
        <v>7328405</v>
      </c>
      <c r="B484" t="s">
        <v>1906</v>
      </c>
      <c r="C484" t="s">
        <v>1907</v>
      </c>
      <c r="D484" t="s">
        <v>39</v>
      </c>
      <c r="E484" t="s">
        <v>40</v>
      </c>
      <c r="F484" t="s">
        <v>1908</v>
      </c>
      <c r="G484" t="s">
        <v>1909</v>
      </c>
      <c r="H484">
        <v>34</v>
      </c>
      <c r="Q484" t="s">
        <v>51</v>
      </c>
      <c r="R484" t="s">
        <v>1910</v>
      </c>
      <c r="V484" t="s">
        <v>1911</v>
      </c>
      <c r="X484" t="s">
        <v>1912</v>
      </c>
      <c r="AE484" t="s">
        <v>1913</v>
      </c>
      <c r="AF484">
        <v>1007328405</v>
      </c>
      <c r="AJ484" t="s">
        <v>295</v>
      </c>
      <c r="AK484" t="s">
        <v>61</v>
      </c>
    </row>
    <row r="485" spans="1:38" x14ac:dyDescent="0.25">
      <c r="A485">
        <v>3543437</v>
      </c>
      <c r="B485" t="s">
        <v>1914</v>
      </c>
      <c r="C485" t="s">
        <v>1915</v>
      </c>
      <c r="D485" t="s">
        <v>39</v>
      </c>
      <c r="E485" t="s">
        <v>40</v>
      </c>
      <c r="F485" t="s">
        <v>1916</v>
      </c>
      <c r="G485" t="s">
        <v>1917</v>
      </c>
      <c r="H485" t="s">
        <v>1918</v>
      </c>
      <c r="V485">
        <v>474078109</v>
      </c>
      <c r="X485">
        <v>476503436</v>
      </c>
      <c r="Z485">
        <v>0</v>
      </c>
      <c r="AA485">
        <v>0</v>
      </c>
      <c r="AE485" t="s">
        <v>1919</v>
      </c>
      <c r="AF485">
        <v>1003543437</v>
      </c>
      <c r="AJ485" t="s">
        <v>143</v>
      </c>
      <c r="AK485" t="s">
        <v>61</v>
      </c>
    </row>
    <row r="486" spans="1:38" x14ac:dyDescent="0.25">
      <c r="A486">
        <v>4496871</v>
      </c>
      <c r="B486" t="s">
        <v>1920</v>
      </c>
      <c r="C486" t="s">
        <v>1921</v>
      </c>
      <c r="D486" t="s">
        <v>39</v>
      </c>
      <c r="E486" t="s">
        <v>40</v>
      </c>
      <c r="F486" t="s">
        <v>1922</v>
      </c>
      <c r="G486" t="s">
        <v>1745</v>
      </c>
      <c r="H486">
        <v>30</v>
      </c>
      <c r="I486" t="s">
        <v>1923</v>
      </c>
      <c r="R486" t="s">
        <v>1924</v>
      </c>
      <c r="V486" t="s">
        <v>1925</v>
      </c>
      <c r="AE486" t="s">
        <v>1926</v>
      </c>
      <c r="AF486">
        <v>1004496871</v>
      </c>
    </row>
    <row r="487" spans="1:38" x14ac:dyDescent="0.25">
      <c r="A487">
        <v>10733437</v>
      </c>
      <c r="B487" t="s">
        <v>1927</v>
      </c>
      <c r="C487" t="s">
        <v>1928</v>
      </c>
      <c r="D487" t="s">
        <v>39</v>
      </c>
      <c r="E487" t="s">
        <v>40</v>
      </c>
      <c r="F487" t="s">
        <v>1929</v>
      </c>
      <c r="G487" t="s">
        <v>141</v>
      </c>
      <c r="H487">
        <v>174</v>
      </c>
      <c r="Q487" t="s">
        <v>51</v>
      </c>
      <c r="R487" t="s">
        <v>1930</v>
      </c>
      <c r="V487" t="s">
        <v>1931</v>
      </c>
      <c r="AF487">
        <v>1010733437</v>
      </c>
      <c r="AJ487" t="s">
        <v>294</v>
      </c>
      <c r="AK487" t="s">
        <v>61</v>
      </c>
    </row>
    <row r="488" spans="1:38" x14ac:dyDescent="0.25">
      <c r="A488">
        <v>2650841</v>
      </c>
      <c r="B488" t="s">
        <v>1932</v>
      </c>
      <c r="C488" t="s">
        <v>1933</v>
      </c>
      <c r="D488" t="s">
        <v>39</v>
      </c>
      <c r="E488" t="s">
        <v>40</v>
      </c>
      <c r="F488" t="s">
        <v>1934</v>
      </c>
      <c r="G488" t="s">
        <v>1935</v>
      </c>
      <c r="H488">
        <v>2</v>
      </c>
      <c r="U488" t="s">
        <v>53</v>
      </c>
      <c r="V488">
        <v>477290847</v>
      </c>
      <c r="W488" t="s">
        <v>51</v>
      </c>
      <c r="X488">
        <v>470977215</v>
      </c>
      <c r="Y488" t="s">
        <v>46</v>
      </c>
      <c r="Z488">
        <v>498493589</v>
      </c>
      <c r="AA488">
        <v>0</v>
      </c>
      <c r="AF488">
        <v>1002650841</v>
      </c>
    </row>
    <row r="489" spans="1:38" x14ac:dyDescent="0.25">
      <c r="A489">
        <v>4296434</v>
      </c>
      <c r="B489" t="s">
        <v>1936</v>
      </c>
      <c r="C489" t="s">
        <v>1937</v>
      </c>
      <c r="D489" t="s">
        <v>39</v>
      </c>
      <c r="E489" t="s">
        <v>40</v>
      </c>
      <c r="F489" t="s">
        <v>1938</v>
      </c>
      <c r="G489" t="s">
        <v>1939</v>
      </c>
      <c r="H489">
        <v>13</v>
      </c>
      <c r="Q489" t="s">
        <v>53</v>
      </c>
      <c r="R489" t="s">
        <v>1940</v>
      </c>
      <c r="U489" t="s">
        <v>51</v>
      </c>
      <c r="V489" t="s">
        <v>1941</v>
      </c>
      <c r="W489" t="s">
        <v>53</v>
      </c>
      <c r="X489" t="s">
        <v>1942</v>
      </c>
      <c r="AF489">
        <v>1004296434</v>
      </c>
      <c r="AG489">
        <v>757869</v>
      </c>
      <c r="AJ489" t="s">
        <v>744</v>
      </c>
      <c r="AK489" t="s">
        <v>61</v>
      </c>
      <c r="AL489" t="s">
        <v>62</v>
      </c>
    </row>
    <row r="490" spans="1:38" x14ac:dyDescent="0.25">
      <c r="A490">
        <v>4296434</v>
      </c>
      <c r="B490" t="s">
        <v>1936</v>
      </c>
      <c r="C490" t="s">
        <v>1937</v>
      </c>
      <c r="D490" t="s">
        <v>39</v>
      </c>
      <c r="E490" t="s">
        <v>40</v>
      </c>
      <c r="F490" t="s">
        <v>1938</v>
      </c>
      <c r="G490" t="s">
        <v>1939</v>
      </c>
      <c r="H490">
        <v>13</v>
      </c>
      <c r="Q490" t="s">
        <v>53</v>
      </c>
      <c r="R490" t="s">
        <v>1940</v>
      </c>
      <c r="U490" t="s">
        <v>51</v>
      </c>
      <c r="V490" t="s">
        <v>1941</v>
      </c>
      <c r="W490" t="s">
        <v>53</v>
      </c>
      <c r="X490" t="s">
        <v>1942</v>
      </c>
      <c r="AF490">
        <v>1004296434</v>
      </c>
      <c r="AG490">
        <v>757869</v>
      </c>
      <c r="AJ490" t="s">
        <v>87</v>
      </c>
      <c r="AK490" t="s">
        <v>61</v>
      </c>
    </row>
    <row r="491" spans="1:38" x14ac:dyDescent="0.25">
      <c r="A491">
        <v>9739268</v>
      </c>
      <c r="B491" t="s">
        <v>1936</v>
      </c>
      <c r="C491" t="s">
        <v>1943</v>
      </c>
      <c r="D491" t="s">
        <v>39</v>
      </c>
      <c r="E491" t="s">
        <v>40</v>
      </c>
      <c r="F491" t="s">
        <v>1944</v>
      </c>
      <c r="G491" t="s">
        <v>1899</v>
      </c>
      <c r="AB491" t="s">
        <v>1945</v>
      </c>
      <c r="AF491">
        <v>1009739268</v>
      </c>
    </row>
    <row r="492" spans="1:38" x14ac:dyDescent="0.25">
      <c r="A492">
        <v>3378905</v>
      </c>
      <c r="B492" t="s">
        <v>1946</v>
      </c>
      <c r="C492" t="s">
        <v>818</v>
      </c>
      <c r="D492" t="s">
        <v>39</v>
      </c>
      <c r="E492" t="s">
        <v>40</v>
      </c>
      <c r="F492" t="s">
        <v>1947</v>
      </c>
      <c r="G492" t="s">
        <v>1948</v>
      </c>
      <c r="H492">
        <v>71</v>
      </c>
      <c r="V492">
        <v>472656820</v>
      </c>
      <c r="X492">
        <v>496081620</v>
      </c>
      <c r="Z492">
        <v>474801324</v>
      </c>
      <c r="AA492">
        <v>0</v>
      </c>
      <c r="AF492">
        <v>1003378905</v>
      </c>
    </row>
    <row r="493" spans="1:38" x14ac:dyDescent="0.25">
      <c r="A493">
        <v>3378895</v>
      </c>
      <c r="B493" t="s">
        <v>1946</v>
      </c>
      <c r="C493" t="s">
        <v>1078</v>
      </c>
      <c r="D493" t="s">
        <v>39</v>
      </c>
      <c r="E493" t="s">
        <v>49</v>
      </c>
      <c r="F493" t="s">
        <v>1949</v>
      </c>
      <c r="G493" t="s">
        <v>1948</v>
      </c>
      <c r="H493">
        <v>71</v>
      </c>
      <c r="U493" t="s">
        <v>53</v>
      </c>
      <c r="V493">
        <v>472656820</v>
      </c>
      <c r="X493">
        <v>496081620</v>
      </c>
      <c r="Z493">
        <v>474801324</v>
      </c>
      <c r="AD493">
        <v>15</v>
      </c>
      <c r="AF493">
        <v>1003378895</v>
      </c>
      <c r="AG493">
        <v>746004</v>
      </c>
      <c r="AJ493" t="s">
        <v>63</v>
      </c>
      <c r="AK493" t="s">
        <v>61</v>
      </c>
    </row>
    <row r="494" spans="1:38" x14ac:dyDescent="0.25">
      <c r="A494">
        <v>3378895</v>
      </c>
      <c r="B494" t="s">
        <v>1946</v>
      </c>
      <c r="C494" t="s">
        <v>1078</v>
      </c>
      <c r="D494" t="s">
        <v>39</v>
      </c>
      <c r="E494" t="s">
        <v>49</v>
      </c>
      <c r="F494" t="s">
        <v>1949</v>
      </c>
      <c r="G494" t="s">
        <v>1948</v>
      </c>
      <c r="H494">
        <v>71</v>
      </c>
      <c r="U494" t="s">
        <v>53</v>
      </c>
      <c r="V494">
        <v>472656820</v>
      </c>
      <c r="X494">
        <v>496081620</v>
      </c>
      <c r="Z494">
        <v>474801324</v>
      </c>
      <c r="AD494">
        <v>15</v>
      </c>
      <c r="AF494">
        <v>1003378895</v>
      </c>
      <c r="AG494">
        <v>746004</v>
      </c>
      <c r="AJ494" t="s">
        <v>127</v>
      </c>
      <c r="AK494" t="s">
        <v>61</v>
      </c>
    </row>
    <row r="495" spans="1:38" x14ac:dyDescent="0.25">
      <c r="A495">
        <v>4246167</v>
      </c>
      <c r="B495" t="s">
        <v>1946</v>
      </c>
      <c r="C495" t="s">
        <v>1170</v>
      </c>
      <c r="D495" t="s">
        <v>39</v>
      </c>
      <c r="E495" t="s">
        <v>40</v>
      </c>
      <c r="F495" t="s">
        <v>1950</v>
      </c>
      <c r="U495" t="s">
        <v>46</v>
      </c>
      <c r="V495">
        <v>320473713325</v>
      </c>
      <c r="X495">
        <v>0</v>
      </c>
      <c r="Z495">
        <v>0</v>
      </c>
      <c r="AA495">
        <v>0</v>
      </c>
      <c r="AF495">
        <v>1004246167</v>
      </c>
    </row>
    <row r="496" spans="1:38" x14ac:dyDescent="0.25">
      <c r="A496">
        <v>3616567</v>
      </c>
      <c r="B496" t="s">
        <v>1951</v>
      </c>
      <c r="C496" t="s">
        <v>250</v>
      </c>
      <c r="D496" t="s">
        <v>39</v>
      </c>
      <c r="E496" t="s">
        <v>40</v>
      </c>
      <c r="F496" t="s">
        <v>1952</v>
      </c>
      <c r="G496" t="s">
        <v>1953</v>
      </c>
      <c r="H496">
        <v>10</v>
      </c>
      <c r="Q496" t="s">
        <v>53</v>
      </c>
      <c r="R496" t="s">
        <v>1954</v>
      </c>
      <c r="S496" t="s">
        <v>46</v>
      </c>
      <c r="T496" t="s">
        <v>1955</v>
      </c>
      <c r="U496" t="s">
        <v>51</v>
      </c>
      <c r="V496">
        <v>320476260862</v>
      </c>
      <c r="W496" t="s">
        <v>53</v>
      </c>
      <c r="X496">
        <v>320476646787</v>
      </c>
      <c r="Y496" t="s">
        <v>46</v>
      </c>
      <c r="Z496">
        <v>320467011927</v>
      </c>
      <c r="AF496">
        <v>1003616567</v>
      </c>
      <c r="AJ496" t="s">
        <v>202</v>
      </c>
      <c r="AK496" t="s">
        <v>61</v>
      </c>
    </row>
    <row r="497" spans="1:38" x14ac:dyDescent="0.25">
      <c r="A497">
        <v>3616567</v>
      </c>
      <c r="B497" t="s">
        <v>1951</v>
      </c>
      <c r="C497" t="s">
        <v>250</v>
      </c>
      <c r="D497" t="s">
        <v>39</v>
      </c>
      <c r="E497" t="s">
        <v>40</v>
      </c>
      <c r="F497" t="s">
        <v>1952</v>
      </c>
      <c r="G497" t="s">
        <v>1953</v>
      </c>
      <c r="H497">
        <v>10</v>
      </c>
      <c r="Q497" t="s">
        <v>53</v>
      </c>
      <c r="R497" t="s">
        <v>1954</v>
      </c>
      <c r="S497" t="s">
        <v>46</v>
      </c>
      <c r="T497" t="s">
        <v>1955</v>
      </c>
      <c r="U497" t="s">
        <v>51</v>
      </c>
      <c r="V497">
        <v>320476260862</v>
      </c>
      <c r="W497" t="s">
        <v>53</v>
      </c>
      <c r="X497">
        <v>320476646787</v>
      </c>
      <c r="Y497" t="s">
        <v>46</v>
      </c>
      <c r="Z497">
        <v>320467011927</v>
      </c>
      <c r="AF497">
        <v>1003616567</v>
      </c>
      <c r="AJ497" t="s">
        <v>63</v>
      </c>
      <c r="AK497" t="s">
        <v>61</v>
      </c>
    </row>
    <row r="498" spans="1:38" x14ac:dyDescent="0.25">
      <c r="A498">
        <v>2183137</v>
      </c>
      <c r="B498" t="s">
        <v>1956</v>
      </c>
      <c r="C498" t="s">
        <v>1957</v>
      </c>
      <c r="D498" t="s">
        <v>39</v>
      </c>
      <c r="E498" t="s">
        <v>49</v>
      </c>
      <c r="F498" t="s">
        <v>1958</v>
      </c>
      <c r="G498" t="s">
        <v>1529</v>
      </c>
      <c r="H498">
        <v>75</v>
      </c>
      <c r="R498" t="s">
        <v>1139</v>
      </c>
      <c r="AC498" t="s">
        <v>1959</v>
      </c>
      <c r="AE498" t="s">
        <v>1960</v>
      </c>
      <c r="AF498">
        <v>1002183137</v>
      </c>
      <c r="AG498">
        <v>702227</v>
      </c>
    </row>
    <row r="499" spans="1:38" x14ac:dyDescent="0.25">
      <c r="A499">
        <v>7329713</v>
      </c>
      <c r="B499" t="s">
        <v>1961</v>
      </c>
      <c r="C499" t="s">
        <v>1962</v>
      </c>
      <c r="D499" t="s">
        <v>39</v>
      </c>
      <c r="E499" t="s">
        <v>40</v>
      </c>
      <c r="F499" t="s">
        <v>1963</v>
      </c>
      <c r="G499" t="s">
        <v>1964</v>
      </c>
      <c r="H499">
        <v>39</v>
      </c>
      <c r="Q499" t="s">
        <v>51</v>
      </c>
      <c r="R499" t="s">
        <v>1965</v>
      </c>
      <c r="V499" t="s">
        <v>1966</v>
      </c>
      <c r="AF499">
        <v>1007329713</v>
      </c>
      <c r="AJ499" t="s">
        <v>656</v>
      </c>
      <c r="AK499" t="s">
        <v>61</v>
      </c>
    </row>
    <row r="500" spans="1:38" x14ac:dyDescent="0.25">
      <c r="A500">
        <v>7329713</v>
      </c>
      <c r="B500" t="s">
        <v>1961</v>
      </c>
      <c r="C500" t="s">
        <v>1962</v>
      </c>
      <c r="D500" t="s">
        <v>39</v>
      </c>
      <c r="E500" t="s">
        <v>40</v>
      </c>
      <c r="F500" t="s">
        <v>1963</v>
      </c>
      <c r="G500" t="s">
        <v>1964</v>
      </c>
      <c r="H500">
        <v>39</v>
      </c>
      <c r="Q500" t="s">
        <v>51</v>
      </c>
      <c r="R500" t="s">
        <v>1965</v>
      </c>
      <c r="V500" t="s">
        <v>1966</v>
      </c>
      <c r="AF500">
        <v>1007329713</v>
      </c>
      <c r="AJ500" t="s">
        <v>295</v>
      </c>
      <c r="AK500" t="s">
        <v>61</v>
      </c>
    </row>
    <row r="501" spans="1:38" x14ac:dyDescent="0.25">
      <c r="A501">
        <v>2183142</v>
      </c>
      <c r="B501" t="s">
        <v>1967</v>
      </c>
      <c r="C501" t="s">
        <v>1727</v>
      </c>
      <c r="D501" t="s">
        <v>39</v>
      </c>
      <c r="E501" t="s">
        <v>49</v>
      </c>
      <c r="F501" t="s">
        <v>1968</v>
      </c>
      <c r="G501" t="s">
        <v>69</v>
      </c>
      <c r="H501">
        <v>104</v>
      </c>
      <c r="AC501" t="s">
        <v>1969</v>
      </c>
      <c r="AF501">
        <v>1002183142</v>
      </c>
      <c r="AG501">
        <v>669073</v>
      </c>
      <c r="AL501" t="s">
        <v>593</v>
      </c>
    </row>
    <row r="502" spans="1:38" x14ac:dyDescent="0.25">
      <c r="A502">
        <v>2183147</v>
      </c>
      <c r="B502" t="s">
        <v>1970</v>
      </c>
      <c r="C502" t="s">
        <v>1971</v>
      </c>
      <c r="D502" t="s">
        <v>39</v>
      </c>
      <c r="E502" t="s">
        <v>49</v>
      </c>
      <c r="F502" t="s">
        <v>1972</v>
      </c>
      <c r="G502" t="s">
        <v>1973</v>
      </c>
      <c r="H502">
        <v>47</v>
      </c>
      <c r="AC502" t="s">
        <v>1974</v>
      </c>
      <c r="AF502">
        <v>1002183147</v>
      </c>
      <c r="AG502">
        <v>610168</v>
      </c>
    </row>
    <row r="503" spans="1:38" x14ac:dyDescent="0.25">
      <c r="A503">
        <v>4398877</v>
      </c>
      <c r="B503" t="s">
        <v>1975</v>
      </c>
      <c r="C503" t="s">
        <v>1976</v>
      </c>
      <c r="D503" t="s">
        <v>39</v>
      </c>
      <c r="E503" t="s">
        <v>40</v>
      </c>
      <c r="F503" t="s">
        <v>1977</v>
      </c>
      <c r="G503" t="s">
        <v>1978</v>
      </c>
      <c r="H503">
        <v>17</v>
      </c>
      <c r="U503" t="s">
        <v>46</v>
      </c>
      <c r="V503">
        <v>0</v>
      </c>
      <c r="X503">
        <v>0</v>
      </c>
      <c r="Z503">
        <v>0</v>
      </c>
      <c r="AA503">
        <v>0</v>
      </c>
      <c r="AC503" t="s">
        <v>1979</v>
      </c>
      <c r="AF503">
        <v>1004398877</v>
      </c>
      <c r="AJ503" t="s">
        <v>483</v>
      </c>
      <c r="AK503" t="s">
        <v>61</v>
      </c>
    </row>
    <row r="504" spans="1:38" x14ac:dyDescent="0.25">
      <c r="A504">
        <v>2183152</v>
      </c>
      <c r="B504" t="s">
        <v>1975</v>
      </c>
      <c r="C504" t="s">
        <v>501</v>
      </c>
      <c r="D504" t="s">
        <v>39</v>
      </c>
      <c r="E504" t="s">
        <v>40</v>
      </c>
      <c r="F504" t="s">
        <v>1980</v>
      </c>
      <c r="G504" t="s">
        <v>1978</v>
      </c>
      <c r="H504">
        <v>17</v>
      </c>
      <c r="Q504" t="s">
        <v>46</v>
      </c>
      <c r="R504" t="s">
        <v>1981</v>
      </c>
      <c r="AF504">
        <v>1002183152</v>
      </c>
      <c r="AG504">
        <v>669286</v>
      </c>
    </row>
    <row r="505" spans="1:38" x14ac:dyDescent="0.25">
      <c r="A505">
        <v>2936165</v>
      </c>
      <c r="B505" t="s">
        <v>1982</v>
      </c>
      <c r="C505" t="s">
        <v>542</v>
      </c>
      <c r="D505" t="s">
        <v>39</v>
      </c>
      <c r="E505" t="s">
        <v>40</v>
      </c>
      <c r="F505" t="s">
        <v>1983</v>
      </c>
      <c r="G505" t="s">
        <v>1984</v>
      </c>
      <c r="H505">
        <v>57</v>
      </c>
      <c r="U505" t="s">
        <v>53</v>
      </c>
      <c r="V505">
        <v>477480963</v>
      </c>
      <c r="AF505">
        <v>1002936165</v>
      </c>
      <c r="AG505">
        <v>744403</v>
      </c>
    </row>
    <row r="506" spans="1:38" x14ac:dyDescent="0.25">
      <c r="A506">
        <v>10786228</v>
      </c>
      <c r="B506" t="s">
        <v>1982</v>
      </c>
      <c r="C506" t="s">
        <v>1151</v>
      </c>
      <c r="D506" t="s">
        <v>39</v>
      </c>
      <c r="E506" t="s">
        <v>40</v>
      </c>
      <c r="F506" t="s">
        <v>1985</v>
      </c>
      <c r="U506" t="s">
        <v>53</v>
      </c>
      <c r="V506" t="s">
        <v>1986</v>
      </c>
      <c r="AF506">
        <v>1010786228</v>
      </c>
    </row>
    <row r="507" spans="1:38" x14ac:dyDescent="0.25">
      <c r="A507">
        <v>2183162</v>
      </c>
      <c r="B507" t="s">
        <v>1987</v>
      </c>
      <c r="C507" t="s">
        <v>1988</v>
      </c>
      <c r="D507" t="s">
        <v>39</v>
      </c>
      <c r="E507" t="s">
        <v>49</v>
      </c>
      <c r="F507" t="s">
        <v>1989</v>
      </c>
      <c r="G507" t="s">
        <v>305</v>
      </c>
      <c r="H507">
        <v>37</v>
      </c>
      <c r="AC507" t="s">
        <v>1990</v>
      </c>
      <c r="AF507">
        <v>1002183162</v>
      </c>
    </row>
    <row r="508" spans="1:38" x14ac:dyDescent="0.25">
      <c r="A508">
        <v>4080342</v>
      </c>
      <c r="B508" t="s">
        <v>1991</v>
      </c>
      <c r="C508" t="s">
        <v>1992</v>
      </c>
      <c r="D508" t="s">
        <v>39</v>
      </c>
      <c r="E508" t="s">
        <v>49</v>
      </c>
      <c r="F508" t="s">
        <v>1993</v>
      </c>
      <c r="G508" t="s">
        <v>1994</v>
      </c>
      <c r="H508">
        <v>49</v>
      </c>
      <c r="U508" t="s">
        <v>51</v>
      </c>
      <c r="V508" t="s">
        <v>1995</v>
      </c>
      <c r="AF508">
        <v>1004080342</v>
      </c>
      <c r="AG508">
        <v>704482</v>
      </c>
      <c r="AL508" t="s">
        <v>62</v>
      </c>
    </row>
    <row r="509" spans="1:38" x14ac:dyDescent="0.25">
      <c r="A509">
        <v>2669967</v>
      </c>
      <c r="B509" t="s">
        <v>1991</v>
      </c>
      <c r="C509" t="s">
        <v>1996</v>
      </c>
      <c r="D509" t="s">
        <v>39</v>
      </c>
      <c r="E509" t="s">
        <v>40</v>
      </c>
      <c r="F509" t="s">
        <v>1997</v>
      </c>
      <c r="G509" t="s">
        <v>1994</v>
      </c>
      <c r="H509">
        <v>49</v>
      </c>
      <c r="V509" t="s">
        <v>1995</v>
      </c>
      <c r="AF509">
        <v>1002669967</v>
      </c>
      <c r="AG509">
        <v>704481</v>
      </c>
    </row>
    <row r="510" spans="1:38" x14ac:dyDescent="0.25">
      <c r="A510">
        <v>6702565</v>
      </c>
      <c r="B510" t="s">
        <v>1998</v>
      </c>
      <c r="C510" t="s">
        <v>1999</v>
      </c>
      <c r="D510" t="s">
        <v>39</v>
      </c>
      <c r="E510" t="s">
        <v>49</v>
      </c>
      <c r="F510" t="s">
        <v>2000</v>
      </c>
      <c r="G510" t="s">
        <v>2001</v>
      </c>
      <c r="H510">
        <v>5</v>
      </c>
      <c r="V510">
        <v>0</v>
      </c>
      <c r="X510">
        <v>0</v>
      </c>
      <c r="Z510">
        <v>0</v>
      </c>
      <c r="AA510">
        <v>0</v>
      </c>
      <c r="AC510" t="s">
        <v>2002</v>
      </c>
      <c r="AF510">
        <v>1006702565</v>
      </c>
      <c r="AG510">
        <v>606672</v>
      </c>
    </row>
    <row r="511" spans="1:38" x14ac:dyDescent="0.25">
      <c r="A511">
        <v>11850476</v>
      </c>
      <c r="B511" t="s">
        <v>2003</v>
      </c>
      <c r="C511" t="s">
        <v>1170</v>
      </c>
      <c r="D511" t="s">
        <v>39</v>
      </c>
      <c r="E511" t="s">
        <v>40</v>
      </c>
      <c r="F511" t="s">
        <v>2004</v>
      </c>
      <c r="G511" t="s">
        <v>188</v>
      </c>
      <c r="H511">
        <v>10</v>
      </c>
      <c r="U511" t="s">
        <v>46</v>
      </c>
      <c r="V511" t="s">
        <v>2005</v>
      </c>
      <c r="AF511">
        <v>1011850476</v>
      </c>
    </row>
    <row r="512" spans="1:38" x14ac:dyDescent="0.25">
      <c r="A512">
        <v>2650786</v>
      </c>
      <c r="B512" t="s">
        <v>2006</v>
      </c>
      <c r="C512" t="s">
        <v>2007</v>
      </c>
      <c r="D512" t="s">
        <v>39</v>
      </c>
      <c r="E512" t="s">
        <v>40</v>
      </c>
      <c r="F512" t="s">
        <v>2008</v>
      </c>
      <c r="G512" t="s">
        <v>2009</v>
      </c>
      <c r="H512">
        <v>12</v>
      </c>
      <c r="U512" t="s">
        <v>53</v>
      </c>
      <c r="V512">
        <v>474940674</v>
      </c>
      <c r="W512" t="s">
        <v>51</v>
      </c>
      <c r="X512">
        <v>472855243</v>
      </c>
      <c r="AC512" t="s">
        <v>2010</v>
      </c>
      <c r="AF512">
        <v>1002650786</v>
      </c>
      <c r="AG512">
        <v>739969</v>
      </c>
    </row>
    <row r="513" spans="1:38" x14ac:dyDescent="0.25">
      <c r="A513">
        <v>3454870</v>
      </c>
      <c r="B513" t="s">
        <v>2011</v>
      </c>
      <c r="C513" t="s">
        <v>1384</v>
      </c>
      <c r="D513" t="s">
        <v>39</v>
      </c>
      <c r="E513" t="s">
        <v>40</v>
      </c>
      <c r="F513" t="s">
        <v>2012</v>
      </c>
      <c r="G513" t="s">
        <v>2013</v>
      </c>
      <c r="H513">
        <v>19</v>
      </c>
      <c r="Q513" t="s">
        <v>51</v>
      </c>
      <c r="R513" t="s">
        <v>2014</v>
      </c>
      <c r="U513" t="s">
        <v>53</v>
      </c>
      <c r="V513" t="s">
        <v>2015</v>
      </c>
      <c r="W513" t="s">
        <v>51</v>
      </c>
      <c r="X513" t="s">
        <v>2016</v>
      </c>
      <c r="AC513" t="s">
        <v>2017</v>
      </c>
      <c r="AD513">
        <v>15</v>
      </c>
      <c r="AE513" t="s">
        <v>2018</v>
      </c>
      <c r="AF513">
        <v>1003454870</v>
      </c>
      <c r="AG513">
        <v>756320</v>
      </c>
      <c r="AJ513" t="s">
        <v>63</v>
      </c>
      <c r="AK513" t="s">
        <v>61</v>
      </c>
    </row>
    <row r="514" spans="1:38" x14ac:dyDescent="0.25">
      <c r="A514">
        <v>3454870</v>
      </c>
      <c r="B514" t="s">
        <v>2011</v>
      </c>
      <c r="C514" t="s">
        <v>1384</v>
      </c>
      <c r="D514" t="s">
        <v>39</v>
      </c>
      <c r="E514" t="s">
        <v>40</v>
      </c>
      <c r="F514" t="s">
        <v>2012</v>
      </c>
      <c r="G514" t="s">
        <v>2013</v>
      </c>
      <c r="H514">
        <v>19</v>
      </c>
      <c r="Q514" t="s">
        <v>51</v>
      </c>
      <c r="R514" t="s">
        <v>2014</v>
      </c>
      <c r="U514" t="s">
        <v>53</v>
      </c>
      <c r="V514" t="s">
        <v>2015</v>
      </c>
      <c r="W514" t="s">
        <v>51</v>
      </c>
      <c r="X514" t="s">
        <v>2016</v>
      </c>
      <c r="AC514" t="s">
        <v>2017</v>
      </c>
      <c r="AD514">
        <v>15</v>
      </c>
      <c r="AE514" t="s">
        <v>2018</v>
      </c>
      <c r="AF514">
        <v>1003454870</v>
      </c>
      <c r="AG514">
        <v>756320</v>
      </c>
      <c r="AJ514" t="s">
        <v>87</v>
      </c>
      <c r="AK514" t="s">
        <v>61</v>
      </c>
    </row>
    <row r="515" spans="1:38" x14ac:dyDescent="0.25">
      <c r="A515">
        <v>3454870</v>
      </c>
      <c r="B515" t="s">
        <v>2011</v>
      </c>
      <c r="C515" t="s">
        <v>1384</v>
      </c>
      <c r="D515" t="s">
        <v>39</v>
      </c>
      <c r="E515" t="s">
        <v>40</v>
      </c>
      <c r="F515" t="s">
        <v>2012</v>
      </c>
      <c r="G515" t="s">
        <v>2013</v>
      </c>
      <c r="H515">
        <v>19</v>
      </c>
      <c r="Q515" t="s">
        <v>51</v>
      </c>
      <c r="R515" t="s">
        <v>2014</v>
      </c>
      <c r="U515" t="s">
        <v>53</v>
      </c>
      <c r="V515" t="s">
        <v>2015</v>
      </c>
      <c r="W515" t="s">
        <v>51</v>
      </c>
      <c r="X515" t="s">
        <v>2016</v>
      </c>
      <c r="AC515" t="s">
        <v>2017</v>
      </c>
      <c r="AD515">
        <v>15</v>
      </c>
      <c r="AE515" t="s">
        <v>2018</v>
      </c>
      <c r="AF515">
        <v>1003454870</v>
      </c>
      <c r="AG515">
        <v>756320</v>
      </c>
      <c r="AJ515" t="s">
        <v>744</v>
      </c>
      <c r="AK515" t="s">
        <v>61</v>
      </c>
    </row>
    <row r="516" spans="1:38" x14ac:dyDescent="0.25">
      <c r="A516">
        <v>7790357</v>
      </c>
      <c r="B516" t="s">
        <v>2019</v>
      </c>
      <c r="C516" t="s">
        <v>2020</v>
      </c>
      <c r="D516" t="s">
        <v>39</v>
      </c>
      <c r="E516" t="s">
        <v>40</v>
      </c>
      <c r="F516" t="s">
        <v>2021</v>
      </c>
      <c r="G516" t="s">
        <v>1539</v>
      </c>
      <c r="H516">
        <v>1</v>
      </c>
      <c r="Q516" t="s">
        <v>53</v>
      </c>
      <c r="R516" t="s">
        <v>2022</v>
      </c>
      <c r="U516" t="s">
        <v>51</v>
      </c>
      <c r="V516" t="s">
        <v>2023</v>
      </c>
      <c r="AE516" t="s">
        <v>2024</v>
      </c>
      <c r="AF516">
        <v>1007790357</v>
      </c>
    </row>
    <row r="517" spans="1:38" x14ac:dyDescent="0.25">
      <c r="A517">
        <v>2183172</v>
      </c>
      <c r="B517" t="s">
        <v>2025</v>
      </c>
      <c r="C517" t="s">
        <v>853</v>
      </c>
      <c r="D517" t="s">
        <v>39</v>
      </c>
      <c r="E517" t="s">
        <v>40</v>
      </c>
      <c r="F517" t="s">
        <v>2026</v>
      </c>
      <c r="G517" t="s">
        <v>930</v>
      </c>
      <c r="H517">
        <v>25</v>
      </c>
      <c r="V517" t="s">
        <v>2027</v>
      </c>
      <c r="AC517" t="s">
        <v>2028</v>
      </c>
      <c r="AE517" t="s">
        <v>2029</v>
      </c>
      <c r="AF517">
        <v>1002183172</v>
      </c>
      <c r="AG517">
        <v>714465</v>
      </c>
      <c r="AJ517" t="s">
        <v>63</v>
      </c>
      <c r="AK517" t="s">
        <v>61</v>
      </c>
      <c r="AL517" t="s">
        <v>62</v>
      </c>
    </row>
    <row r="518" spans="1:38" x14ac:dyDescent="0.25">
      <c r="A518">
        <v>2669986</v>
      </c>
      <c r="B518" t="s">
        <v>2030</v>
      </c>
      <c r="C518" t="s">
        <v>2031</v>
      </c>
      <c r="D518" t="s">
        <v>39</v>
      </c>
      <c r="E518" t="s">
        <v>40</v>
      </c>
      <c r="F518" t="s">
        <v>2032</v>
      </c>
      <c r="V518" t="s">
        <v>2033</v>
      </c>
      <c r="W518" t="s">
        <v>53</v>
      </c>
      <c r="X518" t="s">
        <v>2034</v>
      </c>
      <c r="AC518" t="s">
        <v>2035</v>
      </c>
      <c r="AF518">
        <v>1002669986</v>
      </c>
      <c r="AG518">
        <v>712029</v>
      </c>
    </row>
    <row r="519" spans="1:38" x14ac:dyDescent="0.25">
      <c r="A519">
        <v>3501048</v>
      </c>
      <c r="B519" t="s">
        <v>2036</v>
      </c>
      <c r="C519" t="s">
        <v>1748</v>
      </c>
      <c r="D519" t="s">
        <v>39</v>
      </c>
      <c r="E519" t="s">
        <v>40</v>
      </c>
      <c r="F519" t="s">
        <v>2037</v>
      </c>
      <c r="G519" t="s">
        <v>280</v>
      </c>
      <c r="H519">
        <v>74</v>
      </c>
      <c r="V519">
        <v>478122419</v>
      </c>
      <c r="X519">
        <v>498603583</v>
      </c>
      <c r="Z519">
        <v>0</v>
      </c>
      <c r="AA519">
        <v>0</v>
      </c>
      <c r="AE519" t="s">
        <v>2038</v>
      </c>
      <c r="AF519">
        <v>1003501048</v>
      </c>
    </row>
    <row r="520" spans="1:38" x14ac:dyDescent="0.25">
      <c r="A520">
        <v>2183177</v>
      </c>
      <c r="B520" t="s">
        <v>2039</v>
      </c>
      <c r="C520" t="s">
        <v>2040</v>
      </c>
      <c r="D520" t="s">
        <v>39</v>
      </c>
      <c r="E520" t="s">
        <v>49</v>
      </c>
      <c r="F520" t="s">
        <v>2041</v>
      </c>
      <c r="G520" t="s">
        <v>382</v>
      </c>
      <c r="H520" t="s">
        <v>615</v>
      </c>
      <c r="AC520" t="s">
        <v>2042</v>
      </c>
      <c r="AE520" t="s">
        <v>2043</v>
      </c>
      <c r="AF520">
        <v>1002183177</v>
      </c>
    </row>
    <row r="521" spans="1:38" x14ac:dyDescent="0.25">
      <c r="A521">
        <v>2183192</v>
      </c>
      <c r="B521" t="s">
        <v>2044</v>
      </c>
      <c r="C521" t="s">
        <v>2045</v>
      </c>
      <c r="D521" t="s">
        <v>39</v>
      </c>
      <c r="E521" t="s">
        <v>40</v>
      </c>
      <c r="F521" t="s">
        <v>2046</v>
      </c>
      <c r="G521" t="s">
        <v>2047</v>
      </c>
      <c r="H521">
        <v>39</v>
      </c>
      <c r="AC521" t="s">
        <v>2048</v>
      </c>
      <c r="AF521">
        <v>1002183192</v>
      </c>
      <c r="AG521">
        <v>622975</v>
      </c>
    </row>
    <row r="522" spans="1:38" x14ac:dyDescent="0.25">
      <c r="A522">
        <v>2650641</v>
      </c>
      <c r="B522" t="s">
        <v>2049</v>
      </c>
      <c r="C522" t="s">
        <v>2050</v>
      </c>
      <c r="D522" t="s">
        <v>39</v>
      </c>
      <c r="E522" t="s">
        <v>49</v>
      </c>
      <c r="F522" t="s">
        <v>2051</v>
      </c>
      <c r="G522" t="s">
        <v>2052</v>
      </c>
      <c r="H522">
        <v>23</v>
      </c>
      <c r="Q522" t="s">
        <v>51</v>
      </c>
      <c r="R522" t="s">
        <v>2053</v>
      </c>
      <c r="U522" t="s">
        <v>53</v>
      </c>
      <c r="V522">
        <v>32470513652</v>
      </c>
      <c r="X522">
        <v>479980587</v>
      </c>
      <c r="AC522" t="s">
        <v>2054</v>
      </c>
      <c r="AE522" t="s">
        <v>2055</v>
      </c>
      <c r="AF522">
        <v>1002650641</v>
      </c>
      <c r="AG522">
        <v>742358</v>
      </c>
      <c r="AJ522" t="s">
        <v>63</v>
      </c>
      <c r="AK522" t="s">
        <v>61</v>
      </c>
    </row>
    <row r="523" spans="1:38" x14ac:dyDescent="0.25">
      <c r="A523">
        <v>2650641</v>
      </c>
      <c r="B523" t="s">
        <v>2049</v>
      </c>
      <c r="C523" t="s">
        <v>2050</v>
      </c>
      <c r="D523" t="s">
        <v>39</v>
      </c>
      <c r="E523" t="s">
        <v>49</v>
      </c>
      <c r="F523" t="s">
        <v>2051</v>
      </c>
      <c r="G523" t="s">
        <v>2052</v>
      </c>
      <c r="H523">
        <v>23</v>
      </c>
      <c r="Q523" t="s">
        <v>51</v>
      </c>
      <c r="R523" t="s">
        <v>2053</v>
      </c>
      <c r="U523" t="s">
        <v>53</v>
      </c>
      <c r="V523">
        <v>32470513652</v>
      </c>
      <c r="X523">
        <v>479980587</v>
      </c>
      <c r="AC523" t="s">
        <v>2054</v>
      </c>
      <c r="AE523" t="s">
        <v>2055</v>
      </c>
      <c r="AF523">
        <v>1002650641</v>
      </c>
      <c r="AG523">
        <v>742358</v>
      </c>
      <c r="AJ523" t="s">
        <v>127</v>
      </c>
      <c r="AK523" t="s">
        <v>61</v>
      </c>
    </row>
    <row r="524" spans="1:38" x14ac:dyDescent="0.25">
      <c r="A524">
        <v>2715503</v>
      </c>
      <c r="B524" t="s">
        <v>2049</v>
      </c>
      <c r="C524" t="s">
        <v>1170</v>
      </c>
      <c r="D524" t="s">
        <v>39</v>
      </c>
      <c r="E524" t="s">
        <v>40</v>
      </c>
      <c r="F524" t="s">
        <v>2056</v>
      </c>
      <c r="G524" t="s">
        <v>2052</v>
      </c>
      <c r="H524">
        <v>23</v>
      </c>
      <c r="V524">
        <v>498840277</v>
      </c>
      <c r="X524">
        <v>479980587</v>
      </c>
      <c r="Z524">
        <v>0</v>
      </c>
      <c r="AA524">
        <v>0</v>
      </c>
      <c r="AC524" t="s">
        <v>2057</v>
      </c>
      <c r="AF524">
        <v>1002715503</v>
      </c>
    </row>
    <row r="525" spans="1:38" x14ac:dyDescent="0.25">
      <c r="A525">
        <v>8418475</v>
      </c>
      <c r="B525" t="s">
        <v>2058</v>
      </c>
      <c r="C525" t="s">
        <v>2059</v>
      </c>
      <c r="D525" t="s">
        <v>39</v>
      </c>
      <c r="E525" t="s">
        <v>40</v>
      </c>
      <c r="F525" t="s">
        <v>2060</v>
      </c>
      <c r="G525" t="s">
        <v>2061</v>
      </c>
      <c r="H525" t="s">
        <v>2062</v>
      </c>
      <c r="Q525" t="s">
        <v>51</v>
      </c>
      <c r="R525" t="s">
        <v>2063</v>
      </c>
      <c r="U525" t="s">
        <v>53</v>
      </c>
      <c r="V525">
        <v>32494904656</v>
      </c>
      <c r="W525" t="s">
        <v>51</v>
      </c>
      <c r="X525">
        <v>32485494075</v>
      </c>
      <c r="AC525" t="s">
        <v>2064</v>
      </c>
      <c r="AE525" t="s">
        <v>2065</v>
      </c>
      <c r="AF525">
        <v>1008418475</v>
      </c>
      <c r="AJ525" t="s">
        <v>656</v>
      </c>
      <c r="AK525" t="s">
        <v>61</v>
      </c>
    </row>
    <row r="526" spans="1:38" x14ac:dyDescent="0.25">
      <c r="A526">
        <v>3475134</v>
      </c>
      <c r="B526" t="s">
        <v>2066</v>
      </c>
      <c r="C526" t="s">
        <v>2067</v>
      </c>
      <c r="D526" t="s">
        <v>39</v>
      </c>
      <c r="E526" t="s">
        <v>40</v>
      </c>
      <c r="F526" t="s">
        <v>2068</v>
      </c>
      <c r="G526" t="s">
        <v>535</v>
      </c>
      <c r="H526">
        <v>60</v>
      </c>
      <c r="U526" t="s">
        <v>53</v>
      </c>
      <c r="V526" t="s">
        <v>2069</v>
      </c>
      <c r="W526" t="s">
        <v>51</v>
      </c>
      <c r="X526" t="s">
        <v>2070</v>
      </c>
      <c r="AB526" t="s">
        <v>2071</v>
      </c>
      <c r="AE526" t="s">
        <v>2072</v>
      </c>
      <c r="AF526">
        <v>1003475134</v>
      </c>
      <c r="AJ526" t="s">
        <v>88</v>
      </c>
      <c r="AK526" t="s">
        <v>61</v>
      </c>
    </row>
    <row r="527" spans="1:38" x14ac:dyDescent="0.25">
      <c r="A527">
        <v>7663444</v>
      </c>
      <c r="B527" t="s">
        <v>2073</v>
      </c>
      <c r="C527" t="s">
        <v>558</v>
      </c>
      <c r="D527" t="s">
        <v>39</v>
      </c>
      <c r="E527" t="s">
        <v>40</v>
      </c>
      <c r="F527" t="s">
        <v>2074</v>
      </c>
      <c r="U527" t="s">
        <v>53</v>
      </c>
      <c r="V527" t="s">
        <v>2075</v>
      </c>
      <c r="AF527">
        <v>1007663444</v>
      </c>
    </row>
    <row r="528" spans="1:38" x14ac:dyDescent="0.25">
      <c r="A528">
        <v>4381702</v>
      </c>
      <c r="B528" t="s">
        <v>2076</v>
      </c>
      <c r="C528" t="s">
        <v>2077</v>
      </c>
      <c r="D528" t="s">
        <v>39</v>
      </c>
      <c r="E528" t="s">
        <v>49</v>
      </c>
      <c r="F528" t="s">
        <v>2078</v>
      </c>
      <c r="G528" t="s">
        <v>2079</v>
      </c>
      <c r="H528">
        <v>6</v>
      </c>
      <c r="Q528" t="s">
        <v>53</v>
      </c>
      <c r="R528" t="s">
        <v>2080</v>
      </c>
      <c r="U528" t="s">
        <v>51</v>
      </c>
      <c r="V528" t="s">
        <v>2081</v>
      </c>
      <c r="W528" t="s">
        <v>53</v>
      </c>
      <c r="X528" t="s">
        <v>2082</v>
      </c>
      <c r="AF528">
        <v>1004381702</v>
      </c>
      <c r="AJ528" t="s">
        <v>97</v>
      </c>
      <c r="AK528" t="s">
        <v>61</v>
      </c>
    </row>
    <row r="529" spans="1:38" x14ac:dyDescent="0.25">
      <c r="A529">
        <v>4381702</v>
      </c>
      <c r="B529" t="s">
        <v>2076</v>
      </c>
      <c r="C529" t="s">
        <v>2077</v>
      </c>
      <c r="D529" t="s">
        <v>39</v>
      </c>
      <c r="E529" t="s">
        <v>49</v>
      </c>
      <c r="F529" t="s">
        <v>2078</v>
      </c>
      <c r="G529" t="s">
        <v>2079</v>
      </c>
      <c r="H529">
        <v>6</v>
      </c>
      <c r="Q529" t="s">
        <v>53</v>
      </c>
      <c r="R529" t="s">
        <v>2080</v>
      </c>
      <c r="U529" t="s">
        <v>51</v>
      </c>
      <c r="V529" t="s">
        <v>2081</v>
      </c>
      <c r="W529" t="s">
        <v>53</v>
      </c>
      <c r="X529" t="s">
        <v>2082</v>
      </c>
      <c r="AF529">
        <v>1004381702</v>
      </c>
      <c r="AJ529" t="s">
        <v>63</v>
      </c>
      <c r="AK529" t="s">
        <v>61</v>
      </c>
    </row>
    <row r="530" spans="1:38" x14ac:dyDescent="0.25">
      <c r="A530">
        <v>8578417</v>
      </c>
      <c r="B530" t="s">
        <v>2083</v>
      </c>
      <c r="C530" t="s">
        <v>908</v>
      </c>
      <c r="D530" t="s">
        <v>39</v>
      </c>
      <c r="E530" t="s">
        <v>40</v>
      </c>
      <c r="G530" t="s">
        <v>280</v>
      </c>
      <c r="H530">
        <v>103</v>
      </c>
      <c r="V530">
        <v>0</v>
      </c>
      <c r="X530">
        <v>0</v>
      </c>
      <c r="Z530">
        <v>0</v>
      </c>
      <c r="AA530">
        <v>0</v>
      </c>
      <c r="AF530">
        <v>1008578417</v>
      </c>
    </row>
    <row r="531" spans="1:38" x14ac:dyDescent="0.25">
      <c r="A531">
        <v>2936090</v>
      </c>
      <c r="B531" t="s">
        <v>2083</v>
      </c>
      <c r="C531" t="s">
        <v>2085</v>
      </c>
      <c r="D531" t="s">
        <v>39</v>
      </c>
      <c r="E531" t="s">
        <v>49</v>
      </c>
      <c r="F531" t="s">
        <v>2086</v>
      </c>
      <c r="G531" t="s">
        <v>280</v>
      </c>
      <c r="H531">
        <v>103</v>
      </c>
      <c r="Q531" t="s">
        <v>53</v>
      </c>
      <c r="R531" t="s">
        <v>2087</v>
      </c>
      <c r="S531" t="s">
        <v>51</v>
      </c>
      <c r="T531" t="s">
        <v>2084</v>
      </c>
      <c r="V531" t="s">
        <v>2088</v>
      </c>
      <c r="X531" t="s">
        <v>2089</v>
      </c>
      <c r="AF531">
        <v>1002936090</v>
      </c>
      <c r="AJ531" t="s">
        <v>97</v>
      </c>
      <c r="AK531" t="s">
        <v>61</v>
      </c>
      <c r="AL531" t="s">
        <v>62</v>
      </c>
    </row>
    <row r="532" spans="1:38" x14ac:dyDescent="0.25">
      <c r="A532">
        <v>2936090</v>
      </c>
      <c r="B532" t="s">
        <v>2083</v>
      </c>
      <c r="C532" t="s">
        <v>2085</v>
      </c>
      <c r="D532" t="s">
        <v>39</v>
      </c>
      <c r="E532" t="s">
        <v>49</v>
      </c>
      <c r="F532" t="s">
        <v>2086</v>
      </c>
      <c r="G532" t="s">
        <v>280</v>
      </c>
      <c r="H532">
        <v>103</v>
      </c>
      <c r="Q532" t="s">
        <v>53</v>
      </c>
      <c r="R532" t="s">
        <v>2087</v>
      </c>
      <c r="S532" t="s">
        <v>51</v>
      </c>
      <c r="T532" t="s">
        <v>2084</v>
      </c>
      <c r="V532" t="s">
        <v>2088</v>
      </c>
      <c r="X532" t="s">
        <v>2089</v>
      </c>
      <c r="AF532">
        <v>1002936090</v>
      </c>
      <c r="AJ532" t="s">
        <v>63</v>
      </c>
      <c r="AK532" t="s">
        <v>61</v>
      </c>
    </row>
    <row r="533" spans="1:38" x14ac:dyDescent="0.25">
      <c r="A533">
        <v>2650796</v>
      </c>
      <c r="B533" t="s">
        <v>2090</v>
      </c>
      <c r="C533" t="s">
        <v>2091</v>
      </c>
      <c r="D533" t="s">
        <v>39</v>
      </c>
      <c r="E533" t="s">
        <v>40</v>
      </c>
      <c r="F533" t="s">
        <v>2092</v>
      </c>
      <c r="G533" t="s">
        <v>69</v>
      </c>
      <c r="H533">
        <v>344</v>
      </c>
      <c r="Q533" t="s">
        <v>51</v>
      </c>
      <c r="R533" t="s">
        <v>2093</v>
      </c>
      <c r="V533" t="s">
        <v>493</v>
      </c>
      <c r="X533" t="s">
        <v>2094</v>
      </c>
      <c r="AE533" t="s">
        <v>2095</v>
      </c>
      <c r="AF533">
        <v>1002650796</v>
      </c>
      <c r="AG533">
        <v>743241</v>
      </c>
      <c r="AJ533" t="s">
        <v>121</v>
      </c>
      <c r="AK533" t="s">
        <v>61</v>
      </c>
      <c r="AL533" t="s">
        <v>62</v>
      </c>
    </row>
    <row r="534" spans="1:38" x14ac:dyDescent="0.25">
      <c r="A534">
        <v>2650796</v>
      </c>
      <c r="B534" t="s">
        <v>2090</v>
      </c>
      <c r="C534" t="s">
        <v>2091</v>
      </c>
      <c r="D534" t="s">
        <v>39</v>
      </c>
      <c r="E534" t="s">
        <v>40</v>
      </c>
      <c r="F534" t="s">
        <v>2092</v>
      </c>
      <c r="G534" t="s">
        <v>69</v>
      </c>
      <c r="H534">
        <v>344</v>
      </c>
      <c r="Q534" t="s">
        <v>51</v>
      </c>
      <c r="R534" t="s">
        <v>2093</v>
      </c>
      <c r="V534" t="s">
        <v>493</v>
      </c>
      <c r="X534" t="s">
        <v>2094</v>
      </c>
      <c r="AE534" t="s">
        <v>2095</v>
      </c>
      <c r="AF534">
        <v>1002650796</v>
      </c>
      <c r="AG534">
        <v>743241</v>
      </c>
      <c r="AJ534" t="s">
        <v>63</v>
      </c>
      <c r="AK534" t="s">
        <v>61</v>
      </c>
      <c r="AL534" t="s">
        <v>62</v>
      </c>
    </row>
    <row r="535" spans="1:38" x14ac:dyDescent="0.25">
      <c r="A535">
        <v>2183197</v>
      </c>
      <c r="B535" t="s">
        <v>2096</v>
      </c>
      <c r="C535" t="s">
        <v>193</v>
      </c>
      <c r="D535" t="s">
        <v>39</v>
      </c>
      <c r="E535" t="s">
        <v>49</v>
      </c>
      <c r="F535" t="s">
        <v>2097</v>
      </c>
      <c r="G535" t="s">
        <v>1529</v>
      </c>
      <c r="H535">
        <v>86</v>
      </c>
      <c r="AC535" t="s">
        <v>2098</v>
      </c>
      <c r="AF535">
        <v>1002183197</v>
      </c>
      <c r="AG535">
        <v>189524</v>
      </c>
    </row>
    <row r="536" spans="1:38" x14ac:dyDescent="0.25">
      <c r="A536">
        <v>4069470</v>
      </c>
      <c r="B536" t="s">
        <v>2099</v>
      </c>
      <c r="C536" t="s">
        <v>2100</v>
      </c>
      <c r="D536" t="s">
        <v>39</v>
      </c>
      <c r="E536" t="s">
        <v>49</v>
      </c>
      <c r="F536" t="s">
        <v>2101</v>
      </c>
      <c r="G536" t="s">
        <v>1187</v>
      </c>
      <c r="H536">
        <v>14</v>
      </c>
      <c r="U536" t="s">
        <v>53</v>
      </c>
      <c r="V536" t="s">
        <v>1188</v>
      </c>
      <c r="AC536" t="s">
        <v>2102</v>
      </c>
      <c r="AF536">
        <v>1004069470</v>
      </c>
      <c r="AG536">
        <v>744352</v>
      </c>
    </row>
    <row r="537" spans="1:38" x14ac:dyDescent="0.25">
      <c r="A537">
        <v>2183202</v>
      </c>
      <c r="B537" t="s">
        <v>2099</v>
      </c>
      <c r="C537" t="s">
        <v>2103</v>
      </c>
      <c r="D537" t="s">
        <v>39</v>
      </c>
      <c r="E537" t="s">
        <v>40</v>
      </c>
      <c r="F537" t="s">
        <v>2104</v>
      </c>
      <c r="G537" t="s">
        <v>2105</v>
      </c>
      <c r="H537">
        <v>39</v>
      </c>
      <c r="AC537" t="s">
        <v>2106</v>
      </c>
      <c r="AF537">
        <v>1002183202</v>
      </c>
      <c r="AG537">
        <v>247353</v>
      </c>
    </row>
    <row r="538" spans="1:38" x14ac:dyDescent="0.25">
      <c r="A538">
        <v>7992452</v>
      </c>
      <c r="B538" t="s">
        <v>2107</v>
      </c>
      <c r="C538" t="s">
        <v>1493</v>
      </c>
      <c r="D538" t="s">
        <v>39</v>
      </c>
      <c r="E538" t="s">
        <v>49</v>
      </c>
      <c r="F538" t="s">
        <v>2108</v>
      </c>
      <c r="G538" t="s">
        <v>2109</v>
      </c>
      <c r="H538">
        <v>2</v>
      </c>
      <c r="V538" t="s">
        <v>2110</v>
      </c>
      <c r="AF538">
        <v>1007992452</v>
      </c>
    </row>
    <row r="539" spans="1:38" x14ac:dyDescent="0.25">
      <c r="A539">
        <v>10452590</v>
      </c>
      <c r="B539" t="s">
        <v>2111</v>
      </c>
      <c r="C539" t="s">
        <v>2112</v>
      </c>
      <c r="D539" t="s">
        <v>39</v>
      </c>
      <c r="E539" t="s">
        <v>49</v>
      </c>
      <c r="F539" t="s">
        <v>2113</v>
      </c>
      <c r="G539" t="s">
        <v>2114</v>
      </c>
      <c r="H539">
        <v>29</v>
      </c>
      <c r="Q539" t="s">
        <v>53</v>
      </c>
      <c r="R539" t="s">
        <v>2115</v>
      </c>
      <c r="V539" t="s">
        <v>2116</v>
      </c>
      <c r="X539" t="s">
        <v>2117</v>
      </c>
      <c r="Z539">
        <v>0</v>
      </c>
      <c r="AA539">
        <v>0</v>
      </c>
      <c r="AF539">
        <v>1010452590</v>
      </c>
      <c r="AJ539" t="s">
        <v>442</v>
      </c>
      <c r="AK539" t="s">
        <v>61</v>
      </c>
    </row>
    <row r="540" spans="1:38" x14ac:dyDescent="0.25">
      <c r="A540">
        <v>7328316</v>
      </c>
      <c r="B540" t="s">
        <v>2111</v>
      </c>
      <c r="C540" t="s">
        <v>2118</v>
      </c>
      <c r="D540" t="s">
        <v>39</v>
      </c>
      <c r="E540" t="s">
        <v>49</v>
      </c>
      <c r="F540" t="s">
        <v>2119</v>
      </c>
      <c r="G540" t="s">
        <v>2114</v>
      </c>
      <c r="H540">
        <v>29</v>
      </c>
      <c r="Q540" t="s">
        <v>53</v>
      </c>
      <c r="R540" t="s">
        <v>2115</v>
      </c>
      <c r="V540" t="s">
        <v>2120</v>
      </c>
      <c r="X540" t="s">
        <v>2121</v>
      </c>
      <c r="AC540" t="s">
        <v>2122</v>
      </c>
      <c r="AE540" t="s">
        <v>2123</v>
      </c>
      <c r="AF540">
        <v>1007328316</v>
      </c>
      <c r="AJ540" t="s">
        <v>294</v>
      </c>
      <c r="AK540" t="s">
        <v>61</v>
      </c>
    </row>
    <row r="541" spans="1:38" x14ac:dyDescent="0.25">
      <c r="A541">
        <v>7645527</v>
      </c>
      <c r="B541" t="s">
        <v>2124</v>
      </c>
      <c r="C541" t="s">
        <v>1589</v>
      </c>
      <c r="D541" t="s">
        <v>39</v>
      </c>
      <c r="E541" t="s">
        <v>40</v>
      </c>
      <c r="Q541" t="s">
        <v>51</v>
      </c>
      <c r="V541">
        <v>0</v>
      </c>
      <c r="X541">
        <v>0</v>
      </c>
      <c r="Z541">
        <v>0</v>
      </c>
      <c r="AA541">
        <v>0</v>
      </c>
      <c r="AF541">
        <v>1007645527</v>
      </c>
    </row>
    <row r="542" spans="1:38" x14ac:dyDescent="0.25">
      <c r="A542">
        <v>4037008</v>
      </c>
      <c r="B542" t="s">
        <v>2124</v>
      </c>
      <c r="C542" t="s">
        <v>2126</v>
      </c>
      <c r="D542" t="s">
        <v>39</v>
      </c>
      <c r="E542" t="s">
        <v>40</v>
      </c>
      <c r="F542" t="s">
        <v>2127</v>
      </c>
      <c r="G542" t="s">
        <v>2128</v>
      </c>
      <c r="H542">
        <v>27</v>
      </c>
      <c r="Q542" t="s">
        <v>51</v>
      </c>
      <c r="R542" t="s">
        <v>2125</v>
      </c>
      <c r="U542" t="s">
        <v>51</v>
      </c>
      <c r="V542" t="s">
        <v>2129</v>
      </c>
      <c r="AF542">
        <v>1004037008</v>
      </c>
    </row>
    <row r="543" spans="1:38" x14ac:dyDescent="0.25">
      <c r="A543">
        <v>11855245</v>
      </c>
      <c r="B543" t="s">
        <v>2130</v>
      </c>
      <c r="C543" t="s">
        <v>1272</v>
      </c>
      <c r="D543" t="s">
        <v>39</v>
      </c>
      <c r="E543" t="s">
        <v>40</v>
      </c>
      <c r="F543" t="s">
        <v>2131</v>
      </c>
      <c r="G543" t="s">
        <v>2132</v>
      </c>
      <c r="H543">
        <v>8</v>
      </c>
      <c r="U543" t="s">
        <v>46</v>
      </c>
      <c r="V543" t="s">
        <v>2133</v>
      </c>
      <c r="AC543" t="s">
        <v>2134</v>
      </c>
      <c r="AF543">
        <v>1011855245</v>
      </c>
      <c r="AG543">
        <v>234515</v>
      </c>
      <c r="AJ543" t="s">
        <v>743</v>
      </c>
      <c r="AK543" t="s">
        <v>61</v>
      </c>
    </row>
    <row r="544" spans="1:38" x14ac:dyDescent="0.25">
      <c r="A544">
        <v>4061488</v>
      </c>
      <c r="B544" t="s">
        <v>2135</v>
      </c>
      <c r="C544" t="s">
        <v>2136</v>
      </c>
      <c r="D544" t="s">
        <v>39</v>
      </c>
      <c r="E544" t="s">
        <v>49</v>
      </c>
      <c r="F544" t="s">
        <v>2004</v>
      </c>
      <c r="G544" t="s">
        <v>42</v>
      </c>
      <c r="H544">
        <v>26</v>
      </c>
      <c r="U544" t="s">
        <v>46</v>
      </c>
      <c r="V544">
        <v>32476837352</v>
      </c>
      <c r="AC544" t="s">
        <v>2137</v>
      </c>
      <c r="AE544" t="s">
        <v>2138</v>
      </c>
      <c r="AF544">
        <v>1004061488</v>
      </c>
      <c r="AG544">
        <v>750073</v>
      </c>
      <c r="AL544" t="s">
        <v>2139</v>
      </c>
    </row>
    <row r="545" spans="1:38" x14ac:dyDescent="0.25">
      <c r="A545">
        <v>4061488</v>
      </c>
      <c r="B545" t="s">
        <v>2135</v>
      </c>
      <c r="C545" t="s">
        <v>2136</v>
      </c>
      <c r="D545" t="s">
        <v>39</v>
      </c>
      <c r="E545" t="s">
        <v>49</v>
      </c>
      <c r="F545" t="s">
        <v>2004</v>
      </c>
      <c r="G545" t="s">
        <v>42</v>
      </c>
      <c r="H545">
        <v>26</v>
      </c>
      <c r="U545" t="s">
        <v>46</v>
      </c>
      <c r="V545">
        <v>32476837352</v>
      </c>
      <c r="AC545" t="s">
        <v>2137</v>
      </c>
      <c r="AE545" t="s">
        <v>2138</v>
      </c>
      <c r="AF545">
        <v>1004061488</v>
      </c>
      <c r="AG545">
        <v>750073</v>
      </c>
      <c r="AL545" t="s">
        <v>621</v>
      </c>
    </row>
    <row r="546" spans="1:38" x14ac:dyDescent="0.25">
      <c r="A546">
        <v>4061488</v>
      </c>
      <c r="B546" t="s">
        <v>2135</v>
      </c>
      <c r="C546" t="s">
        <v>2136</v>
      </c>
      <c r="D546" t="s">
        <v>39</v>
      </c>
      <c r="E546" t="s">
        <v>49</v>
      </c>
      <c r="F546" t="s">
        <v>2004</v>
      </c>
      <c r="G546" t="s">
        <v>42</v>
      </c>
      <c r="H546">
        <v>26</v>
      </c>
      <c r="U546" t="s">
        <v>46</v>
      </c>
      <c r="V546">
        <v>32476837352</v>
      </c>
      <c r="AC546" t="s">
        <v>2137</v>
      </c>
      <c r="AE546" t="s">
        <v>2138</v>
      </c>
      <c r="AF546">
        <v>1004061488</v>
      </c>
      <c r="AG546">
        <v>750073</v>
      </c>
      <c r="AL546" t="s">
        <v>62</v>
      </c>
    </row>
    <row r="547" spans="1:38" x14ac:dyDescent="0.25">
      <c r="A547">
        <v>4061488</v>
      </c>
      <c r="B547" t="s">
        <v>2135</v>
      </c>
      <c r="C547" t="s">
        <v>2136</v>
      </c>
      <c r="D547" t="s">
        <v>39</v>
      </c>
      <c r="E547" t="s">
        <v>49</v>
      </c>
      <c r="F547" t="s">
        <v>2004</v>
      </c>
      <c r="G547" t="s">
        <v>42</v>
      </c>
      <c r="H547">
        <v>26</v>
      </c>
      <c r="U547" t="s">
        <v>46</v>
      </c>
      <c r="V547">
        <v>32476837352</v>
      </c>
      <c r="AC547" t="s">
        <v>2137</v>
      </c>
      <c r="AE547" t="s">
        <v>2138</v>
      </c>
      <c r="AF547">
        <v>1004061488</v>
      </c>
      <c r="AG547">
        <v>750073</v>
      </c>
      <c r="AL547" t="s">
        <v>62</v>
      </c>
    </row>
    <row r="548" spans="1:38" x14ac:dyDescent="0.25">
      <c r="A548">
        <v>2183207</v>
      </c>
      <c r="B548" t="s">
        <v>2135</v>
      </c>
      <c r="C548" t="s">
        <v>259</v>
      </c>
      <c r="D548" t="s">
        <v>39</v>
      </c>
      <c r="E548" t="s">
        <v>49</v>
      </c>
      <c r="F548" t="s">
        <v>2140</v>
      </c>
      <c r="G548" t="s">
        <v>2141</v>
      </c>
      <c r="H548">
        <v>42</v>
      </c>
      <c r="Q548" t="s">
        <v>51</v>
      </c>
      <c r="R548" t="s">
        <v>2142</v>
      </c>
      <c r="V548" t="s">
        <v>2143</v>
      </c>
      <c r="X548" t="s">
        <v>2144</v>
      </c>
      <c r="AB548" t="s">
        <v>2145</v>
      </c>
      <c r="AC548" t="s">
        <v>2146</v>
      </c>
      <c r="AE548" t="s">
        <v>2147</v>
      </c>
      <c r="AF548">
        <v>1002183207</v>
      </c>
      <c r="AG548">
        <v>721093</v>
      </c>
      <c r="AJ548" t="s">
        <v>63</v>
      </c>
      <c r="AK548" t="s">
        <v>61</v>
      </c>
    </row>
    <row r="549" spans="1:38" x14ac:dyDescent="0.25">
      <c r="A549">
        <v>2183207</v>
      </c>
      <c r="B549" t="s">
        <v>2135</v>
      </c>
      <c r="C549" t="s">
        <v>259</v>
      </c>
      <c r="D549" t="s">
        <v>39</v>
      </c>
      <c r="E549" t="s">
        <v>49</v>
      </c>
      <c r="F549" t="s">
        <v>2140</v>
      </c>
      <c r="G549" t="s">
        <v>2141</v>
      </c>
      <c r="H549">
        <v>42</v>
      </c>
      <c r="Q549" t="s">
        <v>51</v>
      </c>
      <c r="R549" t="s">
        <v>2142</v>
      </c>
      <c r="V549" t="s">
        <v>2143</v>
      </c>
      <c r="X549" t="s">
        <v>2144</v>
      </c>
      <c r="AB549" t="s">
        <v>2145</v>
      </c>
      <c r="AC549" t="s">
        <v>2146</v>
      </c>
      <c r="AE549" t="s">
        <v>2147</v>
      </c>
      <c r="AF549">
        <v>1002183207</v>
      </c>
      <c r="AG549">
        <v>721093</v>
      </c>
      <c r="AJ549" t="s">
        <v>127</v>
      </c>
      <c r="AK549" t="s">
        <v>61</v>
      </c>
    </row>
    <row r="550" spans="1:38" x14ac:dyDescent="0.25">
      <c r="A550">
        <v>2183217</v>
      </c>
      <c r="B550" t="s">
        <v>2148</v>
      </c>
      <c r="C550" t="s">
        <v>1515</v>
      </c>
      <c r="D550" t="s">
        <v>39</v>
      </c>
      <c r="E550" t="s">
        <v>40</v>
      </c>
      <c r="F550" t="s">
        <v>2149</v>
      </c>
      <c r="G550" t="s">
        <v>429</v>
      </c>
      <c r="H550">
        <v>324</v>
      </c>
      <c r="AC550" t="s">
        <v>2150</v>
      </c>
      <c r="AF550">
        <v>1002183217</v>
      </c>
      <c r="AG550">
        <v>607447</v>
      </c>
    </row>
    <row r="551" spans="1:38" x14ac:dyDescent="0.25">
      <c r="A551">
        <v>2714056</v>
      </c>
      <c r="B551" t="s">
        <v>2151</v>
      </c>
      <c r="C551" t="s">
        <v>2152</v>
      </c>
      <c r="D551" t="s">
        <v>39</v>
      </c>
      <c r="E551" t="s">
        <v>49</v>
      </c>
      <c r="F551" t="s">
        <v>2153</v>
      </c>
      <c r="G551" t="s">
        <v>2154</v>
      </c>
      <c r="H551">
        <v>1</v>
      </c>
      <c r="I551">
        <v>2</v>
      </c>
      <c r="V551">
        <v>0</v>
      </c>
      <c r="X551">
        <v>0</v>
      </c>
      <c r="Z551">
        <v>0</v>
      </c>
      <c r="AA551">
        <v>0</v>
      </c>
      <c r="AC551" t="s">
        <v>2155</v>
      </c>
      <c r="AF551">
        <v>1002714056</v>
      </c>
    </row>
    <row r="552" spans="1:38" x14ac:dyDescent="0.25">
      <c r="A552">
        <v>2650811</v>
      </c>
      <c r="B552" t="s">
        <v>2151</v>
      </c>
      <c r="C552" t="s">
        <v>2156</v>
      </c>
      <c r="D552" t="s">
        <v>39</v>
      </c>
      <c r="E552" t="s">
        <v>40</v>
      </c>
      <c r="F552" t="s">
        <v>2157</v>
      </c>
      <c r="G552" t="s">
        <v>2154</v>
      </c>
      <c r="H552">
        <v>1</v>
      </c>
      <c r="I552">
        <v>2</v>
      </c>
      <c r="V552">
        <v>3260960209</v>
      </c>
      <c r="AC552" t="s">
        <v>2158</v>
      </c>
      <c r="AF552">
        <v>1002650811</v>
      </c>
      <c r="AG552">
        <v>739986</v>
      </c>
    </row>
    <row r="553" spans="1:38" x14ac:dyDescent="0.25">
      <c r="A553">
        <v>11846423</v>
      </c>
      <c r="B553" t="s">
        <v>2159</v>
      </c>
      <c r="C553" t="s">
        <v>2160</v>
      </c>
      <c r="D553" t="s">
        <v>39</v>
      </c>
      <c r="E553" t="s">
        <v>49</v>
      </c>
      <c r="F553" t="s">
        <v>2161</v>
      </c>
      <c r="G553" t="s">
        <v>2162</v>
      </c>
      <c r="H553">
        <v>29</v>
      </c>
      <c r="Q553" t="s">
        <v>53</v>
      </c>
      <c r="R553" t="s">
        <v>2163</v>
      </c>
      <c r="U553" t="s">
        <v>51</v>
      </c>
      <c r="V553" t="s">
        <v>2164</v>
      </c>
      <c r="W553" t="s">
        <v>53</v>
      </c>
      <c r="X553" t="s">
        <v>2165</v>
      </c>
      <c r="AF553">
        <v>1011846423</v>
      </c>
      <c r="AJ553" t="s">
        <v>164</v>
      </c>
      <c r="AK553" t="s">
        <v>61</v>
      </c>
    </row>
    <row r="554" spans="1:38" x14ac:dyDescent="0.25">
      <c r="A554">
        <v>11846423</v>
      </c>
      <c r="B554" t="s">
        <v>2159</v>
      </c>
      <c r="C554" t="s">
        <v>2160</v>
      </c>
      <c r="D554" t="s">
        <v>39</v>
      </c>
      <c r="E554" t="s">
        <v>49</v>
      </c>
      <c r="F554" t="s">
        <v>2161</v>
      </c>
      <c r="G554" t="s">
        <v>2162</v>
      </c>
      <c r="H554">
        <v>29</v>
      </c>
      <c r="Q554" t="s">
        <v>53</v>
      </c>
      <c r="R554" t="s">
        <v>2163</v>
      </c>
      <c r="U554" t="s">
        <v>51</v>
      </c>
      <c r="V554" t="s">
        <v>2164</v>
      </c>
      <c r="W554" t="s">
        <v>53</v>
      </c>
      <c r="X554" t="s">
        <v>2165</v>
      </c>
      <c r="AF554">
        <v>1011846423</v>
      </c>
      <c r="AJ554" t="s">
        <v>87</v>
      </c>
      <c r="AK554" t="s">
        <v>61</v>
      </c>
    </row>
    <row r="555" spans="1:38" x14ac:dyDescent="0.25">
      <c r="A555">
        <v>11846418</v>
      </c>
      <c r="B555" t="s">
        <v>2159</v>
      </c>
      <c r="C555" t="s">
        <v>2166</v>
      </c>
      <c r="D555" t="s">
        <v>39</v>
      </c>
      <c r="E555" t="s">
        <v>49</v>
      </c>
      <c r="F555" t="s">
        <v>2161</v>
      </c>
      <c r="G555" t="s">
        <v>2162</v>
      </c>
      <c r="H555">
        <v>29</v>
      </c>
      <c r="Q555" t="s">
        <v>53</v>
      </c>
      <c r="R555" t="s">
        <v>2163</v>
      </c>
      <c r="V555" t="s">
        <v>2164</v>
      </c>
      <c r="AF555">
        <v>1011846418</v>
      </c>
      <c r="AJ555" t="s">
        <v>164</v>
      </c>
      <c r="AK555" t="s">
        <v>61</v>
      </c>
    </row>
    <row r="556" spans="1:38" x14ac:dyDescent="0.25">
      <c r="A556">
        <v>11846418</v>
      </c>
      <c r="B556" t="s">
        <v>2159</v>
      </c>
      <c r="C556" t="s">
        <v>2166</v>
      </c>
      <c r="D556" t="s">
        <v>39</v>
      </c>
      <c r="E556" t="s">
        <v>49</v>
      </c>
      <c r="F556" t="s">
        <v>2161</v>
      </c>
      <c r="G556" t="s">
        <v>2162</v>
      </c>
      <c r="H556">
        <v>29</v>
      </c>
      <c r="Q556" t="s">
        <v>53</v>
      </c>
      <c r="R556" t="s">
        <v>2163</v>
      </c>
      <c r="V556" t="s">
        <v>2164</v>
      </c>
      <c r="AF556">
        <v>1011846418</v>
      </c>
      <c r="AJ556" t="s">
        <v>87</v>
      </c>
      <c r="AK556" t="s">
        <v>61</v>
      </c>
    </row>
    <row r="557" spans="1:38" x14ac:dyDescent="0.25">
      <c r="A557">
        <v>2714058</v>
      </c>
      <c r="B557" t="s">
        <v>2167</v>
      </c>
      <c r="C557" t="s">
        <v>2168</v>
      </c>
      <c r="D557" t="s">
        <v>39</v>
      </c>
      <c r="E557" t="s">
        <v>49</v>
      </c>
      <c r="F557" t="s">
        <v>2169</v>
      </c>
      <c r="G557" t="s">
        <v>280</v>
      </c>
      <c r="H557">
        <v>57</v>
      </c>
      <c r="V557">
        <v>478427271</v>
      </c>
      <c r="X557">
        <v>0</v>
      </c>
      <c r="Z557">
        <v>0</v>
      </c>
      <c r="AA557">
        <v>0</v>
      </c>
      <c r="AC557" t="s">
        <v>2170</v>
      </c>
      <c r="AF557">
        <v>1002714058</v>
      </c>
      <c r="AL557" t="s">
        <v>62</v>
      </c>
    </row>
    <row r="558" spans="1:38" x14ac:dyDescent="0.25">
      <c r="A558">
        <v>2650828</v>
      </c>
      <c r="B558" t="s">
        <v>2171</v>
      </c>
      <c r="C558" t="s">
        <v>908</v>
      </c>
      <c r="D558" t="s">
        <v>39</v>
      </c>
      <c r="E558" t="s">
        <v>40</v>
      </c>
      <c r="F558" t="s">
        <v>2172</v>
      </c>
      <c r="G558" t="s">
        <v>167</v>
      </c>
      <c r="H558">
        <v>14</v>
      </c>
      <c r="V558">
        <v>473432508</v>
      </c>
      <c r="X558">
        <v>479428093</v>
      </c>
      <c r="AC558" t="s">
        <v>2173</v>
      </c>
      <c r="AF558">
        <v>1002650828</v>
      </c>
    </row>
    <row r="559" spans="1:38" x14ac:dyDescent="0.25">
      <c r="A559">
        <v>2714068</v>
      </c>
      <c r="B559" t="s">
        <v>2171</v>
      </c>
      <c r="C559" t="s">
        <v>671</v>
      </c>
      <c r="D559" t="s">
        <v>39</v>
      </c>
      <c r="E559" t="s">
        <v>40</v>
      </c>
      <c r="F559" t="s">
        <v>2174</v>
      </c>
      <c r="G559" t="s">
        <v>167</v>
      </c>
      <c r="H559">
        <v>14</v>
      </c>
      <c r="V559">
        <v>473432508</v>
      </c>
      <c r="X559">
        <v>0</v>
      </c>
      <c r="Z559">
        <v>0</v>
      </c>
      <c r="AA559">
        <v>0</v>
      </c>
      <c r="AC559" t="s">
        <v>2175</v>
      </c>
      <c r="AF559">
        <v>1002714068</v>
      </c>
    </row>
    <row r="560" spans="1:38" x14ac:dyDescent="0.25">
      <c r="A560">
        <v>4353161</v>
      </c>
      <c r="B560" t="s">
        <v>2176</v>
      </c>
      <c r="C560" t="s">
        <v>2177</v>
      </c>
      <c r="D560" t="s">
        <v>39</v>
      </c>
      <c r="E560" t="s">
        <v>49</v>
      </c>
      <c r="G560" t="s">
        <v>1953</v>
      </c>
      <c r="H560">
        <v>10</v>
      </c>
      <c r="U560" t="s">
        <v>46</v>
      </c>
      <c r="V560" t="s">
        <v>2178</v>
      </c>
      <c r="AF560">
        <v>1004353161</v>
      </c>
      <c r="AL560" t="s">
        <v>1832</v>
      </c>
    </row>
    <row r="561" spans="1:37" x14ac:dyDescent="0.25">
      <c r="A561">
        <v>4196390</v>
      </c>
      <c r="B561" t="s">
        <v>2179</v>
      </c>
      <c r="C561" t="s">
        <v>2180</v>
      </c>
      <c r="D561" t="s">
        <v>39</v>
      </c>
      <c r="E561" t="s">
        <v>40</v>
      </c>
      <c r="F561" t="s">
        <v>2181</v>
      </c>
      <c r="G561" t="s">
        <v>2182</v>
      </c>
      <c r="H561">
        <v>43</v>
      </c>
      <c r="U561" t="s">
        <v>46</v>
      </c>
      <c r="V561" t="s">
        <v>2183</v>
      </c>
      <c r="AC561" t="s">
        <v>2184</v>
      </c>
      <c r="AD561">
        <v>13</v>
      </c>
      <c r="AF561">
        <v>1004196390</v>
      </c>
      <c r="AG561">
        <v>650278</v>
      </c>
    </row>
    <row r="562" spans="1:37" x14ac:dyDescent="0.25">
      <c r="A562">
        <v>8619367</v>
      </c>
      <c r="B562" t="s">
        <v>2185</v>
      </c>
      <c r="C562" t="s">
        <v>1699</v>
      </c>
      <c r="D562" t="s">
        <v>39</v>
      </c>
      <c r="E562" t="s">
        <v>49</v>
      </c>
      <c r="F562" t="s">
        <v>2186</v>
      </c>
      <c r="G562" t="s">
        <v>572</v>
      </c>
      <c r="H562">
        <v>14</v>
      </c>
      <c r="AC562" t="s">
        <v>2187</v>
      </c>
      <c r="AF562">
        <v>1008619367</v>
      </c>
    </row>
    <row r="563" spans="1:37" x14ac:dyDescent="0.25">
      <c r="A563">
        <v>10363174</v>
      </c>
      <c r="B563" t="s">
        <v>2188</v>
      </c>
      <c r="C563" t="s">
        <v>1498</v>
      </c>
      <c r="D563" t="s">
        <v>39</v>
      </c>
      <c r="E563" t="s">
        <v>40</v>
      </c>
      <c r="F563" t="s">
        <v>2189</v>
      </c>
      <c r="G563" t="s">
        <v>2190</v>
      </c>
      <c r="H563">
        <v>74</v>
      </c>
      <c r="Q563" t="s">
        <v>53</v>
      </c>
      <c r="R563" t="s">
        <v>2191</v>
      </c>
      <c r="S563" t="s">
        <v>53</v>
      </c>
      <c r="T563" t="s">
        <v>2192</v>
      </c>
      <c r="U563" t="s">
        <v>51</v>
      </c>
      <c r="V563" t="s">
        <v>2193</v>
      </c>
      <c r="W563" t="s">
        <v>53</v>
      </c>
      <c r="X563" t="s">
        <v>2194</v>
      </c>
      <c r="Y563" t="s">
        <v>53</v>
      </c>
      <c r="Z563" t="s">
        <v>2195</v>
      </c>
      <c r="AB563" t="s">
        <v>2196</v>
      </c>
      <c r="AC563" t="s">
        <v>2197</v>
      </c>
      <c r="AE563" t="s">
        <v>2198</v>
      </c>
      <c r="AF563">
        <v>1010363174</v>
      </c>
    </row>
    <row r="564" spans="1:37" x14ac:dyDescent="0.25">
      <c r="A564">
        <v>9499964</v>
      </c>
      <c r="B564" t="s">
        <v>2199</v>
      </c>
      <c r="C564" t="s">
        <v>481</v>
      </c>
      <c r="D564" t="s">
        <v>39</v>
      </c>
      <c r="E564" t="s">
        <v>40</v>
      </c>
      <c r="F564" t="s">
        <v>2200</v>
      </c>
      <c r="G564" t="s">
        <v>2201</v>
      </c>
      <c r="H564">
        <v>108</v>
      </c>
      <c r="U564" t="s">
        <v>51</v>
      </c>
      <c r="V564">
        <v>320472603499</v>
      </c>
      <c r="W564" t="s">
        <v>116</v>
      </c>
      <c r="X564">
        <v>320468539021</v>
      </c>
      <c r="Y564" t="s">
        <v>53</v>
      </c>
      <c r="Z564">
        <v>32474759553</v>
      </c>
      <c r="AB564" t="s">
        <v>2202</v>
      </c>
      <c r="AC564" t="s">
        <v>2203</v>
      </c>
      <c r="AE564" t="s">
        <v>2204</v>
      </c>
      <c r="AF564">
        <v>1009499964</v>
      </c>
      <c r="AG564">
        <v>743553</v>
      </c>
      <c r="AJ564" t="s">
        <v>75</v>
      </c>
      <c r="AK564" t="s">
        <v>61</v>
      </c>
    </row>
    <row r="565" spans="1:37" x14ac:dyDescent="0.25">
      <c r="A565">
        <v>9499964</v>
      </c>
      <c r="B565" t="s">
        <v>2199</v>
      </c>
      <c r="C565" t="s">
        <v>481</v>
      </c>
      <c r="D565" t="s">
        <v>39</v>
      </c>
      <c r="E565" t="s">
        <v>40</v>
      </c>
      <c r="F565" t="s">
        <v>2200</v>
      </c>
      <c r="G565" t="s">
        <v>2201</v>
      </c>
      <c r="H565">
        <v>108</v>
      </c>
      <c r="U565" t="s">
        <v>51</v>
      </c>
      <c r="V565">
        <v>320472603499</v>
      </c>
      <c r="W565" t="s">
        <v>116</v>
      </c>
      <c r="X565">
        <v>320468539021</v>
      </c>
      <c r="Y565" t="s">
        <v>53</v>
      </c>
      <c r="Z565">
        <v>32474759553</v>
      </c>
      <c r="AB565" t="s">
        <v>2202</v>
      </c>
      <c r="AC565" t="s">
        <v>2203</v>
      </c>
      <c r="AE565" t="s">
        <v>2204</v>
      </c>
      <c r="AF565">
        <v>1009499964</v>
      </c>
      <c r="AG565">
        <v>743553</v>
      </c>
      <c r="AJ565" t="s">
        <v>63</v>
      </c>
      <c r="AK565" t="s">
        <v>61</v>
      </c>
    </row>
    <row r="566" spans="1:37" x14ac:dyDescent="0.25">
      <c r="A566">
        <v>3451572</v>
      </c>
      <c r="B566" t="s">
        <v>2205</v>
      </c>
      <c r="C566" t="s">
        <v>2206</v>
      </c>
      <c r="D566" t="s">
        <v>39</v>
      </c>
      <c r="E566" t="s">
        <v>40</v>
      </c>
      <c r="F566" t="s">
        <v>2207</v>
      </c>
      <c r="G566" t="s">
        <v>2208</v>
      </c>
      <c r="H566">
        <v>20</v>
      </c>
      <c r="U566" t="s">
        <v>53</v>
      </c>
      <c r="V566" t="s">
        <v>2209</v>
      </c>
      <c r="X566" t="s">
        <v>2210</v>
      </c>
      <c r="AC566" t="s">
        <v>2211</v>
      </c>
      <c r="AE566" t="s">
        <v>2212</v>
      </c>
      <c r="AF566">
        <v>1003451572</v>
      </c>
      <c r="AJ566" t="s">
        <v>143</v>
      </c>
      <c r="AK566" t="s">
        <v>61</v>
      </c>
    </row>
    <row r="567" spans="1:37" x14ac:dyDescent="0.25">
      <c r="A567">
        <v>2650895</v>
      </c>
      <c r="B567" t="s">
        <v>2213</v>
      </c>
      <c r="C567" t="s">
        <v>2214</v>
      </c>
      <c r="D567" t="s">
        <v>39</v>
      </c>
      <c r="E567" t="s">
        <v>40</v>
      </c>
      <c r="F567" t="s">
        <v>2215</v>
      </c>
      <c r="G567" t="s">
        <v>2216</v>
      </c>
      <c r="H567">
        <v>110</v>
      </c>
      <c r="R567" t="s">
        <v>2217</v>
      </c>
      <c r="U567" t="s">
        <v>53</v>
      </c>
      <c r="V567">
        <v>494851244</v>
      </c>
      <c r="W567" t="s">
        <v>51</v>
      </c>
      <c r="X567">
        <v>32496807989</v>
      </c>
      <c r="AC567" t="s">
        <v>2218</v>
      </c>
      <c r="AE567" t="s">
        <v>2219</v>
      </c>
      <c r="AF567">
        <v>1002650895</v>
      </c>
      <c r="AG567">
        <v>742175</v>
      </c>
    </row>
    <row r="568" spans="1:37" x14ac:dyDescent="0.25">
      <c r="A568">
        <v>3518572</v>
      </c>
      <c r="B568" t="s">
        <v>2213</v>
      </c>
      <c r="C568" t="s">
        <v>2220</v>
      </c>
      <c r="D568" t="s">
        <v>39</v>
      </c>
      <c r="E568" t="s">
        <v>40</v>
      </c>
      <c r="F568" t="s">
        <v>2221</v>
      </c>
      <c r="G568" t="s">
        <v>2216</v>
      </c>
      <c r="H568">
        <v>110</v>
      </c>
      <c r="Q568" t="s">
        <v>51</v>
      </c>
      <c r="R568" t="s">
        <v>2217</v>
      </c>
      <c r="V568">
        <v>494851244</v>
      </c>
      <c r="X568">
        <v>32496807989</v>
      </c>
      <c r="Z568">
        <v>0</v>
      </c>
      <c r="AA568">
        <v>0</v>
      </c>
      <c r="AE568" t="s">
        <v>2222</v>
      </c>
      <c r="AF568">
        <v>1003518572</v>
      </c>
    </row>
    <row r="569" spans="1:37" x14ac:dyDescent="0.25">
      <c r="A569">
        <v>10452742</v>
      </c>
      <c r="B569" t="s">
        <v>2223</v>
      </c>
      <c r="C569" t="s">
        <v>1864</v>
      </c>
      <c r="D569" t="s">
        <v>39</v>
      </c>
      <c r="E569" t="s">
        <v>40</v>
      </c>
      <c r="F569" t="s">
        <v>2224</v>
      </c>
      <c r="G569" t="s">
        <v>2225</v>
      </c>
      <c r="H569">
        <v>4</v>
      </c>
      <c r="V569" t="s">
        <v>2226</v>
      </c>
      <c r="X569" t="s">
        <v>2227</v>
      </c>
      <c r="AC569" t="s">
        <v>2228</v>
      </c>
      <c r="AE569" t="s">
        <v>2229</v>
      </c>
      <c r="AF569">
        <v>1010452742</v>
      </c>
      <c r="AJ569" t="s">
        <v>294</v>
      </c>
      <c r="AK569" t="s">
        <v>61</v>
      </c>
    </row>
    <row r="570" spans="1:37" x14ac:dyDescent="0.25">
      <c r="A570">
        <v>7338166</v>
      </c>
      <c r="B570" t="s">
        <v>2230</v>
      </c>
      <c r="C570" t="s">
        <v>2231</v>
      </c>
      <c r="D570" t="s">
        <v>39</v>
      </c>
      <c r="E570" t="s">
        <v>40</v>
      </c>
      <c r="G570" t="s">
        <v>2232</v>
      </c>
      <c r="H570">
        <v>317</v>
      </c>
      <c r="V570">
        <v>0</v>
      </c>
      <c r="X570">
        <v>0</v>
      </c>
      <c r="Z570">
        <v>0</v>
      </c>
      <c r="AA570">
        <v>0</v>
      </c>
      <c r="AF570">
        <v>1007338166</v>
      </c>
    </row>
    <row r="571" spans="1:37" x14ac:dyDescent="0.25">
      <c r="A571">
        <v>6198354</v>
      </c>
      <c r="B571" t="s">
        <v>2230</v>
      </c>
      <c r="C571" t="s">
        <v>1551</v>
      </c>
      <c r="D571" t="s">
        <v>39</v>
      </c>
      <c r="E571" t="s">
        <v>40</v>
      </c>
      <c r="F571" t="s">
        <v>2234</v>
      </c>
      <c r="G571" t="s">
        <v>2232</v>
      </c>
      <c r="H571">
        <v>317</v>
      </c>
      <c r="Q571" t="s">
        <v>51</v>
      </c>
      <c r="R571" t="s">
        <v>2233</v>
      </c>
      <c r="S571" t="s">
        <v>46</v>
      </c>
      <c r="T571" t="s">
        <v>2235</v>
      </c>
      <c r="U571" t="s">
        <v>53</v>
      </c>
      <c r="V571">
        <v>32499525812</v>
      </c>
      <c r="W571" t="s">
        <v>51</v>
      </c>
      <c r="X571">
        <v>32472524490</v>
      </c>
      <c r="Y571" t="s">
        <v>46</v>
      </c>
      <c r="Z571">
        <v>32492068803</v>
      </c>
      <c r="AC571" t="s">
        <v>2236</v>
      </c>
      <c r="AF571">
        <v>1006198354</v>
      </c>
      <c r="AG571">
        <v>736104</v>
      </c>
    </row>
    <row r="572" spans="1:37" x14ac:dyDescent="0.25">
      <c r="A572">
        <v>3325264</v>
      </c>
      <c r="B572" t="s">
        <v>2237</v>
      </c>
      <c r="C572" t="s">
        <v>274</v>
      </c>
      <c r="D572" t="s">
        <v>39</v>
      </c>
      <c r="E572" t="s">
        <v>40</v>
      </c>
      <c r="G572" t="s">
        <v>1807</v>
      </c>
      <c r="H572">
        <v>24</v>
      </c>
      <c r="V572">
        <v>0</v>
      </c>
      <c r="X572">
        <v>0</v>
      </c>
      <c r="Z572">
        <v>0</v>
      </c>
      <c r="AA572">
        <v>0</v>
      </c>
      <c r="AF572">
        <v>1003325264</v>
      </c>
    </row>
    <row r="573" spans="1:37" x14ac:dyDescent="0.25">
      <c r="A573">
        <v>2183232</v>
      </c>
      <c r="B573" t="s">
        <v>2238</v>
      </c>
      <c r="C573" t="s">
        <v>2239</v>
      </c>
      <c r="D573" t="s">
        <v>39</v>
      </c>
      <c r="E573" t="s">
        <v>49</v>
      </c>
      <c r="F573" t="s">
        <v>2240</v>
      </c>
      <c r="G573" t="s">
        <v>2241</v>
      </c>
      <c r="H573">
        <v>10</v>
      </c>
      <c r="R573" t="s">
        <v>2242</v>
      </c>
      <c r="V573" t="s">
        <v>2243</v>
      </c>
      <c r="AE573" t="s">
        <v>2244</v>
      </c>
      <c r="AF573">
        <v>1002183232</v>
      </c>
      <c r="AG573">
        <v>711407</v>
      </c>
    </row>
    <row r="574" spans="1:37" x14ac:dyDescent="0.25">
      <c r="A574">
        <v>2183237</v>
      </c>
      <c r="B574" t="s">
        <v>2238</v>
      </c>
      <c r="C574" t="s">
        <v>38</v>
      </c>
      <c r="D574" t="s">
        <v>39</v>
      </c>
      <c r="E574" t="s">
        <v>40</v>
      </c>
      <c r="F574" t="s">
        <v>2245</v>
      </c>
      <c r="G574" t="s">
        <v>2241</v>
      </c>
      <c r="H574">
        <v>10</v>
      </c>
      <c r="U574" t="s">
        <v>51</v>
      </c>
      <c r="V574">
        <v>32497912121</v>
      </c>
      <c r="AC574" t="s">
        <v>2246</v>
      </c>
      <c r="AE574" t="s">
        <v>2247</v>
      </c>
      <c r="AF574">
        <v>1002183237</v>
      </c>
      <c r="AG574">
        <v>722545</v>
      </c>
    </row>
    <row r="575" spans="1:37" x14ac:dyDescent="0.25">
      <c r="A575">
        <v>2183242</v>
      </c>
      <c r="B575" t="s">
        <v>2238</v>
      </c>
      <c r="C575" t="s">
        <v>2248</v>
      </c>
      <c r="D575" t="s">
        <v>39</v>
      </c>
      <c r="E575" t="s">
        <v>40</v>
      </c>
      <c r="F575" t="s">
        <v>1613</v>
      </c>
      <c r="G575" t="s">
        <v>2241</v>
      </c>
      <c r="H575">
        <v>10</v>
      </c>
      <c r="U575" t="s">
        <v>51</v>
      </c>
      <c r="V575" t="s">
        <v>2243</v>
      </c>
      <c r="W575" t="s">
        <v>53</v>
      </c>
      <c r="X575" t="s">
        <v>2249</v>
      </c>
      <c r="Y575" t="s">
        <v>46</v>
      </c>
      <c r="Z575" t="s">
        <v>2250</v>
      </c>
      <c r="AC575" t="s">
        <v>2251</v>
      </c>
      <c r="AD575">
        <v>5</v>
      </c>
      <c r="AE575" t="s">
        <v>2252</v>
      </c>
      <c r="AF575">
        <v>1002183242</v>
      </c>
      <c r="AG575">
        <v>729846</v>
      </c>
      <c r="AJ575" t="s">
        <v>75</v>
      </c>
      <c r="AK575" t="s">
        <v>61</v>
      </c>
    </row>
    <row r="576" spans="1:37" x14ac:dyDescent="0.25">
      <c r="A576">
        <v>2183242</v>
      </c>
      <c r="B576" t="s">
        <v>2238</v>
      </c>
      <c r="C576" t="s">
        <v>2248</v>
      </c>
      <c r="D576" t="s">
        <v>39</v>
      </c>
      <c r="E576" t="s">
        <v>40</v>
      </c>
      <c r="F576" t="s">
        <v>1613</v>
      </c>
      <c r="G576" t="s">
        <v>2241</v>
      </c>
      <c r="H576">
        <v>10</v>
      </c>
      <c r="U576" t="s">
        <v>51</v>
      </c>
      <c r="V576" t="s">
        <v>2243</v>
      </c>
      <c r="W576" t="s">
        <v>53</v>
      </c>
      <c r="X576" t="s">
        <v>2249</v>
      </c>
      <c r="Y576" t="s">
        <v>46</v>
      </c>
      <c r="Z576" t="s">
        <v>2250</v>
      </c>
      <c r="AC576" t="s">
        <v>2251</v>
      </c>
      <c r="AD576">
        <v>5</v>
      </c>
      <c r="AE576" t="s">
        <v>2252</v>
      </c>
      <c r="AF576">
        <v>1002183242</v>
      </c>
      <c r="AG576">
        <v>729846</v>
      </c>
      <c r="AJ576" t="s">
        <v>63</v>
      </c>
      <c r="AK576" t="s">
        <v>61</v>
      </c>
    </row>
    <row r="577" spans="1:38" x14ac:dyDescent="0.25">
      <c r="A577">
        <v>11917018</v>
      </c>
      <c r="B577" t="s">
        <v>2253</v>
      </c>
      <c r="C577" t="s">
        <v>2254</v>
      </c>
      <c r="D577" t="s">
        <v>39</v>
      </c>
      <c r="E577" t="s">
        <v>49</v>
      </c>
      <c r="F577" t="s">
        <v>2255</v>
      </c>
      <c r="G577" t="s">
        <v>2256</v>
      </c>
      <c r="H577">
        <v>9</v>
      </c>
      <c r="U577" t="s">
        <v>46</v>
      </c>
      <c r="V577" t="s">
        <v>2257</v>
      </c>
      <c r="AB577" t="s">
        <v>2258</v>
      </c>
      <c r="AE577" t="s">
        <v>2259</v>
      </c>
      <c r="AF577">
        <v>1011917018</v>
      </c>
      <c r="AJ577" t="s">
        <v>202</v>
      </c>
      <c r="AK577" t="s">
        <v>65</v>
      </c>
    </row>
    <row r="578" spans="1:38" x14ac:dyDescent="0.25">
      <c r="A578">
        <v>6080950</v>
      </c>
      <c r="B578" t="s">
        <v>2260</v>
      </c>
      <c r="C578" t="s">
        <v>2261</v>
      </c>
      <c r="D578" t="s">
        <v>39</v>
      </c>
      <c r="E578" t="s">
        <v>40</v>
      </c>
      <c r="F578" t="s">
        <v>2262</v>
      </c>
      <c r="G578" t="s">
        <v>2263</v>
      </c>
      <c r="H578">
        <v>12</v>
      </c>
      <c r="U578" t="s">
        <v>53</v>
      </c>
      <c r="V578" t="s">
        <v>2264</v>
      </c>
      <c r="AC578" t="s">
        <v>2265</v>
      </c>
      <c r="AE578" t="s">
        <v>2266</v>
      </c>
      <c r="AF578">
        <v>1006080950</v>
      </c>
      <c r="AG578">
        <v>768928</v>
      </c>
      <c r="AJ578" t="s">
        <v>656</v>
      </c>
      <c r="AK578" t="s">
        <v>61</v>
      </c>
    </row>
    <row r="579" spans="1:38" x14ac:dyDescent="0.25">
      <c r="A579">
        <v>7790367</v>
      </c>
      <c r="B579" t="s">
        <v>2267</v>
      </c>
      <c r="C579" t="s">
        <v>2268</v>
      </c>
      <c r="D579" t="s">
        <v>39</v>
      </c>
      <c r="E579" t="s">
        <v>40</v>
      </c>
      <c r="F579" t="s">
        <v>2269</v>
      </c>
      <c r="G579" t="s">
        <v>2270</v>
      </c>
      <c r="H579">
        <v>77</v>
      </c>
      <c r="Q579" t="s">
        <v>51</v>
      </c>
      <c r="R579" t="s">
        <v>2271</v>
      </c>
      <c r="V579" t="s">
        <v>2272</v>
      </c>
      <c r="X579">
        <v>0</v>
      </c>
      <c r="Z579">
        <v>0</v>
      </c>
      <c r="AA579">
        <v>0</v>
      </c>
      <c r="AF579">
        <v>1007790367</v>
      </c>
      <c r="AJ579" t="s">
        <v>131</v>
      </c>
      <c r="AK579" t="s">
        <v>61</v>
      </c>
    </row>
    <row r="580" spans="1:38" x14ac:dyDescent="0.25">
      <c r="A580">
        <v>10715682</v>
      </c>
      <c r="B580" t="s">
        <v>2273</v>
      </c>
      <c r="C580" t="s">
        <v>2274</v>
      </c>
      <c r="D580" t="s">
        <v>39</v>
      </c>
      <c r="E580" t="s">
        <v>40</v>
      </c>
      <c r="F580" t="s">
        <v>2275</v>
      </c>
      <c r="G580" t="s">
        <v>2276</v>
      </c>
      <c r="H580">
        <v>17</v>
      </c>
      <c r="Q580" t="s">
        <v>51</v>
      </c>
      <c r="R580" t="s">
        <v>2277</v>
      </c>
      <c r="V580" t="s">
        <v>2278</v>
      </c>
      <c r="AC580" t="s">
        <v>2279</v>
      </c>
      <c r="AE580" t="s">
        <v>2280</v>
      </c>
      <c r="AF580">
        <v>1010715682</v>
      </c>
      <c r="AJ580" t="s">
        <v>656</v>
      </c>
      <c r="AK580" t="s">
        <v>61</v>
      </c>
    </row>
    <row r="581" spans="1:38" x14ac:dyDescent="0.25">
      <c r="A581">
        <v>10715682</v>
      </c>
      <c r="B581" t="s">
        <v>2273</v>
      </c>
      <c r="C581" t="s">
        <v>2274</v>
      </c>
      <c r="D581" t="s">
        <v>39</v>
      </c>
      <c r="E581" t="s">
        <v>40</v>
      </c>
      <c r="F581" t="s">
        <v>2275</v>
      </c>
      <c r="G581" t="s">
        <v>2276</v>
      </c>
      <c r="H581">
        <v>17</v>
      </c>
      <c r="Q581" t="s">
        <v>51</v>
      </c>
      <c r="R581" t="s">
        <v>2277</v>
      </c>
      <c r="V581" t="s">
        <v>2278</v>
      </c>
      <c r="AC581" t="s">
        <v>2279</v>
      </c>
      <c r="AE581" t="s">
        <v>2280</v>
      </c>
      <c r="AF581">
        <v>1010715682</v>
      </c>
      <c r="AJ581" t="s">
        <v>295</v>
      </c>
      <c r="AK581" t="s">
        <v>61</v>
      </c>
    </row>
    <row r="582" spans="1:38" x14ac:dyDescent="0.25">
      <c r="A582">
        <v>10404023</v>
      </c>
      <c r="B582" t="s">
        <v>2281</v>
      </c>
      <c r="C582" t="s">
        <v>2282</v>
      </c>
      <c r="D582" t="s">
        <v>39</v>
      </c>
      <c r="E582" t="s">
        <v>49</v>
      </c>
      <c r="F582" t="s">
        <v>2283</v>
      </c>
      <c r="G582" t="s">
        <v>850</v>
      </c>
      <c r="H582">
        <v>56</v>
      </c>
      <c r="Q582" t="s">
        <v>53</v>
      </c>
      <c r="R582" t="s">
        <v>2284</v>
      </c>
      <c r="U582" t="s">
        <v>51</v>
      </c>
      <c r="V582">
        <v>320477353878</v>
      </c>
      <c r="W582" t="s">
        <v>53</v>
      </c>
      <c r="X582">
        <v>320487547281</v>
      </c>
      <c r="AC582" t="s">
        <v>2285</v>
      </c>
      <c r="AD582">
        <v>4</v>
      </c>
      <c r="AF582">
        <v>1010404023</v>
      </c>
      <c r="AJ582" t="s">
        <v>174</v>
      </c>
      <c r="AK582" t="s">
        <v>61</v>
      </c>
    </row>
    <row r="583" spans="1:38" x14ac:dyDescent="0.25">
      <c r="A583">
        <v>10404023</v>
      </c>
      <c r="B583" t="s">
        <v>2281</v>
      </c>
      <c r="C583" t="s">
        <v>2282</v>
      </c>
      <c r="D583" t="s">
        <v>39</v>
      </c>
      <c r="E583" t="s">
        <v>49</v>
      </c>
      <c r="F583" t="s">
        <v>2283</v>
      </c>
      <c r="G583" t="s">
        <v>850</v>
      </c>
      <c r="H583">
        <v>56</v>
      </c>
      <c r="Q583" t="s">
        <v>53</v>
      </c>
      <c r="R583" t="s">
        <v>2284</v>
      </c>
      <c r="U583" t="s">
        <v>51</v>
      </c>
      <c r="V583">
        <v>320477353878</v>
      </c>
      <c r="W583" t="s">
        <v>53</v>
      </c>
      <c r="X583">
        <v>320487547281</v>
      </c>
      <c r="AC583" t="s">
        <v>2285</v>
      </c>
      <c r="AD583">
        <v>4</v>
      </c>
      <c r="AF583">
        <v>1010404023</v>
      </c>
      <c r="AJ583" t="s">
        <v>63</v>
      </c>
      <c r="AK583" t="s">
        <v>61</v>
      </c>
    </row>
    <row r="584" spans="1:38" x14ac:dyDescent="0.25">
      <c r="A584">
        <v>3454868</v>
      </c>
      <c r="B584" t="s">
        <v>2281</v>
      </c>
      <c r="C584" t="s">
        <v>2286</v>
      </c>
      <c r="D584" t="s">
        <v>39</v>
      </c>
      <c r="E584" t="s">
        <v>40</v>
      </c>
      <c r="F584" t="s">
        <v>2287</v>
      </c>
      <c r="G584" t="s">
        <v>2288</v>
      </c>
      <c r="H584">
        <v>25</v>
      </c>
      <c r="U584" t="s">
        <v>53</v>
      </c>
      <c r="V584">
        <v>474463396</v>
      </c>
      <c r="X584">
        <v>0</v>
      </c>
      <c r="Z584">
        <v>0</v>
      </c>
      <c r="AA584">
        <v>0</v>
      </c>
      <c r="AF584">
        <v>1003454868</v>
      </c>
    </row>
    <row r="585" spans="1:38" x14ac:dyDescent="0.25">
      <c r="A585">
        <v>2183252</v>
      </c>
      <c r="B585" t="s">
        <v>2289</v>
      </c>
      <c r="C585" t="s">
        <v>2290</v>
      </c>
      <c r="D585" t="s">
        <v>39</v>
      </c>
      <c r="E585" t="s">
        <v>49</v>
      </c>
      <c r="F585" t="s">
        <v>2291</v>
      </c>
      <c r="G585" t="s">
        <v>691</v>
      </c>
      <c r="H585">
        <v>34</v>
      </c>
      <c r="U585" t="s">
        <v>46</v>
      </c>
      <c r="V585">
        <v>32472666182</v>
      </c>
      <c r="AC585" t="s">
        <v>2292</v>
      </c>
      <c r="AF585">
        <v>1002183252</v>
      </c>
      <c r="AG585">
        <v>725136</v>
      </c>
      <c r="AL585" t="s">
        <v>593</v>
      </c>
    </row>
    <row r="586" spans="1:38" x14ac:dyDescent="0.25">
      <c r="A586">
        <v>2183252</v>
      </c>
      <c r="B586" t="s">
        <v>2289</v>
      </c>
      <c r="C586" t="s">
        <v>2290</v>
      </c>
      <c r="D586" t="s">
        <v>39</v>
      </c>
      <c r="E586" t="s">
        <v>49</v>
      </c>
      <c r="F586" t="s">
        <v>2291</v>
      </c>
      <c r="G586" t="s">
        <v>691</v>
      </c>
      <c r="H586">
        <v>34</v>
      </c>
      <c r="U586" t="s">
        <v>46</v>
      </c>
      <c r="V586">
        <v>32472666182</v>
      </c>
      <c r="AC586" t="s">
        <v>2292</v>
      </c>
      <c r="AF586">
        <v>1002183252</v>
      </c>
      <c r="AG586">
        <v>725136</v>
      </c>
      <c r="AL586" t="s">
        <v>62</v>
      </c>
    </row>
    <row r="587" spans="1:38" x14ac:dyDescent="0.25">
      <c r="A587">
        <v>2183252</v>
      </c>
      <c r="B587" t="s">
        <v>2289</v>
      </c>
      <c r="C587" t="s">
        <v>2290</v>
      </c>
      <c r="D587" t="s">
        <v>39</v>
      </c>
      <c r="E587" t="s">
        <v>49</v>
      </c>
      <c r="F587" t="s">
        <v>2291</v>
      </c>
      <c r="G587" t="s">
        <v>691</v>
      </c>
      <c r="H587">
        <v>34</v>
      </c>
      <c r="U587" t="s">
        <v>46</v>
      </c>
      <c r="V587">
        <v>32472666182</v>
      </c>
      <c r="AC587" t="s">
        <v>2292</v>
      </c>
      <c r="AF587">
        <v>1002183252</v>
      </c>
      <c r="AG587">
        <v>725136</v>
      </c>
      <c r="AL587" t="s">
        <v>1832</v>
      </c>
    </row>
    <row r="588" spans="1:38" x14ac:dyDescent="0.25">
      <c r="A588">
        <v>10452787</v>
      </c>
      <c r="B588" t="s">
        <v>2293</v>
      </c>
      <c r="C588" t="s">
        <v>2294</v>
      </c>
      <c r="D588" t="s">
        <v>39</v>
      </c>
      <c r="E588" t="s">
        <v>40</v>
      </c>
      <c r="F588" t="s">
        <v>2295</v>
      </c>
      <c r="G588" t="s">
        <v>2296</v>
      </c>
      <c r="H588">
        <v>5</v>
      </c>
      <c r="V588" t="s">
        <v>2297</v>
      </c>
      <c r="AF588">
        <v>1010452787</v>
      </c>
      <c r="AJ588" t="s">
        <v>192</v>
      </c>
      <c r="AK588" t="s">
        <v>61</v>
      </c>
    </row>
    <row r="589" spans="1:38" x14ac:dyDescent="0.25">
      <c r="A589">
        <v>2183257</v>
      </c>
      <c r="B589" t="s">
        <v>2298</v>
      </c>
      <c r="C589" t="s">
        <v>2299</v>
      </c>
      <c r="D589" t="s">
        <v>39</v>
      </c>
      <c r="E589" t="s">
        <v>40</v>
      </c>
      <c r="F589" t="s">
        <v>2300</v>
      </c>
      <c r="G589" t="s">
        <v>2301</v>
      </c>
      <c r="H589" t="s">
        <v>2302</v>
      </c>
      <c r="U589" t="s">
        <v>46</v>
      </c>
      <c r="V589">
        <v>32479793011</v>
      </c>
      <c r="AC589" t="s">
        <v>2303</v>
      </c>
      <c r="AF589">
        <v>1002183257</v>
      </c>
      <c r="AG589">
        <v>735070</v>
      </c>
      <c r="AJ589" t="s">
        <v>75</v>
      </c>
      <c r="AK589" t="s">
        <v>61</v>
      </c>
    </row>
    <row r="590" spans="1:38" x14ac:dyDescent="0.25">
      <c r="A590">
        <v>2183257</v>
      </c>
      <c r="B590" t="s">
        <v>2298</v>
      </c>
      <c r="C590" t="s">
        <v>2299</v>
      </c>
      <c r="D590" t="s">
        <v>39</v>
      </c>
      <c r="E590" t="s">
        <v>40</v>
      </c>
      <c r="F590" t="s">
        <v>2300</v>
      </c>
      <c r="G590" t="s">
        <v>2301</v>
      </c>
      <c r="H590" t="s">
        <v>2302</v>
      </c>
      <c r="U590" t="s">
        <v>46</v>
      </c>
      <c r="V590">
        <v>32479793011</v>
      </c>
      <c r="AC590" t="s">
        <v>2303</v>
      </c>
      <c r="AF590">
        <v>1002183257</v>
      </c>
      <c r="AG590">
        <v>735070</v>
      </c>
      <c r="AJ590" t="s">
        <v>63</v>
      </c>
      <c r="AK590" t="s">
        <v>61</v>
      </c>
    </row>
    <row r="591" spans="1:38" x14ac:dyDescent="0.25">
      <c r="A591">
        <v>4296358</v>
      </c>
      <c r="B591" t="s">
        <v>2298</v>
      </c>
      <c r="C591" t="s">
        <v>2304</v>
      </c>
      <c r="D591" t="s">
        <v>39</v>
      </c>
      <c r="E591" t="s">
        <v>40</v>
      </c>
      <c r="F591" t="s">
        <v>2305</v>
      </c>
      <c r="G591" t="s">
        <v>2301</v>
      </c>
      <c r="H591" t="s">
        <v>2302</v>
      </c>
      <c r="Q591" t="s">
        <v>51</v>
      </c>
      <c r="R591" t="s">
        <v>2306</v>
      </c>
      <c r="U591" t="s">
        <v>53</v>
      </c>
      <c r="V591" t="s">
        <v>2307</v>
      </c>
      <c r="W591" t="s">
        <v>51</v>
      </c>
      <c r="X591">
        <v>32477473741</v>
      </c>
      <c r="AF591">
        <v>1004296358</v>
      </c>
      <c r="AG591">
        <v>758509</v>
      </c>
      <c r="AJ591" t="s">
        <v>63</v>
      </c>
      <c r="AK591" t="s">
        <v>61</v>
      </c>
    </row>
    <row r="592" spans="1:38" x14ac:dyDescent="0.25">
      <c r="A592">
        <v>4296358</v>
      </c>
      <c r="B592" t="s">
        <v>2298</v>
      </c>
      <c r="C592" t="s">
        <v>2304</v>
      </c>
      <c r="D592" t="s">
        <v>39</v>
      </c>
      <c r="E592" t="s">
        <v>40</v>
      </c>
      <c r="F592" t="s">
        <v>2305</v>
      </c>
      <c r="G592" t="s">
        <v>2301</v>
      </c>
      <c r="H592" t="s">
        <v>2302</v>
      </c>
      <c r="Q592" t="s">
        <v>51</v>
      </c>
      <c r="R592" t="s">
        <v>2306</v>
      </c>
      <c r="U592" t="s">
        <v>53</v>
      </c>
      <c r="V592" t="s">
        <v>2307</v>
      </c>
      <c r="W592" t="s">
        <v>51</v>
      </c>
      <c r="X592">
        <v>32477473741</v>
      </c>
      <c r="AF592">
        <v>1004296358</v>
      </c>
      <c r="AG592">
        <v>758509</v>
      </c>
      <c r="AJ592" t="s">
        <v>744</v>
      </c>
      <c r="AK592" t="s">
        <v>61</v>
      </c>
    </row>
    <row r="593" spans="1:37" x14ac:dyDescent="0.25">
      <c r="A593">
        <v>7665003</v>
      </c>
      <c r="B593" t="s">
        <v>2308</v>
      </c>
      <c r="C593" t="s">
        <v>2309</v>
      </c>
      <c r="D593" t="s">
        <v>39</v>
      </c>
      <c r="E593" t="s">
        <v>49</v>
      </c>
      <c r="F593" t="s">
        <v>2310</v>
      </c>
      <c r="G593" t="s">
        <v>2311</v>
      </c>
      <c r="H593">
        <v>66</v>
      </c>
      <c r="Q593" t="s">
        <v>51</v>
      </c>
      <c r="R593" t="s">
        <v>2312</v>
      </c>
      <c r="U593" t="s">
        <v>46</v>
      </c>
      <c r="V593" t="s">
        <v>2313</v>
      </c>
      <c r="W593" t="s">
        <v>51</v>
      </c>
      <c r="X593">
        <v>32470510966</v>
      </c>
      <c r="AC593" t="s">
        <v>2314</v>
      </c>
      <c r="AD593">
        <v>14</v>
      </c>
      <c r="AE593" t="s">
        <v>2315</v>
      </c>
      <c r="AF593">
        <v>1007665003</v>
      </c>
      <c r="AJ593" t="s">
        <v>164</v>
      </c>
      <c r="AK593" t="s">
        <v>61</v>
      </c>
    </row>
    <row r="594" spans="1:37" x14ac:dyDescent="0.25">
      <c r="A594">
        <v>7665003</v>
      </c>
      <c r="B594" t="s">
        <v>2308</v>
      </c>
      <c r="C594" t="s">
        <v>2309</v>
      </c>
      <c r="D594" t="s">
        <v>39</v>
      </c>
      <c r="E594" t="s">
        <v>49</v>
      </c>
      <c r="F594" t="s">
        <v>2310</v>
      </c>
      <c r="G594" t="s">
        <v>2311</v>
      </c>
      <c r="H594">
        <v>66</v>
      </c>
      <c r="Q594" t="s">
        <v>51</v>
      </c>
      <c r="R594" t="s">
        <v>2312</v>
      </c>
      <c r="U594" t="s">
        <v>46</v>
      </c>
      <c r="V594" t="s">
        <v>2313</v>
      </c>
      <c r="W594" t="s">
        <v>51</v>
      </c>
      <c r="X594">
        <v>32470510966</v>
      </c>
      <c r="AC594" t="s">
        <v>2314</v>
      </c>
      <c r="AD594">
        <v>14</v>
      </c>
      <c r="AE594" t="s">
        <v>2315</v>
      </c>
      <c r="AF594">
        <v>1007665003</v>
      </c>
      <c r="AJ594" t="s">
        <v>87</v>
      </c>
      <c r="AK594" t="s">
        <v>61</v>
      </c>
    </row>
    <row r="595" spans="1:37" x14ac:dyDescent="0.25">
      <c r="A595">
        <v>3437296</v>
      </c>
      <c r="B595" t="s">
        <v>2316</v>
      </c>
      <c r="C595" t="s">
        <v>2045</v>
      </c>
      <c r="D595" t="s">
        <v>39</v>
      </c>
      <c r="E595" t="s">
        <v>40</v>
      </c>
      <c r="F595" t="s">
        <v>2317</v>
      </c>
      <c r="G595" t="s">
        <v>2318</v>
      </c>
      <c r="H595">
        <v>67</v>
      </c>
      <c r="U595" t="s">
        <v>53</v>
      </c>
      <c r="V595">
        <v>320476333924</v>
      </c>
      <c r="W595" t="s">
        <v>51</v>
      </c>
      <c r="X595">
        <v>320479667279</v>
      </c>
      <c r="AA595">
        <v>32</v>
      </c>
      <c r="AF595">
        <v>1003437296</v>
      </c>
    </row>
    <row r="596" spans="1:37" x14ac:dyDescent="0.25">
      <c r="A596">
        <v>2650900</v>
      </c>
      <c r="B596" t="s">
        <v>2319</v>
      </c>
      <c r="C596" t="s">
        <v>250</v>
      </c>
      <c r="D596" t="s">
        <v>39</v>
      </c>
      <c r="E596" t="s">
        <v>40</v>
      </c>
      <c r="F596" t="s">
        <v>2320</v>
      </c>
      <c r="G596" t="s">
        <v>581</v>
      </c>
      <c r="H596">
        <v>98</v>
      </c>
      <c r="V596">
        <v>479682464</v>
      </c>
      <c r="X596">
        <v>498458472</v>
      </c>
      <c r="AF596">
        <v>1002650900</v>
      </c>
      <c r="AG596">
        <v>742328</v>
      </c>
    </row>
    <row r="597" spans="1:37" x14ac:dyDescent="0.25">
      <c r="A597">
        <v>2934325</v>
      </c>
      <c r="B597" t="s">
        <v>2321</v>
      </c>
      <c r="C597" t="s">
        <v>2322</v>
      </c>
      <c r="D597" t="s">
        <v>39</v>
      </c>
      <c r="E597" t="s">
        <v>40</v>
      </c>
      <c r="F597" t="s">
        <v>2323</v>
      </c>
      <c r="U597" t="s">
        <v>46</v>
      </c>
      <c r="V597">
        <v>473374934</v>
      </c>
      <c r="AF597">
        <v>1002934325</v>
      </c>
      <c r="AG597">
        <v>623703</v>
      </c>
    </row>
    <row r="598" spans="1:37" x14ac:dyDescent="0.25">
      <c r="A598">
        <v>2183277</v>
      </c>
      <c r="B598" t="s">
        <v>2324</v>
      </c>
      <c r="C598" t="s">
        <v>2325</v>
      </c>
      <c r="D598" t="s">
        <v>39</v>
      </c>
      <c r="E598" t="s">
        <v>49</v>
      </c>
      <c r="F598" t="s">
        <v>2326</v>
      </c>
      <c r="G598" t="s">
        <v>2327</v>
      </c>
      <c r="H598">
        <v>30</v>
      </c>
      <c r="AC598" t="s">
        <v>2328</v>
      </c>
      <c r="AF598">
        <v>1002183277</v>
      </c>
    </row>
    <row r="599" spans="1:37" x14ac:dyDescent="0.25">
      <c r="A599">
        <v>9720692</v>
      </c>
      <c r="B599" t="s">
        <v>2329</v>
      </c>
      <c r="C599" t="s">
        <v>1151</v>
      </c>
      <c r="D599" t="s">
        <v>39</v>
      </c>
      <c r="E599" t="s">
        <v>40</v>
      </c>
      <c r="F599" t="s">
        <v>2330</v>
      </c>
      <c r="G599" t="s">
        <v>2331</v>
      </c>
      <c r="H599">
        <v>105</v>
      </c>
      <c r="Q599" t="s">
        <v>53</v>
      </c>
      <c r="R599" t="s">
        <v>2332</v>
      </c>
      <c r="V599" t="s">
        <v>2333</v>
      </c>
      <c r="X599" t="s">
        <v>2334</v>
      </c>
      <c r="Y599" t="s">
        <v>46</v>
      </c>
      <c r="Z599" t="s">
        <v>2335</v>
      </c>
      <c r="AF599">
        <v>1009720692</v>
      </c>
    </row>
    <row r="600" spans="1:37" x14ac:dyDescent="0.25">
      <c r="A600">
        <v>2183287</v>
      </c>
      <c r="B600" t="s">
        <v>2336</v>
      </c>
      <c r="C600" t="s">
        <v>2337</v>
      </c>
      <c r="D600" t="s">
        <v>39</v>
      </c>
      <c r="E600" t="s">
        <v>40</v>
      </c>
      <c r="F600" t="s">
        <v>2338</v>
      </c>
      <c r="G600" t="s">
        <v>2339</v>
      </c>
      <c r="H600">
        <v>51</v>
      </c>
      <c r="AC600" t="s">
        <v>2340</v>
      </c>
      <c r="AF600">
        <v>1002183287</v>
      </c>
    </row>
    <row r="601" spans="1:37" x14ac:dyDescent="0.25">
      <c r="A601">
        <v>3490851</v>
      </c>
      <c r="B601" t="s">
        <v>2336</v>
      </c>
      <c r="C601" t="s">
        <v>2341</v>
      </c>
      <c r="D601" t="s">
        <v>39</v>
      </c>
      <c r="E601" t="s">
        <v>40</v>
      </c>
      <c r="F601" t="s">
        <v>2342</v>
      </c>
      <c r="G601" t="s">
        <v>1032</v>
      </c>
      <c r="H601">
        <v>62</v>
      </c>
      <c r="U601" t="s">
        <v>51</v>
      </c>
      <c r="V601">
        <v>479271390</v>
      </c>
      <c r="X601">
        <v>476411991</v>
      </c>
      <c r="Z601">
        <v>0</v>
      </c>
      <c r="AA601">
        <v>0</v>
      </c>
      <c r="AF601">
        <v>1003490851</v>
      </c>
    </row>
    <row r="602" spans="1:37" x14ac:dyDescent="0.25">
      <c r="A602">
        <v>6080966</v>
      </c>
      <c r="B602" t="s">
        <v>2336</v>
      </c>
      <c r="C602" t="s">
        <v>2343</v>
      </c>
      <c r="D602" t="s">
        <v>39</v>
      </c>
      <c r="E602" t="s">
        <v>49</v>
      </c>
      <c r="F602" t="s">
        <v>2344</v>
      </c>
      <c r="G602" t="s">
        <v>2345</v>
      </c>
      <c r="H602">
        <v>641</v>
      </c>
      <c r="Q602" t="s">
        <v>53</v>
      </c>
      <c r="R602" t="s">
        <v>2346</v>
      </c>
      <c r="U602" t="s">
        <v>51</v>
      </c>
      <c r="V602" t="s">
        <v>2347</v>
      </c>
      <c r="AF602">
        <v>1006080966</v>
      </c>
      <c r="AJ602" t="s">
        <v>294</v>
      </c>
      <c r="AK602" t="s">
        <v>61</v>
      </c>
    </row>
    <row r="603" spans="1:37" x14ac:dyDescent="0.25">
      <c r="A603">
        <v>6080966</v>
      </c>
      <c r="B603" t="s">
        <v>2336</v>
      </c>
      <c r="C603" t="s">
        <v>2343</v>
      </c>
      <c r="D603" t="s">
        <v>39</v>
      </c>
      <c r="E603" t="s">
        <v>49</v>
      </c>
      <c r="F603" t="s">
        <v>2344</v>
      </c>
      <c r="G603" t="s">
        <v>2345</v>
      </c>
      <c r="H603">
        <v>641</v>
      </c>
      <c r="Q603" t="s">
        <v>53</v>
      </c>
      <c r="R603" t="s">
        <v>2346</v>
      </c>
      <c r="U603" t="s">
        <v>51</v>
      </c>
      <c r="V603" t="s">
        <v>2347</v>
      </c>
      <c r="AF603">
        <v>1006080966</v>
      </c>
      <c r="AJ603" t="s">
        <v>295</v>
      </c>
      <c r="AK603" t="s">
        <v>61</v>
      </c>
    </row>
    <row r="604" spans="1:37" x14ac:dyDescent="0.25">
      <c r="A604">
        <v>8490745</v>
      </c>
      <c r="B604" t="s">
        <v>2336</v>
      </c>
      <c r="C604" t="s">
        <v>2348</v>
      </c>
      <c r="D604" t="s">
        <v>39</v>
      </c>
      <c r="E604" t="s">
        <v>40</v>
      </c>
      <c r="F604" t="s">
        <v>2349</v>
      </c>
      <c r="G604" t="s">
        <v>2350</v>
      </c>
      <c r="H604">
        <v>14</v>
      </c>
      <c r="Q604" t="s">
        <v>51</v>
      </c>
      <c r="R604" t="s">
        <v>2351</v>
      </c>
      <c r="V604" t="s">
        <v>2352</v>
      </c>
      <c r="X604" t="s">
        <v>2353</v>
      </c>
      <c r="AF604">
        <v>1008490745</v>
      </c>
    </row>
    <row r="605" spans="1:37" x14ac:dyDescent="0.25">
      <c r="A605">
        <v>9500022</v>
      </c>
      <c r="B605" t="s">
        <v>2354</v>
      </c>
      <c r="C605" t="s">
        <v>2355</v>
      </c>
      <c r="D605" t="s">
        <v>39</v>
      </c>
      <c r="E605" t="s">
        <v>40</v>
      </c>
      <c r="F605" t="s">
        <v>2356</v>
      </c>
      <c r="G605" t="s">
        <v>2357</v>
      </c>
      <c r="H605">
        <v>45</v>
      </c>
      <c r="U605" t="s">
        <v>46</v>
      </c>
      <c r="V605">
        <v>32470671727</v>
      </c>
      <c r="AB605" t="s">
        <v>2358</v>
      </c>
      <c r="AD605">
        <v>11</v>
      </c>
      <c r="AF605">
        <v>1009500022</v>
      </c>
      <c r="AJ605" t="s">
        <v>286</v>
      </c>
      <c r="AK605" t="s">
        <v>61</v>
      </c>
    </row>
    <row r="606" spans="1:37" x14ac:dyDescent="0.25">
      <c r="A606">
        <v>9500022</v>
      </c>
      <c r="B606" t="s">
        <v>2354</v>
      </c>
      <c r="C606" t="s">
        <v>2355</v>
      </c>
      <c r="D606" t="s">
        <v>39</v>
      </c>
      <c r="E606" t="s">
        <v>40</v>
      </c>
      <c r="F606" t="s">
        <v>2356</v>
      </c>
      <c r="G606" t="s">
        <v>2357</v>
      </c>
      <c r="H606">
        <v>45</v>
      </c>
      <c r="U606" t="s">
        <v>46</v>
      </c>
      <c r="V606">
        <v>32470671727</v>
      </c>
      <c r="AB606" t="s">
        <v>2358</v>
      </c>
      <c r="AD606">
        <v>11</v>
      </c>
      <c r="AF606">
        <v>1009500022</v>
      </c>
      <c r="AJ606" t="s">
        <v>63</v>
      </c>
      <c r="AK606" t="s">
        <v>61</v>
      </c>
    </row>
    <row r="607" spans="1:37" x14ac:dyDescent="0.25">
      <c r="A607">
        <v>9500022</v>
      </c>
      <c r="B607" t="s">
        <v>2354</v>
      </c>
      <c r="C607" t="s">
        <v>2355</v>
      </c>
      <c r="D607" t="s">
        <v>39</v>
      </c>
      <c r="E607" t="s">
        <v>40</v>
      </c>
      <c r="F607" t="s">
        <v>2356</v>
      </c>
      <c r="G607" t="s">
        <v>2357</v>
      </c>
      <c r="H607">
        <v>45</v>
      </c>
      <c r="U607" t="s">
        <v>46</v>
      </c>
      <c r="V607">
        <v>32470671727</v>
      </c>
      <c r="AB607" t="s">
        <v>2358</v>
      </c>
      <c r="AD607">
        <v>11</v>
      </c>
      <c r="AF607">
        <v>1009500022</v>
      </c>
      <c r="AJ607" t="s">
        <v>180</v>
      </c>
      <c r="AK607" t="s">
        <v>61</v>
      </c>
    </row>
    <row r="608" spans="1:37" x14ac:dyDescent="0.25">
      <c r="A608">
        <v>4212657</v>
      </c>
      <c r="B608" t="s">
        <v>2359</v>
      </c>
      <c r="C608" t="s">
        <v>2360</v>
      </c>
      <c r="D608" t="s">
        <v>39</v>
      </c>
      <c r="E608" t="s">
        <v>40</v>
      </c>
      <c r="F608" t="s">
        <v>2361</v>
      </c>
      <c r="G608" t="s">
        <v>2362</v>
      </c>
      <c r="H608">
        <v>3</v>
      </c>
      <c r="Q608" t="s">
        <v>53</v>
      </c>
      <c r="R608" t="s">
        <v>2363</v>
      </c>
      <c r="U608" t="s">
        <v>46</v>
      </c>
      <c r="V608" t="s">
        <v>2364</v>
      </c>
      <c r="W608" t="s">
        <v>53</v>
      </c>
      <c r="X608">
        <v>32476669313</v>
      </c>
      <c r="AF608">
        <v>1004212657</v>
      </c>
    </row>
    <row r="609" spans="1:38" x14ac:dyDescent="0.25">
      <c r="A609">
        <v>10682646</v>
      </c>
      <c r="B609" t="s">
        <v>2365</v>
      </c>
      <c r="C609" t="s">
        <v>948</v>
      </c>
      <c r="D609" t="s">
        <v>39</v>
      </c>
      <c r="E609" t="s">
        <v>40</v>
      </c>
      <c r="F609" t="s">
        <v>2366</v>
      </c>
      <c r="G609" t="s">
        <v>778</v>
      </c>
      <c r="H609">
        <v>48</v>
      </c>
      <c r="U609" t="s">
        <v>53</v>
      </c>
      <c r="V609" t="s">
        <v>2367</v>
      </c>
      <c r="W609" t="s">
        <v>51</v>
      </c>
      <c r="X609" t="s">
        <v>2368</v>
      </c>
      <c r="AC609" t="s">
        <v>2369</v>
      </c>
      <c r="AF609">
        <v>1010682646</v>
      </c>
      <c r="AJ609" t="s">
        <v>104</v>
      </c>
      <c r="AK609" t="s">
        <v>61</v>
      </c>
    </row>
    <row r="610" spans="1:38" x14ac:dyDescent="0.25">
      <c r="A610">
        <v>10682646</v>
      </c>
      <c r="B610" t="s">
        <v>2365</v>
      </c>
      <c r="C610" t="s">
        <v>948</v>
      </c>
      <c r="D610" t="s">
        <v>39</v>
      </c>
      <c r="E610" t="s">
        <v>40</v>
      </c>
      <c r="F610" t="s">
        <v>2366</v>
      </c>
      <c r="G610" t="s">
        <v>778</v>
      </c>
      <c r="H610">
        <v>48</v>
      </c>
      <c r="U610" t="s">
        <v>53</v>
      </c>
      <c r="V610" t="s">
        <v>2367</v>
      </c>
      <c r="W610" t="s">
        <v>51</v>
      </c>
      <c r="X610" t="s">
        <v>2368</v>
      </c>
      <c r="AC610" t="s">
        <v>2369</v>
      </c>
      <c r="AF610">
        <v>1010682646</v>
      </c>
      <c r="AJ610" t="s">
        <v>63</v>
      </c>
      <c r="AK610" t="s">
        <v>61</v>
      </c>
    </row>
    <row r="611" spans="1:38" x14ac:dyDescent="0.25">
      <c r="A611">
        <v>4246065</v>
      </c>
      <c r="B611" t="s">
        <v>2370</v>
      </c>
      <c r="C611" t="s">
        <v>2371</v>
      </c>
      <c r="D611" t="s">
        <v>39</v>
      </c>
      <c r="E611" t="s">
        <v>49</v>
      </c>
      <c r="F611" t="s">
        <v>2372</v>
      </c>
      <c r="G611" t="s">
        <v>2373</v>
      </c>
      <c r="H611">
        <v>16</v>
      </c>
      <c r="V611">
        <v>0</v>
      </c>
      <c r="X611">
        <v>0</v>
      </c>
      <c r="Z611">
        <v>0</v>
      </c>
      <c r="AA611">
        <v>0</v>
      </c>
      <c r="AC611" t="s">
        <v>2374</v>
      </c>
      <c r="AF611">
        <v>1004246065</v>
      </c>
      <c r="AG611">
        <v>242295</v>
      </c>
    </row>
    <row r="612" spans="1:38" x14ac:dyDescent="0.25">
      <c r="A612">
        <v>6094381</v>
      </c>
      <c r="B612" t="s">
        <v>2375</v>
      </c>
      <c r="C612" t="s">
        <v>1720</v>
      </c>
      <c r="D612" t="s">
        <v>39</v>
      </c>
      <c r="E612" t="s">
        <v>40</v>
      </c>
      <c r="F612" t="s">
        <v>2376</v>
      </c>
      <c r="G612" t="s">
        <v>2377</v>
      </c>
      <c r="H612">
        <v>20</v>
      </c>
      <c r="U612" t="s">
        <v>53</v>
      </c>
      <c r="V612" t="s">
        <v>2378</v>
      </c>
      <c r="AE612" t="s">
        <v>2379</v>
      </c>
      <c r="AF612">
        <v>1006094381</v>
      </c>
    </row>
    <row r="613" spans="1:38" x14ac:dyDescent="0.25">
      <c r="A613">
        <v>2655220</v>
      </c>
      <c r="B613" t="s">
        <v>2380</v>
      </c>
      <c r="C613" t="s">
        <v>2381</v>
      </c>
      <c r="D613" t="s">
        <v>39</v>
      </c>
      <c r="E613" t="s">
        <v>49</v>
      </c>
      <c r="F613" t="s">
        <v>2382</v>
      </c>
      <c r="G613" t="s">
        <v>2383</v>
      </c>
      <c r="H613">
        <v>1</v>
      </c>
      <c r="AC613" t="s">
        <v>2384</v>
      </c>
      <c r="AE613" t="s">
        <v>2385</v>
      </c>
      <c r="AF613">
        <v>1002655220</v>
      </c>
      <c r="AG613">
        <v>644354</v>
      </c>
    </row>
    <row r="614" spans="1:38" x14ac:dyDescent="0.25">
      <c r="A614">
        <v>2183297</v>
      </c>
      <c r="B614" t="s">
        <v>2380</v>
      </c>
      <c r="C614" t="s">
        <v>1533</v>
      </c>
      <c r="D614" t="s">
        <v>39</v>
      </c>
      <c r="E614" t="s">
        <v>49</v>
      </c>
      <c r="F614" t="s">
        <v>2386</v>
      </c>
      <c r="G614" t="s">
        <v>2383</v>
      </c>
      <c r="H614">
        <v>1</v>
      </c>
      <c r="AC614" t="s">
        <v>2387</v>
      </c>
      <c r="AF614">
        <v>1002183297</v>
      </c>
      <c r="AG614">
        <v>617084</v>
      </c>
    </row>
    <row r="615" spans="1:38" x14ac:dyDescent="0.25">
      <c r="A615">
        <v>4080394</v>
      </c>
      <c r="B615" t="s">
        <v>2388</v>
      </c>
      <c r="C615" t="s">
        <v>2389</v>
      </c>
      <c r="D615" t="s">
        <v>39</v>
      </c>
      <c r="E615" t="s">
        <v>40</v>
      </c>
      <c r="F615" t="s">
        <v>2390</v>
      </c>
      <c r="G615" t="s">
        <v>1529</v>
      </c>
      <c r="H615">
        <v>50</v>
      </c>
      <c r="U615" t="s">
        <v>53</v>
      </c>
      <c r="V615">
        <v>32474552662</v>
      </c>
      <c r="W615" t="s">
        <v>116</v>
      </c>
      <c r="X615">
        <v>320472516116</v>
      </c>
      <c r="AC615" t="s">
        <v>2391</v>
      </c>
      <c r="AD615">
        <v>5</v>
      </c>
      <c r="AE615" t="s">
        <v>2392</v>
      </c>
      <c r="AF615">
        <v>1004080394</v>
      </c>
      <c r="AJ615" t="s">
        <v>121</v>
      </c>
      <c r="AK615" t="s">
        <v>61</v>
      </c>
      <c r="AL615" t="s">
        <v>62</v>
      </c>
    </row>
    <row r="616" spans="1:38" x14ac:dyDescent="0.25">
      <c r="A616">
        <v>4080394</v>
      </c>
      <c r="B616" t="s">
        <v>2388</v>
      </c>
      <c r="C616" t="s">
        <v>2389</v>
      </c>
      <c r="D616" t="s">
        <v>39</v>
      </c>
      <c r="E616" t="s">
        <v>40</v>
      </c>
      <c r="F616" t="s">
        <v>2390</v>
      </c>
      <c r="G616" t="s">
        <v>1529</v>
      </c>
      <c r="H616">
        <v>50</v>
      </c>
      <c r="U616" t="s">
        <v>53</v>
      </c>
      <c r="V616">
        <v>32474552662</v>
      </c>
      <c r="W616" t="s">
        <v>116</v>
      </c>
      <c r="X616">
        <v>320472516116</v>
      </c>
      <c r="AC616" t="s">
        <v>2391</v>
      </c>
      <c r="AD616">
        <v>5</v>
      </c>
      <c r="AE616" t="s">
        <v>2392</v>
      </c>
      <c r="AF616">
        <v>1004080394</v>
      </c>
      <c r="AL616" t="s">
        <v>62</v>
      </c>
    </row>
    <row r="617" spans="1:38" x14ac:dyDescent="0.25">
      <c r="A617">
        <v>4080394</v>
      </c>
      <c r="B617" t="s">
        <v>2388</v>
      </c>
      <c r="C617" t="s">
        <v>2389</v>
      </c>
      <c r="D617" t="s">
        <v>39</v>
      </c>
      <c r="E617" t="s">
        <v>40</v>
      </c>
      <c r="F617" t="s">
        <v>2390</v>
      </c>
      <c r="G617" t="s">
        <v>1529</v>
      </c>
      <c r="H617">
        <v>50</v>
      </c>
      <c r="U617" t="s">
        <v>53</v>
      </c>
      <c r="V617">
        <v>32474552662</v>
      </c>
      <c r="W617" t="s">
        <v>116</v>
      </c>
      <c r="X617">
        <v>320472516116</v>
      </c>
      <c r="AC617" t="s">
        <v>2391</v>
      </c>
      <c r="AD617">
        <v>5</v>
      </c>
      <c r="AE617" t="s">
        <v>2392</v>
      </c>
      <c r="AF617">
        <v>1004080394</v>
      </c>
      <c r="AL617" t="s">
        <v>62</v>
      </c>
    </row>
    <row r="618" spans="1:38" x14ac:dyDescent="0.25">
      <c r="A618">
        <v>4421891</v>
      </c>
      <c r="B618" t="s">
        <v>2393</v>
      </c>
      <c r="C618" t="s">
        <v>2394</v>
      </c>
      <c r="D618" t="s">
        <v>39</v>
      </c>
      <c r="E618" t="s">
        <v>40</v>
      </c>
      <c r="F618" t="s">
        <v>2395</v>
      </c>
      <c r="G618" t="s">
        <v>2396</v>
      </c>
      <c r="H618">
        <v>6</v>
      </c>
      <c r="Q618" t="s">
        <v>51</v>
      </c>
      <c r="R618" t="s">
        <v>2397</v>
      </c>
      <c r="V618" t="s">
        <v>2398</v>
      </c>
      <c r="AC618" t="s">
        <v>2399</v>
      </c>
      <c r="AF618">
        <v>1004421891</v>
      </c>
      <c r="AJ618" t="s">
        <v>483</v>
      </c>
      <c r="AK618" t="s">
        <v>61</v>
      </c>
    </row>
    <row r="619" spans="1:38" x14ac:dyDescent="0.25">
      <c r="A619">
        <v>9499842</v>
      </c>
      <c r="B619" t="s">
        <v>2393</v>
      </c>
      <c r="C619" t="s">
        <v>2400</v>
      </c>
      <c r="D619" t="s">
        <v>39</v>
      </c>
      <c r="E619" t="s">
        <v>49</v>
      </c>
      <c r="F619" t="s">
        <v>2401</v>
      </c>
      <c r="G619" t="s">
        <v>2396</v>
      </c>
      <c r="H619">
        <v>6</v>
      </c>
      <c r="Q619" t="s">
        <v>51</v>
      </c>
      <c r="R619" t="s">
        <v>2397</v>
      </c>
      <c r="V619">
        <v>0</v>
      </c>
      <c r="X619">
        <v>0</v>
      </c>
      <c r="Z619">
        <v>0</v>
      </c>
      <c r="AA619">
        <v>0</v>
      </c>
      <c r="AF619">
        <v>1009499842</v>
      </c>
      <c r="AG619">
        <v>658412</v>
      </c>
    </row>
    <row r="620" spans="1:38" x14ac:dyDescent="0.25">
      <c r="A620">
        <v>2183312</v>
      </c>
      <c r="B620" t="s">
        <v>2402</v>
      </c>
      <c r="C620" t="s">
        <v>2403</v>
      </c>
      <c r="D620" t="s">
        <v>39</v>
      </c>
      <c r="E620" t="s">
        <v>40</v>
      </c>
      <c r="F620" t="s">
        <v>2404</v>
      </c>
      <c r="G620" t="s">
        <v>305</v>
      </c>
      <c r="H620">
        <v>37</v>
      </c>
      <c r="AC620" t="s">
        <v>2405</v>
      </c>
      <c r="AD620">
        <v>6</v>
      </c>
      <c r="AF620">
        <v>1002183312</v>
      </c>
      <c r="AG620">
        <v>663125</v>
      </c>
      <c r="AJ620" t="s">
        <v>483</v>
      </c>
      <c r="AK620" t="s">
        <v>61</v>
      </c>
    </row>
    <row r="621" spans="1:38" x14ac:dyDescent="0.25">
      <c r="A621">
        <v>5573904</v>
      </c>
      <c r="B621" t="s">
        <v>2406</v>
      </c>
      <c r="C621" t="s">
        <v>1256</v>
      </c>
      <c r="D621" t="s">
        <v>39</v>
      </c>
      <c r="E621" t="s">
        <v>49</v>
      </c>
      <c r="F621" t="s">
        <v>2407</v>
      </c>
      <c r="G621" t="s">
        <v>2408</v>
      </c>
      <c r="H621">
        <v>59</v>
      </c>
      <c r="Q621" t="s">
        <v>46</v>
      </c>
      <c r="R621" t="s">
        <v>2409</v>
      </c>
      <c r="AB621" t="s">
        <v>2410</v>
      </c>
      <c r="AC621" t="s">
        <v>2411</v>
      </c>
      <c r="AF621">
        <v>1005573904</v>
      </c>
      <c r="AG621">
        <v>201618</v>
      </c>
      <c r="AJ621" t="s">
        <v>64</v>
      </c>
      <c r="AK621" t="s">
        <v>65</v>
      </c>
    </row>
    <row r="622" spans="1:38" x14ac:dyDescent="0.25">
      <c r="A622">
        <v>11859928</v>
      </c>
      <c r="B622" t="s">
        <v>2412</v>
      </c>
      <c r="C622" t="s">
        <v>2413</v>
      </c>
      <c r="D622" t="s">
        <v>39</v>
      </c>
      <c r="E622" t="s">
        <v>49</v>
      </c>
      <c r="F622" t="s">
        <v>2414</v>
      </c>
      <c r="G622" t="s">
        <v>581</v>
      </c>
      <c r="H622">
        <v>33</v>
      </c>
      <c r="I622" t="s">
        <v>2415</v>
      </c>
      <c r="Q622" t="s">
        <v>53</v>
      </c>
      <c r="R622" t="s">
        <v>2417</v>
      </c>
      <c r="U622" t="s">
        <v>51</v>
      </c>
      <c r="V622" t="s">
        <v>2418</v>
      </c>
      <c r="W622" t="s">
        <v>53</v>
      </c>
      <c r="X622" t="s">
        <v>2419</v>
      </c>
      <c r="AC622" t="s">
        <v>2420</v>
      </c>
      <c r="AF622">
        <v>1011859928</v>
      </c>
      <c r="AJ622" t="s">
        <v>174</v>
      </c>
      <c r="AK622" t="s">
        <v>61</v>
      </c>
    </row>
    <row r="623" spans="1:38" x14ac:dyDescent="0.25">
      <c r="A623">
        <v>11859928</v>
      </c>
      <c r="B623" t="s">
        <v>2412</v>
      </c>
      <c r="C623" t="s">
        <v>2413</v>
      </c>
      <c r="D623" t="s">
        <v>39</v>
      </c>
      <c r="E623" t="s">
        <v>49</v>
      </c>
      <c r="F623" t="s">
        <v>2414</v>
      </c>
      <c r="G623" t="s">
        <v>581</v>
      </c>
      <c r="H623">
        <v>33</v>
      </c>
      <c r="I623" t="s">
        <v>2415</v>
      </c>
      <c r="Q623" t="s">
        <v>53</v>
      </c>
      <c r="R623" t="s">
        <v>2417</v>
      </c>
      <c r="U623" t="s">
        <v>51</v>
      </c>
      <c r="V623" t="s">
        <v>2418</v>
      </c>
      <c r="W623" t="s">
        <v>53</v>
      </c>
      <c r="X623" t="s">
        <v>2419</v>
      </c>
      <c r="AC623" t="s">
        <v>2420</v>
      </c>
      <c r="AF623">
        <v>1011859928</v>
      </c>
      <c r="AJ623" t="s">
        <v>87</v>
      </c>
      <c r="AK623" t="s">
        <v>61</v>
      </c>
    </row>
    <row r="624" spans="1:38" x14ac:dyDescent="0.25">
      <c r="A624">
        <v>7790443</v>
      </c>
      <c r="B624" t="s">
        <v>2412</v>
      </c>
      <c r="C624" t="s">
        <v>1128</v>
      </c>
      <c r="D624" t="s">
        <v>39</v>
      </c>
      <c r="E624" t="s">
        <v>40</v>
      </c>
      <c r="F624" t="s">
        <v>2421</v>
      </c>
      <c r="G624" t="s">
        <v>581</v>
      </c>
      <c r="H624">
        <v>33</v>
      </c>
      <c r="I624" t="s">
        <v>2415</v>
      </c>
      <c r="Q624" t="s">
        <v>51</v>
      </c>
      <c r="R624" t="s">
        <v>2416</v>
      </c>
      <c r="U624" t="s">
        <v>53</v>
      </c>
      <c r="V624" t="s">
        <v>2419</v>
      </c>
      <c r="W624" t="s">
        <v>51</v>
      </c>
      <c r="X624" t="s">
        <v>2418</v>
      </c>
      <c r="AF624">
        <v>1007790443</v>
      </c>
      <c r="AJ624" t="s">
        <v>192</v>
      </c>
      <c r="AK624" t="s">
        <v>61</v>
      </c>
    </row>
    <row r="625" spans="1:38" x14ac:dyDescent="0.25">
      <c r="A625">
        <v>7790443</v>
      </c>
      <c r="B625" t="s">
        <v>2412</v>
      </c>
      <c r="C625" t="s">
        <v>1128</v>
      </c>
      <c r="D625" t="s">
        <v>39</v>
      </c>
      <c r="E625" t="s">
        <v>40</v>
      </c>
      <c r="F625" t="s">
        <v>2421</v>
      </c>
      <c r="G625" t="s">
        <v>581</v>
      </c>
      <c r="H625">
        <v>33</v>
      </c>
      <c r="I625" t="s">
        <v>2415</v>
      </c>
      <c r="Q625" t="s">
        <v>51</v>
      </c>
      <c r="R625" t="s">
        <v>2416</v>
      </c>
      <c r="U625" t="s">
        <v>53</v>
      </c>
      <c r="V625" t="s">
        <v>2419</v>
      </c>
      <c r="W625" t="s">
        <v>51</v>
      </c>
      <c r="X625" t="s">
        <v>2418</v>
      </c>
      <c r="AF625">
        <v>1007790443</v>
      </c>
      <c r="AJ625" t="s">
        <v>295</v>
      </c>
      <c r="AK625" t="s">
        <v>61</v>
      </c>
    </row>
    <row r="626" spans="1:38" x14ac:dyDescent="0.25">
      <c r="A626">
        <v>3239912</v>
      </c>
      <c r="B626" t="s">
        <v>2422</v>
      </c>
      <c r="C626" t="s">
        <v>2423</v>
      </c>
      <c r="D626" t="s">
        <v>39</v>
      </c>
      <c r="E626" t="s">
        <v>40</v>
      </c>
      <c r="F626" t="s">
        <v>2424</v>
      </c>
      <c r="U626" t="s">
        <v>46</v>
      </c>
      <c r="V626">
        <v>486024513</v>
      </c>
      <c r="X626">
        <v>0</v>
      </c>
      <c r="Z626">
        <v>0</v>
      </c>
      <c r="AA626">
        <v>0</v>
      </c>
      <c r="AF626">
        <v>1003239912</v>
      </c>
      <c r="AG626">
        <v>156447</v>
      </c>
    </row>
    <row r="627" spans="1:38" x14ac:dyDescent="0.25">
      <c r="A627">
        <v>2183317</v>
      </c>
      <c r="B627" t="s">
        <v>2425</v>
      </c>
      <c r="C627" t="s">
        <v>2426</v>
      </c>
      <c r="D627" t="s">
        <v>39</v>
      </c>
      <c r="E627" t="s">
        <v>40</v>
      </c>
      <c r="F627" t="s">
        <v>2427</v>
      </c>
      <c r="G627" t="s">
        <v>703</v>
      </c>
      <c r="H627">
        <v>57</v>
      </c>
      <c r="R627" t="s">
        <v>2428</v>
      </c>
      <c r="AC627" t="s">
        <v>2429</v>
      </c>
      <c r="AF627">
        <v>1002183317</v>
      </c>
      <c r="AG627">
        <v>712723</v>
      </c>
    </row>
    <row r="628" spans="1:38" x14ac:dyDescent="0.25">
      <c r="A628">
        <v>2183322</v>
      </c>
      <c r="B628" t="s">
        <v>2425</v>
      </c>
      <c r="C628" t="s">
        <v>920</v>
      </c>
      <c r="D628" t="s">
        <v>39</v>
      </c>
      <c r="E628" t="s">
        <v>40</v>
      </c>
      <c r="F628" t="s">
        <v>2430</v>
      </c>
      <c r="G628" t="s">
        <v>703</v>
      </c>
      <c r="H628">
        <v>57</v>
      </c>
      <c r="R628" t="s">
        <v>2428</v>
      </c>
      <c r="V628" t="s">
        <v>2431</v>
      </c>
      <c r="AC628" t="s">
        <v>2432</v>
      </c>
      <c r="AE628" t="s">
        <v>2433</v>
      </c>
      <c r="AF628">
        <v>1002183322</v>
      </c>
      <c r="AG628">
        <v>703874</v>
      </c>
      <c r="AL628" t="s">
        <v>62</v>
      </c>
    </row>
    <row r="629" spans="1:38" x14ac:dyDescent="0.25">
      <c r="A629">
        <v>2183327</v>
      </c>
      <c r="B629" t="s">
        <v>2434</v>
      </c>
      <c r="C629" t="s">
        <v>2435</v>
      </c>
      <c r="D629" t="s">
        <v>39</v>
      </c>
      <c r="E629" t="s">
        <v>40</v>
      </c>
      <c r="F629" t="s">
        <v>2436</v>
      </c>
      <c r="G629" t="s">
        <v>305</v>
      </c>
      <c r="H629">
        <v>169</v>
      </c>
      <c r="R629" t="s">
        <v>2437</v>
      </c>
      <c r="U629" t="s">
        <v>46</v>
      </c>
      <c r="V629">
        <v>32491640325</v>
      </c>
      <c r="AC629" t="s">
        <v>2438</v>
      </c>
      <c r="AE629" t="s">
        <v>2439</v>
      </c>
      <c r="AF629">
        <v>1002183327</v>
      </c>
      <c r="AG629">
        <v>642983</v>
      </c>
    </row>
    <row r="630" spans="1:38" x14ac:dyDescent="0.25">
      <c r="A630">
        <v>2183332</v>
      </c>
      <c r="B630" t="s">
        <v>2440</v>
      </c>
      <c r="C630" t="s">
        <v>2441</v>
      </c>
      <c r="D630" t="s">
        <v>39</v>
      </c>
      <c r="E630" t="s">
        <v>40</v>
      </c>
      <c r="F630" t="s">
        <v>2442</v>
      </c>
      <c r="G630" t="s">
        <v>2443</v>
      </c>
      <c r="H630">
        <v>22</v>
      </c>
      <c r="U630" t="s">
        <v>46</v>
      </c>
      <c r="V630">
        <v>32468241830</v>
      </c>
      <c r="AA630">
        <v>32</v>
      </c>
      <c r="AC630" t="s">
        <v>2444</v>
      </c>
      <c r="AE630" t="s">
        <v>2445</v>
      </c>
      <c r="AF630">
        <v>1002183332</v>
      </c>
      <c r="AG630">
        <v>647819</v>
      </c>
    </row>
    <row r="631" spans="1:38" x14ac:dyDescent="0.25">
      <c r="A631">
        <v>2650608</v>
      </c>
      <c r="B631" t="s">
        <v>2446</v>
      </c>
      <c r="C631" t="s">
        <v>307</v>
      </c>
      <c r="D631" t="s">
        <v>39</v>
      </c>
      <c r="E631" t="s">
        <v>40</v>
      </c>
      <c r="F631" t="s">
        <v>2447</v>
      </c>
      <c r="G631" t="s">
        <v>2448</v>
      </c>
      <c r="H631">
        <v>7</v>
      </c>
      <c r="Q631" t="s">
        <v>53</v>
      </c>
      <c r="R631" t="s">
        <v>2449</v>
      </c>
      <c r="U631" t="s">
        <v>53</v>
      </c>
      <c r="V631">
        <v>32478784192</v>
      </c>
      <c r="W631" t="s">
        <v>53</v>
      </c>
      <c r="X631">
        <v>32477268318</v>
      </c>
      <c r="Y631" t="s">
        <v>46</v>
      </c>
      <c r="Z631">
        <v>32494744847</v>
      </c>
      <c r="AC631" t="s">
        <v>2450</v>
      </c>
      <c r="AE631" t="s">
        <v>2451</v>
      </c>
      <c r="AF631">
        <v>1002650608</v>
      </c>
      <c r="AG631">
        <v>742367</v>
      </c>
      <c r="AJ631" t="s">
        <v>83</v>
      </c>
      <c r="AK631" t="s">
        <v>61</v>
      </c>
    </row>
    <row r="632" spans="1:38" x14ac:dyDescent="0.25">
      <c r="A632">
        <v>9499800</v>
      </c>
      <c r="B632" t="s">
        <v>2452</v>
      </c>
      <c r="C632" t="s">
        <v>2453</v>
      </c>
      <c r="D632" t="s">
        <v>39</v>
      </c>
      <c r="E632" t="s">
        <v>40</v>
      </c>
      <c r="F632" t="s">
        <v>2454</v>
      </c>
      <c r="G632" t="s">
        <v>2455</v>
      </c>
      <c r="H632" t="s">
        <v>2456</v>
      </c>
      <c r="Q632" t="s">
        <v>46</v>
      </c>
      <c r="R632" t="s">
        <v>2457</v>
      </c>
      <c r="S632" t="s">
        <v>51</v>
      </c>
      <c r="T632" t="s">
        <v>2458</v>
      </c>
      <c r="U632" t="s">
        <v>46</v>
      </c>
      <c r="V632">
        <v>32496771030</v>
      </c>
      <c r="W632" t="s">
        <v>53</v>
      </c>
      <c r="X632">
        <v>32476711767</v>
      </c>
      <c r="Y632" t="s">
        <v>51</v>
      </c>
      <c r="Z632">
        <v>32498523468</v>
      </c>
      <c r="AA632">
        <v>32476711767</v>
      </c>
      <c r="AF632">
        <v>1009499800</v>
      </c>
      <c r="AG632">
        <v>709427</v>
      </c>
      <c r="AJ632" t="s">
        <v>286</v>
      </c>
      <c r="AK632" t="s">
        <v>61</v>
      </c>
    </row>
    <row r="633" spans="1:38" x14ac:dyDescent="0.25">
      <c r="A633">
        <v>8620058</v>
      </c>
      <c r="B633" t="s">
        <v>2459</v>
      </c>
      <c r="C633" t="s">
        <v>335</v>
      </c>
      <c r="D633" t="s">
        <v>39</v>
      </c>
      <c r="E633" t="s">
        <v>40</v>
      </c>
      <c r="F633" t="s">
        <v>2460</v>
      </c>
      <c r="V633">
        <v>0</v>
      </c>
      <c r="X633">
        <v>0</v>
      </c>
      <c r="Z633">
        <v>0</v>
      </c>
      <c r="AA633">
        <v>0</v>
      </c>
      <c r="AF633">
        <v>1008620058</v>
      </c>
    </row>
    <row r="634" spans="1:38" x14ac:dyDescent="0.25">
      <c r="A634">
        <v>2183337</v>
      </c>
      <c r="B634" t="s">
        <v>2461</v>
      </c>
      <c r="C634" t="s">
        <v>1802</v>
      </c>
      <c r="D634" t="s">
        <v>39</v>
      </c>
      <c r="E634" t="s">
        <v>40</v>
      </c>
      <c r="F634" t="s">
        <v>2462</v>
      </c>
      <c r="G634" t="s">
        <v>2463</v>
      </c>
      <c r="H634">
        <v>247</v>
      </c>
      <c r="AC634" t="s">
        <v>2464</v>
      </c>
      <c r="AF634">
        <v>1002183337</v>
      </c>
      <c r="AG634">
        <v>214873</v>
      </c>
    </row>
    <row r="635" spans="1:38" x14ac:dyDescent="0.25">
      <c r="A635">
        <v>11086991</v>
      </c>
      <c r="B635" t="s">
        <v>2465</v>
      </c>
      <c r="C635" t="s">
        <v>2466</v>
      </c>
      <c r="D635" t="s">
        <v>39</v>
      </c>
      <c r="E635" t="s">
        <v>40</v>
      </c>
      <c r="F635" t="s">
        <v>2467</v>
      </c>
      <c r="G635" t="s">
        <v>2468</v>
      </c>
      <c r="H635">
        <v>13</v>
      </c>
      <c r="U635" t="s">
        <v>46</v>
      </c>
      <c r="V635" t="s">
        <v>2469</v>
      </c>
      <c r="AC635" t="s">
        <v>2470</v>
      </c>
      <c r="AF635">
        <v>1011086991</v>
      </c>
      <c r="AJ635" t="s">
        <v>743</v>
      </c>
      <c r="AK635" t="s">
        <v>65</v>
      </c>
    </row>
    <row r="636" spans="1:38" x14ac:dyDescent="0.25">
      <c r="A636">
        <v>11086991</v>
      </c>
      <c r="B636" t="s">
        <v>2465</v>
      </c>
      <c r="C636" t="s">
        <v>2466</v>
      </c>
      <c r="D636" t="s">
        <v>39</v>
      </c>
      <c r="E636" t="s">
        <v>40</v>
      </c>
      <c r="F636" t="s">
        <v>2467</v>
      </c>
      <c r="G636" t="s">
        <v>2468</v>
      </c>
      <c r="H636">
        <v>13</v>
      </c>
      <c r="U636" t="s">
        <v>46</v>
      </c>
      <c r="V636" t="s">
        <v>2469</v>
      </c>
      <c r="AC636" t="s">
        <v>2470</v>
      </c>
      <c r="AF636">
        <v>1011086991</v>
      </c>
      <c r="AJ636" t="s">
        <v>286</v>
      </c>
      <c r="AK636" t="s">
        <v>65</v>
      </c>
    </row>
    <row r="637" spans="1:38" x14ac:dyDescent="0.25">
      <c r="A637">
        <v>4292310</v>
      </c>
      <c r="B637" t="s">
        <v>2471</v>
      </c>
      <c r="C637" t="s">
        <v>2472</v>
      </c>
      <c r="D637" t="s">
        <v>39</v>
      </c>
      <c r="E637" t="s">
        <v>49</v>
      </c>
      <c r="F637" t="s">
        <v>1947</v>
      </c>
      <c r="G637" t="s">
        <v>2473</v>
      </c>
      <c r="H637">
        <v>17</v>
      </c>
      <c r="Q637" t="s">
        <v>51</v>
      </c>
      <c r="R637" t="s">
        <v>2474</v>
      </c>
      <c r="U637" t="s">
        <v>53</v>
      </c>
      <c r="V637" t="s">
        <v>2475</v>
      </c>
      <c r="W637" t="s">
        <v>51</v>
      </c>
      <c r="X637">
        <v>483081624</v>
      </c>
      <c r="AE637" t="s">
        <v>2476</v>
      </c>
      <c r="AF637">
        <v>1004292310</v>
      </c>
      <c r="AJ637" t="s">
        <v>63</v>
      </c>
      <c r="AK637" t="s">
        <v>61</v>
      </c>
    </row>
    <row r="638" spans="1:38" x14ac:dyDescent="0.25">
      <c r="A638">
        <v>4292310</v>
      </c>
      <c r="B638" t="s">
        <v>2471</v>
      </c>
      <c r="C638" t="s">
        <v>2472</v>
      </c>
      <c r="D638" t="s">
        <v>39</v>
      </c>
      <c r="E638" t="s">
        <v>49</v>
      </c>
      <c r="F638" t="s">
        <v>1947</v>
      </c>
      <c r="G638" t="s">
        <v>2473</v>
      </c>
      <c r="H638">
        <v>17</v>
      </c>
      <c r="Q638" t="s">
        <v>51</v>
      </c>
      <c r="R638" t="s">
        <v>2474</v>
      </c>
      <c r="U638" t="s">
        <v>53</v>
      </c>
      <c r="V638" t="s">
        <v>2475</v>
      </c>
      <c r="W638" t="s">
        <v>51</v>
      </c>
      <c r="X638">
        <v>483081624</v>
      </c>
      <c r="AE638" t="s">
        <v>2476</v>
      </c>
      <c r="AF638">
        <v>1004292310</v>
      </c>
      <c r="AJ638" t="s">
        <v>127</v>
      </c>
      <c r="AK638" t="s">
        <v>61</v>
      </c>
    </row>
    <row r="639" spans="1:38" x14ac:dyDescent="0.25">
      <c r="A639">
        <v>2650790</v>
      </c>
      <c r="B639" t="s">
        <v>2477</v>
      </c>
      <c r="C639" t="s">
        <v>335</v>
      </c>
      <c r="D639" t="s">
        <v>39</v>
      </c>
      <c r="E639" t="s">
        <v>40</v>
      </c>
      <c r="F639" t="s">
        <v>2478</v>
      </c>
      <c r="G639" t="s">
        <v>2479</v>
      </c>
      <c r="H639">
        <v>15</v>
      </c>
      <c r="V639">
        <v>478439213</v>
      </c>
      <c r="X639">
        <v>498764036</v>
      </c>
      <c r="AC639" t="s">
        <v>2480</v>
      </c>
      <c r="AF639">
        <v>1002650790</v>
      </c>
      <c r="AG639">
        <v>739424</v>
      </c>
      <c r="AJ639" t="s">
        <v>143</v>
      </c>
      <c r="AK639" t="s">
        <v>61</v>
      </c>
    </row>
    <row r="640" spans="1:38" x14ac:dyDescent="0.25">
      <c r="A640">
        <v>2669991</v>
      </c>
      <c r="B640" t="s">
        <v>2481</v>
      </c>
      <c r="C640" t="s">
        <v>1128</v>
      </c>
      <c r="D640" t="s">
        <v>39</v>
      </c>
      <c r="E640" t="s">
        <v>40</v>
      </c>
      <c r="F640" t="s">
        <v>2482</v>
      </c>
      <c r="G640" t="s">
        <v>2483</v>
      </c>
      <c r="H640" t="s">
        <v>864</v>
      </c>
      <c r="V640" t="s">
        <v>2484</v>
      </c>
      <c r="AF640">
        <v>1002669991</v>
      </c>
      <c r="AG640">
        <v>705824</v>
      </c>
      <c r="AJ640" t="s">
        <v>286</v>
      </c>
      <c r="AK640" t="s">
        <v>61</v>
      </c>
    </row>
    <row r="641" spans="1:38" x14ac:dyDescent="0.25">
      <c r="A641">
        <v>2669991</v>
      </c>
      <c r="B641" t="s">
        <v>2481</v>
      </c>
      <c r="C641" t="s">
        <v>1128</v>
      </c>
      <c r="D641" t="s">
        <v>39</v>
      </c>
      <c r="E641" t="s">
        <v>40</v>
      </c>
      <c r="F641" t="s">
        <v>2482</v>
      </c>
      <c r="G641" t="s">
        <v>2483</v>
      </c>
      <c r="H641" t="s">
        <v>864</v>
      </c>
      <c r="V641" t="s">
        <v>2484</v>
      </c>
      <c r="AF641">
        <v>1002669991</v>
      </c>
      <c r="AG641">
        <v>705824</v>
      </c>
      <c r="AJ641" t="s">
        <v>63</v>
      </c>
      <c r="AK641" t="s">
        <v>61</v>
      </c>
    </row>
    <row r="642" spans="1:38" x14ac:dyDescent="0.25">
      <c r="A642">
        <v>2183342</v>
      </c>
      <c r="B642" t="s">
        <v>2485</v>
      </c>
      <c r="C642" t="s">
        <v>1462</v>
      </c>
      <c r="D642" t="s">
        <v>39</v>
      </c>
      <c r="E642" t="s">
        <v>40</v>
      </c>
      <c r="F642" t="s">
        <v>2486</v>
      </c>
      <c r="G642" t="s">
        <v>382</v>
      </c>
      <c r="H642">
        <v>105</v>
      </c>
      <c r="U642" t="s">
        <v>46</v>
      </c>
      <c r="V642">
        <v>477310473</v>
      </c>
      <c r="AC642" t="s">
        <v>2487</v>
      </c>
      <c r="AF642">
        <v>1002183342</v>
      </c>
      <c r="AG642">
        <v>192768</v>
      </c>
    </row>
    <row r="643" spans="1:38" x14ac:dyDescent="0.25">
      <c r="A643">
        <v>2714073</v>
      </c>
      <c r="B643" t="s">
        <v>2488</v>
      </c>
      <c r="C643" t="s">
        <v>1560</v>
      </c>
      <c r="D643" t="s">
        <v>39</v>
      </c>
      <c r="E643" t="s">
        <v>49</v>
      </c>
      <c r="F643" t="s">
        <v>2489</v>
      </c>
      <c r="G643" t="s">
        <v>581</v>
      </c>
      <c r="H643">
        <v>189</v>
      </c>
      <c r="V643">
        <v>0</v>
      </c>
      <c r="X643">
        <v>0</v>
      </c>
      <c r="Z643">
        <v>0</v>
      </c>
      <c r="AA643">
        <v>0</v>
      </c>
      <c r="AC643" t="s">
        <v>2490</v>
      </c>
      <c r="AF643">
        <v>1002714073</v>
      </c>
    </row>
    <row r="644" spans="1:38" x14ac:dyDescent="0.25">
      <c r="A644">
        <v>2183347</v>
      </c>
      <c r="B644" t="s">
        <v>2491</v>
      </c>
      <c r="C644" t="s">
        <v>2492</v>
      </c>
      <c r="D644" t="s">
        <v>39</v>
      </c>
      <c r="E644" t="s">
        <v>40</v>
      </c>
      <c r="F644" t="s">
        <v>2493</v>
      </c>
      <c r="G644" t="s">
        <v>184</v>
      </c>
      <c r="H644">
        <v>5</v>
      </c>
      <c r="Q644" t="s">
        <v>51</v>
      </c>
      <c r="R644" t="s">
        <v>2494</v>
      </c>
      <c r="S644" t="s">
        <v>53</v>
      </c>
      <c r="T644" t="s">
        <v>2495</v>
      </c>
      <c r="U644" t="s">
        <v>53</v>
      </c>
      <c r="V644">
        <v>3247849513</v>
      </c>
      <c r="W644" t="s">
        <v>46</v>
      </c>
      <c r="X644">
        <v>32491941753</v>
      </c>
      <c r="Y644" t="s">
        <v>51</v>
      </c>
      <c r="Z644">
        <v>32493259185</v>
      </c>
      <c r="AC644" t="s">
        <v>2496</v>
      </c>
      <c r="AF644">
        <v>1002183347</v>
      </c>
      <c r="AG644">
        <v>735083</v>
      </c>
      <c r="AJ644" t="s">
        <v>143</v>
      </c>
      <c r="AK644" t="s">
        <v>61</v>
      </c>
      <c r="AL644" t="s">
        <v>62</v>
      </c>
    </row>
    <row r="645" spans="1:38" x14ac:dyDescent="0.25">
      <c r="A645">
        <v>2183347</v>
      </c>
      <c r="B645" t="s">
        <v>2491</v>
      </c>
      <c r="C645" t="s">
        <v>2492</v>
      </c>
      <c r="D645" t="s">
        <v>39</v>
      </c>
      <c r="E645" t="s">
        <v>40</v>
      </c>
      <c r="F645" t="s">
        <v>2493</v>
      </c>
      <c r="G645" t="s">
        <v>184</v>
      </c>
      <c r="H645">
        <v>5</v>
      </c>
      <c r="Q645" t="s">
        <v>51</v>
      </c>
      <c r="R645" t="s">
        <v>2494</v>
      </c>
      <c r="S645" t="s">
        <v>53</v>
      </c>
      <c r="T645" t="s">
        <v>2495</v>
      </c>
      <c r="U645" t="s">
        <v>53</v>
      </c>
      <c r="V645">
        <v>3247849513</v>
      </c>
      <c r="W645" t="s">
        <v>46</v>
      </c>
      <c r="X645">
        <v>32491941753</v>
      </c>
      <c r="Y645" t="s">
        <v>51</v>
      </c>
      <c r="Z645">
        <v>32493259185</v>
      </c>
      <c r="AC645" t="s">
        <v>2496</v>
      </c>
      <c r="AF645">
        <v>1002183347</v>
      </c>
      <c r="AG645">
        <v>735083</v>
      </c>
      <c r="AL645" t="s">
        <v>62</v>
      </c>
    </row>
    <row r="646" spans="1:38" x14ac:dyDescent="0.25">
      <c r="A646">
        <v>2650862</v>
      </c>
      <c r="B646" t="s">
        <v>2491</v>
      </c>
      <c r="C646" t="s">
        <v>657</v>
      </c>
      <c r="D646" t="s">
        <v>39</v>
      </c>
      <c r="E646" t="s">
        <v>40</v>
      </c>
      <c r="F646" t="s">
        <v>2497</v>
      </c>
      <c r="G646" t="s">
        <v>184</v>
      </c>
      <c r="H646">
        <v>5</v>
      </c>
      <c r="AC646" t="s">
        <v>2498</v>
      </c>
      <c r="AF646">
        <v>1002650862</v>
      </c>
      <c r="AG646">
        <v>737366</v>
      </c>
    </row>
    <row r="647" spans="1:38" x14ac:dyDescent="0.25">
      <c r="A647">
        <v>4421928</v>
      </c>
      <c r="B647" t="s">
        <v>2499</v>
      </c>
      <c r="C647" t="s">
        <v>1030</v>
      </c>
      <c r="D647" t="s">
        <v>39</v>
      </c>
      <c r="E647" t="s">
        <v>40</v>
      </c>
      <c r="F647" t="s">
        <v>2500</v>
      </c>
      <c r="G647" t="s">
        <v>305</v>
      </c>
      <c r="H647">
        <v>259</v>
      </c>
      <c r="Q647" t="s">
        <v>53</v>
      </c>
      <c r="R647" t="s">
        <v>2501</v>
      </c>
      <c r="U647" t="s">
        <v>51</v>
      </c>
      <c r="V647" t="s">
        <v>2502</v>
      </c>
      <c r="AC647" t="s">
        <v>2503</v>
      </c>
      <c r="AD647">
        <v>5</v>
      </c>
      <c r="AE647" t="s">
        <v>2504</v>
      </c>
      <c r="AF647">
        <v>1004421928</v>
      </c>
    </row>
    <row r="648" spans="1:38" x14ac:dyDescent="0.25">
      <c r="A648">
        <v>10733442</v>
      </c>
      <c r="B648" t="s">
        <v>2505</v>
      </c>
      <c r="C648" t="s">
        <v>266</v>
      </c>
      <c r="D648" t="s">
        <v>39</v>
      </c>
      <c r="E648" t="s">
        <v>40</v>
      </c>
      <c r="F648" t="s">
        <v>2506</v>
      </c>
      <c r="G648" t="s">
        <v>1964</v>
      </c>
      <c r="H648">
        <v>27</v>
      </c>
      <c r="I648" t="s">
        <v>2415</v>
      </c>
      <c r="Q648" t="s">
        <v>51</v>
      </c>
      <c r="R648" t="s">
        <v>2507</v>
      </c>
      <c r="V648" t="s">
        <v>2508</v>
      </c>
      <c r="AC648" t="s">
        <v>2509</v>
      </c>
      <c r="AE648" t="s">
        <v>2510</v>
      </c>
      <c r="AF648">
        <v>1010733442</v>
      </c>
      <c r="AJ648" t="s">
        <v>131</v>
      </c>
      <c r="AK648" t="s">
        <v>61</v>
      </c>
    </row>
    <row r="649" spans="1:38" x14ac:dyDescent="0.25">
      <c r="A649">
        <v>4776399</v>
      </c>
      <c r="B649" t="s">
        <v>2511</v>
      </c>
      <c r="C649" t="s">
        <v>2512</v>
      </c>
      <c r="D649" t="s">
        <v>39</v>
      </c>
      <c r="E649" t="s">
        <v>40</v>
      </c>
      <c r="F649" t="s">
        <v>2513</v>
      </c>
      <c r="G649" t="s">
        <v>1521</v>
      </c>
      <c r="H649">
        <v>64</v>
      </c>
      <c r="Q649" t="s">
        <v>51</v>
      </c>
      <c r="R649" t="s">
        <v>2514</v>
      </c>
      <c r="U649" t="s">
        <v>53</v>
      </c>
      <c r="V649" t="s">
        <v>2515</v>
      </c>
      <c r="W649" t="s">
        <v>51</v>
      </c>
      <c r="X649" t="s">
        <v>2516</v>
      </c>
      <c r="AE649" t="s">
        <v>2517</v>
      </c>
      <c r="AF649">
        <v>1004776399</v>
      </c>
    </row>
    <row r="650" spans="1:38" x14ac:dyDescent="0.25">
      <c r="A650">
        <v>2183352</v>
      </c>
      <c r="B650" t="s">
        <v>2518</v>
      </c>
      <c r="C650" t="s">
        <v>2519</v>
      </c>
      <c r="D650" t="s">
        <v>39</v>
      </c>
      <c r="E650" t="s">
        <v>49</v>
      </c>
      <c r="F650" t="s">
        <v>2520</v>
      </c>
      <c r="G650" t="s">
        <v>1032</v>
      </c>
      <c r="H650">
        <v>68</v>
      </c>
      <c r="AC650" t="s">
        <v>2521</v>
      </c>
      <c r="AF650">
        <v>1002183352</v>
      </c>
      <c r="AG650">
        <v>725138</v>
      </c>
    </row>
    <row r="651" spans="1:38" x14ac:dyDescent="0.25">
      <c r="A651">
        <v>2714080</v>
      </c>
      <c r="B651" t="s">
        <v>2522</v>
      </c>
      <c r="C651" t="s">
        <v>1616</v>
      </c>
      <c r="D651" t="s">
        <v>39</v>
      </c>
      <c r="E651" t="s">
        <v>49</v>
      </c>
      <c r="F651" t="s">
        <v>2523</v>
      </c>
      <c r="G651" t="s">
        <v>2524</v>
      </c>
      <c r="H651">
        <v>12</v>
      </c>
      <c r="V651">
        <v>0</v>
      </c>
      <c r="X651">
        <v>0</v>
      </c>
      <c r="Z651">
        <v>0</v>
      </c>
      <c r="AA651">
        <v>0</v>
      </c>
      <c r="AC651" t="s">
        <v>2525</v>
      </c>
      <c r="AF651">
        <v>1002714080</v>
      </c>
    </row>
    <row r="652" spans="1:38" x14ac:dyDescent="0.25">
      <c r="A652">
        <v>9547112</v>
      </c>
      <c r="B652" t="s">
        <v>2526</v>
      </c>
      <c r="C652" t="s">
        <v>266</v>
      </c>
      <c r="D652" t="s">
        <v>39</v>
      </c>
      <c r="E652" t="s">
        <v>40</v>
      </c>
      <c r="F652" t="s">
        <v>2527</v>
      </c>
      <c r="G652" t="s">
        <v>2528</v>
      </c>
      <c r="H652">
        <v>2</v>
      </c>
      <c r="U652" t="s">
        <v>46</v>
      </c>
      <c r="V652" t="s">
        <v>2529</v>
      </c>
      <c r="AC652" t="s">
        <v>2530</v>
      </c>
      <c r="AF652">
        <v>1009547112</v>
      </c>
    </row>
    <row r="653" spans="1:38" x14ac:dyDescent="0.25">
      <c r="A653">
        <v>7790447</v>
      </c>
      <c r="B653" t="s">
        <v>2531</v>
      </c>
      <c r="C653" t="s">
        <v>2532</v>
      </c>
      <c r="D653" t="s">
        <v>39</v>
      </c>
      <c r="E653" t="s">
        <v>49</v>
      </c>
      <c r="F653" t="s">
        <v>2533</v>
      </c>
      <c r="G653" t="s">
        <v>2534</v>
      </c>
      <c r="H653">
        <v>34</v>
      </c>
      <c r="Q653" t="s">
        <v>51</v>
      </c>
      <c r="R653" t="s">
        <v>2535</v>
      </c>
      <c r="V653" t="s">
        <v>2536</v>
      </c>
      <c r="AF653">
        <v>1007790447</v>
      </c>
    </row>
    <row r="654" spans="1:38" x14ac:dyDescent="0.25">
      <c r="A654">
        <v>11858683</v>
      </c>
      <c r="B654" t="s">
        <v>2537</v>
      </c>
      <c r="C654" t="s">
        <v>2538</v>
      </c>
      <c r="D654" t="s">
        <v>39</v>
      </c>
      <c r="E654" t="s">
        <v>40</v>
      </c>
      <c r="F654" t="s">
        <v>2539</v>
      </c>
      <c r="G654" t="s">
        <v>2540</v>
      </c>
      <c r="H654">
        <v>38</v>
      </c>
      <c r="V654">
        <v>0</v>
      </c>
      <c r="X654">
        <v>0</v>
      </c>
      <c r="Z654">
        <v>0</v>
      </c>
      <c r="AA654">
        <v>0</v>
      </c>
      <c r="AF654">
        <v>1011858683</v>
      </c>
    </row>
    <row r="655" spans="1:38" x14ac:dyDescent="0.25">
      <c r="A655">
        <v>9469457</v>
      </c>
      <c r="B655" t="s">
        <v>2541</v>
      </c>
      <c r="C655" t="s">
        <v>2542</v>
      </c>
      <c r="D655" t="s">
        <v>39</v>
      </c>
      <c r="E655" t="s">
        <v>40</v>
      </c>
      <c r="F655" t="s">
        <v>1152</v>
      </c>
      <c r="G655" t="s">
        <v>2543</v>
      </c>
      <c r="H655">
        <v>10</v>
      </c>
      <c r="Q655" t="s">
        <v>46</v>
      </c>
      <c r="R655" t="s">
        <v>2545</v>
      </c>
      <c r="S655" t="s">
        <v>53</v>
      </c>
      <c r="T655" t="s">
        <v>2546</v>
      </c>
      <c r="U655" t="s">
        <v>51</v>
      </c>
      <c r="V655" t="s">
        <v>2547</v>
      </c>
      <c r="W655" t="s">
        <v>53</v>
      </c>
      <c r="X655" t="s">
        <v>2548</v>
      </c>
      <c r="Z655">
        <v>32496404704</v>
      </c>
      <c r="AC655" t="s">
        <v>2549</v>
      </c>
      <c r="AE655" t="s">
        <v>2550</v>
      </c>
      <c r="AF655">
        <v>1009469457</v>
      </c>
      <c r="AJ655" t="s">
        <v>63</v>
      </c>
      <c r="AK655" t="s">
        <v>61</v>
      </c>
    </row>
    <row r="656" spans="1:38" x14ac:dyDescent="0.25">
      <c r="A656">
        <v>9469457</v>
      </c>
      <c r="B656" t="s">
        <v>2541</v>
      </c>
      <c r="C656" t="s">
        <v>2542</v>
      </c>
      <c r="D656" t="s">
        <v>39</v>
      </c>
      <c r="E656" t="s">
        <v>40</v>
      </c>
      <c r="F656" t="s">
        <v>1152</v>
      </c>
      <c r="G656" t="s">
        <v>2543</v>
      </c>
      <c r="H656">
        <v>10</v>
      </c>
      <c r="Q656" t="s">
        <v>46</v>
      </c>
      <c r="R656" t="s">
        <v>2545</v>
      </c>
      <c r="S656" t="s">
        <v>53</v>
      </c>
      <c r="T656" t="s">
        <v>2546</v>
      </c>
      <c r="U656" t="s">
        <v>51</v>
      </c>
      <c r="V656" t="s">
        <v>2547</v>
      </c>
      <c r="W656" t="s">
        <v>53</v>
      </c>
      <c r="X656" t="s">
        <v>2548</v>
      </c>
      <c r="Z656">
        <v>32496404704</v>
      </c>
      <c r="AC656" t="s">
        <v>2549</v>
      </c>
      <c r="AE656" t="s">
        <v>2550</v>
      </c>
      <c r="AF656">
        <v>1009469457</v>
      </c>
      <c r="AJ656" t="s">
        <v>744</v>
      </c>
      <c r="AK656" t="s">
        <v>61</v>
      </c>
    </row>
    <row r="657" spans="1:37" x14ac:dyDescent="0.25">
      <c r="A657">
        <v>11244589</v>
      </c>
      <c r="B657" t="s">
        <v>2541</v>
      </c>
      <c r="C657" t="s">
        <v>2551</v>
      </c>
      <c r="D657" t="s">
        <v>39</v>
      </c>
      <c r="E657" t="s">
        <v>40</v>
      </c>
      <c r="G657" t="s">
        <v>2162</v>
      </c>
      <c r="H657">
        <v>10</v>
      </c>
      <c r="V657" t="s">
        <v>2547</v>
      </c>
      <c r="AF657">
        <v>1011244589</v>
      </c>
    </row>
    <row r="658" spans="1:37" x14ac:dyDescent="0.25">
      <c r="A658">
        <v>8482997</v>
      </c>
      <c r="B658" t="s">
        <v>2541</v>
      </c>
      <c r="C658" t="s">
        <v>2552</v>
      </c>
      <c r="D658" t="s">
        <v>39</v>
      </c>
      <c r="E658" t="s">
        <v>40</v>
      </c>
      <c r="F658" t="s">
        <v>2553</v>
      </c>
      <c r="G658" t="s">
        <v>2554</v>
      </c>
      <c r="H658">
        <v>11</v>
      </c>
      <c r="Q658" t="s">
        <v>51</v>
      </c>
      <c r="R658" t="s">
        <v>2544</v>
      </c>
      <c r="V658" t="s">
        <v>2555</v>
      </c>
      <c r="AF658">
        <v>1008482997</v>
      </c>
    </row>
    <row r="659" spans="1:37" x14ac:dyDescent="0.25">
      <c r="A659">
        <v>2183362</v>
      </c>
      <c r="B659" t="s">
        <v>2556</v>
      </c>
      <c r="C659" t="s">
        <v>2557</v>
      </c>
      <c r="D659" t="s">
        <v>39</v>
      </c>
      <c r="E659" t="s">
        <v>49</v>
      </c>
      <c r="F659" t="s">
        <v>2558</v>
      </c>
      <c r="G659" t="s">
        <v>2559</v>
      </c>
      <c r="H659">
        <v>25</v>
      </c>
      <c r="Q659" t="s">
        <v>51</v>
      </c>
      <c r="R659" t="s">
        <v>2560</v>
      </c>
      <c r="U659" t="s">
        <v>53</v>
      </c>
      <c r="V659" t="s">
        <v>2561</v>
      </c>
      <c r="W659" t="s">
        <v>51</v>
      </c>
      <c r="X659" t="s">
        <v>2562</v>
      </c>
      <c r="AC659" t="s">
        <v>2563</v>
      </c>
      <c r="AD659">
        <v>5</v>
      </c>
      <c r="AE659" t="s">
        <v>2564</v>
      </c>
      <c r="AF659">
        <v>1002183362</v>
      </c>
      <c r="AG659">
        <v>733969</v>
      </c>
    </row>
    <row r="660" spans="1:37" x14ac:dyDescent="0.25">
      <c r="A660">
        <v>4061491</v>
      </c>
      <c r="B660" t="s">
        <v>2556</v>
      </c>
      <c r="C660" t="s">
        <v>2031</v>
      </c>
      <c r="D660" t="s">
        <v>39</v>
      </c>
      <c r="E660" t="s">
        <v>40</v>
      </c>
      <c r="G660" t="s">
        <v>2559</v>
      </c>
      <c r="H660">
        <v>25</v>
      </c>
      <c r="V660">
        <v>320477797513</v>
      </c>
      <c r="X660">
        <v>0</v>
      </c>
      <c r="Z660">
        <v>0</v>
      </c>
      <c r="AA660">
        <v>0</v>
      </c>
      <c r="AF660">
        <v>1004061491</v>
      </c>
    </row>
    <row r="661" spans="1:37" x14ac:dyDescent="0.25">
      <c r="A661">
        <v>2183367</v>
      </c>
      <c r="B661" t="s">
        <v>2565</v>
      </c>
      <c r="C661" t="s">
        <v>1937</v>
      </c>
      <c r="D661" t="s">
        <v>39</v>
      </c>
      <c r="E661" t="s">
        <v>40</v>
      </c>
      <c r="F661" t="s">
        <v>2566</v>
      </c>
      <c r="G661" t="s">
        <v>2567</v>
      </c>
      <c r="H661">
        <v>8</v>
      </c>
      <c r="Q661" t="s">
        <v>53</v>
      </c>
      <c r="R661" t="s">
        <v>804</v>
      </c>
      <c r="T661" t="s">
        <v>2568</v>
      </c>
      <c r="AC661" t="s">
        <v>2569</v>
      </c>
      <c r="AF661">
        <v>1002183367</v>
      </c>
      <c r="AG661">
        <v>666306</v>
      </c>
      <c r="AJ661" t="s">
        <v>179</v>
      </c>
      <c r="AK661" t="s">
        <v>61</v>
      </c>
    </row>
    <row r="662" spans="1:37" x14ac:dyDescent="0.25">
      <c r="A662">
        <v>4523854</v>
      </c>
      <c r="B662" t="s">
        <v>2570</v>
      </c>
      <c r="C662" t="s">
        <v>2571</v>
      </c>
      <c r="D662" t="s">
        <v>39</v>
      </c>
      <c r="E662" t="s">
        <v>40</v>
      </c>
      <c r="F662" t="s">
        <v>2572</v>
      </c>
      <c r="G662" t="s">
        <v>2573</v>
      </c>
      <c r="H662">
        <v>5</v>
      </c>
      <c r="Q662" t="s">
        <v>51</v>
      </c>
      <c r="R662" t="s">
        <v>2574</v>
      </c>
      <c r="AF662">
        <v>1004523854</v>
      </c>
      <c r="AJ662" t="s">
        <v>192</v>
      </c>
      <c r="AK662" t="s">
        <v>61</v>
      </c>
    </row>
    <row r="663" spans="1:37" x14ac:dyDescent="0.25">
      <c r="A663">
        <v>7501903</v>
      </c>
      <c r="B663" t="s">
        <v>2575</v>
      </c>
      <c r="C663" t="s">
        <v>2576</v>
      </c>
      <c r="D663" t="s">
        <v>39</v>
      </c>
      <c r="E663" t="s">
        <v>49</v>
      </c>
      <c r="F663" t="s">
        <v>2577</v>
      </c>
      <c r="G663" t="s">
        <v>2578</v>
      </c>
      <c r="H663" t="s">
        <v>2579</v>
      </c>
      <c r="V663" t="s">
        <v>2580</v>
      </c>
      <c r="AF663">
        <v>1007501903</v>
      </c>
    </row>
    <row r="664" spans="1:37" x14ac:dyDescent="0.25">
      <c r="A664">
        <v>3447788</v>
      </c>
      <c r="B664" t="s">
        <v>2575</v>
      </c>
      <c r="C664" t="s">
        <v>1631</v>
      </c>
      <c r="D664" t="s">
        <v>39</v>
      </c>
      <c r="E664" t="s">
        <v>40</v>
      </c>
      <c r="F664" t="s">
        <v>2581</v>
      </c>
      <c r="G664" t="s">
        <v>2578</v>
      </c>
      <c r="H664" t="s">
        <v>2579</v>
      </c>
      <c r="U664" t="s">
        <v>53</v>
      </c>
      <c r="V664" t="s">
        <v>2580</v>
      </c>
      <c r="AC664" t="s">
        <v>2582</v>
      </c>
      <c r="AD664">
        <v>13</v>
      </c>
      <c r="AE664" t="s">
        <v>2583</v>
      </c>
      <c r="AF664">
        <v>1003447788</v>
      </c>
      <c r="AJ664" t="s">
        <v>104</v>
      </c>
      <c r="AK664" t="s">
        <v>61</v>
      </c>
    </row>
    <row r="665" spans="1:37" x14ac:dyDescent="0.25">
      <c r="A665">
        <v>3447788</v>
      </c>
      <c r="B665" t="s">
        <v>2575</v>
      </c>
      <c r="C665" t="s">
        <v>1631</v>
      </c>
      <c r="D665" t="s">
        <v>39</v>
      </c>
      <c r="E665" t="s">
        <v>40</v>
      </c>
      <c r="F665" t="s">
        <v>2581</v>
      </c>
      <c r="G665" t="s">
        <v>2578</v>
      </c>
      <c r="H665" t="s">
        <v>2579</v>
      </c>
      <c r="U665" t="s">
        <v>53</v>
      </c>
      <c r="V665" t="s">
        <v>2580</v>
      </c>
      <c r="AC665" t="s">
        <v>2582</v>
      </c>
      <c r="AD665">
        <v>13</v>
      </c>
      <c r="AE665" t="s">
        <v>2583</v>
      </c>
      <c r="AF665">
        <v>1003447788</v>
      </c>
      <c r="AJ665" t="s">
        <v>63</v>
      </c>
      <c r="AK665" t="s">
        <v>61</v>
      </c>
    </row>
    <row r="666" spans="1:37" x14ac:dyDescent="0.25">
      <c r="A666">
        <v>3447788</v>
      </c>
      <c r="B666" t="s">
        <v>2575</v>
      </c>
      <c r="C666" t="s">
        <v>1631</v>
      </c>
      <c r="D666" t="s">
        <v>39</v>
      </c>
      <c r="E666" t="s">
        <v>40</v>
      </c>
      <c r="F666" t="s">
        <v>2581</v>
      </c>
      <c r="G666" t="s">
        <v>2578</v>
      </c>
      <c r="H666" t="s">
        <v>2579</v>
      </c>
      <c r="U666" t="s">
        <v>53</v>
      </c>
      <c r="V666" t="s">
        <v>2580</v>
      </c>
      <c r="AC666" t="s">
        <v>2582</v>
      </c>
      <c r="AD666">
        <v>13</v>
      </c>
      <c r="AE666" t="s">
        <v>2583</v>
      </c>
      <c r="AF666">
        <v>1003447788</v>
      </c>
      <c r="AJ666" t="s">
        <v>87</v>
      </c>
      <c r="AK666" t="s">
        <v>61</v>
      </c>
    </row>
    <row r="667" spans="1:37" x14ac:dyDescent="0.25">
      <c r="A667">
        <v>6169565</v>
      </c>
      <c r="B667" t="s">
        <v>2584</v>
      </c>
      <c r="C667" t="s">
        <v>2435</v>
      </c>
      <c r="D667" t="s">
        <v>39</v>
      </c>
      <c r="E667" t="s">
        <v>40</v>
      </c>
      <c r="F667" t="s">
        <v>2585</v>
      </c>
      <c r="G667" t="s">
        <v>2586</v>
      </c>
      <c r="H667">
        <v>1</v>
      </c>
      <c r="V667">
        <v>0</v>
      </c>
      <c r="X667">
        <v>0</v>
      </c>
      <c r="Z667">
        <v>0</v>
      </c>
      <c r="AA667">
        <v>0</v>
      </c>
      <c r="AC667" t="s">
        <v>2587</v>
      </c>
      <c r="AF667">
        <v>1006169565</v>
      </c>
    </row>
    <row r="668" spans="1:37" x14ac:dyDescent="0.25">
      <c r="A668">
        <v>2183372</v>
      </c>
      <c r="B668" t="s">
        <v>2588</v>
      </c>
      <c r="C668" t="s">
        <v>2589</v>
      </c>
      <c r="D668" t="s">
        <v>39</v>
      </c>
      <c r="E668" t="s">
        <v>49</v>
      </c>
      <c r="F668" t="s">
        <v>2590</v>
      </c>
      <c r="G668" t="s">
        <v>2591</v>
      </c>
      <c r="H668">
        <v>21</v>
      </c>
      <c r="I668">
        <v>102</v>
      </c>
      <c r="U668" t="s">
        <v>46</v>
      </c>
      <c r="V668" t="s">
        <v>2592</v>
      </c>
      <c r="AC668" t="s">
        <v>2593</v>
      </c>
      <c r="AF668">
        <v>1002183372</v>
      </c>
      <c r="AG668">
        <v>150148</v>
      </c>
    </row>
    <row r="669" spans="1:37" x14ac:dyDescent="0.25">
      <c r="A669">
        <v>10452584</v>
      </c>
      <c r="B669" t="s">
        <v>2594</v>
      </c>
      <c r="C669" t="s">
        <v>2595</v>
      </c>
      <c r="D669" t="s">
        <v>39</v>
      </c>
      <c r="E669" t="s">
        <v>49</v>
      </c>
      <c r="F669" t="s">
        <v>2596</v>
      </c>
      <c r="G669" t="s">
        <v>290</v>
      </c>
      <c r="H669">
        <v>31</v>
      </c>
      <c r="R669" t="s">
        <v>2597</v>
      </c>
      <c r="U669" t="s">
        <v>53</v>
      </c>
      <c r="V669" t="s">
        <v>2598</v>
      </c>
      <c r="W669" t="s">
        <v>51</v>
      </c>
      <c r="X669">
        <v>32497914889</v>
      </c>
      <c r="AE669" t="s">
        <v>2599</v>
      </c>
      <c r="AF669">
        <v>1010452584</v>
      </c>
      <c r="AJ669" t="s">
        <v>294</v>
      </c>
      <c r="AK669" t="s">
        <v>61</v>
      </c>
    </row>
    <row r="670" spans="1:37" x14ac:dyDescent="0.25">
      <c r="A670">
        <v>2183382</v>
      </c>
      <c r="B670" t="s">
        <v>2600</v>
      </c>
      <c r="C670" t="s">
        <v>2601</v>
      </c>
      <c r="D670" t="s">
        <v>39</v>
      </c>
      <c r="E670" t="s">
        <v>49</v>
      </c>
      <c r="F670" t="s">
        <v>2602</v>
      </c>
      <c r="G670" t="s">
        <v>2603</v>
      </c>
      <c r="H670">
        <v>1</v>
      </c>
      <c r="Q670" t="s">
        <v>51</v>
      </c>
      <c r="R670" t="s">
        <v>2604</v>
      </c>
      <c r="V670" t="s">
        <v>2605</v>
      </c>
      <c r="AF670">
        <v>1002183382</v>
      </c>
      <c r="AG670">
        <v>703875</v>
      </c>
      <c r="AJ670" t="s">
        <v>323</v>
      </c>
      <c r="AK670" t="s">
        <v>61</v>
      </c>
    </row>
    <row r="671" spans="1:37" x14ac:dyDescent="0.25">
      <c r="A671">
        <v>2183387</v>
      </c>
      <c r="B671" t="s">
        <v>2600</v>
      </c>
      <c r="C671" t="s">
        <v>1748</v>
      </c>
      <c r="D671" t="s">
        <v>39</v>
      </c>
      <c r="E671" t="s">
        <v>40</v>
      </c>
      <c r="F671" t="s">
        <v>2606</v>
      </c>
      <c r="G671" t="s">
        <v>2603</v>
      </c>
      <c r="H671">
        <v>1</v>
      </c>
      <c r="R671" t="s">
        <v>2604</v>
      </c>
      <c r="AF671">
        <v>1002183387</v>
      </c>
    </row>
    <row r="672" spans="1:37" x14ac:dyDescent="0.25">
      <c r="A672">
        <v>2183392</v>
      </c>
      <c r="B672" t="s">
        <v>2607</v>
      </c>
      <c r="C672" t="s">
        <v>2608</v>
      </c>
      <c r="D672" t="s">
        <v>39</v>
      </c>
      <c r="E672" t="s">
        <v>49</v>
      </c>
      <c r="F672" t="s">
        <v>690</v>
      </c>
      <c r="G672" t="s">
        <v>305</v>
      </c>
      <c r="H672">
        <v>204</v>
      </c>
      <c r="R672" t="s">
        <v>2609</v>
      </c>
      <c r="U672" t="s">
        <v>51</v>
      </c>
      <c r="V672" t="s">
        <v>2610</v>
      </c>
      <c r="W672" t="s">
        <v>53</v>
      </c>
      <c r="X672" t="s">
        <v>2611</v>
      </c>
      <c r="AC672" t="s">
        <v>2612</v>
      </c>
      <c r="AE672" t="s">
        <v>2613</v>
      </c>
      <c r="AF672">
        <v>1002183392</v>
      </c>
      <c r="AG672">
        <v>730033</v>
      </c>
      <c r="AJ672" t="s">
        <v>97</v>
      </c>
      <c r="AK672" t="s">
        <v>61</v>
      </c>
    </row>
    <row r="673" spans="1:38" x14ac:dyDescent="0.25">
      <c r="A673">
        <v>2183392</v>
      </c>
      <c r="B673" t="s">
        <v>2607</v>
      </c>
      <c r="C673" t="s">
        <v>2608</v>
      </c>
      <c r="D673" t="s">
        <v>39</v>
      </c>
      <c r="E673" t="s">
        <v>49</v>
      </c>
      <c r="F673" t="s">
        <v>690</v>
      </c>
      <c r="G673" t="s">
        <v>305</v>
      </c>
      <c r="H673">
        <v>204</v>
      </c>
      <c r="R673" t="s">
        <v>2609</v>
      </c>
      <c r="U673" t="s">
        <v>51</v>
      </c>
      <c r="V673" t="s">
        <v>2610</v>
      </c>
      <c r="W673" t="s">
        <v>53</v>
      </c>
      <c r="X673" t="s">
        <v>2611</v>
      </c>
      <c r="AC673" t="s">
        <v>2612</v>
      </c>
      <c r="AE673" t="s">
        <v>2613</v>
      </c>
      <c r="AF673">
        <v>1002183392</v>
      </c>
      <c r="AG673">
        <v>730033</v>
      </c>
      <c r="AJ673" t="s">
        <v>63</v>
      </c>
      <c r="AK673" t="s">
        <v>61</v>
      </c>
    </row>
    <row r="674" spans="1:38" x14ac:dyDescent="0.25">
      <c r="A674">
        <v>2650948</v>
      </c>
      <c r="B674" t="s">
        <v>2607</v>
      </c>
      <c r="C674" t="s">
        <v>2614</v>
      </c>
      <c r="D674" t="s">
        <v>39</v>
      </c>
      <c r="E674" t="s">
        <v>40</v>
      </c>
      <c r="F674" t="s">
        <v>2615</v>
      </c>
      <c r="G674" t="s">
        <v>305</v>
      </c>
      <c r="H674">
        <v>204</v>
      </c>
      <c r="R674" t="s">
        <v>2609</v>
      </c>
      <c r="U674" t="s">
        <v>51</v>
      </c>
      <c r="V674">
        <v>320477741955</v>
      </c>
      <c r="W674" t="s">
        <v>53</v>
      </c>
      <c r="X674">
        <v>320474478913</v>
      </c>
      <c r="AC674" t="s">
        <v>2616</v>
      </c>
      <c r="AE674" t="s">
        <v>2617</v>
      </c>
      <c r="AF674">
        <v>1002650948</v>
      </c>
      <c r="AG674">
        <v>742178</v>
      </c>
    </row>
    <row r="675" spans="1:38" x14ac:dyDescent="0.25">
      <c r="A675">
        <v>2655206</v>
      </c>
      <c r="B675" t="s">
        <v>2607</v>
      </c>
      <c r="C675" t="s">
        <v>1170</v>
      </c>
      <c r="D675" t="s">
        <v>39</v>
      </c>
      <c r="E675" t="s">
        <v>40</v>
      </c>
      <c r="F675" t="s">
        <v>2618</v>
      </c>
      <c r="G675" t="s">
        <v>305</v>
      </c>
      <c r="H675">
        <v>204</v>
      </c>
      <c r="U675" t="s">
        <v>51</v>
      </c>
      <c r="V675">
        <v>320477741955</v>
      </c>
      <c r="AC675" t="s">
        <v>2619</v>
      </c>
      <c r="AE675" t="s">
        <v>2620</v>
      </c>
      <c r="AF675">
        <v>1002655206</v>
      </c>
      <c r="AG675">
        <v>742179</v>
      </c>
      <c r="AL675" t="s">
        <v>593</v>
      </c>
    </row>
    <row r="676" spans="1:38" x14ac:dyDescent="0.25">
      <c r="A676">
        <v>2183397</v>
      </c>
      <c r="B676" t="s">
        <v>2621</v>
      </c>
      <c r="C676" t="s">
        <v>2622</v>
      </c>
      <c r="D676" t="s">
        <v>39</v>
      </c>
      <c r="E676" t="s">
        <v>40</v>
      </c>
      <c r="F676" t="s">
        <v>2623</v>
      </c>
      <c r="G676" t="s">
        <v>1253</v>
      </c>
      <c r="H676">
        <v>1</v>
      </c>
      <c r="V676" t="s">
        <v>2624</v>
      </c>
      <c r="AC676" t="s">
        <v>2625</v>
      </c>
      <c r="AE676" t="s">
        <v>2626</v>
      </c>
      <c r="AF676">
        <v>1002183397</v>
      </c>
      <c r="AG676">
        <v>717354</v>
      </c>
      <c r="AL676" t="s">
        <v>62</v>
      </c>
    </row>
    <row r="677" spans="1:38" x14ac:dyDescent="0.25">
      <c r="A677">
        <v>2183402</v>
      </c>
      <c r="B677" t="s">
        <v>2621</v>
      </c>
      <c r="C677" t="s">
        <v>1887</v>
      </c>
      <c r="D677" t="s">
        <v>39</v>
      </c>
      <c r="E677" t="s">
        <v>49</v>
      </c>
      <c r="F677" t="s">
        <v>2627</v>
      </c>
      <c r="G677" t="s">
        <v>1080</v>
      </c>
      <c r="H677">
        <v>34</v>
      </c>
      <c r="R677" t="s">
        <v>2628</v>
      </c>
      <c r="U677" t="s">
        <v>46</v>
      </c>
      <c r="V677">
        <v>472774656</v>
      </c>
      <c r="AC677" t="s">
        <v>2629</v>
      </c>
      <c r="AF677">
        <v>1002183402</v>
      </c>
      <c r="AG677">
        <v>154095</v>
      </c>
    </row>
    <row r="678" spans="1:38" x14ac:dyDescent="0.25">
      <c r="A678">
        <v>2183407</v>
      </c>
      <c r="B678" t="s">
        <v>2621</v>
      </c>
      <c r="C678" t="s">
        <v>2630</v>
      </c>
      <c r="D678" t="s">
        <v>39</v>
      </c>
      <c r="E678" t="s">
        <v>40</v>
      </c>
      <c r="F678" t="s">
        <v>2631</v>
      </c>
      <c r="G678" t="s">
        <v>1253</v>
      </c>
      <c r="H678">
        <v>1</v>
      </c>
      <c r="AC678" t="s">
        <v>2632</v>
      </c>
      <c r="AF678">
        <v>1002183407</v>
      </c>
      <c r="AG678">
        <v>727381</v>
      </c>
    </row>
    <row r="679" spans="1:38" x14ac:dyDescent="0.25">
      <c r="A679">
        <v>7992424</v>
      </c>
      <c r="B679" t="s">
        <v>2633</v>
      </c>
      <c r="C679" t="s">
        <v>2634</v>
      </c>
      <c r="D679" t="s">
        <v>39</v>
      </c>
      <c r="E679" t="s">
        <v>40</v>
      </c>
      <c r="F679" t="s">
        <v>2635</v>
      </c>
      <c r="G679" t="s">
        <v>2636</v>
      </c>
      <c r="H679">
        <v>3</v>
      </c>
      <c r="Q679" t="s">
        <v>51</v>
      </c>
      <c r="R679" t="s">
        <v>2637</v>
      </c>
      <c r="V679" t="s">
        <v>2638</v>
      </c>
      <c r="W679" t="s">
        <v>51</v>
      </c>
      <c r="X679">
        <v>32472817695</v>
      </c>
      <c r="AE679" t="s">
        <v>2639</v>
      </c>
      <c r="AF679">
        <v>1007992424</v>
      </c>
      <c r="AJ679" t="s">
        <v>656</v>
      </c>
      <c r="AK679" t="s">
        <v>61</v>
      </c>
    </row>
    <row r="680" spans="1:38" x14ac:dyDescent="0.25">
      <c r="A680">
        <v>7992424</v>
      </c>
      <c r="B680" t="s">
        <v>2633</v>
      </c>
      <c r="C680" t="s">
        <v>2634</v>
      </c>
      <c r="D680" t="s">
        <v>39</v>
      </c>
      <c r="E680" t="s">
        <v>40</v>
      </c>
      <c r="F680" t="s">
        <v>2635</v>
      </c>
      <c r="G680" t="s">
        <v>2636</v>
      </c>
      <c r="H680">
        <v>3</v>
      </c>
      <c r="Q680" t="s">
        <v>51</v>
      </c>
      <c r="R680" t="s">
        <v>2637</v>
      </c>
      <c r="V680" t="s">
        <v>2638</v>
      </c>
      <c r="W680" t="s">
        <v>51</v>
      </c>
      <c r="X680">
        <v>32472817695</v>
      </c>
      <c r="AE680" t="s">
        <v>2639</v>
      </c>
      <c r="AF680">
        <v>1007992424</v>
      </c>
      <c r="AJ680" t="s">
        <v>295</v>
      </c>
      <c r="AK680" t="s">
        <v>61</v>
      </c>
    </row>
    <row r="681" spans="1:38" x14ac:dyDescent="0.25">
      <c r="A681">
        <v>7500726</v>
      </c>
      <c r="B681" t="s">
        <v>2640</v>
      </c>
      <c r="C681" t="s">
        <v>2641</v>
      </c>
      <c r="D681" t="s">
        <v>39</v>
      </c>
      <c r="E681" t="s">
        <v>49</v>
      </c>
      <c r="F681" t="s">
        <v>2642</v>
      </c>
      <c r="G681" t="s">
        <v>2643</v>
      </c>
      <c r="H681">
        <v>46</v>
      </c>
      <c r="Q681" t="s">
        <v>53</v>
      </c>
      <c r="R681" t="s">
        <v>2644</v>
      </c>
      <c r="U681" t="s">
        <v>51</v>
      </c>
      <c r="V681">
        <v>32494645568</v>
      </c>
      <c r="W681" t="s">
        <v>53</v>
      </c>
      <c r="X681">
        <v>32474708670</v>
      </c>
      <c r="AB681" t="s">
        <v>2645</v>
      </c>
      <c r="AC681" t="s">
        <v>2646</v>
      </c>
      <c r="AE681" t="s">
        <v>2647</v>
      </c>
      <c r="AF681">
        <v>1007500726</v>
      </c>
      <c r="AJ681" t="s">
        <v>174</v>
      </c>
      <c r="AK681" t="s">
        <v>61</v>
      </c>
    </row>
    <row r="682" spans="1:38" x14ac:dyDescent="0.25">
      <c r="A682">
        <v>2183412</v>
      </c>
      <c r="B682" t="s">
        <v>2648</v>
      </c>
      <c r="C682" t="s">
        <v>2031</v>
      </c>
      <c r="D682" t="s">
        <v>39</v>
      </c>
      <c r="E682" t="s">
        <v>40</v>
      </c>
      <c r="F682" t="s">
        <v>2649</v>
      </c>
      <c r="G682" t="s">
        <v>2650</v>
      </c>
      <c r="H682">
        <v>37</v>
      </c>
      <c r="AC682" t="s">
        <v>2651</v>
      </c>
      <c r="AF682">
        <v>1002183412</v>
      </c>
    </row>
    <row r="683" spans="1:38" x14ac:dyDescent="0.25">
      <c r="A683">
        <v>2669926</v>
      </c>
      <c r="B683" t="s">
        <v>2652</v>
      </c>
      <c r="C683" t="s">
        <v>2653</v>
      </c>
      <c r="D683" t="s">
        <v>39</v>
      </c>
      <c r="E683" t="s">
        <v>49</v>
      </c>
      <c r="F683" t="s">
        <v>2654</v>
      </c>
      <c r="G683" t="s">
        <v>2655</v>
      </c>
      <c r="H683">
        <v>22</v>
      </c>
      <c r="AF683">
        <v>1002669926</v>
      </c>
      <c r="AG683">
        <v>705268</v>
      </c>
    </row>
    <row r="684" spans="1:38" x14ac:dyDescent="0.25">
      <c r="A684">
        <v>3445768</v>
      </c>
      <c r="B684" t="s">
        <v>2656</v>
      </c>
      <c r="C684" t="s">
        <v>2657</v>
      </c>
      <c r="D684" t="s">
        <v>39</v>
      </c>
      <c r="E684" t="s">
        <v>40</v>
      </c>
      <c r="F684" t="s">
        <v>2658</v>
      </c>
      <c r="G684" t="s">
        <v>2659</v>
      </c>
      <c r="H684">
        <v>25</v>
      </c>
      <c r="R684" t="s">
        <v>2660</v>
      </c>
      <c r="U684" t="s">
        <v>53</v>
      </c>
      <c r="V684" t="s">
        <v>2661</v>
      </c>
      <c r="AE684" t="s">
        <v>2662</v>
      </c>
      <c r="AF684">
        <v>1003445768</v>
      </c>
      <c r="AJ684" t="s">
        <v>88</v>
      </c>
      <c r="AK684" t="s">
        <v>61</v>
      </c>
    </row>
    <row r="685" spans="1:38" x14ac:dyDescent="0.25">
      <c r="A685">
        <v>3619002</v>
      </c>
      <c r="B685" t="s">
        <v>2656</v>
      </c>
      <c r="C685" t="s">
        <v>2532</v>
      </c>
      <c r="D685" t="s">
        <v>39</v>
      </c>
      <c r="E685" t="s">
        <v>49</v>
      </c>
      <c r="V685">
        <v>0</v>
      </c>
      <c r="X685">
        <v>0</v>
      </c>
      <c r="Z685">
        <v>0</v>
      </c>
      <c r="AA685">
        <v>0</v>
      </c>
      <c r="AF685">
        <v>1003619002</v>
      </c>
    </row>
    <row r="686" spans="1:38" x14ac:dyDescent="0.25">
      <c r="A686">
        <v>5570242</v>
      </c>
      <c r="B686" t="s">
        <v>2663</v>
      </c>
      <c r="C686" t="s">
        <v>1272</v>
      </c>
      <c r="D686" t="s">
        <v>39</v>
      </c>
      <c r="E686" t="s">
        <v>40</v>
      </c>
      <c r="F686" t="s">
        <v>2664</v>
      </c>
      <c r="G686" t="s">
        <v>2665</v>
      </c>
      <c r="H686">
        <v>4</v>
      </c>
      <c r="Q686" t="s">
        <v>51</v>
      </c>
      <c r="R686" t="s">
        <v>2666</v>
      </c>
      <c r="U686" t="s">
        <v>53</v>
      </c>
      <c r="V686" t="s">
        <v>2667</v>
      </c>
      <c r="W686" t="s">
        <v>51</v>
      </c>
      <c r="X686" t="s">
        <v>2668</v>
      </c>
      <c r="AC686" t="s">
        <v>2669</v>
      </c>
      <c r="AF686">
        <v>1005570242</v>
      </c>
    </row>
    <row r="687" spans="1:38" x14ac:dyDescent="0.25">
      <c r="A687">
        <v>3884882</v>
      </c>
      <c r="B687" t="s">
        <v>2670</v>
      </c>
      <c r="C687" t="s">
        <v>2671</v>
      </c>
      <c r="D687" t="s">
        <v>39</v>
      </c>
      <c r="E687" t="s">
        <v>40</v>
      </c>
      <c r="F687" t="s">
        <v>2672</v>
      </c>
      <c r="G687" t="s">
        <v>2673</v>
      </c>
      <c r="H687">
        <v>36</v>
      </c>
      <c r="Q687" t="s">
        <v>51</v>
      </c>
      <c r="R687" t="s">
        <v>2674</v>
      </c>
      <c r="U687" t="s">
        <v>51</v>
      </c>
      <c r="V687">
        <v>32479311550</v>
      </c>
      <c r="W687" t="s">
        <v>53</v>
      </c>
      <c r="X687">
        <v>32486860121</v>
      </c>
      <c r="AF687">
        <v>1003884882</v>
      </c>
      <c r="AJ687" t="s">
        <v>88</v>
      </c>
      <c r="AK687" t="s">
        <v>61</v>
      </c>
    </row>
    <row r="688" spans="1:38" x14ac:dyDescent="0.25">
      <c r="A688">
        <v>4495958</v>
      </c>
      <c r="B688" t="s">
        <v>2670</v>
      </c>
      <c r="C688" t="s">
        <v>2675</v>
      </c>
      <c r="D688" t="s">
        <v>39</v>
      </c>
      <c r="E688" t="s">
        <v>49</v>
      </c>
      <c r="F688" t="s">
        <v>2676</v>
      </c>
      <c r="V688">
        <v>0</v>
      </c>
      <c r="X688">
        <v>0</v>
      </c>
      <c r="Z688">
        <v>0</v>
      </c>
      <c r="AA688">
        <v>0</v>
      </c>
      <c r="AF688">
        <v>1004495958</v>
      </c>
    </row>
    <row r="689" spans="1:37" x14ac:dyDescent="0.25">
      <c r="A689">
        <v>4361675</v>
      </c>
      <c r="B689" t="s">
        <v>2677</v>
      </c>
      <c r="C689" t="s">
        <v>378</v>
      </c>
      <c r="D689" t="s">
        <v>39</v>
      </c>
      <c r="E689" t="s">
        <v>49</v>
      </c>
      <c r="F689" t="s">
        <v>2678</v>
      </c>
      <c r="G689" t="s">
        <v>342</v>
      </c>
      <c r="H689">
        <v>110</v>
      </c>
      <c r="AC689" t="s">
        <v>2679</v>
      </c>
      <c r="AD689">
        <v>7</v>
      </c>
      <c r="AE689" t="s">
        <v>2680</v>
      </c>
      <c r="AF689">
        <v>1004361675</v>
      </c>
      <c r="AG689">
        <v>222635</v>
      </c>
    </row>
    <row r="690" spans="1:37" x14ac:dyDescent="0.25">
      <c r="A690">
        <v>7664134</v>
      </c>
      <c r="B690" t="s">
        <v>2681</v>
      </c>
      <c r="C690" t="s">
        <v>2077</v>
      </c>
      <c r="D690" t="s">
        <v>39</v>
      </c>
      <c r="E690" t="s">
        <v>49</v>
      </c>
      <c r="V690">
        <v>0</v>
      </c>
      <c r="X690">
        <v>0</v>
      </c>
      <c r="Z690">
        <v>0</v>
      </c>
      <c r="AA690">
        <v>0</v>
      </c>
      <c r="AE690" t="s">
        <v>2682</v>
      </c>
      <c r="AF690">
        <v>1007664134</v>
      </c>
    </row>
    <row r="691" spans="1:37" x14ac:dyDescent="0.25">
      <c r="A691">
        <v>3618721</v>
      </c>
      <c r="B691" t="s">
        <v>2683</v>
      </c>
      <c r="C691" t="s">
        <v>2684</v>
      </c>
      <c r="D691" t="s">
        <v>39</v>
      </c>
      <c r="E691" t="s">
        <v>40</v>
      </c>
      <c r="F691" t="s">
        <v>2685</v>
      </c>
      <c r="G691" t="s">
        <v>92</v>
      </c>
      <c r="H691">
        <v>68</v>
      </c>
      <c r="U691" t="s">
        <v>53</v>
      </c>
      <c r="V691" t="s">
        <v>2686</v>
      </c>
      <c r="AF691">
        <v>1003618721</v>
      </c>
    </row>
    <row r="692" spans="1:37" x14ac:dyDescent="0.25">
      <c r="A692">
        <v>3706826</v>
      </c>
      <c r="B692" t="s">
        <v>2687</v>
      </c>
      <c r="C692" t="s">
        <v>2688</v>
      </c>
      <c r="D692" t="s">
        <v>39</v>
      </c>
      <c r="E692" t="s">
        <v>49</v>
      </c>
      <c r="F692" t="s">
        <v>2689</v>
      </c>
      <c r="G692" t="s">
        <v>2690</v>
      </c>
      <c r="H692">
        <v>4</v>
      </c>
      <c r="Q692" t="s">
        <v>53</v>
      </c>
      <c r="R692" t="s">
        <v>2691</v>
      </c>
      <c r="S692" t="s">
        <v>46</v>
      </c>
      <c r="T692" t="s">
        <v>2692</v>
      </c>
      <c r="AC692" t="s">
        <v>2693</v>
      </c>
      <c r="AD692">
        <v>9</v>
      </c>
      <c r="AE692" t="s">
        <v>2694</v>
      </c>
      <c r="AF692">
        <v>1003706826</v>
      </c>
      <c r="AJ692" t="s">
        <v>60</v>
      </c>
      <c r="AK692" t="s">
        <v>61</v>
      </c>
    </row>
    <row r="693" spans="1:37" x14ac:dyDescent="0.25">
      <c r="A693">
        <v>3706826</v>
      </c>
      <c r="B693" t="s">
        <v>2687</v>
      </c>
      <c r="C693" t="s">
        <v>2688</v>
      </c>
      <c r="D693" t="s">
        <v>39</v>
      </c>
      <c r="E693" t="s">
        <v>49</v>
      </c>
      <c r="F693" t="s">
        <v>2689</v>
      </c>
      <c r="G693" t="s">
        <v>2690</v>
      </c>
      <c r="H693">
        <v>4</v>
      </c>
      <c r="Q693" t="s">
        <v>53</v>
      </c>
      <c r="R693" t="s">
        <v>2691</v>
      </c>
      <c r="S693" t="s">
        <v>46</v>
      </c>
      <c r="T693" t="s">
        <v>2692</v>
      </c>
      <c r="AC693" t="s">
        <v>2693</v>
      </c>
      <c r="AD693">
        <v>9</v>
      </c>
      <c r="AE693" t="s">
        <v>2694</v>
      </c>
      <c r="AF693">
        <v>1003706826</v>
      </c>
      <c r="AJ693" t="s">
        <v>63</v>
      </c>
      <c r="AK693" t="s">
        <v>61</v>
      </c>
    </row>
    <row r="694" spans="1:37" x14ac:dyDescent="0.25">
      <c r="A694">
        <v>3706826</v>
      </c>
      <c r="B694" t="s">
        <v>2687</v>
      </c>
      <c r="C694" t="s">
        <v>2688</v>
      </c>
      <c r="D694" t="s">
        <v>39</v>
      </c>
      <c r="E694" t="s">
        <v>49</v>
      </c>
      <c r="F694" t="s">
        <v>2689</v>
      </c>
      <c r="G694" t="s">
        <v>2690</v>
      </c>
      <c r="H694">
        <v>4</v>
      </c>
      <c r="Q694" t="s">
        <v>53</v>
      </c>
      <c r="R694" t="s">
        <v>2691</v>
      </c>
      <c r="S694" t="s">
        <v>46</v>
      </c>
      <c r="T694" t="s">
        <v>2692</v>
      </c>
      <c r="AC694" t="s">
        <v>2693</v>
      </c>
      <c r="AD694">
        <v>9</v>
      </c>
      <c r="AE694" t="s">
        <v>2694</v>
      </c>
      <c r="AF694">
        <v>1003706826</v>
      </c>
      <c r="AJ694" t="s">
        <v>323</v>
      </c>
      <c r="AK694" t="s">
        <v>61</v>
      </c>
    </row>
    <row r="695" spans="1:37" x14ac:dyDescent="0.25">
      <c r="A695">
        <v>9480443</v>
      </c>
      <c r="B695" t="s">
        <v>2695</v>
      </c>
      <c r="C695" t="s">
        <v>2696</v>
      </c>
      <c r="D695" t="s">
        <v>39</v>
      </c>
      <c r="E695" t="s">
        <v>49</v>
      </c>
      <c r="F695" t="s">
        <v>2697</v>
      </c>
      <c r="G695" t="s">
        <v>448</v>
      </c>
      <c r="H695">
        <v>25</v>
      </c>
      <c r="AA695" t="s">
        <v>2698</v>
      </c>
      <c r="AC695" t="s">
        <v>2699</v>
      </c>
      <c r="AF695">
        <v>1009480443</v>
      </c>
      <c r="AG695">
        <v>181550</v>
      </c>
      <c r="AJ695" t="s">
        <v>192</v>
      </c>
      <c r="AK695" t="s">
        <v>65</v>
      </c>
    </row>
    <row r="696" spans="1:37" x14ac:dyDescent="0.25">
      <c r="A696">
        <v>2183417</v>
      </c>
      <c r="B696" t="s">
        <v>2700</v>
      </c>
      <c r="C696" t="s">
        <v>2701</v>
      </c>
      <c r="D696" t="s">
        <v>39</v>
      </c>
      <c r="E696" t="s">
        <v>40</v>
      </c>
      <c r="F696" t="s">
        <v>2702</v>
      </c>
      <c r="G696" t="s">
        <v>2703</v>
      </c>
      <c r="H696">
        <v>35</v>
      </c>
      <c r="AC696" t="s">
        <v>2704</v>
      </c>
      <c r="AF696">
        <v>1002183417</v>
      </c>
    </row>
    <row r="697" spans="1:37" x14ac:dyDescent="0.25">
      <c r="A697">
        <v>6109376</v>
      </c>
      <c r="B697" t="s">
        <v>2700</v>
      </c>
      <c r="C697" t="s">
        <v>2705</v>
      </c>
      <c r="D697" t="s">
        <v>39</v>
      </c>
      <c r="E697" t="s">
        <v>40</v>
      </c>
      <c r="F697" t="s">
        <v>2706</v>
      </c>
      <c r="G697" t="s">
        <v>2707</v>
      </c>
      <c r="U697" t="s">
        <v>53</v>
      </c>
      <c r="V697" t="s">
        <v>2708</v>
      </c>
      <c r="AC697" t="s">
        <v>2709</v>
      </c>
      <c r="AF697">
        <v>1006109376</v>
      </c>
      <c r="AJ697" t="s">
        <v>83</v>
      </c>
      <c r="AK697" t="s">
        <v>61</v>
      </c>
    </row>
    <row r="698" spans="1:37" x14ac:dyDescent="0.25">
      <c r="A698">
        <v>2183422</v>
      </c>
      <c r="B698" t="s">
        <v>2710</v>
      </c>
      <c r="C698" t="s">
        <v>2711</v>
      </c>
      <c r="D698" t="s">
        <v>39</v>
      </c>
      <c r="E698" t="s">
        <v>40</v>
      </c>
      <c r="F698" t="s">
        <v>2712</v>
      </c>
      <c r="G698" t="s">
        <v>2713</v>
      </c>
      <c r="H698">
        <v>579</v>
      </c>
      <c r="AC698" t="s">
        <v>2714</v>
      </c>
      <c r="AF698">
        <v>1002183422</v>
      </c>
    </row>
    <row r="699" spans="1:37" x14ac:dyDescent="0.25">
      <c r="A699">
        <v>4396685</v>
      </c>
      <c r="B699" t="s">
        <v>2715</v>
      </c>
      <c r="C699" t="s">
        <v>2413</v>
      </c>
      <c r="D699" t="s">
        <v>39</v>
      </c>
      <c r="E699" t="s">
        <v>49</v>
      </c>
      <c r="F699" t="s">
        <v>2716</v>
      </c>
      <c r="G699" t="s">
        <v>2717</v>
      </c>
      <c r="H699" t="s">
        <v>2718</v>
      </c>
      <c r="R699" t="s">
        <v>2719</v>
      </c>
      <c r="U699" t="s">
        <v>51</v>
      </c>
      <c r="V699" t="s">
        <v>2720</v>
      </c>
      <c r="W699" t="s">
        <v>56</v>
      </c>
      <c r="X699" t="s">
        <v>2721</v>
      </c>
      <c r="AC699" t="s">
        <v>2722</v>
      </c>
      <c r="AF699">
        <v>1004396685</v>
      </c>
      <c r="AJ699" t="s">
        <v>97</v>
      </c>
      <c r="AK699" t="s">
        <v>61</v>
      </c>
    </row>
    <row r="700" spans="1:37" x14ac:dyDescent="0.25">
      <c r="A700">
        <v>4396685</v>
      </c>
      <c r="B700" t="s">
        <v>2715</v>
      </c>
      <c r="C700" t="s">
        <v>2413</v>
      </c>
      <c r="D700" t="s">
        <v>39</v>
      </c>
      <c r="E700" t="s">
        <v>49</v>
      </c>
      <c r="F700" t="s">
        <v>2716</v>
      </c>
      <c r="G700" t="s">
        <v>2717</v>
      </c>
      <c r="H700" t="s">
        <v>2718</v>
      </c>
      <c r="R700" t="s">
        <v>2719</v>
      </c>
      <c r="U700" t="s">
        <v>51</v>
      </c>
      <c r="V700" t="s">
        <v>2720</v>
      </c>
      <c r="W700" t="s">
        <v>56</v>
      </c>
      <c r="X700" t="s">
        <v>2721</v>
      </c>
      <c r="AC700" t="s">
        <v>2722</v>
      </c>
      <c r="AF700">
        <v>1004396685</v>
      </c>
      <c r="AJ700" t="s">
        <v>63</v>
      </c>
      <c r="AK700" t="s">
        <v>61</v>
      </c>
    </row>
    <row r="701" spans="1:37" x14ac:dyDescent="0.25">
      <c r="A701">
        <v>2183427</v>
      </c>
      <c r="B701" t="s">
        <v>2723</v>
      </c>
      <c r="C701" t="s">
        <v>1937</v>
      </c>
      <c r="D701" t="s">
        <v>39</v>
      </c>
      <c r="E701" t="s">
        <v>40</v>
      </c>
      <c r="F701" t="s">
        <v>2724</v>
      </c>
      <c r="G701" t="s">
        <v>2725</v>
      </c>
      <c r="H701">
        <v>7</v>
      </c>
      <c r="U701" t="s">
        <v>53</v>
      </c>
      <c r="V701" t="s">
        <v>2726</v>
      </c>
      <c r="AC701" t="s">
        <v>2727</v>
      </c>
      <c r="AF701">
        <v>1002183427</v>
      </c>
      <c r="AG701">
        <v>733989</v>
      </c>
      <c r="AJ701" t="s">
        <v>121</v>
      </c>
      <c r="AK701" t="s">
        <v>61</v>
      </c>
    </row>
    <row r="702" spans="1:37" x14ac:dyDescent="0.25">
      <c r="A702">
        <v>2183432</v>
      </c>
      <c r="B702" t="s">
        <v>2723</v>
      </c>
      <c r="C702" t="s">
        <v>2728</v>
      </c>
      <c r="D702" t="s">
        <v>39</v>
      </c>
      <c r="E702" t="s">
        <v>40</v>
      </c>
      <c r="F702" t="s">
        <v>2729</v>
      </c>
      <c r="G702" t="s">
        <v>2730</v>
      </c>
      <c r="H702">
        <v>82</v>
      </c>
      <c r="AC702" t="s">
        <v>2731</v>
      </c>
      <c r="AF702">
        <v>1002183432</v>
      </c>
    </row>
    <row r="703" spans="1:37" x14ac:dyDescent="0.25">
      <c r="A703">
        <v>3451561</v>
      </c>
      <c r="B703" t="s">
        <v>2723</v>
      </c>
      <c r="C703" t="s">
        <v>1631</v>
      </c>
      <c r="D703" t="s">
        <v>39</v>
      </c>
      <c r="E703" t="s">
        <v>40</v>
      </c>
      <c r="F703" t="s">
        <v>2732</v>
      </c>
      <c r="G703" t="s">
        <v>2733</v>
      </c>
      <c r="H703">
        <v>21</v>
      </c>
      <c r="U703" t="s">
        <v>51</v>
      </c>
      <c r="V703">
        <v>32486682066</v>
      </c>
      <c r="W703" t="s">
        <v>53</v>
      </c>
      <c r="X703">
        <v>32499238387</v>
      </c>
      <c r="AF703">
        <v>1003451561</v>
      </c>
      <c r="AJ703" t="s">
        <v>63</v>
      </c>
      <c r="AK703" t="s">
        <v>61</v>
      </c>
    </row>
    <row r="704" spans="1:37" x14ac:dyDescent="0.25">
      <c r="A704">
        <v>3451561</v>
      </c>
      <c r="B704" t="s">
        <v>2723</v>
      </c>
      <c r="C704" t="s">
        <v>1631</v>
      </c>
      <c r="D704" t="s">
        <v>39</v>
      </c>
      <c r="E704" t="s">
        <v>40</v>
      </c>
      <c r="F704" t="s">
        <v>2732</v>
      </c>
      <c r="G704" t="s">
        <v>2733</v>
      </c>
      <c r="H704">
        <v>21</v>
      </c>
      <c r="U704" t="s">
        <v>51</v>
      </c>
      <c r="V704">
        <v>32486682066</v>
      </c>
      <c r="W704" t="s">
        <v>53</v>
      </c>
      <c r="X704">
        <v>32499238387</v>
      </c>
      <c r="AF704">
        <v>1003451561</v>
      </c>
      <c r="AJ704" t="s">
        <v>744</v>
      </c>
      <c r="AK704" t="s">
        <v>61</v>
      </c>
    </row>
    <row r="705" spans="1:38" x14ac:dyDescent="0.25">
      <c r="A705">
        <v>7284638</v>
      </c>
      <c r="B705" t="s">
        <v>2734</v>
      </c>
      <c r="C705" t="s">
        <v>307</v>
      </c>
      <c r="D705" t="s">
        <v>39</v>
      </c>
      <c r="E705" t="s">
        <v>40</v>
      </c>
      <c r="F705" t="s">
        <v>2735</v>
      </c>
      <c r="G705" t="s">
        <v>2736</v>
      </c>
      <c r="H705">
        <v>8</v>
      </c>
      <c r="Q705" t="s">
        <v>51</v>
      </c>
      <c r="R705" t="s">
        <v>2737</v>
      </c>
      <c r="U705" t="s">
        <v>53</v>
      </c>
      <c r="V705" t="s">
        <v>2738</v>
      </c>
      <c r="W705" t="s">
        <v>51</v>
      </c>
      <c r="X705" t="s">
        <v>2739</v>
      </c>
      <c r="Y705" t="s">
        <v>46</v>
      </c>
      <c r="Z705">
        <v>32497427216</v>
      </c>
      <c r="AD705">
        <v>4</v>
      </c>
      <c r="AF705">
        <v>1007284638</v>
      </c>
      <c r="AJ705" t="s">
        <v>83</v>
      </c>
      <c r="AK705" t="s">
        <v>61</v>
      </c>
    </row>
    <row r="706" spans="1:38" x14ac:dyDescent="0.25">
      <c r="A706">
        <v>11844716</v>
      </c>
      <c r="B706" t="s">
        <v>2734</v>
      </c>
      <c r="C706" t="s">
        <v>1105</v>
      </c>
      <c r="D706" t="s">
        <v>39</v>
      </c>
      <c r="E706" t="s">
        <v>40</v>
      </c>
      <c r="F706" t="s">
        <v>1152</v>
      </c>
      <c r="G706" t="s">
        <v>894</v>
      </c>
      <c r="H706">
        <v>18</v>
      </c>
      <c r="U706" t="s">
        <v>53</v>
      </c>
      <c r="V706" t="s">
        <v>2740</v>
      </c>
      <c r="W706" t="s">
        <v>51</v>
      </c>
      <c r="X706" t="s">
        <v>2740</v>
      </c>
      <c r="AF706">
        <v>1011844716</v>
      </c>
      <c r="AJ706" t="s">
        <v>63</v>
      </c>
      <c r="AK706" t="s">
        <v>61</v>
      </c>
    </row>
    <row r="707" spans="1:38" x14ac:dyDescent="0.25">
      <c r="A707">
        <v>11844716</v>
      </c>
      <c r="B707" t="s">
        <v>2734</v>
      </c>
      <c r="C707" t="s">
        <v>1105</v>
      </c>
      <c r="D707" t="s">
        <v>39</v>
      </c>
      <c r="E707" t="s">
        <v>40</v>
      </c>
      <c r="F707" t="s">
        <v>1152</v>
      </c>
      <c r="G707" t="s">
        <v>894</v>
      </c>
      <c r="H707">
        <v>18</v>
      </c>
      <c r="U707" t="s">
        <v>53</v>
      </c>
      <c r="V707" t="s">
        <v>2740</v>
      </c>
      <c r="W707" t="s">
        <v>51</v>
      </c>
      <c r="X707" t="s">
        <v>2740</v>
      </c>
      <c r="AF707">
        <v>1011844716</v>
      </c>
      <c r="AJ707" t="s">
        <v>104</v>
      </c>
      <c r="AK707" t="s">
        <v>61</v>
      </c>
    </row>
    <row r="708" spans="1:38" x14ac:dyDescent="0.25">
      <c r="A708">
        <v>2183437</v>
      </c>
      <c r="B708" t="s">
        <v>2741</v>
      </c>
      <c r="C708" t="s">
        <v>2742</v>
      </c>
      <c r="D708" t="s">
        <v>39</v>
      </c>
      <c r="E708" t="s">
        <v>40</v>
      </c>
      <c r="F708" t="s">
        <v>2743</v>
      </c>
      <c r="G708" t="s">
        <v>2408</v>
      </c>
      <c r="H708">
        <v>59</v>
      </c>
      <c r="Q708" t="s">
        <v>53</v>
      </c>
      <c r="R708" t="s">
        <v>2409</v>
      </c>
      <c r="AC708" t="s">
        <v>2744</v>
      </c>
      <c r="AF708">
        <v>1002183437</v>
      </c>
      <c r="AG708">
        <v>729844</v>
      </c>
      <c r="AJ708" t="s">
        <v>75</v>
      </c>
      <c r="AK708" t="s">
        <v>61</v>
      </c>
    </row>
    <row r="709" spans="1:38" x14ac:dyDescent="0.25">
      <c r="A709">
        <v>2183437</v>
      </c>
      <c r="B709" t="s">
        <v>2741</v>
      </c>
      <c r="C709" t="s">
        <v>2742</v>
      </c>
      <c r="D709" t="s">
        <v>39</v>
      </c>
      <c r="E709" t="s">
        <v>40</v>
      </c>
      <c r="F709" t="s">
        <v>2743</v>
      </c>
      <c r="G709" t="s">
        <v>2408</v>
      </c>
      <c r="H709">
        <v>59</v>
      </c>
      <c r="Q709" t="s">
        <v>53</v>
      </c>
      <c r="R709" t="s">
        <v>2409</v>
      </c>
      <c r="AC709" t="s">
        <v>2744</v>
      </c>
      <c r="AF709">
        <v>1002183437</v>
      </c>
      <c r="AG709">
        <v>729844</v>
      </c>
      <c r="AJ709" t="s">
        <v>63</v>
      </c>
      <c r="AK709" t="s">
        <v>61</v>
      </c>
    </row>
    <row r="710" spans="1:38" x14ac:dyDescent="0.25">
      <c r="A710">
        <v>3557796</v>
      </c>
      <c r="B710" t="s">
        <v>2745</v>
      </c>
      <c r="C710" t="s">
        <v>2274</v>
      </c>
      <c r="D710" t="s">
        <v>39</v>
      </c>
      <c r="E710" t="s">
        <v>40</v>
      </c>
      <c r="F710" t="s">
        <v>2746</v>
      </c>
      <c r="G710" t="s">
        <v>2524</v>
      </c>
      <c r="H710">
        <v>12</v>
      </c>
      <c r="V710" t="s">
        <v>2747</v>
      </c>
      <c r="X710" t="s">
        <v>2748</v>
      </c>
      <c r="AE710" t="s">
        <v>2749</v>
      </c>
      <c r="AF710">
        <v>1003557796</v>
      </c>
      <c r="AJ710" t="s">
        <v>744</v>
      </c>
      <c r="AK710" t="s">
        <v>61</v>
      </c>
    </row>
    <row r="711" spans="1:38" x14ac:dyDescent="0.25">
      <c r="A711">
        <v>2183442</v>
      </c>
      <c r="B711" t="s">
        <v>2745</v>
      </c>
      <c r="C711" t="s">
        <v>2750</v>
      </c>
      <c r="D711" t="s">
        <v>39</v>
      </c>
      <c r="E711" t="s">
        <v>49</v>
      </c>
      <c r="F711" t="s">
        <v>2751</v>
      </c>
      <c r="G711" t="s">
        <v>2524</v>
      </c>
      <c r="H711">
        <v>12</v>
      </c>
      <c r="V711" t="s">
        <v>2747</v>
      </c>
      <c r="X711" t="s">
        <v>2748</v>
      </c>
      <c r="AC711" t="s">
        <v>2752</v>
      </c>
      <c r="AF711">
        <v>1002183442</v>
      </c>
      <c r="AG711">
        <v>735282</v>
      </c>
      <c r="AJ711" t="s">
        <v>63</v>
      </c>
      <c r="AK711" t="s">
        <v>61</v>
      </c>
    </row>
    <row r="712" spans="1:38" x14ac:dyDescent="0.25">
      <c r="A712">
        <v>2183442</v>
      </c>
      <c r="B712" t="s">
        <v>2745</v>
      </c>
      <c r="C712" t="s">
        <v>2750</v>
      </c>
      <c r="D712" t="s">
        <v>39</v>
      </c>
      <c r="E712" t="s">
        <v>49</v>
      </c>
      <c r="F712" t="s">
        <v>2751</v>
      </c>
      <c r="G712" t="s">
        <v>2524</v>
      </c>
      <c r="H712">
        <v>12</v>
      </c>
      <c r="V712" t="s">
        <v>2747</v>
      </c>
      <c r="X712" t="s">
        <v>2748</v>
      </c>
      <c r="AC712" t="s">
        <v>2752</v>
      </c>
      <c r="AF712">
        <v>1002183442</v>
      </c>
      <c r="AG712">
        <v>735282</v>
      </c>
      <c r="AJ712" t="s">
        <v>323</v>
      </c>
      <c r="AK712" t="s">
        <v>61</v>
      </c>
    </row>
    <row r="713" spans="1:38" x14ac:dyDescent="0.25">
      <c r="A713">
        <v>2183447</v>
      </c>
      <c r="B713" t="s">
        <v>2753</v>
      </c>
      <c r="C713" t="s">
        <v>1256</v>
      </c>
      <c r="D713" t="s">
        <v>39</v>
      </c>
      <c r="E713" t="s">
        <v>49</v>
      </c>
      <c r="F713" t="s">
        <v>2754</v>
      </c>
      <c r="G713" t="s">
        <v>448</v>
      </c>
      <c r="H713">
        <v>16</v>
      </c>
      <c r="V713">
        <v>320474278078</v>
      </c>
      <c r="AC713" t="s">
        <v>2755</v>
      </c>
      <c r="AE713" t="s">
        <v>2756</v>
      </c>
      <c r="AF713">
        <v>1002183447</v>
      </c>
      <c r="AG713">
        <v>241914</v>
      </c>
      <c r="AJ713" t="s">
        <v>294</v>
      </c>
      <c r="AK713" t="s">
        <v>65</v>
      </c>
    </row>
    <row r="714" spans="1:38" x14ac:dyDescent="0.25">
      <c r="A714">
        <v>3447367</v>
      </c>
      <c r="B714" t="s">
        <v>2757</v>
      </c>
      <c r="C714" t="s">
        <v>485</v>
      </c>
      <c r="D714" t="s">
        <v>39</v>
      </c>
      <c r="E714" t="s">
        <v>40</v>
      </c>
      <c r="F714" t="s">
        <v>2758</v>
      </c>
      <c r="G714" t="s">
        <v>2759</v>
      </c>
      <c r="H714">
        <v>31</v>
      </c>
      <c r="Q714" t="s">
        <v>53</v>
      </c>
      <c r="R714" t="s">
        <v>2760</v>
      </c>
      <c r="U714" t="s">
        <v>46</v>
      </c>
      <c r="V714">
        <v>32499030802</v>
      </c>
      <c r="W714" t="s">
        <v>53</v>
      </c>
      <c r="X714">
        <v>32478513537</v>
      </c>
      <c r="AE714" t="s">
        <v>2761</v>
      </c>
      <c r="AF714">
        <v>1003447367</v>
      </c>
      <c r="AJ714" t="s">
        <v>131</v>
      </c>
      <c r="AK714" t="s">
        <v>61</v>
      </c>
    </row>
    <row r="715" spans="1:38" x14ac:dyDescent="0.25">
      <c r="A715">
        <v>3447367</v>
      </c>
      <c r="B715" t="s">
        <v>2757</v>
      </c>
      <c r="C715" t="s">
        <v>485</v>
      </c>
      <c r="D715" t="s">
        <v>39</v>
      </c>
      <c r="E715" t="s">
        <v>40</v>
      </c>
      <c r="F715" t="s">
        <v>2758</v>
      </c>
      <c r="G715" t="s">
        <v>2759</v>
      </c>
      <c r="H715">
        <v>31</v>
      </c>
      <c r="Q715" t="s">
        <v>53</v>
      </c>
      <c r="R715" t="s">
        <v>2760</v>
      </c>
      <c r="U715" t="s">
        <v>46</v>
      </c>
      <c r="V715">
        <v>32499030802</v>
      </c>
      <c r="W715" t="s">
        <v>53</v>
      </c>
      <c r="X715">
        <v>32478513537</v>
      </c>
      <c r="AE715" t="s">
        <v>2761</v>
      </c>
      <c r="AF715">
        <v>1003447367</v>
      </c>
      <c r="AJ715" t="s">
        <v>87</v>
      </c>
      <c r="AK715" t="s">
        <v>61</v>
      </c>
    </row>
    <row r="716" spans="1:38" x14ac:dyDescent="0.25">
      <c r="A716">
        <v>11846375</v>
      </c>
      <c r="B716" t="s">
        <v>2762</v>
      </c>
      <c r="C716" t="s">
        <v>2763</v>
      </c>
      <c r="D716" t="s">
        <v>39</v>
      </c>
      <c r="E716" t="s">
        <v>40</v>
      </c>
      <c r="F716" t="s">
        <v>2764</v>
      </c>
      <c r="G716" t="s">
        <v>2765</v>
      </c>
      <c r="H716">
        <v>74</v>
      </c>
      <c r="R716" t="s">
        <v>2766</v>
      </c>
      <c r="U716" t="s">
        <v>53</v>
      </c>
      <c r="V716" t="s">
        <v>2767</v>
      </c>
      <c r="W716" t="s">
        <v>46</v>
      </c>
      <c r="X716" t="s">
        <v>2768</v>
      </c>
      <c r="AC716" t="s">
        <v>2769</v>
      </c>
      <c r="AF716">
        <v>1011846375</v>
      </c>
      <c r="AG716">
        <v>705479</v>
      </c>
      <c r="AJ716" t="s">
        <v>179</v>
      </c>
      <c r="AK716" t="s">
        <v>61</v>
      </c>
    </row>
    <row r="717" spans="1:38" x14ac:dyDescent="0.25">
      <c r="A717">
        <v>3399322</v>
      </c>
      <c r="B717" t="s">
        <v>2770</v>
      </c>
      <c r="C717" t="s">
        <v>853</v>
      </c>
      <c r="D717" t="s">
        <v>39</v>
      </c>
      <c r="E717" t="s">
        <v>40</v>
      </c>
      <c r="F717" t="s">
        <v>2771</v>
      </c>
      <c r="G717" t="s">
        <v>2772</v>
      </c>
      <c r="H717">
        <v>25</v>
      </c>
      <c r="V717">
        <v>497152857</v>
      </c>
      <c r="X717">
        <v>0</v>
      </c>
      <c r="Z717">
        <v>0</v>
      </c>
      <c r="AA717">
        <v>0</v>
      </c>
      <c r="AF717">
        <v>1003399322</v>
      </c>
      <c r="AJ717" t="s">
        <v>143</v>
      </c>
      <c r="AK717" t="s">
        <v>61</v>
      </c>
    </row>
    <row r="718" spans="1:38" x14ac:dyDescent="0.25">
      <c r="A718">
        <v>2650665</v>
      </c>
      <c r="B718" t="s">
        <v>2770</v>
      </c>
      <c r="C718" t="s">
        <v>2773</v>
      </c>
      <c r="D718" t="s">
        <v>39</v>
      </c>
      <c r="E718" t="s">
        <v>40</v>
      </c>
      <c r="F718" t="s">
        <v>2774</v>
      </c>
      <c r="G718" t="s">
        <v>2772</v>
      </c>
      <c r="H718">
        <v>25</v>
      </c>
      <c r="V718">
        <v>32497152857</v>
      </c>
      <c r="AF718">
        <v>1002650665</v>
      </c>
      <c r="AG718">
        <v>742359</v>
      </c>
    </row>
    <row r="719" spans="1:38" x14ac:dyDescent="0.25">
      <c r="A719">
        <v>2183452</v>
      </c>
      <c r="B719" t="s">
        <v>2775</v>
      </c>
      <c r="C719" t="s">
        <v>2776</v>
      </c>
      <c r="D719" t="s">
        <v>39</v>
      </c>
      <c r="E719" t="s">
        <v>40</v>
      </c>
      <c r="F719" t="s">
        <v>2777</v>
      </c>
      <c r="G719" t="s">
        <v>2778</v>
      </c>
      <c r="H719">
        <v>18</v>
      </c>
      <c r="Q719" t="s">
        <v>51</v>
      </c>
      <c r="R719" t="s">
        <v>2779</v>
      </c>
      <c r="V719" t="s">
        <v>2780</v>
      </c>
      <c r="AF719">
        <v>1002183452</v>
      </c>
      <c r="AG719">
        <v>706697</v>
      </c>
      <c r="AL719" t="s">
        <v>62</v>
      </c>
    </row>
    <row r="720" spans="1:38" x14ac:dyDescent="0.25">
      <c r="A720">
        <v>6125396</v>
      </c>
      <c r="B720" t="s">
        <v>2775</v>
      </c>
      <c r="C720" t="s">
        <v>1424</v>
      </c>
      <c r="D720" t="s">
        <v>39</v>
      </c>
      <c r="E720" t="s">
        <v>40</v>
      </c>
      <c r="G720" t="s">
        <v>2781</v>
      </c>
      <c r="H720">
        <v>23</v>
      </c>
      <c r="U720" t="s">
        <v>46</v>
      </c>
      <c r="V720" t="s">
        <v>2780</v>
      </c>
      <c r="AF720">
        <v>1006125396</v>
      </c>
    </row>
    <row r="721" spans="1:37" x14ac:dyDescent="0.25">
      <c r="A721">
        <v>2183457</v>
      </c>
      <c r="B721" t="s">
        <v>2775</v>
      </c>
      <c r="C721" t="s">
        <v>2782</v>
      </c>
      <c r="D721" t="s">
        <v>39</v>
      </c>
      <c r="E721" t="s">
        <v>49</v>
      </c>
      <c r="F721" t="s">
        <v>2783</v>
      </c>
      <c r="G721" t="s">
        <v>2784</v>
      </c>
      <c r="H721">
        <v>42</v>
      </c>
      <c r="AC721" t="s">
        <v>2785</v>
      </c>
      <c r="AF721">
        <v>1002183457</v>
      </c>
      <c r="AG721">
        <v>164058</v>
      </c>
    </row>
    <row r="722" spans="1:37" x14ac:dyDescent="0.25">
      <c r="A722">
        <v>2650831</v>
      </c>
      <c r="B722" t="s">
        <v>2786</v>
      </c>
      <c r="C722" t="s">
        <v>413</v>
      </c>
      <c r="D722" t="s">
        <v>39</v>
      </c>
      <c r="E722" t="s">
        <v>40</v>
      </c>
      <c r="F722" t="s">
        <v>2787</v>
      </c>
      <c r="G722" t="s">
        <v>2524</v>
      </c>
      <c r="H722">
        <v>14</v>
      </c>
      <c r="V722" t="s">
        <v>2788</v>
      </c>
      <c r="X722" t="s">
        <v>2789</v>
      </c>
      <c r="AC722" t="s">
        <v>2790</v>
      </c>
      <c r="AF722">
        <v>1002650831</v>
      </c>
      <c r="AG722">
        <v>739602</v>
      </c>
      <c r="AJ722" t="s">
        <v>286</v>
      </c>
      <c r="AK722" t="s">
        <v>61</v>
      </c>
    </row>
    <row r="723" spans="1:37" x14ac:dyDescent="0.25">
      <c r="A723">
        <v>2650831</v>
      </c>
      <c r="B723" t="s">
        <v>2786</v>
      </c>
      <c r="C723" t="s">
        <v>413</v>
      </c>
      <c r="D723" t="s">
        <v>39</v>
      </c>
      <c r="E723" t="s">
        <v>40</v>
      </c>
      <c r="F723" t="s">
        <v>2787</v>
      </c>
      <c r="G723" t="s">
        <v>2524</v>
      </c>
      <c r="H723">
        <v>14</v>
      </c>
      <c r="V723" t="s">
        <v>2788</v>
      </c>
      <c r="X723" t="s">
        <v>2789</v>
      </c>
      <c r="AC723" t="s">
        <v>2790</v>
      </c>
      <c r="AF723">
        <v>1002650831</v>
      </c>
      <c r="AG723">
        <v>739602</v>
      </c>
      <c r="AJ723" t="s">
        <v>63</v>
      </c>
      <c r="AK723" t="s">
        <v>61</v>
      </c>
    </row>
    <row r="724" spans="1:37" x14ac:dyDescent="0.25">
      <c r="A724">
        <v>2650831</v>
      </c>
      <c r="B724" t="s">
        <v>2786</v>
      </c>
      <c r="C724" t="s">
        <v>413</v>
      </c>
      <c r="D724" t="s">
        <v>39</v>
      </c>
      <c r="E724" t="s">
        <v>40</v>
      </c>
      <c r="F724" t="s">
        <v>2787</v>
      </c>
      <c r="G724" t="s">
        <v>2524</v>
      </c>
      <c r="H724">
        <v>14</v>
      </c>
      <c r="V724" t="s">
        <v>2788</v>
      </c>
      <c r="X724" t="s">
        <v>2789</v>
      </c>
      <c r="AC724" t="s">
        <v>2790</v>
      </c>
      <c r="AF724">
        <v>1002650831</v>
      </c>
      <c r="AG724">
        <v>739602</v>
      </c>
      <c r="AJ724" t="s">
        <v>180</v>
      </c>
      <c r="AK724" t="s">
        <v>61</v>
      </c>
    </row>
    <row r="725" spans="1:37" x14ac:dyDescent="0.25">
      <c r="A725">
        <v>2183462</v>
      </c>
      <c r="B725" t="s">
        <v>2791</v>
      </c>
      <c r="C725" t="s">
        <v>2792</v>
      </c>
      <c r="D725" t="s">
        <v>39</v>
      </c>
      <c r="E725" t="s">
        <v>49</v>
      </c>
      <c r="F725" t="s">
        <v>2793</v>
      </c>
      <c r="G725" t="s">
        <v>2794</v>
      </c>
      <c r="H725">
        <v>28</v>
      </c>
      <c r="U725" t="s">
        <v>46</v>
      </c>
      <c r="V725" t="s">
        <v>2795</v>
      </c>
      <c r="AC725" t="s">
        <v>2796</v>
      </c>
      <c r="AF725">
        <v>1002183462</v>
      </c>
      <c r="AG725">
        <v>207756</v>
      </c>
    </row>
    <row r="726" spans="1:37" x14ac:dyDescent="0.25">
      <c r="A726">
        <v>4246468</v>
      </c>
      <c r="B726" t="s">
        <v>2797</v>
      </c>
      <c r="C726" t="s">
        <v>2798</v>
      </c>
      <c r="D726" t="s">
        <v>39</v>
      </c>
      <c r="E726" t="s">
        <v>40</v>
      </c>
      <c r="F726" t="s">
        <v>2799</v>
      </c>
      <c r="G726" t="s">
        <v>2800</v>
      </c>
      <c r="H726">
        <v>2</v>
      </c>
      <c r="U726" t="s">
        <v>46</v>
      </c>
      <c r="V726" t="s">
        <v>2801</v>
      </c>
      <c r="AC726" t="s">
        <v>2802</v>
      </c>
      <c r="AF726">
        <v>1004246468</v>
      </c>
    </row>
    <row r="727" spans="1:37" x14ac:dyDescent="0.25">
      <c r="A727">
        <v>2650937</v>
      </c>
      <c r="B727" t="s">
        <v>2803</v>
      </c>
      <c r="C727" t="s">
        <v>2804</v>
      </c>
      <c r="D727" t="s">
        <v>39</v>
      </c>
      <c r="E727" t="s">
        <v>40</v>
      </c>
      <c r="F727" t="s">
        <v>2805</v>
      </c>
      <c r="G727" t="s">
        <v>2806</v>
      </c>
      <c r="H727">
        <v>56</v>
      </c>
      <c r="U727" t="s">
        <v>46</v>
      </c>
      <c r="V727">
        <v>32483038837</v>
      </c>
      <c r="AC727" t="s">
        <v>2807</v>
      </c>
      <c r="AF727">
        <v>1002650937</v>
      </c>
      <c r="AG727">
        <v>644848</v>
      </c>
      <c r="AJ727" t="s">
        <v>483</v>
      </c>
      <c r="AK727" t="s">
        <v>61</v>
      </c>
    </row>
    <row r="728" spans="1:37" x14ac:dyDescent="0.25">
      <c r="A728">
        <v>7328323</v>
      </c>
      <c r="B728" t="s">
        <v>2808</v>
      </c>
      <c r="C728" t="s">
        <v>1365</v>
      </c>
      <c r="D728" t="s">
        <v>39</v>
      </c>
      <c r="E728" t="s">
        <v>40</v>
      </c>
      <c r="F728" t="s">
        <v>2809</v>
      </c>
      <c r="G728" t="s">
        <v>2810</v>
      </c>
      <c r="H728">
        <v>21</v>
      </c>
      <c r="Q728" t="s">
        <v>51</v>
      </c>
      <c r="R728" t="s">
        <v>2811</v>
      </c>
      <c r="U728" t="s">
        <v>53</v>
      </c>
      <c r="V728" t="s">
        <v>2812</v>
      </c>
      <c r="W728" t="s">
        <v>51</v>
      </c>
      <c r="X728" t="s">
        <v>2813</v>
      </c>
      <c r="AF728">
        <v>1007328323</v>
      </c>
      <c r="AJ728" t="s">
        <v>192</v>
      </c>
      <c r="AK728" t="s">
        <v>61</v>
      </c>
    </row>
    <row r="729" spans="1:37" x14ac:dyDescent="0.25">
      <c r="A729">
        <v>2936188</v>
      </c>
      <c r="B729" t="s">
        <v>2814</v>
      </c>
      <c r="C729" t="s">
        <v>558</v>
      </c>
      <c r="D729" t="s">
        <v>39</v>
      </c>
      <c r="E729" t="s">
        <v>40</v>
      </c>
      <c r="F729" t="s">
        <v>2815</v>
      </c>
      <c r="G729" t="s">
        <v>524</v>
      </c>
      <c r="H729">
        <v>72</v>
      </c>
      <c r="Q729" t="s">
        <v>46</v>
      </c>
      <c r="R729" t="s">
        <v>2816</v>
      </c>
      <c r="U729" t="s">
        <v>53</v>
      </c>
      <c r="V729">
        <v>476675516</v>
      </c>
      <c r="W729" t="s">
        <v>51</v>
      </c>
      <c r="X729">
        <v>476580878</v>
      </c>
      <c r="Y729" t="s">
        <v>46</v>
      </c>
      <c r="Z729">
        <v>320468043576</v>
      </c>
      <c r="AB729" t="s">
        <v>2817</v>
      </c>
      <c r="AC729" t="s">
        <v>2818</v>
      </c>
      <c r="AF729">
        <v>1002936188</v>
      </c>
      <c r="AG729">
        <v>744638</v>
      </c>
    </row>
    <row r="730" spans="1:37" x14ac:dyDescent="0.25">
      <c r="A730">
        <v>8418462</v>
      </c>
      <c r="B730" t="s">
        <v>2819</v>
      </c>
      <c r="C730" t="s">
        <v>1319</v>
      </c>
      <c r="D730" t="s">
        <v>39</v>
      </c>
      <c r="E730" t="s">
        <v>40</v>
      </c>
      <c r="F730" t="s">
        <v>2820</v>
      </c>
      <c r="G730" t="s">
        <v>2821</v>
      </c>
      <c r="H730">
        <v>24</v>
      </c>
      <c r="Q730" t="s">
        <v>51</v>
      </c>
      <c r="R730" t="s">
        <v>2822</v>
      </c>
      <c r="U730" t="s">
        <v>53</v>
      </c>
      <c r="V730">
        <v>320494304295</v>
      </c>
      <c r="W730" t="s">
        <v>51</v>
      </c>
      <c r="X730">
        <v>320473356747</v>
      </c>
      <c r="AD730">
        <v>15</v>
      </c>
      <c r="AE730" t="s">
        <v>2823</v>
      </c>
      <c r="AF730">
        <v>1008418462</v>
      </c>
      <c r="AJ730" t="s">
        <v>131</v>
      </c>
      <c r="AK730" t="s">
        <v>61</v>
      </c>
    </row>
    <row r="731" spans="1:37" x14ac:dyDescent="0.25">
      <c r="A731">
        <v>11844943</v>
      </c>
      <c r="B731" t="s">
        <v>2819</v>
      </c>
      <c r="C731" t="s">
        <v>1753</v>
      </c>
      <c r="D731" t="s">
        <v>39</v>
      </c>
      <c r="E731" t="s">
        <v>40</v>
      </c>
      <c r="G731" t="s">
        <v>2821</v>
      </c>
      <c r="H731">
        <v>24</v>
      </c>
      <c r="U731" t="s">
        <v>51</v>
      </c>
      <c r="V731" t="s">
        <v>2824</v>
      </c>
      <c r="X731">
        <v>32</v>
      </c>
      <c r="AF731">
        <v>1011844943</v>
      </c>
    </row>
    <row r="732" spans="1:37" x14ac:dyDescent="0.25">
      <c r="A732">
        <v>2183467</v>
      </c>
      <c r="B732" t="s">
        <v>2825</v>
      </c>
      <c r="C732" t="s">
        <v>2826</v>
      </c>
      <c r="D732" t="s">
        <v>39</v>
      </c>
      <c r="E732" t="s">
        <v>40</v>
      </c>
      <c r="F732" t="s">
        <v>2827</v>
      </c>
      <c r="G732" t="s">
        <v>2828</v>
      </c>
      <c r="H732">
        <v>44</v>
      </c>
      <c r="AC732" t="s">
        <v>2830</v>
      </c>
      <c r="AF732">
        <v>1002183467</v>
      </c>
      <c r="AG732">
        <v>708693</v>
      </c>
    </row>
    <row r="733" spans="1:37" x14ac:dyDescent="0.25">
      <c r="A733">
        <v>2183472</v>
      </c>
      <c r="B733" t="s">
        <v>2825</v>
      </c>
      <c r="C733" t="s">
        <v>2831</v>
      </c>
      <c r="D733" t="s">
        <v>39</v>
      </c>
      <c r="E733" t="s">
        <v>40</v>
      </c>
      <c r="F733" t="s">
        <v>2832</v>
      </c>
      <c r="G733" t="s">
        <v>2828</v>
      </c>
      <c r="H733">
        <v>44</v>
      </c>
      <c r="R733" t="s">
        <v>2829</v>
      </c>
      <c r="AC733" t="s">
        <v>2830</v>
      </c>
      <c r="AF733">
        <v>1002183472</v>
      </c>
      <c r="AG733">
        <v>665985</v>
      </c>
    </row>
    <row r="734" spans="1:37" x14ac:dyDescent="0.25">
      <c r="A734">
        <v>3437289</v>
      </c>
      <c r="B734" t="s">
        <v>2833</v>
      </c>
      <c r="C734" t="s">
        <v>2834</v>
      </c>
      <c r="D734" t="s">
        <v>39</v>
      </c>
      <c r="E734" t="s">
        <v>40</v>
      </c>
      <c r="F734" t="s">
        <v>2835</v>
      </c>
      <c r="G734" t="s">
        <v>2216</v>
      </c>
      <c r="H734">
        <v>24</v>
      </c>
      <c r="U734" t="s">
        <v>53</v>
      </c>
      <c r="V734">
        <v>32495460727</v>
      </c>
      <c r="W734" t="s">
        <v>51</v>
      </c>
      <c r="X734">
        <v>32486694007</v>
      </c>
      <c r="AA734">
        <v>32</v>
      </c>
      <c r="AC734" t="s">
        <v>2836</v>
      </c>
      <c r="AE734" t="s">
        <v>2837</v>
      </c>
      <c r="AF734">
        <v>1003437289</v>
      </c>
      <c r="AJ734" t="s">
        <v>88</v>
      </c>
      <c r="AK734" t="s">
        <v>61</v>
      </c>
    </row>
    <row r="735" spans="1:37" x14ac:dyDescent="0.25">
      <c r="A735">
        <v>3437291</v>
      </c>
      <c r="B735" t="s">
        <v>2833</v>
      </c>
      <c r="C735" t="s">
        <v>2838</v>
      </c>
      <c r="D735" t="s">
        <v>39</v>
      </c>
      <c r="E735" t="s">
        <v>49</v>
      </c>
      <c r="F735" t="s">
        <v>2839</v>
      </c>
      <c r="G735" t="s">
        <v>2216</v>
      </c>
      <c r="H735">
        <v>24</v>
      </c>
      <c r="U735" t="s">
        <v>53</v>
      </c>
      <c r="V735">
        <v>32495460727</v>
      </c>
      <c r="W735" t="s">
        <v>53</v>
      </c>
      <c r="X735">
        <v>32486694007</v>
      </c>
      <c r="AA735">
        <v>32</v>
      </c>
      <c r="AC735" t="s">
        <v>2840</v>
      </c>
      <c r="AD735">
        <v>11</v>
      </c>
      <c r="AE735" t="s">
        <v>2841</v>
      </c>
      <c r="AF735">
        <v>1003437291</v>
      </c>
      <c r="AJ735" t="s">
        <v>164</v>
      </c>
      <c r="AK735" t="s">
        <v>61</v>
      </c>
    </row>
    <row r="736" spans="1:37" x14ac:dyDescent="0.25">
      <c r="A736">
        <v>4196392</v>
      </c>
      <c r="B736" t="s">
        <v>2842</v>
      </c>
      <c r="C736" t="s">
        <v>2843</v>
      </c>
      <c r="D736" t="s">
        <v>39</v>
      </c>
      <c r="E736" t="s">
        <v>40</v>
      </c>
      <c r="F736" t="s">
        <v>2844</v>
      </c>
      <c r="G736" t="s">
        <v>2845</v>
      </c>
      <c r="H736">
        <v>115</v>
      </c>
      <c r="U736" t="s">
        <v>46</v>
      </c>
      <c r="V736" t="s">
        <v>2846</v>
      </c>
      <c r="AC736" t="s">
        <v>2847</v>
      </c>
      <c r="AF736">
        <v>1004196392</v>
      </c>
      <c r="AG736">
        <v>631034</v>
      </c>
    </row>
    <row r="737" spans="1:37" x14ac:dyDescent="0.25">
      <c r="A737">
        <v>3457891</v>
      </c>
      <c r="B737" t="s">
        <v>2848</v>
      </c>
      <c r="C737" t="s">
        <v>2849</v>
      </c>
      <c r="D737" t="s">
        <v>39</v>
      </c>
      <c r="E737" t="s">
        <v>40</v>
      </c>
      <c r="F737" t="s">
        <v>2850</v>
      </c>
      <c r="G737" t="s">
        <v>2851</v>
      </c>
      <c r="V737">
        <v>476325338</v>
      </c>
      <c r="X737">
        <v>0</v>
      </c>
      <c r="Z737">
        <v>0</v>
      </c>
      <c r="AA737">
        <v>0</v>
      </c>
      <c r="AF737">
        <v>1003457891</v>
      </c>
    </row>
    <row r="738" spans="1:37" x14ac:dyDescent="0.25">
      <c r="A738">
        <v>11855228</v>
      </c>
      <c r="B738" t="s">
        <v>2852</v>
      </c>
      <c r="C738" t="s">
        <v>862</v>
      </c>
      <c r="D738" t="s">
        <v>39</v>
      </c>
      <c r="E738" t="s">
        <v>40</v>
      </c>
      <c r="F738" t="s">
        <v>2853</v>
      </c>
      <c r="G738" t="s">
        <v>2854</v>
      </c>
      <c r="H738">
        <v>40</v>
      </c>
      <c r="U738" t="s">
        <v>46</v>
      </c>
      <c r="V738" t="s">
        <v>2855</v>
      </c>
      <c r="AC738" t="s">
        <v>2856</v>
      </c>
      <c r="AF738">
        <v>1011855228</v>
      </c>
      <c r="AG738">
        <v>644411</v>
      </c>
      <c r="AJ738" t="s">
        <v>743</v>
      </c>
      <c r="AK738" t="s">
        <v>61</v>
      </c>
    </row>
    <row r="739" spans="1:37" x14ac:dyDescent="0.25">
      <c r="A739">
        <v>3861232</v>
      </c>
      <c r="B739" t="s">
        <v>2857</v>
      </c>
      <c r="C739" t="s">
        <v>1471</v>
      </c>
      <c r="D739" t="s">
        <v>39</v>
      </c>
      <c r="E739" t="s">
        <v>40</v>
      </c>
      <c r="F739" t="s">
        <v>2858</v>
      </c>
      <c r="V739">
        <v>0</v>
      </c>
      <c r="X739">
        <v>0</v>
      </c>
      <c r="Z739">
        <v>0</v>
      </c>
      <c r="AA739">
        <v>0</v>
      </c>
      <c r="AF739">
        <v>1003861232</v>
      </c>
    </row>
    <row r="740" spans="1:37" x14ac:dyDescent="0.25">
      <c r="A740">
        <v>3533388</v>
      </c>
      <c r="B740" t="s">
        <v>2859</v>
      </c>
      <c r="C740" t="s">
        <v>2860</v>
      </c>
      <c r="D740" t="s">
        <v>39</v>
      </c>
      <c r="E740" t="s">
        <v>40</v>
      </c>
      <c r="F740" t="s">
        <v>2861</v>
      </c>
      <c r="G740" t="s">
        <v>167</v>
      </c>
      <c r="H740">
        <v>42</v>
      </c>
      <c r="Q740" t="s">
        <v>51</v>
      </c>
      <c r="R740" t="s">
        <v>2862</v>
      </c>
      <c r="U740" t="s">
        <v>53</v>
      </c>
      <c r="V740">
        <v>4920764742</v>
      </c>
      <c r="AF740">
        <v>1003533388</v>
      </c>
    </row>
    <row r="741" spans="1:37" x14ac:dyDescent="0.25">
      <c r="A741">
        <v>10452807</v>
      </c>
      <c r="B741" t="s">
        <v>2863</v>
      </c>
      <c r="C741" t="s">
        <v>2864</v>
      </c>
      <c r="D741" t="s">
        <v>39</v>
      </c>
      <c r="E741" t="s">
        <v>49</v>
      </c>
      <c r="F741" t="s">
        <v>2865</v>
      </c>
      <c r="G741" t="s">
        <v>998</v>
      </c>
      <c r="H741">
        <v>15</v>
      </c>
      <c r="R741" t="s">
        <v>2866</v>
      </c>
      <c r="V741" t="s">
        <v>2867</v>
      </c>
      <c r="AF741">
        <v>1010452807</v>
      </c>
      <c r="AJ741" t="s">
        <v>656</v>
      </c>
      <c r="AK741" t="s">
        <v>61</v>
      </c>
    </row>
    <row r="742" spans="1:37" x14ac:dyDescent="0.25">
      <c r="A742">
        <v>3370259</v>
      </c>
      <c r="B742" t="s">
        <v>2868</v>
      </c>
      <c r="C742" t="s">
        <v>595</v>
      </c>
      <c r="D742" t="s">
        <v>39</v>
      </c>
      <c r="E742" t="s">
        <v>40</v>
      </c>
      <c r="F742" t="s">
        <v>2869</v>
      </c>
      <c r="G742" t="s">
        <v>1953</v>
      </c>
      <c r="H742">
        <v>60</v>
      </c>
      <c r="U742" t="s">
        <v>53</v>
      </c>
      <c r="V742">
        <v>4995222334</v>
      </c>
      <c r="W742" t="s">
        <v>51</v>
      </c>
      <c r="X742">
        <v>475466618</v>
      </c>
      <c r="AA742">
        <v>32</v>
      </c>
      <c r="AF742">
        <v>1003370259</v>
      </c>
    </row>
    <row r="743" spans="1:37" x14ac:dyDescent="0.25">
      <c r="A743">
        <v>2936146</v>
      </c>
      <c r="B743" t="s">
        <v>2870</v>
      </c>
      <c r="C743" t="s">
        <v>2871</v>
      </c>
      <c r="D743" t="s">
        <v>39</v>
      </c>
      <c r="E743" t="s">
        <v>40</v>
      </c>
      <c r="F743" t="s">
        <v>2872</v>
      </c>
      <c r="G743" t="s">
        <v>2650</v>
      </c>
      <c r="H743">
        <v>32</v>
      </c>
      <c r="V743">
        <v>473610262</v>
      </c>
      <c r="AA743">
        <v>32</v>
      </c>
      <c r="AF743">
        <v>1002936146</v>
      </c>
    </row>
    <row r="744" spans="1:37" x14ac:dyDescent="0.25">
      <c r="A744">
        <v>2668121</v>
      </c>
      <c r="B744" t="s">
        <v>2873</v>
      </c>
      <c r="C744" t="s">
        <v>2874</v>
      </c>
      <c r="D744" t="s">
        <v>39</v>
      </c>
      <c r="E744" t="s">
        <v>40</v>
      </c>
      <c r="F744" t="s">
        <v>2875</v>
      </c>
      <c r="G744" t="s">
        <v>2876</v>
      </c>
      <c r="H744">
        <v>2</v>
      </c>
      <c r="J744">
        <v>9600</v>
      </c>
      <c r="K744" t="s">
        <v>136</v>
      </c>
      <c r="L744" t="s">
        <v>44</v>
      </c>
      <c r="M744" t="s">
        <v>45</v>
      </c>
      <c r="O744" t="s">
        <v>46</v>
      </c>
      <c r="P744" t="s">
        <v>2877</v>
      </c>
      <c r="AC744" t="s">
        <v>2878</v>
      </c>
      <c r="AF744">
        <v>1002668121</v>
      </c>
      <c r="AG744">
        <v>636189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3309-8086-4F57-851F-D4318B223315}">
  <dimension ref="A1:P743"/>
  <sheetViews>
    <sheetView topLeftCell="B1" workbookViewId="0">
      <pane ySplit="1" topLeftCell="A2" activePane="bottomLeft" state="frozen"/>
      <selection pane="bottomLeft" activeCell="D260" sqref="D260"/>
    </sheetView>
  </sheetViews>
  <sheetFormatPr defaultRowHeight="15" outlineLevelCol="1" x14ac:dyDescent="0.25"/>
  <cols>
    <col min="1" max="1" width="29.7109375" customWidth="1"/>
    <col min="2" max="2" width="37" customWidth="1"/>
    <col min="3" max="3" width="20.28515625" customWidth="1"/>
    <col min="4" max="4" width="46.28515625" customWidth="1"/>
    <col min="5" max="5" width="16.7109375" customWidth="1"/>
    <col min="6" max="6" width="40.7109375" customWidth="1"/>
    <col min="7" max="7" width="16.7109375" customWidth="1"/>
    <col min="10" max="16" width="8.85546875" outlineLevel="1"/>
  </cols>
  <sheetData>
    <row r="1" spans="1:16" x14ac:dyDescent="0.25">
      <c r="A1" s="1" t="s">
        <v>1</v>
      </c>
      <c r="B1" s="1" t="s">
        <v>2880</v>
      </c>
      <c r="C1" s="1" t="s">
        <v>2881</v>
      </c>
      <c r="D1" s="1" t="s">
        <v>29</v>
      </c>
      <c r="E1" s="1" t="s">
        <v>2882</v>
      </c>
      <c r="F1" s="1" t="s">
        <v>34</v>
      </c>
      <c r="G1" s="1" t="s">
        <v>2883</v>
      </c>
    </row>
    <row r="2" spans="1:16" x14ac:dyDescent="0.25">
      <c r="A2" t="str" cm="1">
        <f t="array" ref="A2:G394">_xlfn._xlws.FILTER(J2:P743,(P2:P743="Speler")+(P2:P743="Coach"))</f>
        <v>Lily Adam</v>
      </c>
      <c r="B2" t="str">
        <v>Koenadam78@gmail.com</v>
      </c>
      <c r="C2" t="str">
        <v>0476837352</v>
      </c>
      <c r="D2" t="str">
        <v>https://app.twizzit.com/public/photos/2182441/s/eec7946e1a9e80461f26752840c4aedc7d235bab.jpeg</v>
      </c>
      <c r="E2" s="2">
        <v>728412</v>
      </c>
      <c r="F2" t="str">
        <v>DSE A Haantjes Certifisc Oudenaarde</v>
      </c>
      <c r="G2" t="str">
        <v>Speler</v>
      </c>
      <c r="J2" t="str">
        <f>Worksheet!C2&amp;" "&amp;Worksheet!B2</f>
        <v>Koen Adam</v>
      </c>
      <c r="K2" t="str">
        <f>IF(Worksheet!P2&lt;&gt;"",Worksheet!P2,IF(Worksheet!R2&lt;&gt;"",Worksheet!R2,IF(Worksheet!T2&lt;&gt;"",Worksheet!T2,"")))</f>
        <v>koenadam78@gmail.com</v>
      </c>
      <c r="L2" t="str">
        <f>IF(AND(Worksheet!V2&lt;&gt;"",Worksheet!V2&lt;&gt;0),Worksheet!V2&amp;"",IF(AND(Worksheet!X2&lt;&gt;"",Worksheet!X2&lt;&gt;0),Worksheet!X2&amp;"",IF(AND(Worksheet!Z2&lt;&gt;"",Worksheet!Z2&lt;&gt;0),Worksheet!Z2&amp;"","")))</f>
        <v/>
      </c>
      <c r="M2" t="str">
        <f>IF(Worksheet!AE2="","",Worksheet!AE2)</f>
        <v/>
      </c>
      <c r="N2" t="str">
        <f>IF(Worksheet!AG2="","",Worksheet!AG2)</f>
        <v/>
      </c>
      <c r="O2" t="str">
        <f>IF(Worksheet!AJ2="","",Worksheet!AJ2)</f>
        <v/>
      </c>
      <c r="P2" t="str">
        <f>IF(Worksheet!AK2="","",Worksheet!AK2)</f>
        <v/>
      </c>
    </row>
    <row r="3" spans="1:16" x14ac:dyDescent="0.25">
      <c r="A3" t="str">
        <v>Lily Adam</v>
      </c>
      <c r="B3" t="str">
        <v>Koenadam78@gmail.com</v>
      </c>
      <c r="C3" t="str">
        <v>0476837352</v>
      </c>
      <c r="D3" t="str">
        <v>https://app.twizzit.com/public/photos/2182441/s/eec7946e1a9e80461f26752840c4aedc7d235bab.jpeg</v>
      </c>
      <c r="E3" s="2">
        <v>728412</v>
      </c>
      <c r="F3" t="str">
        <v>Zomerstage 2026 (Blankenberge)</v>
      </c>
      <c r="G3" t="str">
        <v>Speler</v>
      </c>
      <c r="J3" t="str">
        <f>Worksheet!C3&amp;" "&amp;Worksheet!B3</f>
        <v>Lily Adam</v>
      </c>
      <c r="K3" t="str">
        <f>IF(Worksheet!P3&lt;&gt;"",Worksheet!P3,IF(Worksheet!R3&lt;&gt;"",Worksheet!R3,IF(Worksheet!T3&lt;&gt;"",Worksheet!T3,"")))</f>
        <v>Koenadam78@gmail.com</v>
      </c>
      <c r="L3" t="str">
        <f>IF(AND(Worksheet!V3&lt;&gt;"",Worksheet!V3&lt;&gt;0),Worksheet!V3&amp;"",IF(AND(Worksheet!X3&lt;&gt;"",Worksheet!X3&lt;&gt;0),Worksheet!X3&amp;"",IF(AND(Worksheet!Z3&lt;&gt;"",Worksheet!Z3&lt;&gt;0),Worksheet!Z3&amp;"","")))</f>
        <v>0476837352</v>
      </c>
      <c r="M3" t="str">
        <f>IF(Worksheet!AE3="","",Worksheet!AE3)</f>
        <v>https://app.twizzit.com/public/photos/2182441/s/eec7946e1a9e80461f26752840c4aedc7d235bab.jpeg</v>
      </c>
      <c r="N3">
        <f>IF(Worksheet!AG3="","",Worksheet!AG3)</f>
        <v>728412</v>
      </c>
      <c r="O3" t="str">
        <f>IF(Worksheet!AJ3="","",Worksheet!AJ3)</f>
        <v>DSE A Haantjes Certifisc Oudenaarde</v>
      </c>
      <c r="P3" t="str">
        <f>IF(Worksheet!AK3="","",Worksheet!AK3)</f>
        <v>Speler</v>
      </c>
    </row>
    <row r="4" spans="1:16" x14ac:dyDescent="0.25">
      <c r="A4" t="str">
        <v>Lily Adam</v>
      </c>
      <c r="B4" t="str">
        <v>Koenadam78@gmail.com</v>
      </c>
      <c r="C4" t="str">
        <v>0476837352</v>
      </c>
      <c r="D4" t="str">
        <v>https://app.twizzit.com/public/photos/2182441/s/eec7946e1a9e80461f26752840c4aedc7d235bab.jpeg</v>
      </c>
      <c r="E4" s="2">
        <v>728412</v>
      </c>
      <c r="F4" t="str">
        <v xml:space="preserve">Trainerspoule </v>
      </c>
      <c r="G4" t="str">
        <v>Coach</v>
      </c>
      <c r="J4" t="str">
        <f>Worksheet!C4&amp;" "&amp;Worksheet!B4</f>
        <v>Lily Adam</v>
      </c>
      <c r="K4" t="str">
        <f>IF(Worksheet!P4&lt;&gt;"",Worksheet!P4,IF(Worksheet!R4&lt;&gt;"",Worksheet!R4,IF(Worksheet!T4&lt;&gt;"",Worksheet!T4,"")))</f>
        <v>Koenadam78@gmail.com</v>
      </c>
      <c r="L4" t="str">
        <f>IF(AND(Worksheet!V4&lt;&gt;"",Worksheet!V4&lt;&gt;0),Worksheet!V4&amp;"",IF(AND(Worksheet!X4&lt;&gt;"",Worksheet!X4&lt;&gt;0),Worksheet!X4&amp;"",IF(AND(Worksheet!Z4&lt;&gt;"",Worksheet!Z4&lt;&gt;0),Worksheet!Z4&amp;"","")))</f>
        <v>0476837352</v>
      </c>
      <c r="M4" t="str">
        <f>IF(Worksheet!AE4="","",Worksheet!AE4)</f>
        <v>https://app.twizzit.com/public/photos/2182441/s/eec7946e1a9e80461f26752840c4aedc7d235bab.jpeg</v>
      </c>
      <c r="N4">
        <f>IF(Worksheet!AG4="","",Worksheet!AG4)</f>
        <v>728412</v>
      </c>
      <c r="O4" t="str">
        <f>IF(Worksheet!AJ4="","",Worksheet!AJ4)</f>
        <v>Zomerstage 2026 (Blankenberge)</v>
      </c>
      <c r="P4" t="str">
        <f>IF(Worksheet!AK4="","",Worksheet!AK4)</f>
        <v>Speler</v>
      </c>
    </row>
    <row r="5" spans="1:16" x14ac:dyDescent="0.25">
      <c r="A5" t="str">
        <v>Kledion Alia</v>
      </c>
      <c r="B5" t="str">
        <v/>
      </c>
      <c r="C5" t="str">
        <v>32499284650</v>
      </c>
      <c r="D5" t="str">
        <v>https://app.twizzit.com/public/photos/2650601/s/f885f644ea63bcfe0579c08cf537df8dcbb43ecc.png</v>
      </c>
      <c r="E5" s="2">
        <v>742334</v>
      </c>
      <c r="F5" t="str">
        <v>G14 A Haantjes CERTIFISC Oudenaarde</v>
      </c>
      <c r="G5" t="str">
        <v>Speler</v>
      </c>
      <c r="J5" t="str">
        <f>Worksheet!C5&amp;" "&amp;Worksheet!B5</f>
        <v>Lily Adam</v>
      </c>
      <c r="K5" t="str">
        <f>IF(Worksheet!P5&lt;&gt;"",Worksheet!P5,IF(Worksheet!R5&lt;&gt;"",Worksheet!R5,IF(Worksheet!T5&lt;&gt;"",Worksheet!T5,"")))</f>
        <v>Koenadam78@gmail.com</v>
      </c>
      <c r="L5" t="str">
        <f>IF(AND(Worksheet!V5&lt;&gt;"",Worksheet!V5&lt;&gt;0),Worksheet!V5&amp;"",IF(AND(Worksheet!X5&lt;&gt;"",Worksheet!X5&lt;&gt;0),Worksheet!X5&amp;"",IF(AND(Worksheet!Z5&lt;&gt;"",Worksheet!Z5&lt;&gt;0),Worksheet!Z5&amp;"","")))</f>
        <v>0476837352</v>
      </c>
      <c r="M5" t="str">
        <f>IF(Worksheet!AE5="","",Worksheet!AE5)</f>
        <v>https://app.twizzit.com/public/photos/2182441/s/eec7946e1a9e80461f26752840c4aedc7d235bab.jpeg</v>
      </c>
      <c r="N5">
        <f>IF(Worksheet!AG5="","",Worksheet!AG5)</f>
        <v>728412</v>
      </c>
      <c r="O5" t="str">
        <f>IF(Worksheet!AJ5="","",Worksheet!AJ5)</f>
        <v xml:space="preserve">Trainerspoule </v>
      </c>
      <c r="P5" t="str">
        <f>IF(Worksheet!AK5="","",Worksheet!AK5)</f>
        <v>Coach</v>
      </c>
    </row>
    <row r="6" spans="1:16" x14ac:dyDescent="0.25">
      <c r="A6" t="str">
        <v>Kors Altruy</v>
      </c>
      <c r="B6" t="str">
        <v>David.altruy@outlook.be</v>
      </c>
      <c r="C6" t="str">
        <v>0479873979</v>
      </c>
      <c r="D6" t="str">
        <v/>
      </c>
      <c r="E6" s="2" t="str">
        <v/>
      </c>
      <c r="F6" t="str">
        <v>G14 B Haantjes CERTIFISC Oudenaarde</v>
      </c>
      <c r="G6" t="str">
        <v>Speler</v>
      </c>
      <c r="J6" t="str">
        <f>Worksheet!C6&amp;" "&amp;Worksheet!B6</f>
        <v>Enida Alia</v>
      </c>
      <c r="K6" t="str">
        <f>IF(Worksheet!P6&lt;&gt;"",Worksheet!P6,IF(Worksheet!R6&lt;&gt;"",Worksheet!R6,IF(Worksheet!T6&lt;&gt;"",Worksheet!T6,"")))</f>
        <v>elidona.eni@gmail.com</v>
      </c>
      <c r="L6" t="str">
        <f>IF(AND(Worksheet!V6&lt;&gt;"",Worksheet!V6&lt;&gt;0),Worksheet!V6&amp;"",IF(AND(Worksheet!X6&lt;&gt;"",Worksheet!X6&lt;&gt;0),Worksheet!X6&amp;"",IF(AND(Worksheet!Z6&lt;&gt;"",Worksheet!Z6&lt;&gt;0),Worksheet!Z6&amp;"","")))</f>
        <v>00499284650</v>
      </c>
      <c r="M6" t="str">
        <f>IF(Worksheet!AE6="","",Worksheet!AE6)</f>
        <v/>
      </c>
      <c r="N6" t="str">
        <f>IF(Worksheet!AG6="","",Worksheet!AG6)</f>
        <v/>
      </c>
      <c r="O6" t="str">
        <f>IF(Worksheet!AJ6="","",Worksheet!AJ6)</f>
        <v/>
      </c>
      <c r="P6" t="str">
        <f>IF(Worksheet!AK6="","",Worksheet!AK6)</f>
        <v/>
      </c>
    </row>
    <row r="7" spans="1:16" x14ac:dyDescent="0.25">
      <c r="A7" t="str">
        <v>Lenn Altruy</v>
      </c>
      <c r="B7" t="str">
        <v>David.altruy@outlook.be</v>
      </c>
      <c r="C7" t="str">
        <v>0479873979</v>
      </c>
      <c r="D7" t="str">
        <v/>
      </c>
      <c r="E7" s="2" t="str">
        <v/>
      </c>
      <c r="F7" t="str">
        <v>Zomerstage 2026 U10 &amp; U12 (Oudenaarde)</v>
      </c>
      <c r="G7" t="str">
        <v>Speler</v>
      </c>
      <c r="J7" t="str">
        <f>Worksheet!C7&amp;" "&amp;Worksheet!B7</f>
        <v>Kledion Alia</v>
      </c>
      <c r="K7" t="str">
        <f>IF(Worksheet!P7&lt;&gt;"",Worksheet!P7,IF(Worksheet!R7&lt;&gt;"",Worksheet!R7,IF(Worksheet!T7&lt;&gt;"",Worksheet!T7,"")))</f>
        <v/>
      </c>
      <c r="L7" t="str">
        <f>IF(AND(Worksheet!V7&lt;&gt;"",Worksheet!V7&lt;&gt;0),Worksheet!V7&amp;"",IF(AND(Worksheet!X7&lt;&gt;"",Worksheet!X7&lt;&gt;0),Worksheet!X7&amp;"",IF(AND(Worksheet!Z7&lt;&gt;"",Worksheet!Z7&lt;&gt;0),Worksheet!Z7&amp;"","")))</f>
        <v>32499284650</v>
      </c>
      <c r="M7" t="str">
        <f>IF(Worksheet!AE7="","",Worksheet!AE7)</f>
        <v>https://app.twizzit.com/public/photos/2650601/s/f885f644ea63bcfe0579c08cf537df8dcbb43ecc.png</v>
      </c>
      <c r="N7">
        <f>IF(Worksheet!AG7="","",Worksheet!AG7)</f>
        <v>742334</v>
      </c>
      <c r="O7" t="str">
        <f>IF(Worksheet!AJ7="","",Worksheet!AJ7)</f>
        <v>G14 A Haantjes CERTIFISC Oudenaarde</v>
      </c>
      <c r="P7" t="str">
        <f>IF(Worksheet!AK7="","",Worksheet!AK7)</f>
        <v>Speler</v>
      </c>
    </row>
    <row r="8" spans="1:16" x14ac:dyDescent="0.25">
      <c r="A8" t="str">
        <v>Lenn Altruy</v>
      </c>
      <c r="B8" t="str">
        <v>David.altruy@outlook.be</v>
      </c>
      <c r="C8" t="str">
        <v>0479873979</v>
      </c>
      <c r="D8" t="str">
        <v/>
      </c>
      <c r="E8" s="2" t="str">
        <v/>
      </c>
      <c r="F8" t="str">
        <v>G10 Geel HAANTJES CERTIFISC OUDENAARDE</v>
      </c>
      <c r="G8" t="str">
        <v>Speler</v>
      </c>
      <c r="J8" t="str">
        <f>Worksheet!C8&amp;" "&amp;Worksheet!B8</f>
        <v>Kors Altruy</v>
      </c>
      <c r="K8" t="str">
        <f>IF(Worksheet!P8&lt;&gt;"",Worksheet!P8,IF(Worksheet!R8&lt;&gt;"",Worksheet!R8,IF(Worksheet!T8&lt;&gt;"",Worksheet!T8,"")))</f>
        <v>David.altruy@outlook.be</v>
      </c>
      <c r="L8" t="str">
        <f>IF(AND(Worksheet!V8&lt;&gt;"",Worksheet!V8&lt;&gt;0),Worksheet!V8&amp;"",IF(AND(Worksheet!X8&lt;&gt;"",Worksheet!X8&lt;&gt;0),Worksheet!X8&amp;"",IF(AND(Worksheet!Z8&lt;&gt;"",Worksheet!Z8&lt;&gt;0),Worksheet!Z8&amp;"","")))</f>
        <v>0479873979</v>
      </c>
      <c r="M8" t="str">
        <f>IF(Worksheet!AE8="","",Worksheet!AE8)</f>
        <v/>
      </c>
      <c r="N8" t="str">
        <f>IF(Worksheet!AG8="","",Worksheet!AG8)</f>
        <v/>
      </c>
      <c r="O8" t="str">
        <f>IF(Worksheet!AJ8="","",Worksheet!AJ8)</f>
        <v>G14 B Haantjes CERTIFISC Oudenaarde</v>
      </c>
      <c r="P8" t="str">
        <f>IF(Worksheet!AK8="","",Worksheet!AK8)</f>
        <v>Speler</v>
      </c>
    </row>
    <row r="9" spans="1:16" x14ac:dyDescent="0.25">
      <c r="A9" t="str">
        <v>Isa Ameloot-Vanhove</v>
      </c>
      <c r="B9" t="str">
        <v>sofie.ameloot@huurland.be</v>
      </c>
      <c r="C9" t="str">
        <v>0483203613</v>
      </c>
      <c r="D9" t="str">
        <v>https://app.twizzit.com/public/photos/5115343/s/0e6908415a8d44c9a80019c8bc87b39596577cc5.jpeg</v>
      </c>
      <c r="E9" s="2" t="str">
        <v/>
      </c>
      <c r="F9" t="str">
        <v>M16 A Haantjes CERTIFISC  Oudenaarde</v>
      </c>
      <c r="G9" t="str">
        <v>Speler</v>
      </c>
      <c r="J9" t="str">
        <f>Worksheet!C9&amp;" "&amp;Worksheet!B9</f>
        <v>Lenn Altruy</v>
      </c>
      <c r="K9" t="str">
        <f>IF(Worksheet!P9&lt;&gt;"",Worksheet!P9,IF(Worksheet!R9&lt;&gt;"",Worksheet!R9,IF(Worksheet!T9&lt;&gt;"",Worksheet!T9,"")))</f>
        <v>David.altruy@outlook.be</v>
      </c>
      <c r="L9" t="str">
        <f>IF(AND(Worksheet!V9&lt;&gt;"",Worksheet!V9&lt;&gt;0),Worksheet!V9&amp;"",IF(AND(Worksheet!X9&lt;&gt;"",Worksheet!X9&lt;&gt;0),Worksheet!X9&amp;"",IF(AND(Worksheet!Z9&lt;&gt;"",Worksheet!Z9&lt;&gt;0),Worksheet!Z9&amp;"","")))</f>
        <v>0479873979</v>
      </c>
      <c r="M9" t="str">
        <f>IF(Worksheet!AE9="","",Worksheet!AE9)</f>
        <v/>
      </c>
      <c r="N9" t="str">
        <f>IF(Worksheet!AG9="","",Worksheet!AG9)</f>
        <v/>
      </c>
      <c r="O9" t="str">
        <f>IF(Worksheet!AJ9="","",Worksheet!AJ9)</f>
        <v>Zomerstage 2026 U10 &amp; U12 (Oudenaarde)</v>
      </c>
      <c r="P9" t="str">
        <f>IF(Worksheet!AK9="","",Worksheet!AK9)</f>
        <v>Speler</v>
      </c>
    </row>
    <row r="10" spans="1:16" x14ac:dyDescent="0.25">
      <c r="A10" t="str">
        <v>Arsen Anar</v>
      </c>
      <c r="B10" t="str">
        <v/>
      </c>
      <c r="C10" t="str">
        <v/>
      </c>
      <c r="D10" t="str">
        <v>https://app.twizzit.com/public/photos/11272034/s/339c8f61eeb207a0a7ef82edab3f88fc90d76b77.jpeg</v>
      </c>
      <c r="E10" s="2" t="str">
        <v/>
      </c>
      <c r="F10" t="str">
        <v>G12 Blauw HAANTJES CERTIFISC OUDENAARDE</v>
      </c>
      <c r="G10" t="str">
        <v>Speler</v>
      </c>
      <c r="J10" t="str">
        <f>Worksheet!C10&amp;" "&amp;Worksheet!B10</f>
        <v>Lenn Altruy</v>
      </c>
      <c r="K10" t="str">
        <f>IF(Worksheet!P10&lt;&gt;"",Worksheet!P10,IF(Worksheet!R10&lt;&gt;"",Worksheet!R10,IF(Worksheet!T10&lt;&gt;"",Worksheet!T10,"")))</f>
        <v>David.altruy@outlook.be</v>
      </c>
      <c r="L10" t="str">
        <f>IF(AND(Worksheet!V10&lt;&gt;"",Worksheet!V10&lt;&gt;0),Worksheet!V10&amp;"",IF(AND(Worksheet!X10&lt;&gt;"",Worksheet!X10&lt;&gt;0),Worksheet!X10&amp;"",IF(AND(Worksheet!Z10&lt;&gt;"",Worksheet!Z10&lt;&gt;0),Worksheet!Z10&amp;"","")))</f>
        <v>0479873979</v>
      </c>
      <c r="M10" t="str">
        <f>IF(Worksheet!AE10="","",Worksheet!AE10)</f>
        <v/>
      </c>
      <c r="N10" t="str">
        <f>IF(Worksheet!AG10="","",Worksheet!AG10)</f>
        <v/>
      </c>
      <c r="O10" t="str">
        <f>IF(Worksheet!AJ10="","",Worksheet!AJ10)</f>
        <v>G10 Geel HAANTJES CERTIFISC OUDENAARDE</v>
      </c>
      <c r="P10" t="str">
        <f>IF(Worksheet!AK10="","",Worksheet!AK10)</f>
        <v>Speler</v>
      </c>
    </row>
    <row r="11" spans="1:16" x14ac:dyDescent="0.25">
      <c r="A11" t="str">
        <v>Mark Anar</v>
      </c>
      <c r="B11" t="str">
        <v/>
      </c>
      <c r="C11" t="str">
        <v/>
      </c>
      <c r="D11" t="str">
        <v>https://app.twizzit.com/public/photos/11272030/s/d97169c55e4278dd5f5452138091d993430ca8ab.jpeg</v>
      </c>
      <c r="E11" s="2" t="str">
        <v/>
      </c>
      <c r="F11" t="str">
        <v>G12 Blauw HAANTJES CERTIFISC OUDENAARDE</v>
      </c>
      <c r="G11" t="str">
        <v>Speler</v>
      </c>
      <c r="J11" t="str">
        <f>Worksheet!C11&amp;" "&amp;Worksheet!B11</f>
        <v>Isa Ameloot-Vanhove</v>
      </c>
      <c r="K11" t="str">
        <f>IF(Worksheet!P11&lt;&gt;"",Worksheet!P11,IF(Worksheet!R11&lt;&gt;"",Worksheet!R11,IF(Worksheet!T11&lt;&gt;"",Worksheet!T11,"")))</f>
        <v>sofie.ameloot@huurland.be</v>
      </c>
      <c r="L11" t="str">
        <f>IF(AND(Worksheet!V11&lt;&gt;"",Worksheet!V11&lt;&gt;0),Worksheet!V11&amp;"",IF(AND(Worksheet!X11&lt;&gt;"",Worksheet!X11&lt;&gt;0),Worksheet!X11&amp;"",IF(AND(Worksheet!Z11&lt;&gt;"",Worksheet!Z11&lt;&gt;0),Worksheet!Z11&amp;"","")))</f>
        <v>0483203613</v>
      </c>
      <c r="M11" t="str">
        <f>IF(Worksheet!AE11="","",Worksheet!AE11)</f>
        <v>https://app.twizzit.com/public/photos/5115343/s/0e6908415a8d44c9a80019c8bc87b39596577cc5.jpeg</v>
      </c>
      <c r="N11" t="str">
        <f>IF(Worksheet!AG11="","",Worksheet!AG11)</f>
        <v/>
      </c>
      <c r="O11" t="str">
        <f>IF(Worksheet!AJ11="","",Worksheet!AJ11)</f>
        <v>M16 A Haantjes CERTIFISC  Oudenaarde</v>
      </c>
      <c r="P11" t="str">
        <f>IF(Worksheet!AK11="","",Worksheet!AK11)</f>
        <v>Speler</v>
      </c>
    </row>
    <row r="12" spans="1:16" x14ac:dyDescent="0.25">
      <c r="A12" t="str">
        <v>Marsel Anar</v>
      </c>
      <c r="B12" t="str">
        <v/>
      </c>
      <c r="C12" t="str">
        <v/>
      </c>
      <c r="D12" t="str">
        <v>https://app.twizzit.com/public/photos/11272039/s/667db68e153309a064042452d0f619e8acb011fa.jpeg</v>
      </c>
      <c r="E12" s="2" t="str">
        <v/>
      </c>
      <c r="F12" t="str">
        <v>G12 Blauw HAANTJES CERTIFISC OUDENAARDE</v>
      </c>
      <c r="G12" t="str">
        <v>Speler</v>
      </c>
      <c r="J12" t="str">
        <f>Worksheet!C12&amp;" "&amp;Worksheet!B12</f>
        <v>Arsen Anar</v>
      </c>
      <c r="K12" t="str">
        <f>IF(Worksheet!P12&lt;&gt;"",Worksheet!P12,IF(Worksheet!R12&lt;&gt;"",Worksheet!R12,IF(Worksheet!T12&lt;&gt;"",Worksheet!T12,"")))</f>
        <v/>
      </c>
      <c r="L12" t="str">
        <f>IF(AND(Worksheet!V12&lt;&gt;"",Worksheet!V12&lt;&gt;0),Worksheet!V12&amp;"",IF(AND(Worksheet!X12&lt;&gt;"",Worksheet!X12&lt;&gt;0),Worksheet!X12&amp;"",IF(AND(Worksheet!Z12&lt;&gt;"",Worksheet!Z12&lt;&gt;0),Worksheet!Z12&amp;"","")))</f>
        <v/>
      </c>
      <c r="M12" t="str">
        <f>IF(Worksheet!AE12="","",Worksheet!AE12)</f>
        <v>https://app.twizzit.com/public/photos/11272034/s/339c8f61eeb207a0a7ef82edab3f88fc90d76b77.jpeg</v>
      </c>
      <c r="N12" t="str">
        <f>IF(Worksheet!AG12="","",Worksheet!AG12)</f>
        <v/>
      </c>
      <c r="O12" t="str">
        <f>IF(Worksheet!AJ12="","",Worksheet!AJ12)</f>
        <v>G12 Blauw HAANTJES CERTIFISC OUDENAARDE</v>
      </c>
      <c r="P12" t="str">
        <f>IF(Worksheet!AK12="","",Worksheet!AK12)</f>
        <v>Speler</v>
      </c>
    </row>
    <row r="13" spans="1:16" x14ac:dyDescent="0.25">
      <c r="A13" t="str">
        <v>Bent Anseeuw</v>
      </c>
      <c r="B13" t="str">
        <v>bent.anseeuw@gmail.com</v>
      </c>
      <c r="C13" t="str">
        <v>0497023380</v>
      </c>
      <c r="D13" t="str">
        <v>https://app.twizzit.com/public/photos/2182451/s/d40702514c4affc118f06eee4555b1ca966c4e65.png</v>
      </c>
      <c r="E13" s="2">
        <v>713666</v>
      </c>
      <c r="F13" t="str">
        <v>J18 B Haantjes CERTIFISC Oudenaarde</v>
      </c>
      <c r="G13" t="str">
        <v>Speler</v>
      </c>
      <c r="J13" t="str">
        <f>Worksheet!C13&amp;" "&amp;Worksheet!B13</f>
        <v>Mark Anar</v>
      </c>
      <c r="K13" t="str">
        <f>IF(Worksheet!P13&lt;&gt;"",Worksheet!P13,IF(Worksheet!R13&lt;&gt;"",Worksheet!R13,IF(Worksheet!T13&lt;&gt;"",Worksheet!T13,"")))</f>
        <v/>
      </c>
      <c r="L13" t="str">
        <f>IF(AND(Worksheet!V13&lt;&gt;"",Worksheet!V13&lt;&gt;0),Worksheet!V13&amp;"",IF(AND(Worksheet!X13&lt;&gt;"",Worksheet!X13&lt;&gt;0),Worksheet!X13&amp;"",IF(AND(Worksheet!Z13&lt;&gt;"",Worksheet!Z13&lt;&gt;0),Worksheet!Z13&amp;"","")))</f>
        <v/>
      </c>
      <c r="M13" t="str">
        <f>IF(Worksheet!AE13="","",Worksheet!AE13)</f>
        <v>https://app.twizzit.com/public/photos/11272030/s/d97169c55e4278dd5f5452138091d993430ca8ab.jpeg</v>
      </c>
      <c r="N13" t="str">
        <f>IF(Worksheet!AG13="","",Worksheet!AG13)</f>
        <v/>
      </c>
      <c r="O13" t="str">
        <f>IF(Worksheet!AJ13="","",Worksheet!AJ13)</f>
        <v>G12 Blauw HAANTJES CERTIFISC OUDENAARDE</v>
      </c>
      <c r="P13" t="str">
        <f>IF(Worksheet!AK13="","",Worksheet!AK13)</f>
        <v>Speler</v>
      </c>
    </row>
    <row r="14" spans="1:16" x14ac:dyDescent="0.25">
      <c r="A14" t="str">
        <v>Bent Anseeuw</v>
      </c>
      <c r="B14" t="str">
        <v>bent.anseeuw@gmail.com</v>
      </c>
      <c r="C14" t="str">
        <v>0497023380</v>
      </c>
      <c r="D14" t="str">
        <v>https://app.twizzit.com/public/photos/2182451/s/d40702514c4affc118f06eee4555b1ca966c4e65.png</v>
      </c>
      <c r="E14" s="2">
        <v>713666</v>
      </c>
      <c r="F14" t="str">
        <v>Zomerstage 2026 (Blankenberge)</v>
      </c>
      <c r="G14" t="str">
        <v>Speler</v>
      </c>
      <c r="J14" t="str">
        <f>Worksheet!C14&amp;" "&amp;Worksheet!B14</f>
        <v>Marsel Anar</v>
      </c>
      <c r="K14" t="str">
        <f>IF(Worksheet!P14&lt;&gt;"",Worksheet!P14,IF(Worksheet!R14&lt;&gt;"",Worksheet!R14,IF(Worksheet!T14&lt;&gt;"",Worksheet!T14,"")))</f>
        <v/>
      </c>
      <c r="L14" t="str">
        <f>IF(AND(Worksheet!V14&lt;&gt;"",Worksheet!V14&lt;&gt;0),Worksheet!V14&amp;"",IF(AND(Worksheet!X14&lt;&gt;"",Worksheet!X14&lt;&gt;0),Worksheet!X14&amp;"",IF(AND(Worksheet!Z14&lt;&gt;"",Worksheet!Z14&lt;&gt;0),Worksheet!Z14&amp;"","")))</f>
        <v/>
      </c>
      <c r="M14" t="str">
        <f>IF(Worksheet!AE14="","",Worksheet!AE14)</f>
        <v>https://app.twizzit.com/public/photos/11272039/s/667db68e153309a064042452d0f619e8acb011fa.jpeg</v>
      </c>
      <c r="N14" t="str">
        <f>IF(Worksheet!AG14="","",Worksheet!AG14)</f>
        <v/>
      </c>
      <c r="O14" t="str">
        <f>IF(Worksheet!AJ14="","",Worksheet!AJ14)</f>
        <v>G12 Blauw HAANTJES CERTIFISC OUDENAARDE</v>
      </c>
      <c r="P14" t="str">
        <f>IF(Worksheet!AK14="","",Worksheet!AK14)</f>
        <v>Speler</v>
      </c>
    </row>
    <row r="15" spans="1:16" x14ac:dyDescent="0.25">
      <c r="A15" t="str">
        <v>Mare Anseeuw</v>
      </c>
      <c r="B15" t="str">
        <v>matthias.anseeuw@telenet.be</v>
      </c>
      <c r="C15" t="str">
        <v>497023380</v>
      </c>
      <c r="D15" t="str">
        <v>https://app.twizzit.com/public/photos/2182456/s/112b54676bd1e925e699cce3ec7a25a94902a3a2.png</v>
      </c>
      <c r="E15" s="2">
        <v>735071</v>
      </c>
      <c r="F15" t="str">
        <v>Zomerstage 2026 (Blankenberge)</v>
      </c>
      <c r="G15" t="str">
        <v>Speler</v>
      </c>
      <c r="J15" t="str">
        <f>Worksheet!C15&amp;" "&amp;Worksheet!B15</f>
        <v>Bent Anseeuw</v>
      </c>
      <c r="K15" t="str">
        <f>IF(Worksheet!P15&lt;&gt;"",Worksheet!P15,IF(Worksheet!R15&lt;&gt;"",Worksheet!R15,IF(Worksheet!T15&lt;&gt;"",Worksheet!T15,"")))</f>
        <v>bent.anseeuw@gmail.com</v>
      </c>
      <c r="L15" t="str">
        <f>IF(AND(Worksheet!V15&lt;&gt;"",Worksheet!V15&lt;&gt;0),Worksheet!V15&amp;"",IF(AND(Worksheet!X15&lt;&gt;"",Worksheet!X15&lt;&gt;0),Worksheet!X15&amp;"",IF(AND(Worksheet!Z15&lt;&gt;"",Worksheet!Z15&lt;&gt;0),Worksheet!Z15&amp;"","")))</f>
        <v>0497023380</v>
      </c>
      <c r="M15" t="str">
        <f>IF(Worksheet!AE15="","",Worksheet!AE15)</f>
        <v>https://app.twizzit.com/public/photos/2182451/s/d40702514c4affc118f06eee4555b1ca966c4e65.png</v>
      </c>
      <c r="N15">
        <f>IF(Worksheet!AG15="","",Worksheet!AG15)</f>
        <v>713666</v>
      </c>
      <c r="O15" t="str">
        <f>IF(Worksheet!AJ15="","",Worksheet!AJ15)</f>
        <v>J18 B Haantjes CERTIFISC Oudenaarde</v>
      </c>
      <c r="P15" t="str">
        <f>IF(Worksheet!AK15="","",Worksheet!AK15)</f>
        <v>Speler</v>
      </c>
    </row>
    <row r="16" spans="1:16" x14ac:dyDescent="0.25">
      <c r="A16" t="str">
        <v>Mare Anseeuw</v>
      </c>
      <c r="B16" t="str">
        <v>matthias.anseeuw@telenet.be</v>
      </c>
      <c r="C16" t="str">
        <v>497023380</v>
      </c>
      <c r="D16" t="str">
        <v>https://app.twizzit.com/public/photos/2182456/s/112b54676bd1e925e699cce3ec7a25a94902a3a2.png</v>
      </c>
      <c r="E16" s="2">
        <v>735071</v>
      </c>
      <c r="F16" t="str">
        <v>M14 A Haantjes CERTIFISC  Oudenaarde</v>
      </c>
      <c r="G16" t="str">
        <v>Speler</v>
      </c>
      <c r="J16" t="str">
        <f>Worksheet!C16&amp;" "&amp;Worksheet!B16</f>
        <v>Bent Anseeuw</v>
      </c>
      <c r="K16" t="str">
        <f>IF(Worksheet!P16&lt;&gt;"",Worksheet!P16,IF(Worksheet!R16&lt;&gt;"",Worksheet!R16,IF(Worksheet!T16&lt;&gt;"",Worksheet!T16,"")))</f>
        <v>bent.anseeuw@gmail.com</v>
      </c>
      <c r="L16" t="str">
        <f>IF(AND(Worksheet!V16&lt;&gt;"",Worksheet!V16&lt;&gt;0),Worksheet!V16&amp;"",IF(AND(Worksheet!X16&lt;&gt;"",Worksheet!X16&lt;&gt;0),Worksheet!X16&amp;"",IF(AND(Worksheet!Z16&lt;&gt;"",Worksheet!Z16&lt;&gt;0),Worksheet!Z16&amp;"","")))</f>
        <v>0497023380</v>
      </c>
      <c r="M16" t="str">
        <f>IF(Worksheet!AE16="","",Worksheet!AE16)</f>
        <v>https://app.twizzit.com/public/photos/2182451/s/d40702514c4affc118f06eee4555b1ca966c4e65.png</v>
      </c>
      <c r="N16">
        <f>IF(Worksheet!AG16="","",Worksheet!AG16)</f>
        <v>713666</v>
      </c>
      <c r="O16" t="str">
        <f>IF(Worksheet!AJ16="","",Worksheet!AJ16)</f>
        <v>Zomerstage 2026 (Blankenberge)</v>
      </c>
      <c r="P16" t="str">
        <f>IF(Worksheet!AK16="","",Worksheet!AK16)</f>
        <v>Speler</v>
      </c>
    </row>
    <row r="17" spans="1:16" x14ac:dyDescent="0.25">
      <c r="A17" t="str">
        <v>Senn Anseeuw</v>
      </c>
      <c r="B17" t="str">
        <v>matthias.anseeuw@telenet.be</v>
      </c>
      <c r="C17" t="str">
        <v>0497023380</v>
      </c>
      <c r="D17" t="str">
        <v>https://app.twizzit.com/public/photos/4421954/s/39c1d6c08bc84b336f4c340a175719810e926066.png</v>
      </c>
      <c r="E17" s="2" t="str">
        <v/>
      </c>
      <c r="F17" t="str">
        <v>G10 Blauw HAANTJES CERTIFISC OUDENAARDE</v>
      </c>
      <c r="G17" t="str">
        <v>Speler</v>
      </c>
      <c r="J17" t="str">
        <f>Worksheet!C17&amp;" "&amp;Worksheet!B17</f>
        <v>Mare Anseeuw</v>
      </c>
      <c r="K17" t="str">
        <f>IF(Worksheet!P17&lt;&gt;"",Worksheet!P17,IF(Worksheet!R17&lt;&gt;"",Worksheet!R17,IF(Worksheet!T17&lt;&gt;"",Worksheet!T17,"")))</f>
        <v>matthias.anseeuw@telenet.be</v>
      </c>
      <c r="L17" t="str">
        <f>IF(AND(Worksheet!V17&lt;&gt;"",Worksheet!V17&lt;&gt;0),Worksheet!V17&amp;"",IF(AND(Worksheet!X17&lt;&gt;"",Worksheet!X17&lt;&gt;0),Worksheet!X17&amp;"",IF(AND(Worksheet!Z17&lt;&gt;"",Worksheet!Z17&lt;&gt;0),Worksheet!Z17&amp;"","")))</f>
        <v>497023380</v>
      </c>
      <c r="M17" t="str">
        <f>IF(Worksheet!AE17="","",Worksheet!AE17)</f>
        <v>https://app.twizzit.com/public/photos/2182456/s/112b54676bd1e925e699cce3ec7a25a94902a3a2.png</v>
      </c>
      <c r="N17">
        <f>IF(Worksheet!AG17="","",Worksheet!AG17)</f>
        <v>735071</v>
      </c>
      <c r="O17" t="str">
        <f>IF(Worksheet!AJ17="","",Worksheet!AJ17)</f>
        <v>Zomerstage 2026 (Blankenberge)</v>
      </c>
      <c r="P17" t="str">
        <f>IF(Worksheet!AK17="","",Worksheet!AK17)</f>
        <v>Speler</v>
      </c>
    </row>
    <row r="18" spans="1:16" x14ac:dyDescent="0.25">
      <c r="A18" t="str">
        <v>Senn Anseeuw</v>
      </c>
      <c r="B18" t="str">
        <v>matthias.anseeuw@telenet.be</v>
      </c>
      <c r="C18" t="str">
        <v>0497023380</v>
      </c>
      <c r="D18" t="str">
        <v>https://app.twizzit.com/public/photos/4421954/s/39c1d6c08bc84b336f4c340a175719810e926066.png</v>
      </c>
      <c r="E18" s="2" t="str">
        <v/>
      </c>
      <c r="F18" t="str">
        <v>Zomerstage 2026 U10 &amp; U12 (Oudenaarde)</v>
      </c>
      <c r="G18" t="str">
        <v>Speler</v>
      </c>
      <c r="J18" t="str">
        <f>Worksheet!C18&amp;" "&amp;Worksheet!B18</f>
        <v>Mare Anseeuw</v>
      </c>
      <c r="K18" t="str">
        <f>IF(Worksheet!P18&lt;&gt;"",Worksheet!P18,IF(Worksheet!R18&lt;&gt;"",Worksheet!R18,IF(Worksheet!T18&lt;&gt;"",Worksheet!T18,"")))</f>
        <v>matthias.anseeuw@telenet.be</v>
      </c>
      <c r="L18" t="str">
        <f>IF(AND(Worksheet!V18&lt;&gt;"",Worksheet!V18&lt;&gt;0),Worksheet!V18&amp;"",IF(AND(Worksheet!X18&lt;&gt;"",Worksheet!X18&lt;&gt;0),Worksheet!X18&amp;"",IF(AND(Worksheet!Z18&lt;&gt;"",Worksheet!Z18&lt;&gt;0),Worksheet!Z18&amp;"","")))</f>
        <v>497023380</v>
      </c>
      <c r="M18" t="str">
        <f>IF(Worksheet!AE18="","",Worksheet!AE18)</f>
        <v>https://app.twizzit.com/public/photos/2182456/s/112b54676bd1e925e699cce3ec7a25a94902a3a2.png</v>
      </c>
      <c r="N18">
        <f>IF(Worksheet!AG18="","",Worksheet!AG18)</f>
        <v>735071</v>
      </c>
      <c r="O18" t="str">
        <f>IF(Worksheet!AJ18="","",Worksheet!AJ18)</f>
        <v>M14 A Haantjes CERTIFISC  Oudenaarde</v>
      </c>
      <c r="P18" t="str">
        <f>IF(Worksheet!AK18="","",Worksheet!AK18)</f>
        <v>Speler</v>
      </c>
    </row>
    <row r="19" spans="1:16" x14ac:dyDescent="0.25">
      <c r="A19" t="str">
        <v>Joao Arickx</v>
      </c>
      <c r="B19" t="str">
        <v/>
      </c>
      <c r="C19" t="str">
        <v>32489669827</v>
      </c>
      <c r="D19" t="str">
        <v/>
      </c>
      <c r="E19" s="2">
        <v>730038</v>
      </c>
      <c r="F19" t="str">
        <v>J16 B Haantjes CERTIFISC Oudenaarde</v>
      </c>
      <c r="G19" t="str">
        <v>Speler</v>
      </c>
      <c r="J19" t="str">
        <f>Worksheet!C19&amp;" "&amp;Worksheet!B19</f>
        <v>Senn Anseeuw</v>
      </c>
      <c r="K19" t="str">
        <f>IF(Worksheet!P19&lt;&gt;"",Worksheet!P19,IF(Worksheet!R19&lt;&gt;"",Worksheet!R19,IF(Worksheet!T19&lt;&gt;"",Worksheet!T19,"")))</f>
        <v>matthias.anseeuw@telenet.be</v>
      </c>
      <c r="L19" t="str">
        <f>IF(AND(Worksheet!V19&lt;&gt;"",Worksheet!V19&lt;&gt;0),Worksheet!V19&amp;"",IF(AND(Worksheet!X19&lt;&gt;"",Worksheet!X19&lt;&gt;0),Worksheet!X19&amp;"",IF(AND(Worksheet!Z19&lt;&gt;"",Worksheet!Z19&lt;&gt;0),Worksheet!Z19&amp;"","")))</f>
        <v>0497023380</v>
      </c>
      <c r="M19" t="str">
        <f>IF(Worksheet!AE19="","",Worksheet!AE19)</f>
        <v>https://app.twizzit.com/public/photos/4421954/s/39c1d6c08bc84b336f4c340a175719810e926066.png</v>
      </c>
      <c r="N19" t="str">
        <f>IF(Worksheet!AG19="","",Worksheet!AG19)</f>
        <v/>
      </c>
      <c r="O19" t="str">
        <f>IF(Worksheet!AJ19="","",Worksheet!AJ19)</f>
        <v>G10 Blauw HAANTJES CERTIFISC OUDENAARDE</v>
      </c>
      <c r="P19" t="str">
        <f>IF(Worksheet!AK19="","",Worksheet!AK19)</f>
        <v>Speler</v>
      </c>
    </row>
    <row r="20" spans="1:16" x14ac:dyDescent="0.25">
      <c r="A20" t="str">
        <v>Jasper Baert</v>
      </c>
      <c r="B20" t="str">
        <v>baert_stijn@hotmail.com</v>
      </c>
      <c r="C20" t="str">
        <v>486584984</v>
      </c>
      <c r="D20" t="str">
        <v>https://app.twizzit.com/public/photos/2650780/s/77c3f1ac992ce48307c6c7ab431ab89e2bd37774.png</v>
      </c>
      <c r="E20" s="2">
        <v>736579</v>
      </c>
      <c r="F20" t="str">
        <v>J16 B Haantjes CERTIFISC Oudenaarde</v>
      </c>
      <c r="G20" t="str">
        <v>Speler</v>
      </c>
      <c r="J20" t="str">
        <f>Worksheet!C20&amp;" "&amp;Worksheet!B20</f>
        <v>Senn Anseeuw</v>
      </c>
      <c r="K20" t="str">
        <f>IF(Worksheet!P20&lt;&gt;"",Worksheet!P20,IF(Worksheet!R20&lt;&gt;"",Worksheet!R20,IF(Worksheet!T20&lt;&gt;"",Worksheet!T20,"")))</f>
        <v>matthias.anseeuw@telenet.be</v>
      </c>
      <c r="L20" t="str">
        <f>IF(AND(Worksheet!V20&lt;&gt;"",Worksheet!V20&lt;&gt;0),Worksheet!V20&amp;"",IF(AND(Worksheet!X20&lt;&gt;"",Worksheet!X20&lt;&gt;0),Worksheet!X20&amp;"",IF(AND(Worksheet!Z20&lt;&gt;"",Worksheet!Z20&lt;&gt;0),Worksheet!Z20&amp;"","")))</f>
        <v>0497023380</v>
      </c>
      <c r="M20" t="str">
        <f>IF(Worksheet!AE20="","",Worksheet!AE20)</f>
        <v>https://app.twizzit.com/public/photos/4421954/s/39c1d6c08bc84b336f4c340a175719810e926066.png</v>
      </c>
      <c r="N20" t="str">
        <f>IF(Worksheet!AG20="","",Worksheet!AG20)</f>
        <v/>
      </c>
      <c r="O20" t="str">
        <f>IF(Worksheet!AJ20="","",Worksheet!AJ20)</f>
        <v>Zomerstage 2026 U10 &amp; U12 (Oudenaarde)</v>
      </c>
      <c r="P20" t="str">
        <f>IF(Worksheet!AK20="","",Worksheet!AK20)</f>
        <v>Speler</v>
      </c>
    </row>
    <row r="21" spans="1:16" x14ac:dyDescent="0.25">
      <c r="A21" t="str">
        <v>Bo Bauters</v>
      </c>
      <c r="B21" t="str">
        <v>Jurgenbauters@gmail.com</v>
      </c>
      <c r="C21" t="str">
        <v>0497533520</v>
      </c>
      <c r="D21" t="str">
        <v>https://app.twizzit.com/public/photos/3472864/s/02d5da48533f12868f14fb4b62a0634d769bf8a7.png</v>
      </c>
      <c r="E21" s="2" t="str">
        <v/>
      </c>
      <c r="F21" t="str">
        <v>M10 HAANTJES CERTIFISC OUDENAARDE</v>
      </c>
      <c r="G21" t="str">
        <v>Speler</v>
      </c>
      <c r="J21" t="str">
        <f>Worksheet!C21&amp;" "&amp;Worksheet!B21</f>
        <v>Vlad Alexandru Apostolescu</v>
      </c>
      <c r="K21" t="str">
        <f>IF(Worksheet!P21&lt;&gt;"",Worksheet!P21,IF(Worksheet!R21&lt;&gt;"",Worksheet!R21,IF(Worksheet!T21&lt;&gt;"",Worksheet!T21,"")))</f>
        <v/>
      </c>
      <c r="L21" t="str">
        <f>IF(AND(Worksheet!V21&lt;&gt;"",Worksheet!V21&lt;&gt;0),Worksheet!V21&amp;"",IF(AND(Worksheet!X21&lt;&gt;"",Worksheet!X21&lt;&gt;0),Worksheet!X21&amp;"",IF(AND(Worksheet!Z21&lt;&gt;"",Worksheet!Z21&lt;&gt;0),Worksheet!Z21&amp;"","")))</f>
        <v>493100390</v>
      </c>
      <c r="M21" t="str">
        <f>IF(Worksheet!AE21="","",Worksheet!AE21)</f>
        <v/>
      </c>
      <c r="N21">
        <f>IF(Worksheet!AG21="","",Worksheet!AG21)</f>
        <v>622980</v>
      </c>
      <c r="O21" t="str">
        <f>IF(Worksheet!AJ21="","",Worksheet!AJ21)</f>
        <v/>
      </c>
      <c r="P21" t="str">
        <f>IF(Worksheet!AK21="","",Worksheet!AK21)</f>
        <v/>
      </c>
    </row>
    <row r="22" spans="1:16" x14ac:dyDescent="0.25">
      <c r="A22" t="str">
        <v>Janna Bauters</v>
      </c>
      <c r="B22" t="str">
        <v/>
      </c>
      <c r="C22" t="str">
        <v>474344132</v>
      </c>
      <c r="D22" t="str">
        <v>https://app.twizzit.com/public/photos/2182476/s/d120dcfc0ec82f0d803829f917b4287681f3dd01.png</v>
      </c>
      <c r="E22" s="2">
        <v>280371</v>
      </c>
      <c r="F22" t="str">
        <v>DSE A Haantjes Certifisc Oudenaarde</v>
      </c>
      <c r="G22" t="str">
        <v>Speler</v>
      </c>
      <c r="J22" t="str">
        <f>Worksheet!C22&amp;" "&amp;Worksheet!B22</f>
        <v>Joao Arickx</v>
      </c>
      <c r="K22" t="str">
        <f>IF(Worksheet!P22&lt;&gt;"",Worksheet!P22,IF(Worksheet!R22&lt;&gt;"",Worksheet!R22,IF(Worksheet!T22&lt;&gt;"",Worksheet!T22,"")))</f>
        <v/>
      </c>
      <c r="L22" t="str">
        <f>IF(AND(Worksheet!V22&lt;&gt;"",Worksheet!V22&lt;&gt;0),Worksheet!V22&amp;"",IF(AND(Worksheet!X22&lt;&gt;"",Worksheet!X22&lt;&gt;0),Worksheet!X22&amp;"",IF(AND(Worksheet!Z22&lt;&gt;"",Worksheet!Z22&lt;&gt;0),Worksheet!Z22&amp;"","")))</f>
        <v>32489669827</v>
      </c>
      <c r="M22" t="str">
        <f>IF(Worksheet!AE22="","",Worksheet!AE22)</f>
        <v/>
      </c>
      <c r="N22">
        <f>IF(Worksheet!AG22="","",Worksheet!AG22)</f>
        <v>730038</v>
      </c>
      <c r="O22" t="str">
        <f>IF(Worksheet!AJ22="","",Worksheet!AJ22)</f>
        <v>J16 B Haantjes CERTIFISC Oudenaarde</v>
      </c>
      <c r="P22" t="str">
        <f>IF(Worksheet!AK22="","",Worksheet!AK22)</f>
        <v>Speler</v>
      </c>
    </row>
    <row r="23" spans="1:16" x14ac:dyDescent="0.25">
      <c r="A23" t="str">
        <v>Janna Bauters</v>
      </c>
      <c r="B23" t="str">
        <v/>
      </c>
      <c r="C23" t="str">
        <v>474344132</v>
      </c>
      <c r="D23" t="str">
        <v>https://app.twizzit.com/public/photos/2182476/s/d120dcfc0ec82f0d803829f917b4287681f3dd01.png</v>
      </c>
      <c r="E23" s="2">
        <v>280371</v>
      </c>
      <c r="F23" t="str">
        <v>M14 A Haantjes CERTIFISC  Oudenaarde</v>
      </c>
      <c r="G23" t="str">
        <v>Coach</v>
      </c>
      <c r="J23" t="str">
        <f>Worksheet!C23&amp;" "&amp;Worksheet!B23</f>
        <v>Jasper Baert</v>
      </c>
      <c r="K23" t="str">
        <f>IF(Worksheet!P23&lt;&gt;"",Worksheet!P23,IF(Worksheet!R23&lt;&gt;"",Worksheet!R23,IF(Worksheet!T23&lt;&gt;"",Worksheet!T23,"")))</f>
        <v>baert_stijn@hotmail.com</v>
      </c>
      <c r="L23" t="str">
        <f>IF(AND(Worksheet!V23&lt;&gt;"",Worksheet!V23&lt;&gt;0),Worksheet!V23&amp;"",IF(AND(Worksheet!X23&lt;&gt;"",Worksheet!X23&lt;&gt;0),Worksheet!X23&amp;"",IF(AND(Worksheet!Z23&lt;&gt;"",Worksheet!Z23&lt;&gt;0),Worksheet!Z23&amp;"","")))</f>
        <v>486584984</v>
      </c>
      <c r="M23" t="str">
        <f>IF(Worksheet!AE23="","",Worksheet!AE23)</f>
        <v>https://app.twizzit.com/public/photos/2650780/s/77c3f1ac992ce48307c6c7ab431ab89e2bd37774.png</v>
      </c>
      <c r="N23">
        <f>IF(Worksheet!AG23="","",Worksheet!AG23)</f>
        <v>736579</v>
      </c>
      <c r="O23" t="str">
        <f>IF(Worksheet!AJ23="","",Worksheet!AJ23)</f>
        <v>J16 B Haantjes CERTIFISC Oudenaarde</v>
      </c>
      <c r="P23" t="str">
        <f>IF(Worksheet!AK23="","",Worksheet!AK23)</f>
        <v>Speler</v>
      </c>
    </row>
    <row r="24" spans="1:16" x14ac:dyDescent="0.25">
      <c r="A24" t="str">
        <v>Noa Bauters</v>
      </c>
      <c r="B24" t="str">
        <v>Jurgenbauters@gmail.com</v>
      </c>
      <c r="C24" t="str">
        <v>0497533520</v>
      </c>
      <c r="D24" t="str">
        <v>https://app.twizzit.com/public/photos/11846410/s/0498863fb0a62c783eced92596a817e3339dca11.jpeg</v>
      </c>
      <c r="E24" s="2" t="str">
        <v/>
      </c>
      <c r="F24" t="str">
        <v>M12 A HAANTJES CERTIFISC OUDENAARDE</v>
      </c>
      <c r="G24" t="str">
        <v>Speler</v>
      </c>
      <c r="J24" t="str">
        <f>Worksheet!C24&amp;" "&amp;Worksheet!B24</f>
        <v>Christopher Balcaen</v>
      </c>
      <c r="K24" t="str">
        <f>IF(Worksheet!P24&lt;&gt;"",Worksheet!P24,IF(Worksheet!R24&lt;&gt;"",Worksheet!R24,IF(Worksheet!T24&lt;&gt;"",Worksheet!T24,"")))</f>
        <v/>
      </c>
      <c r="L24" t="str">
        <f>IF(AND(Worksheet!V24&lt;&gt;"",Worksheet!V24&lt;&gt;0),Worksheet!V24&amp;"",IF(AND(Worksheet!X24&lt;&gt;"",Worksheet!X24&lt;&gt;0),Worksheet!X24&amp;"",IF(AND(Worksheet!Z24&lt;&gt;"",Worksheet!Z24&lt;&gt;0),Worksheet!Z24&amp;"","")))</f>
        <v>0474072810</v>
      </c>
      <c r="M24" t="str">
        <f>IF(Worksheet!AE24="","",Worksheet!AE24)</f>
        <v>https://app.twizzit.com/public/photos/6349669/s/f1a8e75d54553d15234adcd3add0a63b193557cd.png</v>
      </c>
      <c r="N24">
        <f>IF(Worksheet!AG24="","",Worksheet!AG24)</f>
        <v>608165</v>
      </c>
      <c r="O24" t="str">
        <f>IF(Worksheet!AJ24="","",Worksheet!AJ24)</f>
        <v/>
      </c>
      <c r="P24" t="str">
        <f>IF(Worksheet!AK24="","",Worksheet!AK24)</f>
        <v/>
      </c>
    </row>
    <row r="25" spans="1:16" x14ac:dyDescent="0.25">
      <c r="A25" t="str">
        <v>Rémi Bauters</v>
      </c>
      <c r="B25" t="str">
        <v/>
      </c>
      <c r="C25" t="str">
        <v>0497078444</v>
      </c>
      <c r="D25" t="str">
        <v/>
      </c>
      <c r="E25" s="2" t="str">
        <v/>
      </c>
      <c r="F25" t="str">
        <v>J21 A HAANTJES CERTIFISC OUDENAARDE</v>
      </c>
      <c r="G25" t="str">
        <v>Speler</v>
      </c>
      <c r="J25" t="str">
        <f>Worksheet!C25&amp;" "&amp;Worksheet!B25</f>
        <v>Bo Bauters</v>
      </c>
      <c r="K25" t="str">
        <f>IF(Worksheet!P25&lt;&gt;"",Worksheet!P25,IF(Worksheet!R25&lt;&gt;"",Worksheet!R25,IF(Worksheet!T25&lt;&gt;"",Worksheet!T25,"")))</f>
        <v>Jurgenbauters@gmail.com</v>
      </c>
      <c r="L25" t="str">
        <f>IF(AND(Worksheet!V25&lt;&gt;"",Worksheet!V25&lt;&gt;0),Worksheet!V25&amp;"",IF(AND(Worksheet!X25&lt;&gt;"",Worksheet!X25&lt;&gt;0),Worksheet!X25&amp;"",IF(AND(Worksheet!Z25&lt;&gt;"",Worksheet!Z25&lt;&gt;0),Worksheet!Z25&amp;"","")))</f>
        <v>0497533520</v>
      </c>
      <c r="M25" t="str">
        <f>IF(Worksheet!AE25="","",Worksheet!AE25)</f>
        <v>https://app.twizzit.com/public/photos/3472864/s/02d5da48533f12868f14fb4b62a0634d769bf8a7.png</v>
      </c>
      <c r="N25" t="str">
        <f>IF(Worksheet!AG25="","",Worksheet!AG25)</f>
        <v/>
      </c>
      <c r="O25" t="str">
        <f>IF(Worksheet!AJ25="","",Worksheet!AJ25)</f>
        <v>M10 HAANTJES CERTIFISC OUDENAARDE</v>
      </c>
      <c r="P25" t="str">
        <f>IF(Worksheet!AK25="","",Worksheet!AK25)</f>
        <v>Speler</v>
      </c>
    </row>
    <row r="26" spans="1:16" x14ac:dyDescent="0.25">
      <c r="A26" t="str">
        <v>Rémi Bauters</v>
      </c>
      <c r="B26" t="str">
        <v/>
      </c>
      <c r="C26" t="str">
        <v>0497078444</v>
      </c>
      <c r="D26" t="str">
        <v/>
      </c>
      <c r="E26" s="2" t="str">
        <v/>
      </c>
      <c r="F26" t="str">
        <v>HSE B Haantjes Certifisc Oudenaarde</v>
      </c>
      <c r="G26" t="str">
        <v>Speler</v>
      </c>
      <c r="J26" t="str">
        <f>Worksheet!C26&amp;" "&amp;Worksheet!B26</f>
        <v>Janna Bauters</v>
      </c>
      <c r="K26" t="str">
        <f>IF(Worksheet!P26&lt;&gt;"",Worksheet!P26,IF(Worksheet!R26&lt;&gt;"",Worksheet!R26,IF(Worksheet!T26&lt;&gt;"",Worksheet!T26,"")))</f>
        <v/>
      </c>
      <c r="L26" t="str">
        <f>IF(AND(Worksheet!V26&lt;&gt;"",Worksheet!V26&lt;&gt;0),Worksheet!V26&amp;"",IF(AND(Worksheet!X26&lt;&gt;"",Worksheet!X26&lt;&gt;0),Worksheet!X26&amp;"",IF(AND(Worksheet!Z26&lt;&gt;"",Worksheet!Z26&lt;&gt;0),Worksheet!Z26&amp;"","")))</f>
        <v>474344132</v>
      </c>
      <c r="M26" t="str">
        <f>IF(Worksheet!AE26="","",Worksheet!AE26)</f>
        <v>https://app.twizzit.com/public/photos/2182476/s/d120dcfc0ec82f0d803829f917b4287681f3dd01.png</v>
      </c>
      <c r="N26">
        <f>IF(Worksheet!AG26="","",Worksheet!AG26)</f>
        <v>280371</v>
      </c>
      <c r="O26" t="str">
        <f>IF(Worksheet!AJ26="","",Worksheet!AJ26)</f>
        <v>DSE A Haantjes Certifisc Oudenaarde</v>
      </c>
      <c r="P26" t="str">
        <f>IF(Worksheet!AK26="","",Worksheet!AK26)</f>
        <v>Speler</v>
      </c>
    </row>
    <row r="27" spans="1:16" x14ac:dyDescent="0.25">
      <c r="A27" t="str">
        <v>Joppe Beeckman</v>
      </c>
      <c r="B27" t="str">
        <v>ppoitiez@hotmail.com</v>
      </c>
      <c r="C27" t="str">
        <v>0486440775</v>
      </c>
      <c r="D27" t="str">
        <v>https://app.twizzit.com/public/photos/7329719/s/3900de37cfdf557a3c2ce4dcb1b36ecfefd6df85.png</v>
      </c>
      <c r="E27" s="2" t="str">
        <v/>
      </c>
      <c r="F27" t="str">
        <v>G08 Geel HAANTJES CERTIFISC OUDENAARDE</v>
      </c>
      <c r="G27" t="str">
        <v>Speler</v>
      </c>
      <c r="J27" t="str">
        <f>Worksheet!C27&amp;" "&amp;Worksheet!B27</f>
        <v>Janna Bauters</v>
      </c>
      <c r="K27" t="str">
        <f>IF(Worksheet!P27&lt;&gt;"",Worksheet!P27,IF(Worksheet!R27&lt;&gt;"",Worksheet!R27,IF(Worksheet!T27&lt;&gt;"",Worksheet!T27,"")))</f>
        <v/>
      </c>
      <c r="L27" t="str">
        <f>IF(AND(Worksheet!V27&lt;&gt;"",Worksheet!V27&lt;&gt;0),Worksheet!V27&amp;"",IF(AND(Worksheet!X27&lt;&gt;"",Worksheet!X27&lt;&gt;0),Worksheet!X27&amp;"",IF(AND(Worksheet!Z27&lt;&gt;"",Worksheet!Z27&lt;&gt;0),Worksheet!Z27&amp;"","")))</f>
        <v>474344132</v>
      </c>
      <c r="M27" t="str">
        <f>IF(Worksheet!AE27="","",Worksheet!AE27)</f>
        <v>https://app.twizzit.com/public/photos/2182476/s/d120dcfc0ec82f0d803829f917b4287681f3dd01.png</v>
      </c>
      <c r="N27">
        <f>IF(Worksheet!AG27="","",Worksheet!AG27)</f>
        <v>280371</v>
      </c>
      <c r="O27" t="str">
        <f>IF(Worksheet!AJ27="","",Worksheet!AJ27)</f>
        <v>M14 A Haantjes CERTIFISC  Oudenaarde</v>
      </c>
      <c r="P27" t="str">
        <f>IF(Worksheet!AK27="","",Worksheet!AK27)</f>
        <v>Coach</v>
      </c>
    </row>
    <row r="28" spans="1:16" x14ac:dyDescent="0.25">
      <c r="A28" t="str">
        <v>Torre Beeckman</v>
      </c>
      <c r="B28" t="str">
        <v/>
      </c>
      <c r="C28" t="str">
        <v>486440775</v>
      </c>
      <c r="D28" t="str">
        <v>https://app.twizzit.com/public/photos/2182491/s/9cf26edd91096e59f19c665e2f0a4528adc17aa7.png</v>
      </c>
      <c r="E28" s="2">
        <v>720212</v>
      </c>
      <c r="F28" t="str">
        <v>J16 A Haantjes CERTIFISC Oudenaarde</v>
      </c>
      <c r="G28" t="str">
        <v>Speler</v>
      </c>
      <c r="J28" t="str">
        <f>Worksheet!C28&amp;" "&amp;Worksheet!B28</f>
        <v>Noa Bauters</v>
      </c>
      <c r="K28" t="str">
        <f>IF(Worksheet!P28&lt;&gt;"",Worksheet!P28,IF(Worksheet!R28&lt;&gt;"",Worksheet!R28,IF(Worksheet!T28&lt;&gt;"",Worksheet!T28,"")))</f>
        <v>Jurgenbauters@gmail.com</v>
      </c>
      <c r="L28" t="str">
        <f>IF(AND(Worksheet!V28&lt;&gt;"",Worksheet!V28&lt;&gt;0),Worksheet!V28&amp;"",IF(AND(Worksheet!X28&lt;&gt;"",Worksheet!X28&lt;&gt;0),Worksheet!X28&amp;"",IF(AND(Worksheet!Z28&lt;&gt;"",Worksheet!Z28&lt;&gt;0),Worksheet!Z28&amp;"","")))</f>
        <v>0497533520</v>
      </c>
      <c r="M28" t="str">
        <f>IF(Worksheet!AE28="","",Worksheet!AE28)</f>
        <v>https://app.twizzit.com/public/photos/11846410/s/0498863fb0a62c783eced92596a817e3339dca11.jpeg</v>
      </c>
      <c r="N28" t="str">
        <f>IF(Worksheet!AG28="","",Worksheet!AG28)</f>
        <v/>
      </c>
      <c r="O28" t="str">
        <f>IF(Worksheet!AJ28="","",Worksheet!AJ28)</f>
        <v>M12 A HAANTJES CERTIFISC OUDENAARDE</v>
      </c>
      <c r="P28" t="str">
        <f>IF(Worksheet!AK28="","",Worksheet!AK28)</f>
        <v>Speler</v>
      </c>
    </row>
    <row r="29" spans="1:16" x14ac:dyDescent="0.25">
      <c r="A29" t="str">
        <v>Vince Beke</v>
      </c>
      <c r="B29" t="str">
        <v>wim.beke@telenet.be</v>
      </c>
      <c r="C29" t="str">
        <v>0494534565</v>
      </c>
      <c r="D29" t="str">
        <v>https://app.twizzit.com/public/photos/2182501/s/ff9efabb61fd27d35070a050abd98c15c9bfe6c5.png</v>
      </c>
      <c r="E29" s="2">
        <v>715506</v>
      </c>
      <c r="F29" t="str">
        <v>J18 B Haantjes CERTIFISC Oudenaarde</v>
      </c>
      <c r="G29" t="str">
        <v>Speler</v>
      </c>
      <c r="J29" t="str">
        <f>Worksheet!C29&amp;" "&amp;Worksheet!B29</f>
        <v>Rémi Bauters</v>
      </c>
      <c r="K29" t="str">
        <f>IF(Worksheet!P29&lt;&gt;"",Worksheet!P29,IF(Worksheet!R29&lt;&gt;"",Worksheet!R29,IF(Worksheet!T29&lt;&gt;"",Worksheet!T29,"")))</f>
        <v/>
      </c>
      <c r="L29" t="str">
        <f>IF(AND(Worksheet!V29&lt;&gt;"",Worksheet!V29&lt;&gt;0),Worksheet!V29&amp;"",IF(AND(Worksheet!X29&lt;&gt;"",Worksheet!X29&lt;&gt;0),Worksheet!X29&amp;"",IF(AND(Worksheet!Z29&lt;&gt;"",Worksheet!Z29&lt;&gt;0),Worksheet!Z29&amp;"","")))</f>
        <v>0497078444</v>
      </c>
      <c r="M29" t="str">
        <f>IF(Worksheet!AE29="","",Worksheet!AE29)</f>
        <v/>
      </c>
      <c r="N29" t="str">
        <f>IF(Worksheet!AG29="","",Worksheet!AG29)</f>
        <v/>
      </c>
      <c r="O29" t="str">
        <f>IF(Worksheet!AJ29="","",Worksheet!AJ29)</f>
        <v>J21 A HAANTJES CERTIFISC OUDENAARDE</v>
      </c>
      <c r="P29" t="str">
        <f>IF(Worksheet!AK29="","",Worksheet!AK29)</f>
        <v>Speler</v>
      </c>
    </row>
    <row r="30" spans="1:16" x14ac:dyDescent="0.25">
      <c r="A30" t="str">
        <v>Vince Beke</v>
      </c>
      <c r="B30" t="str">
        <v>wim.beke@telenet.be</v>
      </c>
      <c r="C30" t="str">
        <v>0494534565</v>
      </c>
      <c r="D30" t="str">
        <v>https://app.twizzit.com/public/photos/2182501/s/ff9efabb61fd27d35070a050abd98c15c9bfe6c5.png</v>
      </c>
      <c r="E30" s="2">
        <v>715506</v>
      </c>
      <c r="F30" t="str">
        <v>Zomerstage 2026 (Blankenberge)</v>
      </c>
      <c r="G30" t="str">
        <v>Speler</v>
      </c>
      <c r="J30" t="str">
        <f>Worksheet!C30&amp;" "&amp;Worksheet!B30</f>
        <v>Rémi Bauters</v>
      </c>
      <c r="K30" t="str">
        <f>IF(Worksheet!P30&lt;&gt;"",Worksheet!P30,IF(Worksheet!R30&lt;&gt;"",Worksheet!R30,IF(Worksheet!T30&lt;&gt;"",Worksheet!T30,"")))</f>
        <v/>
      </c>
      <c r="L30" t="str">
        <f>IF(AND(Worksheet!V30&lt;&gt;"",Worksheet!V30&lt;&gt;0),Worksheet!V30&amp;"",IF(AND(Worksheet!X30&lt;&gt;"",Worksheet!X30&lt;&gt;0),Worksheet!X30&amp;"",IF(AND(Worksheet!Z30&lt;&gt;"",Worksheet!Z30&lt;&gt;0),Worksheet!Z30&amp;"","")))</f>
        <v>0497078444</v>
      </c>
      <c r="M30" t="str">
        <f>IF(Worksheet!AE30="","",Worksheet!AE30)</f>
        <v/>
      </c>
      <c r="N30" t="str">
        <f>IF(Worksheet!AG30="","",Worksheet!AG30)</f>
        <v/>
      </c>
      <c r="O30" t="str">
        <f>IF(Worksheet!AJ30="","",Worksheet!AJ30)</f>
        <v>HSE B Haantjes Certifisc Oudenaarde</v>
      </c>
      <c r="P30" t="str">
        <f>IF(Worksheet!AK30="","",Worksheet!AK30)</f>
        <v>Speler</v>
      </c>
    </row>
    <row r="31" spans="1:16" x14ac:dyDescent="0.25">
      <c r="A31" t="str">
        <v>Quinten Benoot</v>
      </c>
      <c r="B31" t="str">
        <v>Benoothans20@gmail.com</v>
      </c>
      <c r="C31" t="str">
        <v>0485287357</v>
      </c>
      <c r="D31" t="str">
        <v>https://app.twizzit.com/public/photos/4080393/s/fc77b80b0f519cf2bcaae55fec7f11c92e5c4d9f.jpeg</v>
      </c>
      <c r="E31" s="2">
        <v>753437</v>
      </c>
      <c r="F31" t="str">
        <v>J18 B Haantjes CERTIFISC Oudenaarde</v>
      </c>
      <c r="G31" t="str">
        <v>Speler</v>
      </c>
      <c r="J31" t="str">
        <f>Worksheet!C31&amp;" "&amp;Worksheet!B31</f>
        <v>Karine Bauwens</v>
      </c>
      <c r="K31" t="str">
        <f>IF(Worksheet!P31&lt;&gt;"",Worksheet!P31,IF(Worksheet!R31&lt;&gt;"",Worksheet!R31,IF(Worksheet!T31&lt;&gt;"",Worksheet!T31,"")))</f>
        <v/>
      </c>
      <c r="L31" t="str">
        <f>IF(AND(Worksheet!V31&lt;&gt;"",Worksheet!V31&lt;&gt;0),Worksheet!V31&amp;"",IF(AND(Worksheet!X31&lt;&gt;"",Worksheet!X31&lt;&gt;0),Worksheet!X31&amp;"",IF(AND(Worksheet!Z31&lt;&gt;"",Worksheet!Z31&lt;&gt;0),Worksheet!Z31&amp;"","")))</f>
        <v/>
      </c>
      <c r="M31" t="str">
        <f>IF(Worksheet!AE31="","",Worksheet!AE31)</f>
        <v/>
      </c>
      <c r="N31" t="str">
        <f>IF(Worksheet!AG31="","",Worksheet!AG31)</f>
        <v/>
      </c>
      <c r="O31" t="str">
        <f>IF(Worksheet!AJ31="","",Worksheet!AJ31)</f>
        <v/>
      </c>
      <c r="P31" t="str">
        <f>IF(Worksheet!AK31="","",Worksheet!AK31)</f>
        <v/>
      </c>
    </row>
    <row r="32" spans="1:16" x14ac:dyDescent="0.25">
      <c r="A32" t="str">
        <v>Emile Berkvens</v>
      </c>
      <c r="B32" t="str">
        <v/>
      </c>
      <c r="C32" t="str">
        <v>474613344</v>
      </c>
      <c r="D32" t="str">
        <v>https://app.twizzit.com/public/photos/2650778/s/15d2f475817dbbc2474d7d1a8b8b6a06ed3f6c72.png</v>
      </c>
      <c r="E32" s="2">
        <v>739383</v>
      </c>
      <c r="F32" t="str">
        <v>J16 B Haantjes CERTIFISC Oudenaarde</v>
      </c>
      <c r="G32" t="str">
        <v>Speler</v>
      </c>
      <c r="J32" t="str">
        <f>Worksheet!C32&amp;" "&amp;Worksheet!B32</f>
        <v>Joppe Beeckman</v>
      </c>
      <c r="K32" t="str">
        <f>IF(Worksheet!P32&lt;&gt;"",Worksheet!P32,IF(Worksheet!R32&lt;&gt;"",Worksheet!R32,IF(Worksheet!T32&lt;&gt;"",Worksheet!T32,"")))</f>
        <v>ppoitiez@hotmail.com</v>
      </c>
      <c r="L32" t="str">
        <f>IF(AND(Worksheet!V32&lt;&gt;"",Worksheet!V32&lt;&gt;0),Worksheet!V32&amp;"",IF(AND(Worksheet!X32&lt;&gt;"",Worksheet!X32&lt;&gt;0),Worksheet!X32&amp;"",IF(AND(Worksheet!Z32&lt;&gt;"",Worksheet!Z32&lt;&gt;0),Worksheet!Z32&amp;"","")))</f>
        <v>0486440775</v>
      </c>
      <c r="M32" t="str">
        <f>IF(Worksheet!AE32="","",Worksheet!AE32)</f>
        <v>https://app.twizzit.com/public/photos/7329719/s/3900de37cfdf557a3c2ce4dcb1b36ecfefd6df85.png</v>
      </c>
      <c r="N32" t="str">
        <f>IF(Worksheet!AG32="","",Worksheet!AG32)</f>
        <v/>
      </c>
      <c r="O32" t="str">
        <f>IF(Worksheet!AJ32="","",Worksheet!AJ32)</f>
        <v>G08 Geel HAANTJES CERTIFISC OUDENAARDE</v>
      </c>
      <c r="P32" t="str">
        <f>IF(Worksheet!AK32="","",Worksheet!AK32)</f>
        <v>Speler</v>
      </c>
    </row>
    <row r="33" spans="1:16" x14ac:dyDescent="0.25">
      <c r="A33" t="str">
        <v>Celeste Blancke</v>
      </c>
      <c r="B33" t="str">
        <v/>
      </c>
      <c r="C33" t="str">
        <v>478385011</v>
      </c>
      <c r="D33" t="str">
        <v>https://app.twizzit.com/public/photos/3500953/s/601083ebf506787be01432d1e891039519c5d9b6.jpeg</v>
      </c>
      <c r="E33" s="2">
        <v>749419</v>
      </c>
      <c r="F33" t="str">
        <v>Zomerstage 2026 (Blankenberge)</v>
      </c>
      <c r="G33" t="str">
        <v>Speler</v>
      </c>
      <c r="J33" t="str">
        <f>Worksheet!C33&amp;" "&amp;Worksheet!B33</f>
        <v>Sara Beeckman</v>
      </c>
      <c r="K33" t="str">
        <f>IF(Worksheet!P33&lt;&gt;"",Worksheet!P33,IF(Worksheet!R33&lt;&gt;"",Worksheet!R33,IF(Worksheet!T33&lt;&gt;"",Worksheet!T33,"")))</f>
        <v/>
      </c>
      <c r="L33" t="str">
        <f>IF(AND(Worksheet!V33&lt;&gt;"",Worksheet!V33&lt;&gt;0),Worksheet!V33&amp;"",IF(AND(Worksheet!X33&lt;&gt;"",Worksheet!X33&lt;&gt;0),Worksheet!X33&amp;"",IF(AND(Worksheet!Z33&lt;&gt;"",Worksheet!Z33&lt;&gt;0),Worksheet!Z33&amp;"","")))</f>
        <v/>
      </c>
      <c r="M33" t="str">
        <f>IF(Worksheet!AE33="","",Worksheet!AE33)</f>
        <v>https://app.twizzit.com/public/photos/2182486/s/756b8f4f4a0d0890e89db01537d432ba96a97666.png</v>
      </c>
      <c r="N33">
        <f>IF(Worksheet!AG33="","",Worksheet!AG33)</f>
        <v>721373</v>
      </c>
      <c r="O33" t="str">
        <f>IF(Worksheet!AJ33="","",Worksheet!AJ33)</f>
        <v/>
      </c>
      <c r="P33" t="str">
        <f>IF(Worksheet!AK33="","",Worksheet!AK33)</f>
        <v/>
      </c>
    </row>
    <row r="34" spans="1:16" x14ac:dyDescent="0.25">
      <c r="A34" t="str">
        <v>Celeste Blancke</v>
      </c>
      <c r="B34" t="str">
        <v/>
      </c>
      <c r="C34" t="str">
        <v>478385011</v>
      </c>
      <c r="D34" t="str">
        <v>https://app.twizzit.com/public/photos/3500953/s/601083ebf506787be01432d1e891039519c5d9b6.jpeg</v>
      </c>
      <c r="E34" s="2">
        <v>749419</v>
      </c>
      <c r="F34" t="str">
        <v>M14 A Haantjes CERTIFISC  Oudenaarde</v>
      </c>
      <c r="G34" t="str">
        <v>Speler</v>
      </c>
      <c r="J34" t="str">
        <f>Worksheet!C34&amp;" "&amp;Worksheet!B34</f>
        <v>Torre Beeckman</v>
      </c>
      <c r="K34" t="str">
        <f>IF(Worksheet!P34&lt;&gt;"",Worksheet!P34,IF(Worksheet!R34&lt;&gt;"",Worksheet!R34,IF(Worksheet!T34&lt;&gt;"",Worksheet!T34,"")))</f>
        <v/>
      </c>
      <c r="L34" t="str">
        <f>IF(AND(Worksheet!V34&lt;&gt;"",Worksheet!V34&lt;&gt;0),Worksheet!V34&amp;"",IF(AND(Worksheet!X34&lt;&gt;"",Worksheet!X34&lt;&gt;0),Worksheet!X34&amp;"",IF(AND(Worksheet!Z34&lt;&gt;"",Worksheet!Z34&lt;&gt;0),Worksheet!Z34&amp;"","")))</f>
        <v>486440775</v>
      </c>
      <c r="M34" t="str">
        <f>IF(Worksheet!AE34="","",Worksheet!AE34)</f>
        <v>https://app.twizzit.com/public/photos/2182491/s/9cf26edd91096e59f19c665e2f0a4528adc17aa7.png</v>
      </c>
      <c r="N34">
        <f>IF(Worksheet!AG34="","",Worksheet!AG34)</f>
        <v>720212</v>
      </c>
      <c r="O34" t="str">
        <f>IF(Worksheet!AJ34="","",Worksheet!AJ34)</f>
        <v>J16 A Haantjes CERTIFISC Oudenaarde</v>
      </c>
      <c r="P34" t="str">
        <f>IF(Worksheet!AK34="","",Worksheet!AK34)</f>
        <v>Speler</v>
      </c>
    </row>
    <row r="35" spans="1:16" x14ac:dyDescent="0.25">
      <c r="A35" t="str">
        <v>Merel Blancke</v>
      </c>
      <c r="B35" t="str">
        <v/>
      </c>
      <c r="C35" t="str">
        <v>0478385011</v>
      </c>
      <c r="D35" t="str">
        <v>https://app.twizzit.com/public/photos/5568565/s/d285ba208d969f77d6c249fb61359c50c614e6ac.png</v>
      </c>
      <c r="E35" s="2" t="str">
        <v/>
      </c>
      <c r="F35" t="str">
        <v>M16 A Haantjes CERTIFISC  Oudenaarde</v>
      </c>
      <c r="G35" t="str">
        <v>Speler</v>
      </c>
      <c r="J35" t="str">
        <f>Worksheet!C35&amp;" "&amp;Worksheet!B35</f>
        <v>Torre Beeckman</v>
      </c>
      <c r="K35" t="str">
        <f>IF(Worksheet!P35&lt;&gt;"",Worksheet!P35,IF(Worksheet!R35&lt;&gt;"",Worksheet!R35,IF(Worksheet!T35&lt;&gt;"",Worksheet!T35,"")))</f>
        <v/>
      </c>
      <c r="L35" t="str">
        <f>IF(AND(Worksheet!V35&lt;&gt;"",Worksheet!V35&lt;&gt;0),Worksheet!V35&amp;"",IF(AND(Worksheet!X35&lt;&gt;"",Worksheet!X35&lt;&gt;0),Worksheet!X35&amp;"",IF(AND(Worksheet!Z35&lt;&gt;"",Worksheet!Z35&lt;&gt;0),Worksheet!Z35&amp;"","")))</f>
        <v>486440775</v>
      </c>
      <c r="M35" t="str">
        <f>IF(Worksheet!AE35="","",Worksheet!AE35)</f>
        <v>https://app.twizzit.com/public/photos/2182491/s/9cf26edd91096e59f19c665e2f0a4528adc17aa7.png</v>
      </c>
      <c r="N35">
        <f>IF(Worksheet!AG35="","",Worksheet!AG35)</f>
        <v>720212</v>
      </c>
      <c r="O35" t="str">
        <f>IF(Worksheet!AJ35="","",Worksheet!AJ35)</f>
        <v/>
      </c>
      <c r="P35" t="str">
        <f>IF(Worksheet!AK35="","",Worksheet!AK35)</f>
        <v/>
      </c>
    </row>
    <row r="36" spans="1:16" x14ac:dyDescent="0.25">
      <c r="A36" t="str">
        <v>Merel Blancke</v>
      </c>
      <c r="B36" t="str">
        <v/>
      </c>
      <c r="C36" t="str">
        <v>0478385011</v>
      </c>
      <c r="D36" t="str">
        <v>https://app.twizzit.com/public/photos/5568565/s/d285ba208d969f77d6c249fb61359c50c614e6ac.png</v>
      </c>
      <c r="E36" s="2" t="str">
        <v/>
      </c>
      <c r="F36" t="str">
        <v>Zomerstage 2026 (Blankenberge)</v>
      </c>
      <c r="G36" t="str">
        <v>Speler</v>
      </c>
      <c r="J36" t="str">
        <f>Worksheet!C36&amp;" "&amp;Worksheet!B36</f>
        <v>Philippe Beirnaert</v>
      </c>
      <c r="K36" t="str">
        <f>IF(Worksheet!P36&lt;&gt;"",Worksheet!P36,IF(Worksheet!R36&lt;&gt;"",Worksheet!R36,IF(Worksheet!T36&lt;&gt;"",Worksheet!T36,"")))</f>
        <v/>
      </c>
      <c r="L36" t="str">
        <f>IF(AND(Worksheet!V36&lt;&gt;"",Worksheet!V36&lt;&gt;0),Worksheet!V36&amp;"",IF(AND(Worksheet!X36&lt;&gt;"",Worksheet!X36&lt;&gt;0),Worksheet!X36&amp;"",IF(AND(Worksheet!Z36&lt;&gt;"",Worksheet!Z36&lt;&gt;0),Worksheet!Z36&amp;"","")))</f>
        <v>0497271228</v>
      </c>
      <c r="M36" t="str">
        <f>IF(Worksheet!AE36="","",Worksheet!AE36)</f>
        <v/>
      </c>
      <c r="N36">
        <f>IF(Worksheet!AG36="","",Worksheet!AG36)</f>
        <v>7328</v>
      </c>
      <c r="O36" t="str">
        <f>IF(Worksheet!AJ36="","",Worksheet!AJ36)</f>
        <v/>
      </c>
      <c r="P36" t="str">
        <f>IF(Worksheet!AK36="","",Worksheet!AK36)</f>
        <v/>
      </c>
    </row>
    <row r="37" spans="1:16" x14ac:dyDescent="0.25">
      <c r="A37" t="str">
        <v>Vic Blommaert</v>
      </c>
      <c r="B37" t="str">
        <v>jeroen.blommaert@gmail.com</v>
      </c>
      <c r="C37" t="str">
        <v>0477059912</v>
      </c>
      <c r="D37" t="str">
        <v>https://app.twizzit.com/public/photos/7328384/s/880c055e18cd3fa9e57719da7306434e04eaf905.png</v>
      </c>
      <c r="E37" s="2" t="str">
        <v/>
      </c>
      <c r="F37" t="str">
        <v>G10 Geel HAANTJES CERTIFISC OUDENAARDE</v>
      </c>
      <c r="G37" t="str">
        <v>Speler</v>
      </c>
      <c r="J37" t="str">
        <f>Worksheet!C37&amp;" "&amp;Worksheet!B37</f>
        <v>Vince Beke</v>
      </c>
      <c r="K37" t="str">
        <f>IF(Worksheet!P37&lt;&gt;"",Worksheet!P37,IF(Worksheet!R37&lt;&gt;"",Worksheet!R37,IF(Worksheet!T37&lt;&gt;"",Worksheet!T37,"")))</f>
        <v>wim.beke@telenet.be</v>
      </c>
      <c r="L37" t="str">
        <f>IF(AND(Worksheet!V37&lt;&gt;"",Worksheet!V37&lt;&gt;0),Worksheet!V37&amp;"",IF(AND(Worksheet!X37&lt;&gt;"",Worksheet!X37&lt;&gt;0),Worksheet!X37&amp;"",IF(AND(Worksheet!Z37&lt;&gt;"",Worksheet!Z37&lt;&gt;0),Worksheet!Z37&amp;"","")))</f>
        <v>0494534565</v>
      </c>
      <c r="M37" t="str">
        <f>IF(Worksheet!AE37="","",Worksheet!AE37)</f>
        <v>https://app.twizzit.com/public/photos/2182501/s/ff9efabb61fd27d35070a050abd98c15c9bfe6c5.png</v>
      </c>
      <c r="N37">
        <f>IF(Worksheet!AG37="","",Worksheet!AG37)</f>
        <v>715506</v>
      </c>
      <c r="O37" t="str">
        <f>IF(Worksheet!AJ37="","",Worksheet!AJ37)</f>
        <v>J18 B Haantjes CERTIFISC Oudenaarde</v>
      </c>
      <c r="P37" t="str">
        <f>IF(Worksheet!AK37="","",Worksheet!AK37)</f>
        <v>Speler</v>
      </c>
    </row>
    <row r="38" spans="1:16" x14ac:dyDescent="0.25">
      <c r="A38" t="str">
        <v>Matti Bogaert</v>
      </c>
      <c r="B38" t="str">
        <v>mboogie800@hotmail.com</v>
      </c>
      <c r="C38" t="str">
        <v>0478427271</v>
      </c>
      <c r="D38" t="str">
        <v/>
      </c>
      <c r="E38" s="2">
        <v>737616</v>
      </c>
      <c r="F38" t="str">
        <v>J18 A Haantjes CERTIFISC Oudenaarde</v>
      </c>
      <c r="G38" t="str">
        <v>Speler</v>
      </c>
      <c r="J38" t="str">
        <f>Worksheet!C38&amp;" "&amp;Worksheet!B38</f>
        <v>Vince Beke</v>
      </c>
      <c r="K38" t="str">
        <f>IF(Worksheet!P38&lt;&gt;"",Worksheet!P38,IF(Worksheet!R38&lt;&gt;"",Worksheet!R38,IF(Worksheet!T38&lt;&gt;"",Worksheet!T38,"")))</f>
        <v>wim.beke@telenet.be</v>
      </c>
      <c r="L38" t="str">
        <f>IF(AND(Worksheet!V38&lt;&gt;"",Worksheet!V38&lt;&gt;0),Worksheet!V38&amp;"",IF(AND(Worksheet!X38&lt;&gt;"",Worksheet!X38&lt;&gt;0),Worksheet!X38&amp;"",IF(AND(Worksheet!Z38&lt;&gt;"",Worksheet!Z38&lt;&gt;0),Worksheet!Z38&amp;"","")))</f>
        <v>0494534565</v>
      </c>
      <c r="M38" t="str">
        <f>IF(Worksheet!AE38="","",Worksheet!AE38)</f>
        <v>https://app.twizzit.com/public/photos/2182501/s/ff9efabb61fd27d35070a050abd98c15c9bfe6c5.png</v>
      </c>
      <c r="N38">
        <f>IF(Worksheet!AG38="","",Worksheet!AG38)</f>
        <v>715506</v>
      </c>
      <c r="O38" t="str">
        <f>IF(Worksheet!AJ38="","",Worksheet!AJ38)</f>
        <v>Zomerstage 2026 (Blankenberge)</v>
      </c>
      <c r="P38" t="str">
        <f>IF(Worksheet!AK38="","",Worksheet!AK38)</f>
        <v>Speler</v>
      </c>
    </row>
    <row r="39" spans="1:16" x14ac:dyDescent="0.25">
      <c r="A39" t="str">
        <v>Matti Bogaert</v>
      </c>
      <c r="B39" t="str">
        <v>mboogie800@hotmail.com</v>
      </c>
      <c r="C39" t="str">
        <v>0478427271</v>
      </c>
      <c r="D39" t="str">
        <v/>
      </c>
      <c r="E39" s="2">
        <v>737616</v>
      </c>
      <c r="F39" t="str">
        <v>HSE B Haantjes Certifisc Oudenaarde</v>
      </c>
      <c r="G39" t="str">
        <v>Speler</v>
      </c>
      <c r="J39" t="str">
        <f>Worksheet!C39&amp;" "&amp;Worksheet!B39</f>
        <v>Elke Belien</v>
      </c>
      <c r="K39" t="str">
        <f>IF(Worksheet!P39&lt;&gt;"",Worksheet!P39,IF(Worksheet!R39&lt;&gt;"",Worksheet!R39,IF(Worksheet!T39&lt;&gt;"",Worksheet!T39,"")))</f>
        <v>dries.goossens@gmail.com</v>
      </c>
      <c r="L39" t="str">
        <f>IF(AND(Worksheet!V39&lt;&gt;"",Worksheet!V39&lt;&gt;0),Worksheet!V39&amp;"",IF(AND(Worksheet!X39&lt;&gt;"",Worksheet!X39&lt;&gt;0),Worksheet!X39&amp;"",IF(AND(Worksheet!Z39&lt;&gt;"",Worksheet!Z39&lt;&gt;0),Worksheet!Z39&amp;"","")))</f>
        <v>320497948892</v>
      </c>
      <c r="M39" t="str">
        <f>IF(Worksheet!AE39="","",Worksheet!AE39)</f>
        <v/>
      </c>
      <c r="N39">
        <f>IF(Worksheet!AG39="","",Worksheet!AG39)</f>
        <v>742180</v>
      </c>
      <c r="O39" t="str">
        <f>IF(Worksheet!AJ39="","",Worksheet!AJ39)</f>
        <v/>
      </c>
      <c r="P39" t="str">
        <f>IF(Worksheet!AK39="","",Worksheet!AK39)</f>
        <v/>
      </c>
    </row>
    <row r="40" spans="1:16" x14ac:dyDescent="0.25">
      <c r="A40" t="str">
        <v>Maurice Boonaert</v>
      </c>
      <c r="B40" t="str">
        <v>reggyboonaert@outlook.be</v>
      </c>
      <c r="C40" t="str">
        <v>0478731137</v>
      </c>
      <c r="D40" t="str">
        <v/>
      </c>
      <c r="E40" s="2" t="str">
        <v/>
      </c>
      <c r="F40" t="str">
        <v>G08 Groen HAANTJES CERTIFISC OUDENAARDE</v>
      </c>
      <c r="G40" t="str">
        <v>Speler</v>
      </c>
      <c r="J40" t="str">
        <f>Worksheet!C40&amp;" "&amp;Worksheet!B40</f>
        <v>Quinten Benoot</v>
      </c>
      <c r="K40" t="str">
        <f>IF(Worksheet!P40&lt;&gt;"",Worksheet!P40,IF(Worksheet!R40&lt;&gt;"",Worksheet!R40,IF(Worksheet!T40&lt;&gt;"",Worksheet!T40,"")))</f>
        <v>Benoothans20@gmail.com</v>
      </c>
      <c r="L40" t="str">
        <f>IF(AND(Worksheet!V40&lt;&gt;"",Worksheet!V40&lt;&gt;0),Worksheet!V40&amp;"",IF(AND(Worksheet!X40&lt;&gt;"",Worksheet!X40&lt;&gt;0),Worksheet!X40&amp;"",IF(AND(Worksheet!Z40&lt;&gt;"",Worksheet!Z40&lt;&gt;0),Worksheet!Z40&amp;"","")))</f>
        <v>0485287357</v>
      </c>
      <c r="M40" t="str">
        <f>IF(Worksheet!AE40="","",Worksheet!AE40)</f>
        <v>https://app.twizzit.com/public/photos/4080393/s/fc77b80b0f519cf2bcaae55fec7f11c92e5c4d9f.jpeg</v>
      </c>
      <c r="N40">
        <f>IF(Worksheet!AG40="","",Worksheet!AG40)</f>
        <v>753437</v>
      </c>
      <c r="O40" t="str">
        <f>IF(Worksheet!AJ40="","",Worksheet!AJ40)</f>
        <v>J18 B Haantjes CERTIFISC Oudenaarde</v>
      </c>
      <c r="P40" t="str">
        <f>IF(Worksheet!AK40="","",Worksheet!AK40)</f>
        <v>Speler</v>
      </c>
    </row>
    <row r="41" spans="1:16" x14ac:dyDescent="0.25">
      <c r="A41" t="str">
        <v>Maurice Boonaert</v>
      </c>
      <c r="B41" t="str">
        <v>reggyboonaert@outlook.be</v>
      </c>
      <c r="C41" t="str">
        <v>0478731137</v>
      </c>
      <c r="D41" t="str">
        <v/>
      </c>
      <c r="E41" s="2" t="str">
        <v/>
      </c>
      <c r="F41" t="str">
        <v>Zomerstage 2026 U8 (Oudenaarde)</v>
      </c>
      <c r="G41" t="str">
        <v>Speler</v>
      </c>
      <c r="J41" t="str">
        <f>Worksheet!C41&amp;" "&amp;Worksheet!B41</f>
        <v>Quinten Benoot</v>
      </c>
      <c r="K41" t="str">
        <f>IF(Worksheet!P41&lt;&gt;"",Worksheet!P41,IF(Worksheet!R41&lt;&gt;"",Worksheet!R41,IF(Worksheet!T41&lt;&gt;"",Worksheet!T41,"")))</f>
        <v>Benoothans20@gmail.com</v>
      </c>
      <c r="L41" t="str">
        <f>IF(AND(Worksheet!V41&lt;&gt;"",Worksheet!V41&lt;&gt;0),Worksheet!V41&amp;"",IF(AND(Worksheet!X41&lt;&gt;"",Worksheet!X41&lt;&gt;0),Worksheet!X41&amp;"",IF(AND(Worksheet!Z41&lt;&gt;"",Worksheet!Z41&lt;&gt;0),Worksheet!Z41&amp;"","")))</f>
        <v>0485287357</v>
      </c>
      <c r="M41" t="str">
        <f>IF(Worksheet!AE41="","",Worksheet!AE41)</f>
        <v>https://app.twizzit.com/public/photos/4080393/s/fc77b80b0f519cf2bcaae55fec7f11c92e5c4d9f.jpeg</v>
      </c>
      <c r="N41">
        <f>IF(Worksheet!AG41="","",Worksheet!AG41)</f>
        <v>753437</v>
      </c>
      <c r="O41" t="str">
        <f>IF(Worksheet!AJ41="","",Worksheet!AJ41)</f>
        <v/>
      </c>
      <c r="P41" t="str">
        <f>IF(Worksheet!AK41="","",Worksheet!AK41)</f>
        <v/>
      </c>
    </row>
    <row r="42" spans="1:16" x14ac:dyDescent="0.25">
      <c r="A42" t="str">
        <v>Leon Boone</v>
      </c>
      <c r="B42" t="str">
        <v>dieter.boone@telenet.be</v>
      </c>
      <c r="C42" t="str">
        <v>0496024078</v>
      </c>
      <c r="D42" t="str">
        <v/>
      </c>
      <c r="E42" s="2" t="str">
        <v/>
      </c>
      <c r="F42" t="str">
        <v>G08 Geel HAANTJES CERTIFISC OUDENAARDE</v>
      </c>
      <c r="G42" t="str">
        <v>Speler</v>
      </c>
      <c r="J42" t="str">
        <f>Worksheet!C42&amp;" "&amp;Worksheet!B42</f>
        <v>Emile Berkvens</v>
      </c>
      <c r="K42" t="str">
        <f>IF(Worksheet!P42&lt;&gt;"",Worksheet!P42,IF(Worksheet!R42&lt;&gt;"",Worksheet!R42,IF(Worksheet!T42&lt;&gt;"",Worksheet!T42,"")))</f>
        <v/>
      </c>
      <c r="L42" t="str">
        <f>IF(AND(Worksheet!V42&lt;&gt;"",Worksheet!V42&lt;&gt;0),Worksheet!V42&amp;"",IF(AND(Worksheet!X42&lt;&gt;"",Worksheet!X42&lt;&gt;0),Worksheet!X42&amp;"",IF(AND(Worksheet!Z42&lt;&gt;"",Worksheet!Z42&lt;&gt;0),Worksheet!Z42&amp;"","")))</f>
        <v>474613344</v>
      </c>
      <c r="M42" t="str">
        <f>IF(Worksheet!AE42="","",Worksheet!AE42)</f>
        <v>https://app.twizzit.com/public/photos/2650778/s/15d2f475817dbbc2474d7d1a8b8b6a06ed3f6c72.png</v>
      </c>
      <c r="N42">
        <f>IF(Worksheet!AG42="","",Worksheet!AG42)</f>
        <v>739383</v>
      </c>
      <c r="O42" t="str">
        <f>IF(Worksheet!AJ42="","",Worksheet!AJ42)</f>
        <v>J16 B Haantjes CERTIFISC Oudenaarde</v>
      </c>
      <c r="P42" t="str">
        <f>IF(Worksheet!AK42="","",Worksheet!AK42)</f>
        <v>Speler</v>
      </c>
    </row>
    <row r="43" spans="1:16" x14ac:dyDescent="0.25">
      <c r="A43" t="str">
        <v>Luca Boullart</v>
      </c>
      <c r="B43" t="str">
        <v>maggy.hombecq@hotmail.com</v>
      </c>
      <c r="C43" t="str">
        <v>0475558448</v>
      </c>
      <c r="D43" t="str">
        <v/>
      </c>
      <c r="E43" s="2">
        <v>733968</v>
      </c>
      <c r="F43" t="str">
        <v>M16 A Haantjes CERTIFISC  Oudenaarde</v>
      </c>
      <c r="G43" t="str">
        <v>Speler</v>
      </c>
      <c r="J43" t="str">
        <f>Worksheet!C43&amp;" "&amp;Worksheet!B43</f>
        <v>Kas Bessems</v>
      </c>
      <c r="K43" t="str">
        <f>IF(Worksheet!P43&lt;&gt;"",Worksheet!P43,IF(Worksheet!R43&lt;&gt;"",Worksheet!R43,IF(Worksheet!T43&lt;&gt;"",Worksheet!T43,"")))</f>
        <v>bessemskas@gmail.com</v>
      </c>
      <c r="L43" t="str">
        <f>IF(AND(Worksheet!V43&lt;&gt;"",Worksheet!V43&lt;&gt;0),Worksheet!V43&amp;"",IF(AND(Worksheet!X43&lt;&gt;"",Worksheet!X43&lt;&gt;0),Worksheet!X43&amp;"",IF(AND(Worksheet!Z43&lt;&gt;"",Worksheet!Z43&lt;&gt;0),Worksheet!Z43&amp;"","")))</f>
        <v>0475811935</v>
      </c>
      <c r="M43" t="str">
        <f>IF(Worksheet!AE43="","",Worksheet!AE43)</f>
        <v/>
      </c>
      <c r="N43">
        <f>IF(Worksheet!AG43="","",Worksheet!AG43)</f>
        <v>749953</v>
      </c>
      <c r="O43" t="str">
        <f>IF(Worksheet!AJ43="","",Worksheet!AJ43)</f>
        <v/>
      </c>
      <c r="P43" t="str">
        <f>IF(Worksheet!AK43="","",Worksheet!AK43)</f>
        <v/>
      </c>
    </row>
    <row r="44" spans="1:16" x14ac:dyDescent="0.25">
      <c r="A44" t="str">
        <v>Luca Boullart</v>
      </c>
      <c r="B44" t="str">
        <v>maggy.hombecq@hotmail.com</v>
      </c>
      <c r="C44" t="str">
        <v>0475558448</v>
      </c>
      <c r="D44" t="str">
        <v/>
      </c>
      <c r="E44" s="2">
        <v>733968</v>
      </c>
      <c r="F44" t="str">
        <v>Zomerstage 2026 (Blankenberge)</v>
      </c>
      <c r="G44" t="str">
        <v>Speler</v>
      </c>
      <c r="J44" t="str">
        <f>Worksheet!C44&amp;" "&amp;Worksheet!B44</f>
        <v>Gust Beutels</v>
      </c>
      <c r="K44" t="str">
        <f>IF(Worksheet!P44&lt;&gt;"",Worksheet!P44,IF(Worksheet!R44&lt;&gt;"",Worksheet!R44,IF(Worksheet!T44&lt;&gt;"",Worksheet!T44,"")))</f>
        <v>gbeutels07@gmail.com</v>
      </c>
      <c r="L44" t="str">
        <f>IF(AND(Worksheet!V44&lt;&gt;"",Worksheet!V44&lt;&gt;0),Worksheet!V44&amp;"",IF(AND(Worksheet!X44&lt;&gt;"",Worksheet!X44&lt;&gt;0),Worksheet!X44&amp;"",IF(AND(Worksheet!Z44&lt;&gt;"",Worksheet!Z44&lt;&gt;0),Worksheet!Z44&amp;"","")))</f>
        <v/>
      </c>
      <c r="M44" t="str">
        <f>IF(Worksheet!AE44="","",Worksheet!AE44)</f>
        <v/>
      </c>
      <c r="N44">
        <f>IF(Worksheet!AG44="","",Worksheet!AG44)</f>
        <v>702949</v>
      </c>
      <c r="O44" t="str">
        <f>IF(Worksheet!AJ44="","",Worksheet!AJ44)</f>
        <v/>
      </c>
      <c r="P44" t="str">
        <f>IF(Worksheet!AK44="","",Worksheet!AK44)</f>
        <v/>
      </c>
    </row>
    <row r="45" spans="1:16" x14ac:dyDescent="0.25">
      <c r="A45" t="str">
        <v>Marie Bourdeaud'hui</v>
      </c>
      <c r="B45" t="str">
        <v/>
      </c>
      <c r="C45" t="str">
        <v>32572791</v>
      </c>
      <c r="D45" t="str">
        <v>https://app.twizzit.com/public/photos/2182516/s/0d7291570c9e5cf142cd892c8fd7ace8c517270a.png</v>
      </c>
      <c r="E45" s="2">
        <v>714083</v>
      </c>
      <c r="F45" t="str">
        <v>DSE A Haantjes Certifisc Oudenaarde</v>
      </c>
      <c r="G45" t="str">
        <v>Speler</v>
      </c>
      <c r="J45" t="str">
        <f>Worksheet!C45&amp;" "&amp;Worksheet!B45</f>
        <v>Celeste Blancke</v>
      </c>
      <c r="K45" t="str">
        <f>IF(Worksheet!P45&lt;&gt;"",Worksheet!P45,IF(Worksheet!R45&lt;&gt;"",Worksheet!R45,IF(Worksheet!T45&lt;&gt;"",Worksheet!T45,"")))</f>
        <v/>
      </c>
      <c r="L45" t="str">
        <f>IF(AND(Worksheet!V45&lt;&gt;"",Worksheet!V45&lt;&gt;0),Worksheet!V45&amp;"",IF(AND(Worksheet!X45&lt;&gt;"",Worksheet!X45&lt;&gt;0),Worksheet!X45&amp;"",IF(AND(Worksheet!Z45&lt;&gt;"",Worksheet!Z45&lt;&gt;0),Worksheet!Z45&amp;"","")))</f>
        <v>478385011</v>
      </c>
      <c r="M45" t="str">
        <f>IF(Worksheet!AE45="","",Worksheet!AE45)</f>
        <v>https://app.twizzit.com/public/photos/3500953/s/601083ebf506787be01432d1e891039519c5d9b6.jpeg</v>
      </c>
      <c r="N45">
        <f>IF(Worksheet!AG45="","",Worksheet!AG45)</f>
        <v>749419</v>
      </c>
      <c r="O45" t="str">
        <f>IF(Worksheet!AJ45="","",Worksheet!AJ45)</f>
        <v>Zomerstage 2026 (Blankenberge)</v>
      </c>
      <c r="P45" t="str">
        <f>IF(Worksheet!AK45="","",Worksheet!AK45)</f>
        <v>Speler</v>
      </c>
    </row>
    <row r="46" spans="1:16" x14ac:dyDescent="0.25">
      <c r="A46" t="str">
        <v>Marie Bourdeaud'hui</v>
      </c>
      <c r="B46" t="str">
        <v/>
      </c>
      <c r="C46" t="str">
        <v>32572791</v>
      </c>
      <c r="D46" t="str">
        <v>https://app.twizzit.com/public/photos/2182516/s/0d7291570c9e5cf142cd892c8fd7ace8c517270a.png</v>
      </c>
      <c r="E46" s="2">
        <v>714083</v>
      </c>
      <c r="F46" t="str">
        <v>Zomerstage 2026 (Blankenberge)</v>
      </c>
      <c r="G46" t="str">
        <v>Speler</v>
      </c>
      <c r="J46" t="str">
        <f>Worksheet!C46&amp;" "&amp;Worksheet!B46</f>
        <v>Celeste Blancke</v>
      </c>
      <c r="K46" t="str">
        <f>IF(Worksheet!P46&lt;&gt;"",Worksheet!P46,IF(Worksheet!R46&lt;&gt;"",Worksheet!R46,IF(Worksheet!T46&lt;&gt;"",Worksheet!T46,"")))</f>
        <v/>
      </c>
      <c r="L46" t="str">
        <f>IF(AND(Worksheet!V46&lt;&gt;"",Worksheet!V46&lt;&gt;0),Worksheet!V46&amp;"",IF(AND(Worksheet!X46&lt;&gt;"",Worksheet!X46&lt;&gt;0),Worksheet!X46&amp;"",IF(AND(Worksheet!Z46&lt;&gt;"",Worksheet!Z46&lt;&gt;0),Worksheet!Z46&amp;"","")))</f>
        <v>478385011</v>
      </c>
      <c r="M46" t="str">
        <f>IF(Worksheet!AE46="","",Worksheet!AE46)</f>
        <v>https://app.twizzit.com/public/photos/3500953/s/601083ebf506787be01432d1e891039519c5d9b6.jpeg</v>
      </c>
      <c r="N46">
        <f>IF(Worksheet!AG46="","",Worksheet!AG46)</f>
        <v>749419</v>
      </c>
      <c r="O46" t="str">
        <f>IF(Worksheet!AJ46="","",Worksheet!AJ46)</f>
        <v>M14 A Haantjes CERTIFISC  Oudenaarde</v>
      </c>
      <c r="P46" t="str">
        <f>IF(Worksheet!AK46="","",Worksheet!AK46)</f>
        <v>Speler</v>
      </c>
    </row>
    <row r="47" spans="1:16" x14ac:dyDescent="0.25">
      <c r="A47" t="str">
        <v>Marie Bourdeaud'hui</v>
      </c>
      <c r="B47" t="str">
        <v/>
      </c>
      <c r="C47" t="str">
        <v>32572791</v>
      </c>
      <c r="D47" t="str">
        <v>https://app.twizzit.com/public/photos/2182516/s/0d7291570c9e5cf142cd892c8fd7ace8c517270a.png</v>
      </c>
      <c r="E47" s="2">
        <v>714083</v>
      </c>
      <c r="F47" t="str">
        <v>M19 A Haantjes CERTIFISC Oudenaarde</v>
      </c>
      <c r="G47" t="str">
        <v>Speler</v>
      </c>
      <c r="J47" t="str">
        <f>Worksheet!C47&amp;" "&amp;Worksheet!B47</f>
        <v>Merel Blancke</v>
      </c>
      <c r="K47" t="str">
        <f>IF(Worksheet!P47&lt;&gt;"",Worksheet!P47,IF(Worksheet!R47&lt;&gt;"",Worksheet!R47,IF(Worksheet!T47&lt;&gt;"",Worksheet!T47,"")))</f>
        <v/>
      </c>
      <c r="L47" t="str">
        <f>IF(AND(Worksheet!V47&lt;&gt;"",Worksheet!V47&lt;&gt;0),Worksheet!V47&amp;"",IF(AND(Worksheet!X47&lt;&gt;"",Worksheet!X47&lt;&gt;0),Worksheet!X47&amp;"",IF(AND(Worksheet!Z47&lt;&gt;"",Worksheet!Z47&lt;&gt;0),Worksheet!Z47&amp;"","")))</f>
        <v>0478385011</v>
      </c>
      <c r="M47" t="str">
        <f>IF(Worksheet!AE47="","",Worksheet!AE47)</f>
        <v>https://app.twizzit.com/public/photos/5568565/s/d285ba208d969f77d6c249fb61359c50c614e6ac.png</v>
      </c>
      <c r="N47" t="str">
        <f>IF(Worksheet!AG47="","",Worksheet!AG47)</f>
        <v/>
      </c>
      <c r="O47" t="str">
        <f>IF(Worksheet!AJ47="","",Worksheet!AJ47)</f>
        <v>M16 A Haantjes CERTIFISC  Oudenaarde</v>
      </c>
      <c r="P47" t="str">
        <f>IF(Worksheet!AK47="","",Worksheet!AK47)</f>
        <v>Speler</v>
      </c>
    </row>
    <row r="48" spans="1:16" x14ac:dyDescent="0.25">
      <c r="A48" t="str">
        <v>Liam Bourgeois</v>
      </c>
      <c r="B48" t="str">
        <v/>
      </c>
      <c r="C48" t="str">
        <v>0471543824</v>
      </c>
      <c r="D48" t="str">
        <v/>
      </c>
      <c r="E48" s="2" t="str">
        <v/>
      </c>
      <c r="F48" t="str">
        <v>J18 B Haantjes CERTIFISC Oudenaarde</v>
      </c>
      <c r="G48" t="str">
        <v>Speler</v>
      </c>
      <c r="J48" t="str">
        <f>Worksheet!C48&amp;" "&amp;Worksheet!B48</f>
        <v>Merel Blancke</v>
      </c>
      <c r="K48" t="str">
        <f>IF(Worksheet!P48&lt;&gt;"",Worksheet!P48,IF(Worksheet!R48&lt;&gt;"",Worksheet!R48,IF(Worksheet!T48&lt;&gt;"",Worksheet!T48,"")))</f>
        <v/>
      </c>
      <c r="L48" t="str">
        <f>IF(AND(Worksheet!V48&lt;&gt;"",Worksheet!V48&lt;&gt;0),Worksheet!V48&amp;"",IF(AND(Worksheet!X48&lt;&gt;"",Worksheet!X48&lt;&gt;0),Worksheet!X48&amp;"",IF(AND(Worksheet!Z48&lt;&gt;"",Worksheet!Z48&lt;&gt;0),Worksheet!Z48&amp;"","")))</f>
        <v>0478385011</v>
      </c>
      <c r="M48" t="str">
        <f>IF(Worksheet!AE48="","",Worksheet!AE48)</f>
        <v>https://app.twizzit.com/public/photos/5568565/s/d285ba208d969f77d6c249fb61359c50c614e6ac.png</v>
      </c>
      <c r="N48" t="str">
        <f>IF(Worksheet!AG48="","",Worksheet!AG48)</f>
        <v/>
      </c>
      <c r="O48" t="str">
        <f>IF(Worksheet!AJ48="","",Worksheet!AJ48)</f>
        <v>Zomerstage 2026 (Blankenberge)</v>
      </c>
      <c r="P48" t="str">
        <f>IF(Worksheet!AK48="","",Worksheet!AK48)</f>
        <v>Speler</v>
      </c>
    </row>
    <row r="49" spans="1:16" x14ac:dyDescent="0.25">
      <c r="A49" t="str">
        <v>Kobe Boutmans</v>
      </c>
      <c r="B49" t="str">
        <v/>
      </c>
      <c r="C49" t="str">
        <v>0479888902</v>
      </c>
      <c r="D49" t="str">
        <v/>
      </c>
      <c r="E49" s="2">
        <v>731700</v>
      </c>
      <c r="F49" t="str">
        <v>J18 B Haantjes CERTIFISC Oudenaarde</v>
      </c>
      <c r="G49" t="str">
        <v>Speler</v>
      </c>
      <c r="J49" t="str">
        <f>Worksheet!C49&amp;" "&amp;Worksheet!B49</f>
        <v>Vic Blommaert</v>
      </c>
      <c r="K49" t="str">
        <f>IF(Worksheet!P49&lt;&gt;"",Worksheet!P49,IF(Worksheet!R49&lt;&gt;"",Worksheet!R49,IF(Worksheet!T49&lt;&gt;"",Worksheet!T49,"")))</f>
        <v>jeroen.blommaert@gmail.com</v>
      </c>
      <c r="L49" t="str">
        <f>IF(AND(Worksheet!V49&lt;&gt;"",Worksheet!V49&lt;&gt;0),Worksheet!V49&amp;"",IF(AND(Worksheet!X49&lt;&gt;"",Worksheet!X49&lt;&gt;0),Worksheet!X49&amp;"",IF(AND(Worksheet!Z49&lt;&gt;"",Worksheet!Z49&lt;&gt;0),Worksheet!Z49&amp;"","")))</f>
        <v>0477059912</v>
      </c>
      <c r="M49" t="str">
        <f>IF(Worksheet!AE49="","",Worksheet!AE49)</f>
        <v>https://app.twizzit.com/public/photos/7328384/s/880c055e18cd3fa9e57719da7306434e04eaf905.png</v>
      </c>
      <c r="N49" t="str">
        <f>IF(Worksheet!AG49="","",Worksheet!AG49)</f>
        <v/>
      </c>
      <c r="O49" t="str">
        <f>IF(Worksheet!AJ49="","",Worksheet!AJ49)</f>
        <v>G10 Geel HAANTJES CERTIFISC OUDENAARDE</v>
      </c>
      <c r="P49" t="str">
        <f>IF(Worksheet!AK49="","",Worksheet!AK49)</f>
        <v>Speler</v>
      </c>
    </row>
    <row r="50" spans="1:16" x14ac:dyDescent="0.25">
      <c r="A50" t="str">
        <v>Lise Braem</v>
      </c>
      <c r="B50" t="str">
        <v>braem.filiep@outlook.be</v>
      </c>
      <c r="C50" t="str">
        <v/>
      </c>
      <c r="D50" t="str">
        <v>https://app.twizzit.com/public/photos/2182526/s/a821912bbd87d29337fbfbb0be2e91298bc55869.jpeg</v>
      </c>
      <c r="E50" s="2">
        <v>706640</v>
      </c>
      <c r="F50" t="str">
        <v>Zomerstage 2026 (Blankenberge)</v>
      </c>
      <c r="G50" t="str">
        <v>Speler</v>
      </c>
      <c r="J50" t="str">
        <f>Worksheet!C50&amp;" "&amp;Worksheet!B50</f>
        <v>Bart Blondeel</v>
      </c>
      <c r="K50" t="str">
        <f>IF(Worksheet!P50&lt;&gt;"",Worksheet!P50,IF(Worksheet!R50&lt;&gt;"",Worksheet!R50,IF(Worksheet!T50&lt;&gt;"",Worksheet!T50,"")))</f>
        <v/>
      </c>
      <c r="L50" t="str">
        <f>IF(AND(Worksheet!V50&lt;&gt;"",Worksheet!V50&lt;&gt;0),Worksheet!V50&amp;"",IF(AND(Worksheet!X50&lt;&gt;"",Worksheet!X50&lt;&gt;0),Worksheet!X50&amp;"",IF(AND(Worksheet!Z50&lt;&gt;"",Worksheet!Z50&lt;&gt;0),Worksheet!Z50&amp;"","")))</f>
        <v>0473373966</v>
      </c>
      <c r="M50" t="str">
        <f>IF(Worksheet!AE50="","",Worksheet!AE50)</f>
        <v/>
      </c>
      <c r="N50" t="str">
        <f>IF(Worksheet!AG50="","",Worksheet!AG50)</f>
        <v/>
      </c>
      <c r="O50" t="str">
        <f>IF(Worksheet!AJ50="","",Worksheet!AJ50)</f>
        <v/>
      </c>
      <c r="P50" t="str">
        <f>IF(Worksheet!AK50="","",Worksheet!AK50)</f>
        <v/>
      </c>
    </row>
    <row r="51" spans="1:16" x14ac:dyDescent="0.25">
      <c r="A51" t="str">
        <v>Lise Braem</v>
      </c>
      <c r="B51" t="str">
        <v>braem.filiep@outlook.be</v>
      </c>
      <c r="C51" t="str">
        <v/>
      </c>
      <c r="D51" t="str">
        <v>https://app.twizzit.com/public/photos/2182526/s/a821912bbd87d29337fbfbb0be2e91298bc55869.jpeg</v>
      </c>
      <c r="E51" s="2">
        <v>706640</v>
      </c>
      <c r="F51" t="str">
        <v>M19 A Haantjes CERTIFISC Oudenaarde</v>
      </c>
      <c r="G51" t="str">
        <v>Speler</v>
      </c>
      <c r="J51" t="str">
        <f>Worksheet!C51&amp;" "&amp;Worksheet!B51</f>
        <v>Matti Bogaert</v>
      </c>
      <c r="K51" t="str">
        <f>IF(Worksheet!P51&lt;&gt;"",Worksheet!P51,IF(Worksheet!R51&lt;&gt;"",Worksheet!R51,IF(Worksheet!T51&lt;&gt;"",Worksheet!T51,"")))</f>
        <v>mboogie800@hotmail.com</v>
      </c>
      <c r="L51" t="str">
        <f>IF(AND(Worksheet!V51&lt;&gt;"",Worksheet!V51&lt;&gt;0),Worksheet!V51&amp;"",IF(AND(Worksheet!X51&lt;&gt;"",Worksheet!X51&lt;&gt;0),Worksheet!X51&amp;"",IF(AND(Worksheet!Z51&lt;&gt;"",Worksheet!Z51&lt;&gt;0),Worksheet!Z51&amp;"","")))</f>
        <v>0478427271</v>
      </c>
      <c r="M51" t="str">
        <f>IF(Worksheet!AE51="","",Worksheet!AE51)</f>
        <v/>
      </c>
      <c r="N51">
        <f>IF(Worksheet!AG51="","",Worksheet!AG51)</f>
        <v>737616</v>
      </c>
      <c r="O51" t="str">
        <f>IF(Worksheet!AJ51="","",Worksheet!AJ51)</f>
        <v>J18 A Haantjes CERTIFISC Oudenaarde</v>
      </c>
      <c r="P51" t="str">
        <f>IF(Worksheet!AK51="","",Worksheet!AK51)</f>
        <v>Speler</v>
      </c>
    </row>
    <row r="52" spans="1:16" x14ac:dyDescent="0.25">
      <c r="A52" t="str">
        <v>Aishatu Lieve Buadee</v>
      </c>
      <c r="B52" t="str">
        <v/>
      </c>
      <c r="C52" t="str">
        <v>0496745543</v>
      </c>
      <c r="D52" t="str">
        <v/>
      </c>
      <c r="E52" s="2" t="str">
        <v/>
      </c>
      <c r="F52" t="str">
        <v>DSE A Haantjes Certifisc Oudenaarde</v>
      </c>
      <c r="G52" t="str">
        <v>Speler</v>
      </c>
      <c r="J52" t="str">
        <f>Worksheet!C52&amp;" "&amp;Worksheet!B52</f>
        <v>Matti Bogaert</v>
      </c>
      <c r="K52" t="str">
        <f>IF(Worksheet!P52&lt;&gt;"",Worksheet!P52,IF(Worksheet!R52&lt;&gt;"",Worksheet!R52,IF(Worksheet!T52&lt;&gt;"",Worksheet!T52,"")))</f>
        <v>mboogie800@hotmail.com</v>
      </c>
      <c r="L52" t="str">
        <f>IF(AND(Worksheet!V52&lt;&gt;"",Worksheet!V52&lt;&gt;0),Worksheet!V52&amp;"",IF(AND(Worksheet!X52&lt;&gt;"",Worksheet!X52&lt;&gt;0),Worksheet!X52&amp;"",IF(AND(Worksheet!Z52&lt;&gt;"",Worksheet!Z52&lt;&gt;0),Worksheet!Z52&amp;"","")))</f>
        <v>0478427271</v>
      </c>
      <c r="M52" t="str">
        <f>IF(Worksheet!AE52="","",Worksheet!AE52)</f>
        <v/>
      </c>
      <c r="N52">
        <f>IF(Worksheet!AG52="","",Worksheet!AG52)</f>
        <v>737616</v>
      </c>
      <c r="O52" t="str">
        <f>IF(Worksheet!AJ52="","",Worksheet!AJ52)</f>
        <v>HSE B Haantjes Certifisc Oudenaarde</v>
      </c>
      <c r="P52" t="str">
        <f>IF(Worksheet!AK52="","",Worksheet!AK52)</f>
        <v>Speler</v>
      </c>
    </row>
    <row r="53" spans="1:16" x14ac:dyDescent="0.25">
      <c r="A53" t="str">
        <v>Matisse Buda Meirlaen</v>
      </c>
      <c r="B53" t="str">
        <v/>
      </c>
      <c r="C53" t="str">
        <v>0477658556</v>
      </c>
      <c r="D53" t="str">
        <v>https://app.twizzit.com/public/photos/7666112/s/28beee7a2b02560648d49ec2140a1cc079666b2a.png</v>
      </c>
      <c r="E53" s="2" t="str">
        <v/>
      </c>
      <c r="F53" t="str">
        <v>G14 B Haantjes CERTIFISC Oudenaarde</v>
      </c>
      <c r="G53" t="str">
        <v>Speler</v>
      </c>
      <c r="J53" t="str">
        <f>Worksheet!C53&amp;" "&amp;Worksheet!B53</f>
        <v>Maurice Boonaert</v>
      </c>
      <c r="K53" t="str">
        <f>IF(Worksheet!P53&lt;&gt;"",Worksheet!P53,IF(Worksheet!R53&lt;&gt;"",Worksheet!R53,IF(Worksheet!T53&lt;&gt;"",Worksheet!T53,"")))</f>
        <v>reggyboonaert@outlook.be</v>
      </c>
      <c r="L53" t="str">
        <f>IF(AND(Worksheet!V53&lt;&gt;"",Worksheet!V53&lt;&gt;0),Worksheet!V53&amp;"",IF(AND(Worksheet!X53&lt;&gt;"",Worksheet!X53&lt;&gt;0),Worksheet!X53&amp;"",IF(AND(Worksheet!Z53&lt;&gt;"",Worksheet!Z53&lt;&gt;0),Worksheet!Z53&amp;"","")))</f>
        <v>0478731137</v>
      </c>
      <c r="M53" t="str">
        <f>IF(Worksheet!AE53="","",Worksheet!AE53)</f>
        <v/>
      </c>
      <c r="N53" t="str">
        <f>IF(Worksheet!AG53="","",Worksheet!AG53)</f>
        <v/>
      </c>
      <c r="O53" t="str">
        <f>IF(Worksheet!AJ53="","",Worksheet!AJ53)</f>
        <v>G08 Groen HAANTJES CERTIFISC OUDENAARDE</v>
      </c>
      <c r="P53" t="str">
        <f>IF(Worksheet!AK53="","",Worksheet!AK53)</f>
        <v>Speler</v>
      </c>
    </row>
    <row r="54" spans="1:16" x14ac:dyDescent="0.25">
      <c r="A54" t="str">
        <v>Dylann Bufkens</v>
      </c>
      <c r="B54" t="str">
        <v/>
      </c>
      <c r="C54" t="str">
        <v>0493561486</v>
      </c>
      <c r="D54" t="str">
        <v/>
      </c>
      <c r="E54" s="2">
        <v>638804</v>
      </c>
      <c r="F54" t="str">
        <v>J18 B Haantjes CERTIFISC Oudenaarde</v>
      </c>
      <c r="G54" t="str">
        <v>Coach</v>
      </c>
      <c r="J54" t="str">
        <f>Worksheet!C54&amp;" "&amp;Worksheet!B54</f>
        <v>Maurice Boonaert</v>
      </c>
      <c r="K54" t="str">
        <f>IF(Worksheet!P54&lt;&gt;"",Worksheet!P54,IF(Worksheet!R54&lt;&gt;"",Worksheet!R54,IF(Worksheet!T54&lt;&gt;"",Worksheet!T54,"")))</f>
        <v>reggyboonaert@outlook.be</v>
      </c>
      <c r="L54" t="str">
        <f>IF(AND(Worksheet!V54&lt;&gt;"",Worksheet!V54&lt;&gt;0),Worksheet!V54&amp;"",IF(AND(Worksheet!X54&lt;&gt;"",Worksheet!X54&lt;&gt;0),Worksheet!X54&amp;"",IF(AND(Worksheet!Z54&lt;&gt;"",Worksheet!Z54&lt;&gt;0),Worksheet!Z54&amp;"","")))</f>
        <v>0478731137</v>
      </c>
      <c r="M54" t="str">
        <f>IF(Worksheet!AE54="","",Worksheet!AE54)</f>
        <v/>
      </c>
      <c r="N54" t="str">
        <f>IF(Worksheet!AG54="","",Worksheet!AG54)</f>
        <v/>
      </c>
      <c r="O54" t="str">
        <f>IF(Worksheet!AJ54="","",Worksheet!AJ54)</f>
        <v>Zomerstage 2026 U8 (Oudenaarde)</v>
      </c>
      <c r="P54" t="str">
        <f>IF(Worksheet!AK54="","",Worksheet!AK54)</f>
        <v>Speler</v>
      </c>
    </row>
    <row r="55" spans="1:16" x14ac:dyDescent="0.25">
      <c r="A55" t="str">
        <v>Dylann Bufkens</v>
      </c>
      <c r="B55" t="str">
        <v/>
      </c>
      <c r="C55" t="str">
        <v>0493561486</v>
      </c>
      <c r="D55" t="str">
        <v/>
      </c>
      <c r="E55" s="2">
        <v>638804</v>
      </c>
      <c r="F55" t="str">
        <v>HSE B Haantjes Certifisc Oudenaarde</v>
      </c>
      <c r="G55" t="str">
        <v>Speler</v>
      </c>
      <c r="J55" t="str">
        <f>Worksheet!C55&amp;" "&amp;Worksheet!B55</f>
        <v>Leon Boone</v>
      </c>
      <c r="K55" t="str">
        <f>IF(Worksheet!P55&lt;&gt;"",Worksheet!P55,IF(Worksheet!R55&lt;&gt;"",Worksheet!R55,IF(Worksheet!T55&lt;&gt;"",Worksheet!T55,"")))</f>
        <v>dieter.boone@telenet.be</v>
      </c>
      <c r="L55" t="str">
        <f>IF(AND(Worksheet!V55&lt;&gt;"",Worksheet!V55&lt;&gt;0),Worksheet!V55&amp;"",IF(AND(Worksheet!X55&lt;&gt;"",Worksheet!X55&lt;&gt;0),Worksheet!X55&amp;"",IF(AND(Worksheet!Z55&lt;&gt;"",Worksheet!Z55&lt;&gt;0),Worksheet!Z55&amp;"","")))</f>
        <v>0496024078</v>
      </c>
      <c r="M55" t="str">
        <f>IF(Worksheet!AE55="","",Worksheet!AE55)</f>
        <v/>
      </c>
      <c r="N55" t="str">
        <f>IF(Worksheet!AG55="","",Worksheet!AG55)</f>
        <v/>
      </c>
      <c r="O55" t="str">
        <f>IF(Worksheet!AJ55="","",Worksheet!AJ55)</f>
        <v>G08 Geel HAANTJES CERTIFISC OUDENAARDE</v>
      </c>
      <c r="P55" t="str">
        <f>IF(Worksheet!AK55="","",Worksheet!AK55)</f>
        <v>Speler</v>
      </c>
    </row>
    <row r="56" spans="1:16" x14ac:dyDescent="0.25">
      <c r="A56" t="str">
        <v>Liam Bufkens</v>
      </c>
      <c r="B56" t="str">
        <v>vanbael_ijlie@hotmail.com</v>
      </c>
      <c r="C56" t="str">
        <v/>
      </c>
      <c r="D56" t="str">
        <v/>
      </c>
      <c r="E56" s="2">
        <v>740183</v>
      </c>
      <c r="F56" t="str">
        <v>J16 A Haantjes CERTIFISC Oudenaarde</v>
      </c>
      <c r="G56" t="str">
        <v>Speler</v>
      </c>
      <c r="J56" t="str">
        <f>Worksheet!C56&amp;" "&amp;Worksheet!B56</f>
        <v>Charles Bothuyne</v>
      </c>
      <c r="K56" t="str">
        <f>IF(Worksheet!P56&lt;&gt;"",Worksheet!P56,IF(Worksheet!R56&lt;&gt;"",Worksheet!R56,IF(Worksheet!T56&lt;&gt;"",Worksheet!T56,"")))</f>
        <v/>
      </c>
      <c r="L56" t="str">
        <f>IF(AND(Worksheet!V56&lt;&gt;"",Worksheet!V56&lt;&gt;0),Worksheet!V56&amp;"",IF(AND(Worksheet!X56&lt;&gt;"",Worksheet!X56&lt;&gt;0),Worksheet!X56&amp;"",IF(AND(Worksheet!Z56&lt;&gt;"",Worksheet!Z56&lt;&gt;0),Worksheet!Z56&amp;"","")))</f>
        <v>32474611521</v>
      </c>
      <c r="M56" t="str">
        <f>IF(Worksheet!AE56="","",Worksheet!AE56)</f>
        <v/>
      </c>
      <c r="N56" t="str">
        <f>IF(Worksheet!AG56="","",Worksheet!AG56)</f>
        <v/>
      </c>
      <c r="O56" t="str">
        <f>IF(Worksheet!AJ56="","",Worksheet!AJ56)</f>
        <v/>
      </c>
      <c r="P56" t="str">
        <f>IF(Worksheet!AK56="","",Worksheet!AK56)</f>
        <v/>
      </c>
    </row>
    <row r="57" spans="1:16" x14ac:dyDescent="0.25">
      <c r="A57" t="str">
        <v>Iris Calewaert</v>
      </c>
      <c r="B57" t="str">
        <v/>
      </c>
      <c r="C57" t="str">
        <v/>
      </c>
      <c r="D57" t="str">
        <v/>
      </c>
      <c r="E57" s="2">
        <v>622248</v>
      </c>
      <c r="F57" t="str">
        <v>DSE A Haantjes Certifisc Oudenaarde</v>
      </c>
      <c r="G57" t="str">
        <v>Speler</v>
      </c>
      <c r="J57" t="str">
        <f>Worksheet!C57&amp;" "&amp;Worksheet!B57</f>
        <v>Mauro Boudringhien</v>
      </c>
      <c r="K57" t="str">
        <f>IF(Worksheet!P57&lt;&gt;"",Worksheet!P57,IF(Worksheet!R57&lt;&gt;"",Worksheet!R57,IF(Worksheet!T57&lt;&gt;"",Worksheet!T57,"")))</f>
        <v/>
      </c>
      <c r="L57" t="str">
        <f>IF(AND(Worksheet!V57&lt;&gt;"",Worksheet!V57&lt;&gt;0),Worksheet!V57&amp;"",IF(AND(Worksheet!X57&lt;&gt;"",Worksheet!X57&lt;&gt;0),Worksheet!X57&amp;"",IF(AND(Worksheet!Z57&lt;&gt;"",Worksheet!Z57&lt;&gt;0),Worksheet!Z57&amp;"","")))</f>
        <v/>
      </c>
      <c r="M57" t="str">
        <f>IF(Worksheet!AE57="","",Worksheet!AE57)</f>
        <v/>
      </c>
      <c r="N57">
        <f>IF(Worksheet!AG57="","",Worksheet!AG57)</f>
        <v>732761</v>
      </c>
      <c r="O57" t="str">
        <f>IF(Worksheet!AJ57="","",Worksheet!AJ57)</f>
        <v/>
      </c>
      <c r="P57" t="str">
        <f>IF(Worksheet!AK57="","",Worksheet!AK57)</f>
        <v/>
      </c>
    </row>
    <row r="58" spans="1:16" x14ac:dyDescent="0.25">
      <c r="A58" t="str">
        <v>Iris Calewaert</v>
      </c>
      <c r="B58" t="str">
        <v/>
      </c>
      <c r="C58" t="str">
        <v/>
      </c>
      <c r="D58" t="str">
        <v/>
      </c>
      <c r="E58" s="2">
        <v>622248</v>
      </c>
      <c r="F58" t="str">
        <v>M12 A HAANTJES CERTIFISC OUDENAARDE</v>
      </c>
      <c r="G58" t="str">
        <v>Coach</v>
      </c>
      <c r="J58" t="str">
        <f>Worksheet!C58&amp;" "&amp;Worksheet!B58</f>
        <v>Luca Boullart</v>
      </c>
      <c r="K58" t="str">
        <f>IF(Worksheet!P58&lt;&gt;"",Worksheet!P58,IF(Worksheet!R58&lt;&gt;"",Worksheet!R58,IF(Worksheet!T58&lt;&gt;"",Worksheet!T58,"")))</f>
        <v>maggy.hombecq@hotmail.com</v>
      </c>
      <c r="L58" t="str">
        <f>IF(AND(Worksheet!V58&lt;&gt;"",Worksheet!V58&lt;&gt;0),Worksheet!V58&amp;"",IF(AND(Worksheet!X58&lt;&gt;"",Worksheet!X58&lt;&gt;0),Worksheet!X58&amp;"",IF(AND(Worksheet!Z58&lt;&gt;"",Worksheet!Z58&lt;&gt;0),Worksheet!Z58&amp;"","")))</f>
        <v>0475558448</v>
      </c>
      <c r="M58" t="str">
        <f>IF(Worksheet!AE58="","",Worksheet!AE58)</f>
        <v/>
      </c>
      <c r="N58">
        <f>IF(Worksheet!AG58="","",Worksheet!AG58)</f>
        <v>733968</v>
      </c>
      <c r="O58" t="str">
        <f>IF(Worksheet!AJ58="","",Worksheet!AJ58)</f>
        <v>M16 A Haantjes CERTIFISC  Oudenaarde</v>
      </c>
      <c r="P58" t="str">
        <f>IF(Worksheet!AK58="","",Worksheet!AK58)</f>
        <v>Speler</v>
      </c>
    </row>
    <row r="59" spans="1:16" x14ac:dyDescent="0.25">
      <c r="A59" t="str">
        <v>Leon Castelain</v>
      </c>
      <c r="B59" t="str">
        <v/>
      </c>
      <c r="C59" t="str">
        <v>32495228616</v>
      </c>
      <c r="D59" t="str">
        <v>https://app.twizzit.com/public/photos/3486565/s/dbc5287e080bfa9acd16205b0ef6339800e0ffb6.png</v>
      </c>
      <c r="E59" s="2" t="str">
        <v xml:space="preserve">762623 </v>
      </c>
      <c r="F59" t="str">
        <v>G10 Geel HAANTJES CERTIFISC OUDENAARDE</v>
      </c>
      <c r="G59" t="str">
        <v>Speler</v>
      </c>
      <c r="J59" t="str">
        <f>Worksheet!C59&amp;" "&amp;Worksheet!B59</f>
        <v>Luca Boullart</v>
      </c>
      <c r="K59" t="str">
        <f>IF(Worksheet!P59&lt;&gt;"",Worksheet!P59,IF(Worksheet!R59&lt;&gt;"",Worksheet!R59,IF(Worksheet!T59&lt;&gt;"",Worksheet!T59,"")))</f>
        <v>maggy.hombecq@hotmail.com</v>
      </c>
      <c r="L59" t="str">
        <f>IF(AND(Worksheet!V59&lt;&gt;"",Worksheet!V59&lt;&gt;0),Worksheet!V59&amp;"",IF(AND(Worksheet!X59&lt;&gt;"",Worksheet!X59&lt;&gt;0),Worksheet!X59&amp;"",IF(AND(Worksheet!Z59&lt;&gt;"",Worksheet!Z59&lt;&gt;0),Worksheet!Z59&amp;"","")))</f>
        <v>0475558448</v>
      </c>
      <c r="M59" t="str">
        <f>IF(Worksheet!AE59="","",Worksheet!AE59)</f>
        <v/>
      </c>
      <c r="N59">
        <f>IF(Worksheet!AG59="","",Worksheet!AG59)</f>
        <v>733968</v>
      </c>
      <c r="O59" t="str">
        <f>IF(Worksheet!AJ59="","",Worksheet!AJ59)</f>
        <v>Zomerstage 2026 (Blankenberge)</v>
      </c>
      <c r="P59" t="str">
        <f>IF(Worksheet!AK59="","",Worksheet!AK59)</f>
        <v>Speler</v>
      </c>
    </row>
    <row r="60" spans="1:16" x14ac:dyDescent="0.25">
      <c r="A60" t="str">
        <v>Leon Castelain</v>
      </c>
      <c r="B60" t="str">
        <v/>
      </c>
      <c r="C60" t="str">
        <v>32495228616</v>
      </c>
      <c r="D60" t="str">
        <v>https://app.twizzit.com/public/photos/3486565/s/dbc5287e080bfa9acd16205b0ef6339800e0ffb6.png</v>
      </c>
      <c r="E60" s="2" t="str">
        <v xml:space="preserve">762623 </v>
      </c>
      <c r="F60" t="str">
        <v>Zomerstage 2026 U10 &amp; U12 (Oudenaarde)</v>
      </c>
      <c r="G60" t="str">
        <v>Speler</v>
      </c>
      <c r="J60" t="str">
        <f>Worksheet!C60&amp;" "&amp;Worksheet!B60</f>
        <v>Marie Bourdeaud'hui</v>
      </c>
      <c r="K60" t="str">
        <f>IF(Worksheet!P60&lt;&gt;"",Worksheet!P60,IF(Worksheet!R60&lt;&gt;"",Worksheet!R60,IF(Worksheet!T60&lt;&gt;"",Worksheet!T60,"")))</f>
        <v/>
      </c>
      <c r="L60" t="str">
        <f>IF(AND(Worksheet!V60&lt;&gt;"",Worksheet!V60&lt;&gt;0),Worksheet!V60&amp;"",IF(AND(Worksheet!X60&lt;&gt;"",Worksheet!X60&lt;&gt;0),Worksheet!X60&amp;"",IF(AND(Worksheet!Z60&lt;&gt;"",Worksheet!Z60&lt;&gt;0),Worksheet!Z60&amp;"","")))</f>
        <v>32572791</v>
      </c>
      <c r="M60" t="str">
        <f>IF(Worksheet!AE60="","",Worksheet!AE60)</f>
        <v>https://app.twizzit.com/public/photos/2182516/s/0d7291570c9e5cf142cd892c8fd7ace8c517270a.png</v>
      </c>
      <c r="N60">
        <f>IF(Worksheet!AG60="","",Worksheet!AG60)</f>
        <v>714083</v>
      </c>
      <c r="O60" t="str">
        <f>IF(Worksheet!AJ60="","",Worksheet!AJ60)</f>
        <v>DSE A Haantjes Certifisc Oudenaarde</v>
      </c>
      <c r="P60" t="str">
        <f>IF(Worksheet!AK60="","",Worksheet!AK60)</f>
        <v>Speler</v>
      </c>
    </row>
    <row r="61" spans="1:16" x14ac:dyDescent="0.25">
      <c r="A61" t="str">
        <v>Odet Castelain</v>
      </c>
      <c r="B61" t="str">
        <v>evelyn.demesel@hotmail.be</v>
      </c>
      <c r="C61" t="str">
        <v>32495228616</v>
      </c>
      <c r="D61" t="str">
        <v/>
      </c>
      <c r="E61" s="2" t="str">
        <v/>
      </c>
      <c r="F61" t="str">
        <v>Balschool U6</v>
      </c>
      <c r="G61" t="str">
        <v>Speler</v>
      </c>
      <c r="J61" t="str">
        <f>Worksheet!C61&amp;" "&amp;Worksheet!B61</f>
        <v>Marie Bourdeaud'hui</v>
      </c>
      <c r="K61" t="str">
        <f>IF(Worksheet!P61&lt;&gt;"",Worksheet!P61,IF(Worksheet!R61&lt;&gt;"",Worksheet!R61,IF(Worksheet!T61&lt;&gt;"",Worksheet!T61,"")))</f>
        <v/>
      </c>
      <c r="L61" t="str">
        <f>IF(AND(Worksheet!V61&lt;&gt;"",Worksheet!V61&lt;&gt;0),Worksheet!V61&amp;"",IF(AND(Worksheet!X61&lt;&gt;"",Worksheet!X61&lt;&gt;0),Worksheet!X61&amp;"",IF(AND(Worksheet!Z61&lt;&gt;"",Worksheet!Z61&lt;&gt;0),Worksheet!Z61&amp;"","")))</f>
        <v>32572791</v>
      </c>
      <c r="M61" t="str">
        <f>IF(Worksheet!AE61="","",Worksheet!AE61)</f>
        <v>https://app.twizzit.com/public/photos/2182516/s/0d7291570c9e5cf142cd892c8fd7ace8c517270a.png</v>
      </c>
      <c r="N61">
        <f>IF(Worksheet!AG61="","",Worksheet!AG61)</f>
        <v>714083</v>
      </c>
      <c r="O61" t="str">
        <f>IF(Worksheet!AJ61="","",Worksheet!AJ61)</f>
        <v>Zomerstage 2026 (Blankenberge)</v>
      </c>
      <c r="P61" t="str">
        <f>IF(Worksheet!AK61="","",Worksheet!AK61)</f>
        <v>Speler</v>
      </c>
    </row>
    <row r="62" spans="1:16" x14ac:dyDescent="0.25">
      <c r="A62" t="str">
        <v>Bart Cattoir</v>
      </c>
      <c r="B62" t="str">
        <v/>
      </c>
      <c r="C62" t="str">
        <v/>
      </c>
      <c r="D62" t="str">
        <v/>
      </c>
      <c r="E62" s="2">
        <v>20854</v>
      </c>
      <c r="F62" t="str">
        <v>DSE A Haantjes Certifisc Oudenaarde</v>
      </c>
      <c r="G62" t="str">
        <v>Coach</v>
      </c>
      <c r="J62" t="str">
        <f>Worksheet!C62&amp;" "&amp;Worksheet!B62</f>
        <v>Marie Bourdeaud'hui</v>
      </c>
      <c r="K62" t="str">
        <f>IF(Worksheet!P62&lt;&gt;"",Worksheet!P62,IF(Worksheet!R62&lt;&gt;"",Worksheet!R62,IF(Worksheet!T62&lt;&gt;"",Worksheet!T62,"")))</f>
        <v/>
      </c>
      <c r="L62" t="str">
        <f>IF(AND(Worksheet!V62&lt;&gt;"",Worksheet!V62&lt;&gt;0),Worksheet!V62&amp;"",IF(AND(Worksheet!X62&lt;&gt;"",Worksheet!X62&lt;&gt;0),Worksheet!X62&amp;"",IF(AND(Worksheet!Z62&lt;&gt;"",Worksheet!Z62&lt;&gt;0),Worksheet!Z62&amp;"","")))</f>
        <v>32572791</v>
      </c>
      <c r="M62" t="str">
        <f>IF(Worksheet!AE62="","",Worksheet!AE62)</f>
        <v>https://app.twizzit.com/public/photos/2182516/s/0d7291570c9e5cf142cd892c8fd7ace8c517270a.png</v>
      </c>
      <c r="N62">
        <f>IF(Worksheet!AG62="","",Worksheet!AG62)</f>
        <v>714083</v>
      </c>
      <c r="O62" t="str">
        <f>IF(Worksheet!AJ62="","",Worksheet!AJ62)</f>
        <v>M19 A Haantjes CERTIFISC Oudenaarde</v>
      </c>
      <c r="P62" t="str">
        <f>IF(Worksheet!AK62="","",Worksheet!AK62)</f>
        <v>Speler</v>
      </c>
    </row>
    <row r="63" spans="1:16" x14ac:dyDescent="0.25">
      <c r="A63" t="str">
        <v>Jonah Cattoir</v>
      </c>
      <c r="B63" t="str">
        <v/>
      </c>
      <c r="C63" t="str">
        <v/>
      </c>
      <c r="D63" t="str">
        <v/>
      </c>
      <c r="E63" s="2" t="str">
        <v/>
      </c>
      <c r="F63" t="str">
        <v>G08 Geel HAANTJES CERTIFISC OUDENAARDE</v>
      </c>
      <c r="G63" t="str">
        <v>Coach</v>
      </c>
      <c r="J63" t="str">
        <f>Worksheet!C63&amp;" "&amp;Worksheet!B63</f>
        <v>Liam Bourgeois</v>
      </c>
      <c r="K63" t="str">
        <f>IF(Worksheet!P63&lt;&gt;"",Worksheet!P63,IF(Worksheet!R63&lt;&gt;"",Worksheet!R63,IF(Worksheet!T63&lt;&gt;"",Worksheet!T63,"")))</f>
        <v/>
      </c>
      <c r="L63" t="str">
        <f>IF(AND(Worksheet!V63&lt;&gt;"",Worksheet!V63&lt;&gt;0),Worksheet!V63&amp;"",IF(AND(Worksheet!X63&lt;&gt;"",Worksheet!X63&lt;&gt;0),Worksheet!X63&amp;"",IF(AND(Worksheet!Z63&lt;&gt;"",Worksheet!Z63&lt;&gt;0),Worksheet!Z63&amp;"","")))</f>
        <v>0471543824</v>
      </c>
      <c r="M63" t="str">
        <f>IF(Worksheet!AE63="","",Worksheet!AE63)</f>
        <v/>
      </c>
      <c r="N63" t="str">
        <f>IF(Worksheet!AG63="","",Worksheet!AG63)</f>
        <v/>
      </c>
      <c r="O63" t="str">
        <f>IF(Worksheet!AJ63="","",Worksheet!AJ63)</f>
        <v>J18 B Haantjes CERTIFISC Oudenaarde</v>
      </c>
      <c r="P63" t="str">
        <f>IF(Worksheet!AK63="","",Worksheet!AK63)</f>
        <v>Speler</v>
      </c>
    </row>
    <row r="64" spans="1:16" x14ac:dyDescent="0.25">
      <c r="A64" t="str">
        <v>Jonah Cattoir</v>
      </c>
      <c r="B64" t="str">
        <v/>
      </c>
      <c r="C64" t="str">
        <v/>
      </c>
      <c r="D64" t="str">
        <v/>
      </c>
      <c r="E64" s="2" t="str">
        <v/>
      </c>
      <c r="F64" t="str">
        <v>J16 A Haantjes CERTIFISC Oudenaarde</v>
      </c>
      <c r="G64" t="str">
        <v>Speler</v>
      </c>
      <c r="J64" t="str">
        <f>Worksheet!C64&amp;" "&amp;Worksheet!B64</f>
        <v>Beauregard Boutmans</v>
      </c>
      <c r="K64" t="str">
        <f>IF(Worksheet!P64&lt;&gt;"",Worksheet!P64,IF(Worksheet!R64&lt;&gt;"",Worksheet!R64,IF(Worksheet!T64&lt;&gt;"",Worksheet!T64,"")))</f>
        <v/>
      </c>
      <c r="L64" t="str">
        <f>IF(AND(Worksheet!V64&lt;&gt;"",Worksheet!V64&lt;&gt;0),Worksheet!V64&amp;"",IF(AND(Worksheet!X64&lt;&gt;"",Worksheet!X64&lt;&gt;0),Worksheet!X64&amp;"",IF(AND(Worksheet!Z64&lt;&gt;"",Worksheet!Z64&lt;&gt;0),Worksheet!Z64&amp;"","")))</f>
        <v/>
      </c>
      <c r="M64" t="str">
        <f>IF(Worksheet!AE64="","",Worksheet!AE64)</f>
        <v/>
      </c>
      <c r="N64" t="str">
        <f>IF(Worksheet!AG64="","",Worksheet!AG64)</f>
        <v/>
      </c>
      <c r="O64" t="str">
        <f>IF(Worksheet!AJ64="","",Worksheet!AJ64)</f>
        <v/>
      </c>
      <c r="P64" t="str">
        <f>IF(Worksheet!AK64="","",Worksheet!AK64)</f>
        <v/>
      </c>
    </row>
    <row r="65" spans="1:16" x14ac:dyDescent="0.25">
      <c r="A65" t="str">
        <v>Jonah Cattoir</v>
      </c>
      <c r="B65" t="str">
        <v/>
      </c>
      <c r="C65" t="str">
        <v/>
      </c>
      <c r="D65" t="str">
        <v/>
      </c>
      <c r="E65" s="2" t="str">
        <v/>
      </c>
      <c r="F65" t="str">
        <v>Zomerstage 2026 (Blankenberge)</v>
      </c>
      <c r="G65" t="str">
        <v>Speler</v>
      </c>
      <c r="J65" t="str">
        <f>Worksheet!C65&amp;" "&amp;Worksheet!B65</f>
        <v>Kobe Boutmans</v>
      </c>
      <c r="K65" t="str">
        <f>IF(Worksheet!P65&lt;&gt;"",Worksheet!P65,IF(Worksheet!R65&lt;&gt;"",Worksheet!R65,IF(Worksheet!T65&lt;&gt;"",Worksheet!T65,"")))</f>
        <v/>
      </c>
      <c r="L65" t="str">
        <f>IF(AND(Worksheet!V65&lt;&gt;"",Worksheet!V65&lt;&gt;0),Worksheet!V65&amp;"",IF(AND(Worksheet!X65&lt;&gt;"",Worksheet!X65&lt;&gt;0),Worksheet!X65&amp;"",IF(AND(Worksheet!Z65&lt;&gt;"",Worksheet!Z65&lt;&gt;0),Worksheet!Z65&amp;"","")))</f>
        <v>0479888902</v>
      </c>
      <c r="M65" t="str">
        <f>IF(Worksheet!AE65="","",Worksheet!AE65)</f>
        <v/>
      </c>
      <c r="N65">
        <f>IF(Worksheet!AG65="","",Worksheet!AG65)</f>
        <v>731700</v>
      </c>
      <c r="O65" t="str">
        <f>IF(Worksheet!AJ65="","",Worksheet!AJ65)</f>
        <v>J18 B Haantjes CERTIFISC Oudenaarde</v>
      </c>
      <c r="P65" t="str">
        <f>IF(Worksheet!AK65="","",Worksheet!AK65)</f>
        <v>Speler</v>
      </c>
    </row>
    <row r="66" spans="1:16" x14ac:dyDescent="0.25">
      <c r="A66" t="str">
        <v>Lasse Cattoir</v>
      </c>
      <c r="B66" t="str">
        <v/>
      </c>
      <c r="C66" t="str">
        <v/>
      </c>
      <c r="D66" t="str">
        <v>https://app.twizzit.com/public/photos/9522553/s/70d508b65eaba88af49f20bd545e119d36420c07.png</v>
      </c>
      <c r="E66" s="2" t="str">
        <v/>
      </c>
      <c r="F66" t="str">
        <v>G08 Geel HAANTJES CERTIFISC OUDENAARDE</v>
      </c>
      <c r="G66" t="str">
        <v>Speler</v>
      </c>
      <c r="J66" t="str">
        <f>Worksheet!C66&amp;" "&amp;Worksheet!B66</f>
        <v>Kaatje Bracke</v>
      </c>
      <c r="K66" t="str">
        <f>IF(Worksheet!P66&lt;&gt;"",Worksheet!P66,IF(Worksheet!R66&lt;&gt;"",Worksheet!R66,IF(Worksheet!T66&lt;&gt;"",Worksheet!T66,"")))</f>
        <v/>
      </c>
      <c r="L66" t="str">
        <f>IF(AND(Worksheet!V66&lt;&gt;"",Worksheet!V66&lt;&gt;0),Worksheet!V66&amp;"",IF(AND(Worksheet!X66&lt;&gt;"",Worksheet!X66&lt;&gt;0),Worksheet!X66&amp;"",IF(AND(Worksheet!Z66&lt;&gt;"",Worksheet!Z66&lt;&gt;0),Worksheet!Z66&amp;"","")))</f>
        <v/>
      </c>
      <c r="M66" t="str">
        <f>IF(Worksheet!AE66="","",Worksheet!AE66)</f>
        <v/>
      </c>
      <c r="N66">
        <f>IF(Worksheet!AG66="","",Worksheet!AG66)</f>
        <v>236495</v>
      </c>
      <c r="O66" t="str">
        <f>IF(Worksheet!AJ66="","",Worksheet!AJ66)</f>
        <v/>
      </c>
      <c r="P66" t="str">
        <f>IF(Worksheet!AK66="","",Worksheet!AK66)</f>
        <v/>
      </c>
    </row>
    <row r="67" spans="1:16" x14ac:dyDescent="0.25">
      <c r="A67" t="str">
        <v>Lasse Cattoir</v>
      </c>
      <c r="B67" t="str">
        <v/>
      </c>
      <c r="C67" t="str">
        <v/>
      </c>
      <c r="D67" t="str">
        <v>https://app.twizzit.com/public/photos/9522553/s/70d508b65eaba88af49f20bd545e119d36420c07.png</v>
      </c>
      <c r="E67" s="2" t="str">
        <v/>
      </c>
      <c r="F67" t="str">
        <v>Zomerstage 2026 U8 (Oudenaarde)</v>
      </c>
      <c r="G67" t="str">
        <v>Speler</v>
      </c>
      <c r="J67" t="str">
        <f>Worksheet!C67&amp;" "&amp;Worksheet!B67</f>
        <v>Mathieu Bracke</v>
      </c>
      <c r="K67" t="str">
        <f>IF(Worksheet!P67&lt;&gt;"",Worksheet!P67,IF(Worksheet!R67&lt;&gt;"",Worksheet!R67,IF(Worksheet!T67&lt;&gt;"",Worksheet!T67,"")))</f>
        <v/>
      </c>
      <c r="L67" t="str">
        <f>IF(AND(Worksheet!V67&lt;&gt;"",Worksheet!V67&lt;&gt;0),Worksheet!V67&amp;"",IF(AND(Worksheet!X67&lt;&gt;"",Worksheet!X67&lt;&gt;0),Worksheet!X67&amp;"",IF(AND(Worksheet!Z67&lt;&gt;"",Worksheet!Z67&lt;&gt;0),Worksheet!Z67&amp;"","")))</f>
        <v>320470203327</v>
      </c>
      <c r="M67" t="str">
        <f>IF(Worksheet!AE67="","",Worksheet!AE67)</f>
        <v/>
      </c>
      <c r="N67">
        <f>IF(Worksheet!AG67="","",Worksheet!AG67)</f>
        <v>606718</v>
      </c>
      <c r="O67" t="str">
        <f>IF(Worksheet!AJ67="","",Worksheet!AJ67)</f>
        <v/>
      </c>
      <c r="P67" t="str">
        <f>IF(Worksheet!AK67="","",Worksheet!AK67)</f>
        <v/>
      </c>
    </row>
    <row r="68" spans="1:16" x14ac:dyDescent="0.25">
      <c r="A68" t="str">
        <v>Alice Cokelaere</v>
      </c>
      <c r="B68" t="str">
        <v>sofie.pattyn@telenet.be</v>
      </c>
      <c r="C68" t="str">
        <v>0477681738</v>
      </c>
      <c r="D68" t="str">
        <v/>
      </c>
      <c r="E68" s="2">
        <v>669074</v>
      </c>
      <c r="F68" t="str">
        <v>DSE A Haantjes Certifisc Oudenaarde</v>
      </c>
      <c r="G68" t="str">
        <v>Speler</v>
      </c>
      <c r="J68" t="str">
        <f>Worksheet!C68&amp;" "&amp;Worksheet!B68</f>
        <v>Filiep Braem</v>
      </c>
      <c r="K68" t="str">
        <f>IF(Worksheet!P68&lt;&gt;"",Worksheet!P68,IF(Worksheet!R68&lt;&gt;"",Worksheet!R68,IF(Worksheet!T68&lt;&gt;"",Worksheet!T68,"")))</f>
        <v/>
      </c>
      <c r="L68" t="str">
        <f>IF(AND(Worksheet!V68&lt;&gt;"",Worksheet!V68&lt;&gt;0),Worksheet!V68&amp;"",IF(AND(Worksheet!X68&lt;&gt;"",Worksheet!X68&lt;&gt;0),Worksheet!X68&amp;"",IF(AND(Worksheet!Z68&lt;&gt;"",Worksheet!Z68&lt;&gt;0),Worksheet!Z68&amp;"","")))</f>
        <v/>
      </c>
      <c r="M68" t="str">
        <f>IF(Worksheet!AE68="","",Worksheet!AE68)</f>
        <v/>
      </c>
      <c r="N68" t="str">
        <f>IF(Worksheet!AG68="","",Worksheet!AG68)</f>
        <v xml:space="preserve">757056 </v>
      </c>
      <c r="O68" t="str">
        <f>IF(Worksheet!AJ68="","",Worksheet!AJ68)</f>
        <v/>
      </c>
      <c r="P68" t="str">
        <f>IF(Worksheet!AK68="","",Worksheet!AK68)</f>
        <v/>
      </c>
    </row>
    <row r="69" spans="1:16" x14ac:dyDescent="0.25">
      <c r="A69" t="str">
        <v>Alice Cokelaere</v>
      </c>
      <c r="B69" t="str">
        <v>sofie.pattyn@telenet.be</v>
      </c>
      <c r="C69" t="str">
        <v>0477681738</v>
      </c>
      <c r="D69" t="str">
        <v/>
      </c>
      <c r="E69" s="2">
        <v>669074</v>
      </c>
      <c r="F69" t="str">
        <v>Zomerstage 2026 (Blankenberge)</v>
      </c>
      <c r="G69" t="str">
        <v>Speler</v>
      </c>
      <c r="J69" t="str">
        <f>Worksheet!C69&amp;" "&amp;Worksheet!B69</f>
        <v>Lise Braem</v>
      </c>
      <c r="K69" t="str">
        <f>IF(Worksheet!P69&lt;&gt;"",Worksheet!P69,IF(Worksheet!R69&lt;&gt;"",Worksheet!R69,IF(Worksheet!T69&lt;&gt;"",Worksheet!T69,"")))</f>
        <v>braem.filiep@outlook.be</v>
      </c>
      <c r="L69" t="str">
        <f>IF(AND(Worksheet!V69&lt;&gt;"",Worksheet!V69&lt;&gt;0),Worksheet!V69&amp;"",IF(AND(Worksheet!X69&lt;&gt;"",Worksheet!X69&lt;&gt;0),Worksheet!X69&amp;"",IF(AND(Worksheet!Z69&lt;&gt;"",Worksheet!Z69&lt;&gt;0),Worksheet!Z69&amp;"","")))</f>
        <v/>
      </c>
      <c r="M69" t="str">
        <f>IF(Worksheet!AE69="","",Worksheet!AE69)</f>
        <v>https://app.twizzit.com/public/photos/2182526/s/a821912bbd87d29337fbfbb0be2e91298bc55869.jpeg</v>
      </c>
      <c r="N69">
        <f>IF(Worksheet!AG69="","",Worksheet!AG69)</f>
        <v>706640</v>
      </c>
      <c r="O69" t="str">
        <f>IF(Worksheet!AJ69="","",Worksheet!AJ69)</f>
        <v>Zomerstage 2026 (Blankenberge)</v>
      </c>
      <c r="P69" t="str">
        <f>IF(Worksheet!AK69="","",Worksheet!AK69)</f>
        <v>Speler</v>
      </c>
    </row>
    <row r="70" spans="1:16" x14ac:dyDescent="0.25">
      <c r="A70" t="str">
        <v>Alice Cokelaere</v>
      </c>
      <c r="B70" t="str">
        <v>sofie.pattyn@telenet.be</v>
      </c>
      <c r="C70" t="str">
        <v>0477681738</v>
      </c>
      <c r="D70" t="str">
        <v/>
      </c>
      <c r="E70" s="2">
        <v>669074</v>
      </c>
      <c r="F70" t="str">
        <v>M19 A Haantjes CERTIFISC Oudenaarde</v>
      </c>
      <c r="G70" t="str">
        <v>Speler</v>
      </c>
      <c r="J70" t="str">
        <f>Worksheet!C70&amp;" "&amp;Worksheet!B70</f>
        <v>Lise Braem</v>
      </c>
      <c r="K70" t="str">
        <f>IF(Worksheet!P70&lt;&gt;"",Worksheet!P70,IF(Worksheet!R70&lt;&gt;"",Worksheet!R70,IF(Worksheet!T70&lt;&gt;"",Worksheet!T70,"")))</f>
        <v>braem.filiep@outlook.be</v>
      </c>
      <c r="L70" t="str">
        <f>IF(AND(Worksheet!V70&lt;&gt;"",Worksheet!V70&lt;&gt;0),Worksheet!V70&amp;"",IF(AND(Worksheet!X70&lt;&gt;"",Worksheet!X70&lt;&gt;0),Worksheet!X70&amp;"",IF(AND(Worksheet!Z70&lt;&gt;"",Worksheet!Z70&lt;&gt;0),Worksheet!Z70&amp;"","")))</f>
        <v/>
      </c>
      <c r="M70" t="str">
        <f>IF(Worksheet!AE70="","",Worksheet!AE70)</f>
        <v>https://app.twizzit.com/public/photos/2182526/s/a821912bbd87d29337fbfbb0be2e91298bc55869.jpeg</v>
      </c>
      <c r="N70">
        <f>IF(Worksheet!AG70="","",Worksheet!AG70)</f>
        <v>706640</v>
      </c>
      <c r="O70" t="str">
        <f>IF(Worksheet!AJ70="","",Worksheet!AJ70)</f>
        <v>M19 A Haantjes CERTIFISC Oudenaarde</v>
      </c>
      <c r="P70" t="str">
        <f>IF(Worksheet!AK70="","",Worksheet!AK70)</f>
        <v>Speler</v>
      </c>
    </row>
    <row r="71" spans="1:16" x14ac:dyDescent="0.25">
      <c r="A71" t="str">
        <v>Jules Cokelaere</v>
      </c>
      <c r="B71" t="str">
        <v/>
      </c>
      <c r="C71" t="str">
        <v>320477681738</v>
      </c>
      <c r="D71" t="str">
        <v/>
      </c>
      <c r="E71" s="2" t="str">
        <v/>
      </c>
      <c r="F71" t="str">
        <v>HSE  C Haantjes Certifisc Oudenaarde</v>
      </c>
      <c r="G71" t="str">
        <v>Speler</v>
      </c>
      <c r="J71" t="str">
        <f>Worksheet!C71&amp;" "&amp;Worksheet!B71</f>
        <v>Florean Bruyland</v>
      </c>
      <c r="K71" t="str">
        <f>IF(Worksheet!P71&lt;&gt;"",Worksheet!P71,IF(Worksheet!R71&lt;&gt;"",Worksheet!R71,IF(Worksheet!T71&lt;&gt;"",Worksheet!T71,"")))</f>
        <v/>
      </c>
      <c r="L71" t="str">
        <f>IF(AND(Worksheet!V71&lt;&gt;"",Worksheet!V71&lt;&gt;0),Worksheet!V71&amp;"",IF(AND(Worksheet!X71&lt;&gt;"",Worksheet!X71&lt;&gt;0),Worksheet!X71&amp;"",IF(AND(Worksheet!Z71&lt;&gt;"",Worksheet!Z71&lt;&gt;0),Worksheet!Z71&amp;"","")))</f>
        <v>0476263407</v>
      </c>
      <c r="M71" t="str">
        <f>IF(Worksheet!AE71="","",Worksheet!AE71)</f>
        <v>https://app.twizzit.com/public/photos/2182531/s/a96a35504a45f2aa6d5205a67f03e56978acf0e6.png</v>
      </c>
      <c r="N71">
        <f>IF(Worksheet!AG71="","",Worksheet!AG71)</f>
        <v>733505</v>
      </c>
      <c r="O71" t="str">
        <f>IF(Worksheet!AJ71="","",Worksheet!AJ71)</f>
        <v/>
      </c>
      <c r="P71" t="str">
        <f>IF(Worksheet!AK71="","",Worksheet!AK71)</f>
        <v/>
      </c>
    </row>
    <row r="72" spans="1:16" x14ac:dyDescent="0.25">
      <c r="A72" t="str">
        <v>Nand Colpaert</v>
      </c>
      <c r="B72" t="str">
        <v>stijn.colpaert@telenet.be</v>
      </c>
      <c r="C72" t="str">
        <v>0497216213</v>
      </c>
      <c r="D72" t="str">
        <v/>
      </c>
      <c r="E72" s="2" t="str">
        <v/>
      </c>
      <c r="F72" t="str">
        <v>G10 Geel HAANTJES CERTIFISC OUDENAARDE</v>
      </c>
      <c r="G72" t="str">
        <v>Speler</v>
      </c>
      <c r="J72" t="str">
        <f>Worksheet!C72&amp;" "&amp;Worksheet!B72</f>
        <v>Kobe Bruyneel</v>
      </c>
      <c r="K72" t="str">
        <f>IF(Worksheet!P72&lt;&gt;"",Worksheet!P72,IF(Worksheet!R72&lt;&gt;"",Worksheet!R72,IF(Worksheet!T72&lt;&gt;"",Worksheet!T72,"")))</f>
        <v>brambruyneel@gmail.com</v>
      </c>
      <c r="L72" t="str">
        <f>IF(AND(Worksheet!V72&lt;&gt;"",Worksheet!V72&lt;&gt;0),Worksheet!V72&amp;"",IF(AND(Worksheet!X72&lt;&gt;"",Worksheet!X72&lt;&gt;0),Worksheet!X72&amp;"",IF(AND(Worksheet!Z72&lt;&gt;"",Worksheet!Z72&lt;&gt;0),Worksheet!Z72&amp;"","")))</f>
        <v>0494037946</v>
      </c>
      <c r="M72" t="str">
        <f>IF(Worksheet!AE72="","",Worksheet!AE72)</f>
        <v/>
      </c>
      <c r="N72">
        <f>IF(Worksheet!AG72="","",Worksheet!AG72)</f>
        <v>758520</v>
      </c>
      <c r="O72" t="str">
        <f>IF(Worksheet!AJ72="","",Worksheet!AJ72)</f>
        <v/>
      </c>
      <c r="P72" t="str">
        <f>IF(Worksheet!AK72="","",Worksheet!AK72)</f>
        <v/>
      </c>
    </row>
    <row r="73" spans="1:16" x14ac:dyDescent="0.25">
      <c r="A73" t="str">
        <v>Luka Coryn</v>
      </c>
      <c r="B73" t="str">
        <v>michael.coryn@telenet.be</v>
      </c>
      <c r="C73" t="str">
        <v>0471737015</v>
      </c>
      <c r="D73" t="str">
        <v/>
      </c>
      <c r="E73" s="2">
        <v>724313</v>
      </c>
      <c r="F73" t="str">
        <v>J21 A HAANTJES CERTIFISC OUDENAARDE</v>
      </c>
      <c r="G73" t="str">
        <v>Speler</v>
      </c>
      <c r="J73" t="str">
        <f>Worksheet!C73&amp;" "&amp;Worksheet!B73</f>
        <v>Aishatu Lieve Buadee</v>
      </c>
      <c r="K73" t="str">
        <f>IF(Worksheet!P73&lt;&gt;"",Worksheet!P73,IF(Worksheet!R73&lt;&gt;"",Worksheet!R73,IF(Worksheet!T73&lt;&gt;"",Worksheet!T73,"")))</f>
        <v/>
      </c>
      <c r="L73" t="str">
        <f>IF(AND(Worksheet!V73&lt;&gt;"",Worksheet!V73&lt;&gt;0),Worksheet!V73&amp;"",IF(AND(Worksheet!X73&lt;&gt;"",Worksheet!X73&lt;&gt;0),Worksheet!X73&amp;"",IF(AND(Worksheet!Z73&lt;&gt;"",Worksheet!Z73&lt;&gt;0),Worksheet!Z73&amp;"","")))</f>
        <v>0496745543</v>
      </c>
      <c r="M73" t="str">
        <f>IF(Worksheet!AE73="","",Worksheet!AE73)</f>
        <v/>
      </c>
      <c r="N73" t="str">
        <f>IF(Worksheet!AG73="","",Worksheet!AG73)</f>
        <v/>
      </c>
      <c r="O73" t="str">
        <f>IF(Worksheet!AJ73="","",Worksheet!AJ73)</f>
        <v>DSE A Haantjes Certifisc Oudenaarde</v>
      </c>
      <c r="P73" t="str">
        <f>IF(Worksheet!AK73="","",Worksheet!AK73)</f>
        <v>Speler</v>
      </c>
    </row>
    <row r="74" spans="1:16" x14ac:dyDescent="0.25">
      <c r="A74" t="str">
        <v>Niklas Creteur</v>
      </c>
      <c r="B74" t="str">
        <v/>
      </c>
      <c r="C74" t="str">
        <v>496211659</v>
      </c>
      <c r="D74" t="str">
        <v/>
      </c>
      <c r="E74" s="2">
        <v>734418</v>
      </c>
      <c r="F74" t="str">
        <v>G14 B Haantjes CERTIFISC Oudenaarde</v>
      </c>
      <c r="G74" t="str">
        <v>Speler</v>
      </c>
      <c r="J74" t="str">
        <f>Worksheet!C74&amp;" "&amp;Worksheet!B74</f>
        <v>Eva Buckens</v>
      </c>
      <c r="K74" t="str">
        <f>IF(Worksheet!P74&lt;&gt;"",Worksheet!P74,IF(Worksheet!R74&lt;&gt;"",Worksheet!R74,IF(Worksheet!T74&lt;&gt;"",Worksheet!T74,"")))</f>
        <v/>
      </c>
      <c r="L74" t="str">
        <f>IF(AND(Worksheet!V74&lt;&gt;"",Worksheet!V74&lt;&gt;0),Worksheet!V74&amp;"",IF(AND(Worksheet!X74&lt;&gt;"",Worksheet!X74&lt;&gt;0),Worksheet!X74&amp;"",IF(AND(Worksheet!Z74&lt;&gt;"",Worksheet!Z74&lt;&gt;0),Worksheet!Z74&amp;"","")))</f>
        <v/>
      </c>
      <c r="M74" t="str">
        <f>IF(Worksheet!AE74="","",Worksheet!AE74)</f>
        <v/>
      </c>
      <c r="N74" t="str">
        <f>IF(Worksheet!AG74="","",Worksheet!AG74)</f>
        <v/>
      </c>
      <c r="O74" t="str">
        <f>IF(Worksheet!AJ74="","",Worksheet!AJ74)</f>
        <v/>
      </c>
      <c r="P74" t="str">
        <f>IF(Worksheet!AK74="","",Worksheet!AK74)</f>
        <v/>
      </c>
    </row>
    <row r="75" spans="1:16" x14ac:dyDescent="0.25">
      <c r="A75" t="str">
        <v>Tanguy Creteur</v>
      </c>
      <c r="B75" t="str">
        <v>david@credelec.be</v>
      </c>
      <c r="C75" t="str">
        <v>0470535338</v>
      </c>
      <c r="D75" t="str">
        <v/>
      </c>
      <c r="E75" s="2">
        <v>737982</v>
      </c>
      <c r="F75" t="str">
        <v>J21 A HAANTJES CERTIFISC OUDENAARDE</v>
      </c>
      <c r="G75" t="str">
        <v>Speler</v>
      </c>
      <c r="J75" t="str">
        <f>Worksheet!C75&amp;" "&amp;Worksheet!B75</f>
        <v>Matisse Buda Meirlaen</v>
      </c>
      <c r="K75" t="str">
        <f>IF(Worksheet!P75&lt;&gt;"",Worksheet!P75,IF(Worksheet!R75&lt;&gt;"",Worksheet!R75,IF(Worksheet!T75&lt;&gt;"",Worksheet!T75,"")))</f>
        <v/>
      </c>
      <c r="L75" t="str">
        <f>IF(AND(Worksheet!V75&lt;&gt;"",Worksheet!V75&lt;&gt;0),Worksheet!V75&amp;"",IF(AND(Worksheet!X75&lt;&gt;"",Worksheet!X75&lt;&gt;0),Worksheet!X75&amp;"",IF(AND(Worksheet!Z75&lt;&gt;"",Worksheet!Z75&lt;&gt;0),Worksheet!Z75&amp;"","")))</f>
        <v>0477658556</v>
      </c>
      <c r="M75" t="str">
        <f>IF(Worksheet!AE75="","",Worksheet!AE75)</f>
        <v>https://app.twizzit.com/public/photos/7666112/s/28beee7a2b02560648d49ec2140a1cc079666b2a.png</v>
      </c>
      <c r="N75" t="str">
        <f>IF(Worksheet!AG75="","",Worksheet!AG75)</f>
        <v/>
      </c>
      <c r="O75" t="str">
        <f>IF(Worksheet!AJ75="","",Worksheet!AJ75)</f>
        <v>G14 B Haantjes CERTIFISC Oudenaarde</v>
      </c>
      <c r="P75" t="str">
        <f>IF(Worksheet!AK75="","",Worksheet!AK75)</f>
        <v>Speler</v>
      </c>
    </row>
    <row r="76" spans="1:16" x14ac:dyDescent="0.25">
      <c r="A76" t="str">
        <v>Arthur Crombez</v>
      </c>
      <c r="B76" t="str">
        <v/>
      </c>
      <c r="C76" t="str">
        <v>0478792675</v>
      </c>
      <c r="D76" t="str">
        <v>https://app.twizzit.com/public/photos/7501921/s/cda3c2c21188914d3908db110c011be3c8f5a13d.png</v>
      </c>
      <c r="E76" s="2" t="str">
        <v/>
      </c>
      <c r="F76" t="str">
        <v>G10 Blauw HAANTJES CERTIFISC OUDENAARDE</v>
      </c>
      <c r="G76" t="str">
        <v>Speler</v>
      </c>
      <c r="J76" t="str">
        <f>Worksheet!C76&amp;" "&amp;Worksheet!B76</f>
        <v>Dylann Bufkens</v>
      </c>
      <c r="K76" t="str">
        <f>IF(Worksheet!P76&lt;&gt;"",Worksheet!P76,IF(Worksheet!R76&lt;&gt;"",Worksheet!R76,IF(Worksheet!T76&lt;&gt;"",Worksheet!T76,"")))</f>
        <v/>
      </c>
      <c r="L76" t="str">
        <f>IF(AND(Worksheet!V76&lt;&gt;"",Worksheet!V76&lt;&gt;0),Worksheet!V76&amp;"",IF(AND(Worksheet!X76&lt;&gt;"",Worksheet!X76&lt;&gt;0),Worksheet!X76&amp;"",IF(AND(Worksheet!Z76&lt;&gt;"",Worksheet!Z76&lt;&gt;0),Worksheet!Z76&amp;"","")))</f>
        <v>0493561486</v>
      </c>
      <c r="M76" t="str">
        <f>IF(Worksheet!AE76="","",Worksheet!AE76)</f>
        <v/>
      </c>
      <c r="N76">
        <f>IF(Worksheet!AG76="","",Worksheet!AG76)</f>
        <v>638804</v>
      </c>
      <c r="O76" t="str">
        <f>IF(Worksheet!AJ76="","",Worksheet!AJ76)</f>
        <v>J18 B Haantjes CERTIFISC Oudenaarde</v>
      </c>
      <c r="P76" t="str">
        <f>IF(Worksheet!AK76="","",Worksheet!AK76)</f>
        <v>Coach</v>
      </c>
    </row>
    <row r="77" spans="1:16" x14ac:dyDescent="0.25">
      <c r="A77" t="str">
        <v>Ella-Marie Crombez</v>
      </c>
      <c r="B77" t="str">
        <v>Tom.crombez@gmail.com</v>
      </c>
      <c r="C77" t="str">
        <v>00478792675</v>
      </c>
      <c r="D77" t="str">
        <v/>
      </c>
      <c r="E77" s="2" t="str">
        <v/>
      </c>
      <c r="F77" t="str">
        <v>M14 A Haantjes CERTIFISC  Oudenaarde</v>
      </c>
      <c r="G77" t="str">
        <v>Speler</v>
      </c>
      <c r="J77" t="str">
        <f>Worksheet!C77&amp;" "&amp;Worksheet!B77</f>
        <v>Dylann Bufkens</v>
      </c>
      <c r="K77" t="str">
        <f>IF(Worksheet!P77&lt;&gt;"",Worksheet!P77,IF(Worksheet!R77&lt;&gt;"",Worksheet!R77,IF(Worksheet!T77&lt;&gt;"",Worksheet!T77,"")))</f>
        <v/>
      </c>
      <c r="L77" t="str">
        <f>IF(AND(Worksheet!V77&lt;&gt;"",Worksheet!V77&lt;&gt;0),Worksheet!V77&amp;"",IF(AND(Worksheet!X77&lt;&gt;"",Worksheet!X77&lt;&gt;0),Worksheet!X77&amp;"",IF(AND(Worksheet!Z77&lt;&gt;"",Worksheet!Z77&lt;&gt;0),Worksheet!Z77&amp;"","")))</f>
        <v>0493561486</v>
      </c>
      <c r="M77" t="str">
        <f>IF(Worksheet!AE77="","",Worksheet!AE77)</f>
        <v/>
      </c>
      <c r="N77">
        <f>IF(Worksheet!AG77="","",Worksheet!AG77)</f>
        <v>638804</v>
      </c>
      <c r="O77" t="str">
        <f>IF(Worksheet!AJ77="","",Worksheet!AJ77)</f>
        <v>HSE B Haantjes Certifisc Oudenaarde</v>
      </c>
      <c r="P77" t="str">
        <f>IF(Worksheet!AK77="","",Worksheet!AK77)</f>
        <v>Speler</v>
      </c>
    </row>
    <row r="78" spans="1:16" x14ac:dyDescent="0.25">
      <c r="A78" t="str">
        <v>Mathis Cromheeke</v>
      </c>
      <c r="B78" t="str">
        <v/>
      </c>
      <c r="C78" t="str">
        <v/>
      </c>
      <c r="D78" t="str">
        <v/>
      </c>
      <c r="E78" s="2">
        <v>715872</v>
      </c>
      <c r="F78" t="str">
        <v>J18 B Haantjes CERTIFISC Oudenaarde</v>
      </c>
      <c r="G78" t="str">
        <v>Speler</v>
      </c>
      <c r="J78" t="str">
        <f>Worksheet!C78&amp;" "&amp;Worksheet!B78</f>
        <v>Liam Bufkens</v>
      </c>
      <c r="K78" t="str">
        <f>IF(Worksheet!P78&lt;&gt;"",Worksheet!P78,IF(Worksheet!R78&lt;&gt;"",Worksheet!R78,IF(Worksheet!T78&lt;&gt;"",Worksheet!T78,"")))</f>
        <v>vanbael_ijlie@hotmail.com</v>
      </c>
      <c r="L78" t="str">
        <f>IF(AND(Worksheet!V78&lt;&gt;"",Worksheet!V78&lt;&gt;0),Worksheet!V78&amp;"",IF(AND(Worksheet!X78&lt;&gt;"",Worksheet!X78&lt;&gt;0),Worksheet!X78&amp;"",IF(AND(Worksheet!Z78&lt;&gt;"",Worksheet!Z78&lt;&gt;0),Worksheet!Z78&amp;"","")))</f>
        <v/>
      </c>
      <c r="M78" t="str">
        <f>IF(Worksheet!AE78="","",Worksheet!AE78)</f>
        <v/>
      </c>
      <c r="N78">
        <f>IF(Worksheet!AG78="","",Worksheet!AG78)</f>
        <v>740183</v>
      </c>
      <c r="O78" t="str">
        <f>IF(Worksheet!AJ78="","",Worksheet!AJ78)</f>
        <v>J16 A Haantjes CERTIFISC Oudenaarde</v>
      </c>
      <c r="P78" t="str">
        <f>IF(Worksheet!AK78="","",Worksheet!AK78)</f>
        <v>Speler</v>
      </c>
    </row>
    <row r="79" spans="1:16" x14ac:dyDescent="0.25">
      <c r="A79" t="str">
        <v>Sofian D'Haenen</v>
      </c>
      <c r="B79" t="str">
        <v/>
      </c>
      <c r="C79" t="str">
        <v/>
      </c>
      <c r="D79" t="str">
        <v/>
      </c>
      <c r="E79" s="2" t="str">
        <v/>
      </c>
      <c r="F79" t="str">
        <v>J18 A Haantjes CERTIFISC Oudenaarde</v>
      </c>
      <c r="G79" t="str">
        <v>Speler</v>
      </c>
      <c r="J79" t="str">
        <f>Worksheet!C79&amp;" "&amp;Worksheet!B79</f>
        <v>Iris Calewaert</v>
      </c>
      <c r="K79" t="str">
        <f>IF(Worksheet!P79&lt;&gt;"",Worksheet!P79,IF(Worksheet!R79&lt;&gt;"",Worksheet!R79,IF(Worksheet!T79&lt;&gt;"",Worksheet!T79,"")))</f>
        <v/>
      </c>
      <c r="L79" t="str">
        <f>IF(AND(Worksheet!V79&lt;&gt;"",Worksheet!V79&lt;&gt;0),Worksheet!V79&amp;"",IF(AND(Worksheet!X79&lt;&gt;"",Worksheet!X79&lt;&gt;0),Worksheet!X79&amp;"",IF(AND(Worksheet!Z79&lt;&gt;"",Worksheet!Z79&lt;&gt;0),Worksheet!Z79&amp;"","")))</f>
        <v/>
      </c>
      <c r="M79" t="str">
        <f>IF(Worksheet!AE79="","",Worksheet!AE79)</f>
        <v/>
      </c>
      <c r="N79">
        <f>IF(Worksheet!AG79="","",Worksheet!AG79)</f>
        <v>622248</v>
      </c>
      <c r="O79" t="str">
        <f>IF(Worksheet!AJ79="","",Worksheet!AJ79)</f>
        <v>DSE A Haantjes Certifisc Oudenaarde</v>
      </c>
      <c r="P79" t="str">
        <f>IF(Worksheet!AK79="","",Worksheet!AK79)</f>
        <v>Speler</v>
      </c>
    </row>
    <row r="80" spans="1:16" x14ac:dyDescent="0.25">
      <c r="A80" t="str">
        <v>Sofian D'Haenen</v>
      </c>
      <c r="B80" t="str">
        <v/>
      </c>
      <c r="C80" t="str">
        <v/>
      </c>
      <c r="D80" t="str">
        <v/>
      </c>
      <c r="E80" s="2" t="str">
        <v/>
      </c>
      <c r="F80" t="str">
        <v>Zomerstage 2026 (Blankenberge)</v>
      </c>
      <c r="G80" t="str">
        <v>Speler</v>
      </c>
      <c r="J80" t="str">
        <f>Worksheet!C80&amp;" "&amp;Worksheet!B80</f>
        <v>Iris Calewaert</v>
      </c>
      <c r="K80" t="str">
        <f>IF(Worksheet!P80&lt;&gt;"",Worksheet!P80,IF(Worksheet!R80&lt;&gt;"",Worksheet!R80,IF(Worksheet!T80&lt;&gt;"",Worksheet!T80,"")))</f>
        <v/>
      </c>
      <c r="L80" t="str">
        <f>IF(AND(Worksheet!V80&lt;&gt;"",Worksheet!V80&lt;&gt;0),Worksheet!V80&amp;"",IF(AND(Worksheet!X80&lt;&gt;"",Worksheet!X80&lt;&gt;0),Worksheet!X80&amp;"",IF(AND(Worksheet!Z80&lt;&gt;"",Worksheet!Z80&lt;&gt;0),Worksheet!Z80&amp;"","")))</f>
        <v/>
      </c>
      <c r="M80" t="str">
        <f>IF(Worksheet!AE80="","",Worksheet!AE80)</f>
        <v/>
      </c>
      <c r="N80">
        <f>IF(Worksheet!AG80="","",Worksheet!AG80)</f>
        <v>622248</v>
      </c>
      <c r="O80" t="str">
        <f>IF(Worksheet!AJ80="","",Worksheet!AJ80)</f>
        <v>M12 A HAANTJES CERTIFISC OUDENAARDE</v>
      </c>
      <c r="P80" t="str">
        <f>IF(Worksheet!AK80="","",Worksheet!AK80)</f>
        <v>Coach</v>
      </c>
    </row>
    <row r="81" spans="1:16" x14ac:dyDescent="0.25">
      <c r="A81" t="str">
        <v>Sofian D'Haenen</v>
      </c>
      <c r="B81" t="str">
        <v/>
      </c>
      <c r="C81" t="str">
        <v/>
      </c>
      <c r="D81" t="str">
        <v/>
      </c>
      <c r="E81" s="2" t="str">
        <v/>
      </c>
      <c r="F81" t="str">
        <v>HSE B Haantjes Certifisc Oudenaarde</v>
      </c>
      <c r="G81" t="str">
        <v>Speler</v>
      </c>
      <c r="J81" t="str">
        <f>Worksheet!C81&amp;" "&amp;Worksheet!B81</f>
        <v>Louise Callens</v>
      </c>
      <c r="K81" t="str">
        <f>IF(Worksheet!P81&lt;&gt;"",Worksheet!P81,IF(Worksheet!R81&lt;&gt;"",Worksheet!R81,IF(Worksheet!T81&lt;&gt;"",Worksheet!T81,"")))</f>
        <v>koencallens@msn.com</v>
      </c>
      <c r="L81" t="str">
        <f>IF(AND(Worksheet!V81&lt;&gt;"",Worksheet!V81&lt;&gt;0),Worksheet!V81&amp;"",IF(AND(Worksheet!X81&lt;&gt;"",Worksheet!X81&lt;&gt;0),Worksheet!X81&amp;"",IF(AND(Worksheet!Z81&lt;&gt;"",Worksheet!Z81&lt;&gt;0),Worksheet!Z81&amp;"","")))</f>
        <v>0478885199</v>
      </c>
      <c r="M81" t="str">
        <f>IF(Worksheet!AE81="","",Worksheet!AE81)</f>
        <v/>
      </c>
      <c r="N81" t="str">
        <f>IF(Worksheet!AG81="","",Worksheet!AG81)</f>
        <v/>
      </c>
      <c r="O81" t="str">
        <f>IF(Worksheet!AJ81="","",Worksheet!AJ81)</f>
        <v/>
      </c>
      <c r="P81" t="str">
        <f>IF(Worksheet!AK81="","",Worksheet!AK81)</f>
        <v/>
      </c>
    </row>
    <row r="82" spans="1:16" x14ac:dyDescent="0.25">
      <c r="A82" t="str">
        <v>Yunus D'Haenen</v>
      </c>
      <c r="B82" t="str">
        <v/>
      </c>
      <c r="C82" t="str">
        <v/>
      </c>
      <c r="D82" t="str">
        <v/>
      </c>
      <c r="E82" s="2" t="str">
        <v/>
      </c>
      <c r="F82" t="str">
        <v>J18 A Haantjes CERTIFISC Oudenaarde</v>
      </c>
      <c r="G82" t="str">
        <v>Speler</v>
      </c>
      <c r="J82" t="str">
        <f>Worksheet!C82&amp;" "&amp;Worksheet!B82</f>
        <v>Gabriël Camua</v>
      </c>
      <c r="K82" t="str">
        <f>IF(Worksheet!P82&lt;&gt;"",Worksheet!P82,IF(Worksheet!R82&lt;&gt;"",Worksheet!R82,IF(Worksheet!T82&lt;&gt;"",Worksheet!T82,"")))</f>
        <v/>
      </c>
      <c r="L82" t="str">
        <f>IF(AND(Worksheet!V82&lt;&gt;"",Worksheet!V82&lt;&gt;0),Worksheet!V82&amp;"",IF(AND(Worksheet!X82&lt;&gt;"",Worksheet!X82&lt;&gt;0),Worksheet!X82&amp;"",IF(AND(Worksheet!Z82&lt;&gt;"",Worksheet!Z82&lt;&gt;0),Worksheet!Z82&amp;"","")))</f>
        <v>475821346</v>
      </c>
      <c r="M82" t="str">
        <f>IF(Worksheet!AE82="","",Worksheet!AE82)</f>
        <v/>
      </c>
      <c r="N82" t="str">
        <f>IF(Worksheet!AG82="","",Worksheet!AG82)</f>
        <v/>
      </c>
      <c r="O82" t="str">
        <f>IF(Worksheet!AJ82="","",Worksheet!AJ82)</f>
        <v/>
      </c>
      <c r="P82" t="str">
        <f>IF(Worksheet!AK82="","",Worksheet!AK82)</f>
        <v/>
      </c>
    </row>
    <row r="83" spans="1:16" x14ac:dyDescent="0.25">
      <c r="A83" t="str">
        <v>Yunus D'Haenen</v>
      </c>
      <c r="B83" t="str">
        <v/>
      </c>
      <c r="C83" t="str">
        <v/>
      </c>
      <c r="D83" t="str">
        <v/>
      </c>
      <c r="E83" s="2" t="str">
        <v/>
      </c>
      <c r="F83" t="str">
        <v>Zomerstage 2026 (Blankenberge)</v>
      </c>
      <c r="G83" t="str">
        <v>Speler</v>
      </c>
      <c r="J83" t="str">
        <f>Worksheet!C83&amp;" "&amp;Worksheet!B83</f>
        <v>Thomas Cardon</v>
      </c>
      <c r="K83" t="str">
        <f>IF(Worksheet!P83&lt;&gt;"",Worksheet!P83,IF(Worksheet!R83&lt;&gt;"",Worksheet!R83,IF(Worksheet!T83&lt;&gt;"",Worksheet!T83,"")))</f>
        <v/>
      </c>
      <c r="L83" t="str">
        <f>IF(AND(Worksheet!V83&lt;&gt;"",Worksheet!V83&lt;&gt;0),Worksheet!V83&amp;"",IF(AND(Worksheet!X83&lt;&gt;"",Worksheet!X83&lt;&gt;0),Worksheet!X83&amp;"",IF(AND(Worksheet!Z83&lt;&gt;"",Worksheet!Z83&lt;&gt;0),Worksheet!Z83&amp;"","")))</f>
        <v/>
      </c>
      <c r="M83" t="str">
        <f>IF(Worksheet!AE83="","",Worksheet!AE83)</f>
        <v>https://app.twizzit.com/public/photos/2182541/s/ad278a1858d3fc927675b6581e22f467523759f0.png</v>
      </c>
      <c r="N83">
        <f>IF(Worksheet!AG83="","",Worksheet!AG83)</f>
        <v>726667</v>
      </c>
      <c r="O83" t="str">
        <f>IF(Worksheet!AJ83="","",Worksheet!AJ83)</f>
        <v/>
      </c>
      <c r="P83" t="str">
        <f>IF(Worksheet!AK83="","",Worksheet!AK83)</f>
        <v/>
      </c>
    </row>
    <row r="84" spans="1:16" x14ac:dyDescent="0.25">
      <c r="A84" t="str">
        <v>Karen Dans</v>
      </c>
      <c r="B84" t="str">
        <v/>
      </c>
      <c r="C84" t="str">
        <v>320494698322</v>
      </c>
      <c r="D84" t="str">
        <v>https://app.twizzit.com/public/photos/2182586/s/3c061ecaa7eb60b4e8b27f2490fa3fff24778b0c.png</v>
      </c>
      <c r="E84" s="2">
        <v>220520</v>
      </c>
      <c r="F84" t="str">
        <v>DSE A Haantjes Certifisc Oudenaarde</v>
      </c>
      <c r="G84" t="str">
        <v>Speler</v>
      </c>
      <c r="J84" t="str">
        <f>Worksheet!C84&amp;" "&amp;Worksheet!B84</f>
        <v>Cézan Castelain</v>
      </c>
      <c r="K84" t="str">
        <f>IF(Worksheet!P84&lt;&gt;"",Worksheet!P84,IF(Worksheet!R84&lt;&gt;"",Worksheet!R84,IF(Worksheet!T84&lt;&gt;"",Worksheet!T84,"")))</f>
        <v/>
      </c>
      <c r="L84" t="str">
        <f>IF(AND(Worksheet!V84&lt;&gt;"",Worksheet!V84&lt;&gt;0),Worksheet!V84&amp;"",IF(AND(Worksheet!X84&lt;&gt;"",Worksheet!X84&lt;&gt;0),Worksheet!X84&amp;"",IF(AND(Worksheet!Z84&lt;&gt;"",Worksheet!Z84&lt;&gt;0),Worksheet!Z84&amp;"","")))</f>
        <v>0499418414</v>
      </c>
      <c r="M84" t="str">
        <f>IF(Worksheet!AE84="","",Worksheet!AE84)</f>
        <v/>
      </c>
      <c r="N84">
        <f>IF(Worksheet!AG84="","",Worksheet!AG84)</f>
        <v>739375</v>
      </c>
      <c r="O84" t="str">
        <f>IF(Worksheet!AJ84="","",Worksheet!AJ84)</f>
        <v/>
      </c>
      <c r="P84" t="str">
        <f>IF(Worksheet!AK84="","",Worksheet!AK84)</f>
        <v/>
      </c>
    </row>
    <row r="85" spans="1:16" x14ac:dyDescent="0.25">
      <c r="A85" t="str">
        <v>Karen Dans</v>
      </c>
      <c r="B85" t="str">
        <v/>
      </c>
      <c r="C85" t="str">
        <v>320494698322</v>
      </c>
      <c r="D85" t="str">
        <v>https://app.twizzit.com/public/photos/2182586/s/3c061ecaa7eb60b4e8b27f2490fa3fff24778b0c.png</v>
      </c>
      <c r="E85" s="2">
        <v>220520</v>
      </c>
      <c r="F85" t="str">
        <v>M10 HAANTJES CERTIFISC OUDENAARDE</v>
      </c>
      <c r="G85" t="str">
        <v>Coach</v>
      </c>
      <c r="J85" t="str">
        <f>Worksheet!C85&amp;" "&amp;Worksheet!B85</f>
        <v>Feliz Castelain</v>
      </c>
      <c r="K85" t="str">
        <f>IF(Worksheet!P85&lt;&gt;"",Worksheet!P85,IF(Worksheet!R85&lt;&gt;"",Worksheet!R85,IF(Worksheet!T85&lt;&gt;"",Worksheet!T85,"")))</f>
        <v/>
      </c>
      <c r="L85" t="str">
        <f>IF(AND(Worksheet!V85&lt;&gt;"",Worksheet!V85&lt;&gt;0),Worksheet!V85&amp;"",IF(AND(Worksheet!X85&lt;&gt;"",Worksheet!X85&lt;&gt;0),Worksheet!X85&amp;"",IF(AND(Worksheet!Z85&lt;&gt;"",Worksheet!Z85&lt;&gt;0),Worksheet!Z85&amp;"","")))</f>
        <v>0499418414</v>
      </c>
      <c r="M85" t="str">
        <f>IF(Worksheet!AE85="","",Worksheet!AE85)</f>
        <v>https://app.twizzit.com/public/photos/2182546/s/9bde50d70ec897c3545fc312ea9113a20df6bb57.jpeg</v>
      </c>
      <c r="N85">
        <f>IF(Worksheet!AG85="","",Worksheet!AG85)</f>
        <v>730457</v>
      </c>
      <c r="O85" t="str">
        <f>IF(Worksheet!AJ85="","",Worksheet!AJ85)</f>
        <v/>
      </c>
      <c r="P85" t="str">
        <f>IF(Worksheet!AK85="","",Worksheet!AK85)</f>
        <v/>
      </c>
    </row>
    <row r="86" spans="1:16" x14ac:dyDescent="0.25">
      <c r="A86" t="str">
        <v>Mauro Darragas</v>
      </c>
      <c r="B86" t="str">
        <v>Ben_darragas@hotmail.com</v>
      </c>
      <c r="C86" t="str">
        <v>473806201</v>
      </c>
      <c r="D86" t="str">
        <v/>
      </c>
      <c r="E86" s="2" t="str">
        <v/>
      </c>
      <c r="F86" t="str">
        <v>G14 B Haantjes CERTIFISC Oudenaarde</v>
      </c>
      <c r="G86" t="str">
        <v>Speler</v>
      </c>
      <c r="J86" t="str">
        <f>Worksheet!C86&amp;" "&amp;Worksheet!B86</f>
        <v>Jonas Castelain</v>
      </c>
      <c r="K86" t="str">
        <f>IF(Worksheet!P86&lt;&gt;"",Worksheet!P86,IF(Worksheet!R86&lt;&gt;"",Worksheet!R86,IF(Worksheet!T86&lt;&gt;"",Worksheet!T86,"")))</f>
        <v/>
      </c>
      <c r="L86" t="str">
        <f>IF(AND(Worksheet!V86&lt;&gt;"",Worksheet!V86&lt;&gt;0),Worksheet!V86&amp;"",IF(AND(Worksheet!X86&lt;&gt;"",Worksheet!X86&lt;&gt;0),Worksheet!X86&amp;"",IF(AND(Worksheet!Z86&lt;&gt;"",Worksheet!Z86&lt;&gt;0),Worksheet!Z86&amp;"","")))</f>
        <v>32495228616</v>
      </c>
      <c r="M86" t="str">
        <f>IF(Worksheet!AE86="","",Worksheet!AE86)</f>
        <v>https://app.twizzit.com/public/photos/4076852/s/61b60ceb37e0ad4e63ab95460de787c3e165b233.png</v>
      </c>
      <c r="N86">
        <f>IF(Worksheet!AG86="","",Worksheet!AG86)</f>
        <v>222444</v>
      </c>
      <c r="O86" t="str">
        <f>IF(Worksheet!AJ86="","",Worksheet!AJ86)</f>
        <v/>
      </c>
      <c r="P86" t="str">
        <f>IF(Worksheet!AK86="","",Worksheet!AK86)</f>
        <v/>
      </c>
    </row>
    <row r="87" spans="1:16" x14ac:dyDescent="0.25">
      <c r="A87" t="str">
        <v>Pip Dawyndt</v>
      </c>
      <c r="B87" t="str">
        <v/>
      </c>
      <c r="C87" t="str">
        <v>0473746819</v>
      </c>
      <c r="D87" t="str">
        <v/>
      </c>
      <c r="E87" s="2">
        <v>745355</v>
      </c>
      <c r="F87" t="str">
        <v>M16 A Haantjes CERTIFISC  Oudenaarde</v>
      </c>
      <c r="G87" t="str">
        <v>Speler</v>
      </c>
      <c r="J87" t="str">
        <f>Worksheet!C87&amp;" "&amp;Worksheet!B87</f>
        <v>Leon Castelain</v>
      </c>
      <c r="K87" t="str">
        <f>IF(Worksheet!P87&lt;&gt;"",Worksheet!P87,IF(Worksheet!R87&lt;&gt;"",Worksheet!R87,IF(Worksheet!T87&lt;&gt;"",Worksheet!T87,"")))</f>
        <v/>
      </c>
      <c r="L87" t="str">
        <f>IF(AND(Worksheet!V87&lt;&gt;"",Worksheet!V87&lt;&gt;0),Worksheet!V87&amp;"",IF(AND(Worksheet!X87&lt;&gt;"",Worksheet!X87&lt;&gt;0),Worksheet!X87&amp;"",IF(AND(Worksheet!Z87&lt;&gt;"",Worksheet!Z87&lt;&gt;0),Worksheet!Z87&amp;"","")))</f>
        <v>32495228616</v>
      </c>
      <c r="M87" t="str">
        <f>IF(Worksheet!AE87="","",Worksheet!AE87)</f>
        <v>https://app.twizzit.com/public/photos/3486565/s/dbc5287e080bfa9acd16205b0ef6339800e0ffb6.png</v>
      </c>
      <c r="N87" t="str">
        <f>IF(Worksheet!AG87="","",Worksheet!AG87)</f>
        <v xml:space="preserve">762623 </v>
      </c>
      <c r="O87" t="str">
        <f>IF(Worksheet!AJ87="","",Worksheet!AJ87)</f>
        <v>G10 Geel HAANTJES CERTIFISC OUDENAARDE</v>
      </c>
      <c r="P87" t="str">
        <f>IF(Worksheet!AK87="","",Worksheet!AK87)</f>
        <v>Speler</v>
      </c>
    </row>
    <row r="88" spans="1:16" x14ac:dyDescent="0.25">
      <c r="A88" t="str">
        <v>Pip Dawyndt</v>
      </c>
      <c r="B88" t="str">
        <v/>
      </c>
      <c r="C88" t="str">
        <v>0473746819</v>
      </c>
      <c r="D88" t="str">
        <v/>
      </c>
      <c r="E88" s="2">
        <v>745355</v>
      </c>
      <c r="F88" t="str">
        <v>Zomerstage 2026 (Blankenberge)</v>
      </c>
      <c r="G88" t="str">
        <v>Speler</v>
      </c>
      <c r="J88" t="str">
        <f>Worksheet!C88&amp;" "&amp;Worksheet!B88</f>
        <v>Leon Castelain</v>
      </c>
      <c r="K88" t="str">
        <f>IF(Worksheet!P88&lt;&gt;"",Worksheet!P88,IF(Worksheet!R88&lt;&gt;"",Worksheet!R88,IF(Worksheet!T88&lt;&gt;"",Worksheet!T88,"")))</f>
        <v/>
      </c>
      <c r="L88" t="str">
        <f>IF(AND(Worksheet!V88&lt;&gt;"",Worksheet!V88&lt;&gt;0),Worksheet!V88&amp;"",IF(AND(Worksheet!X88&lt;&gt;"",Worksheet!X88&lt;&gt;0),Worksheet!X88&amp;"",IF(AND(Worksheet!Z88&lt;&gt;"",Worksheet!Z88&lt;&gt;0),Worksheet!Z88&amp;"","")))</f>
        <v>32495228616</v>
      </c>
      <c r="M88" t="str">
        <f>IF(Worksheet!AE88="","",Worksheet!AE88)</f>
        <v>https://app.twizzit.com/public/photos/3486565/s/dbc5287e080bfa9acd16205b0ef6339800e0ffb6.png</v>
      </c>
      <c r="N88" t="str">
        <f>IF(Worksheet!AG88="","",Worksheet!AG88)</f>
        <v xml:space="preserve">762623 </v>
      </c>
      <c r="O88" t="str">
        <f>IF(Worksheet!AJ88="","",Worksheet!AJ88)</f>
        <v>Zomerstage 2026 U10 &amp; U12 (Oudenaarde)</v>
      </c>
      <c r="P88" t="str">
        <f>IF(Worksheet!AK88="","",Worksheet!AK88)</f>
        <v>Speler</v>
      </c>
    </row>
    <row r="89" spans="1:16" x14ac:dyDescent="0.25">
      <c r="A89" t="str">
        <v>Louis De Baere</v>
      </c>
      <c r="B89" t="str">
        <v/>
      </c>
      <c r="C89" t="str">
        <v>0491029558</v>
      </c>
      <c r="D89" t="str">
        <v/>
      </c>
      <c r="E89" s="2" t="str">
        <v/>
      </c>
      <c r="F89" t="str">
        <v>HSE  C Haantjes Certifisc Oudenaarde</v>
      </c>
      <c r="G89" t="str">
        <v>Speler</v>
      </c>
      <c r="J89" t="str">
        <f>Worksheet!C89&amp;" "&amp;Worksheet!B89</f>
        <v>Odet Castelain</v>
      </c>
      <c r="K89" t="str">
        <f>IF(Worksheet!P89&lt;&gt;"",Worksheet!P89,IF(Worksheet!R89&lt;&gt;"",Worksheet!R89,IF(Worksheet!T89&lt;&gt;"",Worksheet!T89,"")))</f>
        <v>evelyn.demesel@hotmail.be</v>
      </c>
      <c r="L89" t="str">
        <f>IF(AND(Worksheet!V89&lt;&gt;"",Worksheet!V89&lt;&gt;0),Worksheet!V89&amp;"",IF(AND(Worksheet!X89&lt;&gt;"",Worksheet!X89&lt;&gt;0),Worksheet!X89&amp;"",IF(AND(Worksheet!Z89&lt;&gt;"",Worksheet!Z89&lt;&gt;0),Worksheet!Z89&amp;"","")))</f>
        <v>32495228616</v>
      </c>
      <c r="M89" t="str">
        <f>IF(Worksheet!AE89="","",Worksheet!AE89)</f>
        <v/>
      </c>
      <c r="N89" t="str">
        <f>IF(Worksheet!AG89="","",Worksheet!AG89)</f>
        <v/>
      </c>
      <c r="O89" t="str">
        <f>IF(Worksheet!AJ89="","",Worksheet!AJ89)</f>
        <v>Balschool U6</v>
      </c>
      <c r="P89" t="str">
        <f>IF(Worksheet!AK89="","",Worksheet!AK89)</f>
        <v>Speler</v>
      </c>
    </row>
    <row r="90" spans="1:16" x14ac:dyDescent="0.25">
      <c r="A90" t="str">
        <v>David De Brabander</v>
      </c>
      <c r="B90" t="str">
        <v/>
      </c>
      <c r="C90" t="str">
        <v>0478251758</v>
      </c>
      <c r="D90" t="str">
        <v>https://app.twizzit.com/public/photos/4024795/s/7af12ff114d5d53515b4f220ddc6cdb6ff121519.png</v>
      </c>
      <c r="E90" s="2">
        <v>32746</v>
      </c>
      <c r="F90" t="str">
        <v>J21 A HAANTJES CERTIFISC OUDENAARDE</v>
      </c>
      <c r="G90" t="str">
        <v>Coach</v>
      </c>
      <c r="J90" t="str">
        <f>Worksheet!C90&amp;" "&amp;Worksheet!B90</f>
        <v>Simon Castelain</v>
      </c>
      <c r="K90" t="str">
        <f>IF(Worksheet!P90&lt;&gt;"",Worksheet!P90,IF(Worksheet!R90&lt;&gt;"",Worksheet!R90,IF(Worksheet!T90&lt;&gt;"",Worksheet!T90,"")))</f>
        <v/>
      </c>
      <c r="L90" t="str">
        <f>IF(AND(Worksheet!V90&lt;&gt;"",Worksheet!V90&lt;&gt;0),Worksheet!V90&amp;"",IF(AND(Worksheet!X90&lt;&gt;"",Worksheet!X90&lt;&gt;0),Worksheet!X90&amp;"",IF(AND(Worksheet!Z90&lt;&gt;"",Worksheet!Z90&lt;&gt;0),Worksheet!Z90&amp;"","")))</f>
        <v/>
      </c>
      <c r="M90" t="str">
        <f>IF(Worksheet!AE90="","",Worksheet!AE90)</f>
        <v/>
      </c>
      <c r="N90">
        <f>IF(Worksheet!AG90="","",Worksheet!AG90)</f>
        <v>20587</v>
      </c>
      <c r="O90" t="str">
        <f>IF(Worksheet!AJ90="","",Worksheet!AJ90)</f>
        <v/>
      </c>
      <c r="P90" t="str">
        <f>IF(Worksheet!AK90="","",Worksheet!AK90)</f>
        <v/>
      </c>
    </row>
    <row r="91" spans="1:16" x14ac:dyDescent="0.25">
      <c r="A91" t="str">
        <v>David De Brabander</v>
      </c>
      <c r="B91" t="str">
        <v/>
      </c>
      <c r="C91" t="str">
        <v>0478251758</v>
      </c>
      <c r="D91" t="str">
        <v>https://app.twizzit.com/public/photos/4024795/s/7af12ff114d5d53515b4f220ddc6cdb6ff121519.png</v>
      </c>
      <c r="E91" s="2">
        <v>32746</v>
      </c>
      <c r="F91" t="str">
        <v>Zomerstage 2026 (Blankenberge)</v>
      </c>
      <c r="G91" t="str">
        <v>Coach</v>
      </c>
      <c r="J91" t="str">
        <f>Worksheet!C91&amp;" "&amp;Worksheet!B91</f>
        <v>Bart Cattoir</v>
      </c>
      <c r="K91" t="str">
        <f>IF(Worksheet!P91&lt;&gt;"",Worksheet!P91,IF(Worksheet!R91&lt;&gt;"",Worksheet!R91,IF(Worksheet!T91&lt;&gt;"",Worksheet!T91,"")))</f>
        <v/>
      </c>
      <c r="L91" t="str">
        <f>IF(AND(Worksheet!V91&lt;&gt;"",Worksheet!V91&lt;&gt;0),Worksheet!V91&amp;"",IF(AND(Worksheet!X91&lt;&gt;"",Worksheet!X91&lt;&gt;0),Worksheet!X91&amp;"",IF(AND(Worksheet!Z91&lt;&gt;"",Worksheet!Z91&lt;&gt;0),Worksheet!Z91&amp;"","")))</f>
        <v/>
      </c>
      <c r="M91" t="str">
        <f>IF(Worksheet!AE91="","",Worksheet!AE91)</f>
        <v/>
      </c>
      <c r="N91">
        <f>IF(Worksheet!AG91="","",Worksheet!AG91)</f>
        <v>20854</v>
      </c>
      <c r="O91" t="str">
        <f>IF(Worksheet!AJ91="","",Worksheet!AJ91)</f>
        <v>DSE A Haantjes Certifisc Oudenaarde</v>
      </c>
      <c r="P91" t="str">
        <f>IF(Worksheet!AK91="","",Worksheet!AK91)</f>
        <v>Coach</v>
      </c>
    </row>
    <row r="92" spans="1:16" x14ac:dyDescent="0.25">
      <c r="A92" t="str">
        <v>David De Brabander</v>
      </c>
      <c r="B92" t="str">
        <v/>
      </c>
      <c r="C92" t="str">
        <v>0478251758</v>
      </c>
      <c r="D92" t="str">
        <v>https://app.twizzit.com/public/photos/4024795/s/7af12ff114d5d53515b4f220ddc6cdb6ff121519.png</v>
      </c>
      <c r="E92" s="2">
        <v>32746</v>
      </c>
      <c r="F92" t="str">
        <v>HSE B Haantjes Certifisc Oudenaarde</v>
      </c>
      <c r="G92" t="str">
        <v>Coach</v>
      </c>
      <c r="J92" t="str">
        <f>Worksheet!C92&amp;" "&amp;Worksheet!B92</f>
        <v>Jonah Cattoir</v>
      </c>
      <c r="K92" t="str">
        <f>IF(Worksheet!P92&lt;&gt;"",Worksheet!P92,IF(Worksheet!R92&lt;&gt;"",Worksheet!R92,IF(Worksheet!T92&lt;&gt;"",Worksheet!T92,"")))</f>
        <v/>
      </c>
      <c r="L92" t="str">
        <f>IF(AND(Worksheet!V92&lt;&gt;"",Worksheet!V92&lt;&gt;0),Worksheet!V92&amp;"",IF(AND(Worksheet!X92&lt;&gt;"",Worksheet!X92&lt;&gt;0),Worksheet!X92&amp;"",IF(AND(Worksheet!Z92&lt;&gt;"",Worksheet!Z92&lt;&gt;0),Worksheet!Z92&amp;"","")))</f>
        <v/>
      </c>
      <c r="M92" t="str">
        <f>IF(Worksheet!AE92="","",Worksheet!AE92)</f>
        <v/>
      </c>
      <c r="N92" t="str">
        <f>IF(Worksheet!AG92="","",Worksheet!AG92)</f>
        <v/>
      </c>
      <c r="O92" t="str">
        <f>IF(Worksheet!AJ92="","",Worksheet!AJ92)</f>
        <v>G08 Geel HAANTJES CERTIFISC OUDENAARDE</v>
      </c>
      <c r="P92" t="str">
        <f>IF(Worksheet!AK92="","",Worksheet!AK92)</f>
        <v>Coach</v>
      </c>
    </row>
    <row r="93" spans="1:16" x14ac:dyDescent="0.25">
      <c r="A93" t="str">
        <v>David De Brabander</v>
      </c>
      <c r="B93" t="str">
        <v/>
      </c>
      <c r="C93" t="str">
        <v>0478251758</v>
      </c>
      <c r="D93" t="str">
        <v>https://app.twizzit.com/public/photos/4024795/s/7af12ff114d5d53515b4f220ddc6cdb6ff121519.png</v>
      </c>
      <c r="E93" s="2">
        <v>32746</v>
      </c>
      <c r="F93" t="str">
        <v>J18 A Haantjes CERTIFISC Oudenaarde</v>
      </c>
      <c r="G93" t="str">
        <v>Coach</v>
      </c>
      <c r="J93" t="str">
        <f>Worksheet!C93&amp;" "&amp;Worksheet!B93</f>
        <v>Jonah Cattoir</v>
      </c>
      <c r="K93" t="str">
        <f>IF(Worksheet!P93&lt;&gt;"",Worksheet!P93,IF(Worksheet!R93&lt;&gt;"",Worksheet!R93,IF(Worksheet!T93&lt;&gt;"",Worksheet!T93,"")))</f>
        <v/>
      </c>
      <c r="L93" t="str">
        <f>IF(AND(Worksheet!V93&lt;&gt;"",Worksheet!V93&lt;&gt;0),Worksheet!V93&amp;"",IF(AND(Worksheet!X93&lt;&gt;"",Worksheet!X93&lt;&gt;0),Worksheet!X93&amp;"",IF(AND(Worksheet!Z93&lt;&gt;"",Worksheet!Z93&lt;&gt;0),Worksheet!Z93&amp;"","")))</f>
        <v/>
      </c>
      <c r="M93" t="str">
        <f>IF(Worksheet!AE93="","",Worksheet!AE93)</f>
        <v/>
      </c>
      <c r="N93" t="str">
        <f>IF(Worksheet!AG93="","",Worksheet!AG93)</f>
        <v/>
      </c>
      <c r="O93" t="str">
        <f>IF(Worksheet!AJ93="","",Worksheet!AJ93)</f>
        <v>J16 A Haantjes CERTIFISC Oudenaarde</v>
      </c>
      <c r="P93" t="str">
        <f>IF(Worksheet!AK93="","",Worksheet!AK93)</f>
        <v>Speler</v>
      </c>
    </row>
    <row r="94" spans="1:16" x14ac:dyDescent="0.25">
      <c r="A94" t="str">
        <v>Milan De Brabander</v>
      </c>
      <c r="B94" t="str">
        <v>Dorinne.reynen@gmail.com</v>
      </c>
      <c r="C94" t="str">
        <v>0473865789</v>
      </c>
      <c r="D94" t="str">
        <v>https://app.twizzit.com/public/photos/3519915/s/cb4bbdba90c700302dcd9548901e284ce021df92.jpeg</v>
      </c>
      <c r="E94" s="2">
        <v>748910</v>
      </c>
      <c r="F94" t="str">
        <v>J18 A Haantjes CERTIFISC Oudenaarde</v>
      </c>
      <c r="G94" t="str">
        <v>Speler</v>
      </c>
      <c r="J94" t="str">
        <f>Worksheet!C94&amp;" "&amp;Worksheet!B94</f>
        <v>Jonah Cattoir</v>
      </c>
      <c r="K94" t="str">
        <f>IF(Worksheet!P94&lt;&gt;"",Worksheet!P94,IF(Worksheet!R94&lt;&gt;"",Worksheet!R94,IF(Worksheet!T94&lt;&gt;"",Worksheet!T94,"")))</f>
        <v/>
      </c>
      <c r="L94" t="str">
        <f>IF(AND(Worksheet!V94&lt;&gt;"",Worksheet!V94&lt;&gt;0),Worksheet!V94&amp;"",IF(AND(Worksheet!X94&lt;&gt;"",Worksheet!X94&lt;&gt;0),Worksheet!X94&amp;"",IF(AND(Worksheet!Z94&lt;&gt;"",Worksheet!Z94&lt;&gt;0),Worksheet!Z94&amp;"","")))</f>
        <v/>
      </c>
      <c r="M94" t="str">
        <f>IF(Worksheet!AE94="","",Worksheet!AE94)</f>
        <v/>
      </c>
      <c r="N94" t="str">
        <f>IF(Worksheet!AG94="","",Worksheet!AG94)</f>
        <v/>
      </c>
      <c r="O94" t="str">
        <f>IF(Worksheet!AJ94="","",Worksheet!AJ94)</f>
        <v>Zomerstage 2026 (Blankenberge)</v>
      </c>
      <c r="P94" t="str">
        <f>IF(Worksheet!AK94="","",Worksheet!AK94)</f>
        <v>Speler</v>
      </c>
    </row>
    <row r="95" spans="1:16" x14ac:dyDescent="0.25">
      <c r="A95" t="str">
        <v>Milan De Brabander</v>
      </c>
      <c r="B95" t="str">
        <v>Dorinne.reynen@gmail.com</v>
      </c>
      <c r="C95" t="str">
        <v>0473865789</v>
      </c>
      <c r="D95" t="str">
        <v>https://app.twizzit.com/public/photos/3519915/s/cb4bbdba90c700302dcd9548901e284ce021df92.jpeg</v>
      </c>
      <c r="E95" s="2">
        <v>748910</v>
      </c>
      <c r="F95" t="str">
        <v>HSE B Haantjes Certifisc Oudenaarde</v>
      </c>
      <c r="G95" t="str">
        <v>Speler</v>
      </c>
      <c r="J95" t="str">
        <f>Worksheet!C95&amp;" "&amp;Worksheet!B95</f>
        <v>Lasse Cattoir</v>
      </c>
      <c r="K95" t="str">
        <f>IF(Worksheet!P95&lt;&gt;"",Worksheet!P95,IF(Worksheet!R95&lt;&gt;"",Worksheet!R95,IF(Worksheet!T95&lt;&gt;"",Worksheet!T95,"")))</f>
        <v/>
      </c>
      <c r="L95" t="str">
        <f>IF(AND(Worksheet!V95&lt;&gt;"",Worksheet!V95&lt;&gt;0),Worksheet!V95&amp;"",IF(AND(Worksheet!X95&lt;&gt;"",Worksheet!X95&lt;&gt;0),Worksheet!X95&amp;"",IF(AND(Worksheet!Z95&lt;&gt;"",Worksheet!Z95&lt;&gt;0),Worksheet!Z95&amp;"","")))</f>
        <v/>
      </c>
      <c r="M95" t="str">
        <f>IF(Worksheet!AE95="","",Worksheet!AE95)</f>
        <v>https://app.twizzit.com/public/photos/9522553/s/70d508b65eaba88af49f20bd545e119d36420c07.png</v>
      </c>
      <c r="N95" t="str">
        <f>IF(Worksheet!AG95="","",Worksheet!AG95)</f>
        <v/>
      </c>
      <c r="O95" t="str">
        <f>IF(Worksheet!AJ95="","",Worksheet!AJ95)</f>
        <v>G08 Geel HAANTJES CERTIFISC OUDENAARDE</v>
      </c>
      <c r="P95" t="str">
        <f>IF(Worksheet!AK95="","",Worksheet!AK95)</f>
        <v>Speler</v>
      </c>
    </row>
    <row r="96" spans="1:16" x14ac:dyDescent="0.25">
      <c r="A96" t="str">
        <v xml:space="preserve">Camiel De Clercq </v>
      </c>
      <c r="B96" t="str">
        <v/>
      </c>
      <c r="C96" t="str">
        <v>00499129081</v>
      </c>
      <c r="D96" t="str">
        <v/>
      </c>
      <c r="E96" s="2" t="str">
        <v/>
      </c>
      <c r="F96" t="str">
        <v>HSE  C Haantjes Certifisc Oudenaarde</v>
      </c>
      <c r="G96" t="str">
        <v>Speler</v>
      </c>
      <c r="J96" t="str">
        <f>Worksheet!C96&amp;" "&amp;Worksheet!B96</f>
        <v>Lasse Cattoir</v>
      </c>
      <c r="K96" t="str">
        <f>IF(Worksheet!P96&lt;&gt;"",Worksheet!P96,IF(Worksheet!R96&lt;&gt;"",Worksheet!R96,IF(Worksheet!T96&lt;&gt;"",Worksheet!T96,"")))</f>
        <v/>
      </c>
      <c r="L96" t="str">
        <f>IF(AND(Worksheet!V96&lt;&gt;"",Worksheet!V96&lt;&gt;0),Worksheet!V96&amp;"",IF(AND(Worksheet!X96&lt;&gt;"",Worksheet!X96&lt;&gt;0),Worksheet!X96&amp;"",IF(AND(Worksheet!Z96&lt;&gt;"",Worksheet!Z96&lt;&gt;0),Worksheet!Z96&amp;"","")))</f>
        <v/>
      </c>
      <c r="M96" t="str">
        <f>IF(Worksheet!AE96="","",Worksheet!AE96)</f>
        <v>https://app.twizzit.com/public/photos/9522553/s/70d508b65eaba88af49f20bd545e119d36420c07.png</v>
      </c>
      <c r="N96" t="str">
        <f>IF(Worksheet!AG96="","",Worksheet!AG96)</f>
        <v/>
      </c>
      <c r="O96" t="str">
        <f>IF(Worksheet!AJ96="","",Worksheet!AJ96)</f>
        <v>Zomerstage 2026 U8 (Oudenaarde)</v>
      </c>
      <c r="P96" t="str">
        <f>IF(Worksheet!AK96="","",Worksheet!AK96)</f>
        <v>Speler</v>
      </c>
    </row>
    <row r="97" spans="1:16" x14ac:dyDescent="0.25">
      <c r="A97" t="str">
        <v>Mathieu De Clercq</v>
      </c>
      <c r="B97" t="str">
        <v/>
      </c>
      <c r="C97" t="str">
        <v>0495786491</v>
      </c>
      <c r="D97" t="str">
        <v/>
      </c>
      <c r="E97" s="2">
        <v>600191</v>
      </c>
      <c r="F97" t="str">
        <v>HSE B Haantjes Certifisc Oudenaarde</v>
      </c>
      <c r="G97" t="str">
        <v>Speler</v>
      </c>
      <c r="J97" t="str">
        <f>Worksheet!C97&amp;" "&amp;Worksheet!B97</f>
        <v>Ahmed Chaouch</v>
      </c>
      <c r="K97" t="str">
        <f>IF(Worksheet!P97&lt;&gt;"",Worksheet!P97,IF(Worksheet!R97&lt;&gt;"",Worksheet!R97,IF(Worksheet!T97&lt;&gt;"",Worksheet!T97,"")))</f>
        <v/>
      </c>
      <c r="L97" t="str">
        <f>IF(AND(Worksheet!V97&lt;&gt;"",Worksheet!V97&lt;&gt;0),Worksheet!V97&amp;"",IF(AND(Worksheet!X97&lt;&gt;"",Worksheet!X97&lt;&gt;0),Worksheet!X97&amp;"",IF(AND(Worksheet!Z97&lt;&gt;"",Worksheet!Z97&lt;&gt;0),Worksheet!Z97&amp;"","")))</f>
        <v>320498674854</v>
      </c>
      <c r="M97" t="str">
        <f>IF(Worksheet!AE97="","",Worksheet!AE97)</f>
        <v/>
      </c>
      <c r="N97">
        <f>IF(Worksheet!AG97="","",Worksheet!AG97)</f>
        <v>618749</v>
      </c>
      <c r="O97" t="str">
        <f>IF(Worksheet!AJ97="","",Worksheet!AJ97)</f>
        <v/>
      </c>
      <c r="P97" t="str">
        <f>IF(Worksheet!AK97="","",Worksheet!AK97)</f>
        <v/>
      </c>
    </row>
    <row r="98" spans="1:16" x14ac:dyDescent="0.25">
      <c r="A98" t="str">
        <v>Robbe De Clercq</v>
      </c>
      <c r="B98" t="str">
        <v/>
      </c>
      <c r="C98" t="str">
        <v/>
      </c>
      <c r="D98" t="str">
        <v/>
      </c>
      <c r="E98" s="2">
        <v>631328</v>
      </c>
      <c r="F98" t="str">
        <v>HSE  C Haantjes Certifisc Oudenaarde</v>
      </c>
      <c r="G98" t="str">
        <v>Speler</v>
      </c>
      <c r="J98" t="str">
        <f>Worksheet!C98&amp;" "&amp;Worksheet!B98</f>
        <v>Luca Christiaens</v>
      </c>
      <c r="K98" t="str">
        <f>IF(Worksheet!P98&lt;&gt;"",Worksheet!P98,IF(Worksheet!R98&lt;&gt;"",Worksheet!R98,IF(Worksheet!T98&lt;&gt;"",Worksheet!T98,"")))</f>
        <v>Christiaens.jan@skynet.be</v>
      </c>
      <c r="L98" t="str">
        <f>IF(AND(Worksheet!V98&lt;&gt;"",Worksheet!V98&lt;&gt;0),Worksheet!V98&amp;"",IF(AND(Worksheet!X98&lt;&gt;"",Worksheet!X98&lt;&gt;0),Worksheet!X98&amp;"",IF(AND(Worksheet!Z98&lt;&gt;"",Worksheet!Z98&lt;&gt;0),Worksheet!Z98&amp;"","")))</f>
        <v>32486926070</v>
      </c>
      <c r="M98" t="str">
        <f>IF(Worksheet!AE98="","",Worksheet!AE98)</f>
        <v>https://app.twizzit.com/public/photos/6352973/s/e9e52d61f1e32c98f69949c0179e81da5763fe5f.png</v>
      </c>
      <c r="N98">
        <f>IF(Worksheet!AG98="","",Worksheet!AG98)</f>
        <v>736728</v>
      </c>
      <c r="O98" t="str">
        <f>IF(Worksheet!AJ98="","",Worksheet!AJ98)</f>
        <v/>
      </c>
      <c r="P98" t="str">
        <f>IF(Worksheet!AK98="","",Worksheet!AK98)</f>
        <v/>
      </c>
    </row>
    <row r="99" spans="1:16" x14ac:dyDescent="0.25">
      <c r="A99" t="str">
        <v>Tybe De Clercq</v>
      </c>
      <c r="B99" t="str">
        <v>freyadesmet@hotmail.com</v>
      </c>
      <c r="C99" t="str">
        <v>0476214551</v>
      </c>
      <c r="D99" t="str">
        <v/>
      </c>
      <c r="E99" s="2" t="str">
        <v/>
      </c>
      <c r="F99" t="str">
        <v>G08 Blauw HAANTJES CERTIFISC OUDENAARDE</v>
      </c>
      <c r="G99" t="str">
        <v>Speler</v>
      </c>
      <c r="J99" t="str">
        <f>Worksheet!C99&amp;" "&amp;Worksheet!B99</f>
        <v>Arne Claes</v>
      </c>
      <c r="K99" t="str">
        <f>IF(Worksheet!P99&lt;&gt;"",Worksheet!P99,IF(Worksheet!R99&lt;&gt;"",Worksheet!R99,IF(Worksheet!T99&lt;&gt;"",Worksheet!T99,"")))</f>
        <v/>
      </c>
      <c r="L99" t="str">
        <f>IF(AND(Worksheet!V99&lt;&gt;"",Worksheet!V99&lt;&gt;0),Worksheet!V99&amp;"",IF(AND(Worksheet!X99&lt;&gt;"",Worksheet!X99&lt;&gt;0),Worksheet!X99&amp;"",IF(AND(Worksheet!Z99&lt;&gt;"",Worksheet!Z99&lt;&gt;0),Worksheet!Z99&amp;"","")))</f>
        <v/>
      </c>
      <c r="M99" t="str">
        <f>IF(Worksheet!AE99="","",Worksheet!AE99)</f>
        <v/>
      </c>
      <c r="N99">
        <f>IF(Worksheet!AG99="","",Worksheet!AG99)</f>
        <v>652122</v>
      </c>
      <c r="O99" t="str">
        <f>IF(Worksheet!AJ99="","",Worksheet!AJ99)</f>
        <v/>
      </c>
      <c r="P99" t="str">
        <f>IF(Worksheet!AK99="","",Worksheet!AK99)</f>
        <v/>
      </c>
    </row>
    <row r="100" spans="1:16" x14ac:dyDescent="0.25">
      <c r="A100" t="str">
        <v>Tybe De Clercq</v>
      </c>
      <c r="B100" t="str">
        <v>freyadesmet@hotmail.com</v>
      </c>
      <c r="C100" t="str">
        <v>0476214551</v>
      </c>
      <c r="D100" t="str">
        <v/>
      </c>
      <c r="E100" s="2" t="str">
        <v/>
      </c>
      <c r="F100" t="str">
        <v>Zomerstage 2026 U8 (Oudenaarde)</v>
      </c>
      <c r="G100" t="str">
        <v>Speler</v>
      </c>
      <c r="J100" t="str">
        <f>Worksheet!C100&amp;" "&amp;Worksheet!B100</f>
        <v>Alice Cokelaere</v>
      </c>
      <c r="K100" t="str">
        <f>IF(Worksheet!P100&lt;&gt;"",Worksheet!P100,IF(Worksheet!R100&lt;&gt;"",Worksheet!R100,IF(Worksheet!T100&lt;&gt;"",Worksheet!T100,"")))</f>
        <v>sofie.pattyn@telenet.be</v>
      </c>
      <c r="L100" t="str">
        <f>IF(AND(Worksheet!V100&lt;&gt;"",Worksheet!V100&lt;&gt;0),Worksheet!V100&amp;"",IF(AND(Worksheet!X100&lt;&gt;"",Worksheet!X100&lt;&gt;0),Worksheet!X100&amp;"",IF(AND(Worksheet!Z100&lt;&gt;"",Worksheet!Z100&lt;&gt;0),Worksheet!Z100&amp;"","")))</f>
        <v>0477681738</v>
      </c>
      <c r="M100" t="str">
        <f>IF(Worksheet!AE100="","",Worksheet!AE100)</f>
        <v/>
      </c>
      <c r="N100">
        <f>IF(Worksheet!AG100="","",Worksheet!AG100)</f>
        <v>669074</v>
      </c>
      <c r="O100" t="str">
        <f>IF(Worksheet!AJ100="","",Worksheet!AJ100)</f>
        <v>DSE A Haantjes Certifisc Oudenaarde</v>
      </c>
      <c r="P100" t="str">
        <f>IF(Worksheet!AK100="","",Worksheet!AK100)</f>
        <v>Speler</v>
      </c>
    </row>
    <row r="101" spans="1:16" x14ac:dyDescent="0.25">
      <c r="A101" t="str">
        <v>Maure De Coen</v>
      </c>
      <c r="B101" t="str">
        <v>Achimdecoen@hotmail.com</v>
      </c>
      <c r="C101" t="str">
        <v>0473760932</v>
      </c>
      <c r="D101" t="str">
        <v/>
      </c>
      <c r="E101" s="2" t="str">
        <v/>
      </c>
      <c r="F101" t="str">
        <v>M16 A Haantjes CERTIFISC  Oudenaarde</v>
      </c>
      <c r="G101" t="str">
        <v>Speler</v>
      </c>
      <c r="J101" t="str">
        <f>Worksheet!C101&amp;" "&amp;Worksheet!B101</f>
        <v>Alice Cokelaere</v>
      </c>
      <c r="K101" t="str">
        <f>IF(Worksheet!P101&lt;&gt;"",Worksheet!P101,IF(Worksheet!R101&lt;&gt;"",Worksheet!R101,IF(Worksheet!T101&lt;&gt;"",Worksheet!T101,"")))</f>
        <v>sofie.pattyn@telenet.be</v>
      </c>
      <c r="L101" t="str">
        <f>IF(AND(Worksheet!V101&lt;&gt;"",Worksheet!V101&lt;&gt;0),Worksheet!V101&amp;"",IF(AND(Worksheet!X101&lt;&gt;"",Worksheet!X101&lt;&gt;0),Worksheet!X101&amp;"",IF(AND(Worksheet!Z101&lt;&gt;"",Worksheet!Z101&lt;&gt;0),Worksheet!Z101&amp;"","")))</f>
        <v>0477681738</v>
      </c>
      <c r="M101" t="str">
        <f>IF(Worksheet!AE101="","",Worksheet!AE101)</f>
        <v/>
      </c>
      <c r="N101">
        <f>IF(Worksheet!AG101="","",Worksheet!AG101)</f>
        <v>669074</v>
      </c>
      <c r="O101" t="str">
        <f>IF(Worksheet!AJ101="","",Worksheet!AJ101)</f>
        <v>Zomerstage 2026 (Blankenberge)</v>
      </c>
      <c r="P101" t="str">
        <f>IF(Worksheet!AK101="","",Worksheet!AK101)</f>
        <v>Speler</v>
      </c>
    </row>
    <row r="102" spans="1:16" x14ac:dyDescent="0.25">
      <c r="A102" t="str">
        <v>Minne De Coninck</v>
      </c>
      <c r="B102" t="str">
        <v>joosdeconinck@hotmail.com</v>
      </c>
      <c r="C102" t="str">
        <v>0475398321</v>
      </c>
      <c r="D102" t="str">
        <v/>
      </c>
      <c r="E102" s="2">
        <v>762628</v>
      </c>
      <c r="F102" t="str">
        <v>M12 A HAANTJES CERTIFISC OUDENAARDE</v>
      </c>
      <c r="G102" t="str">
        <v>Speler</v>
      </c>
      <c r="J102" t="str">
        <f>Worksheet!C102&amp;" "&amp;Worksheet!B102</f>
        <v>Alice Cokelaere</v>
      </c>
      <c r="K102" t="str">
        <f>IF(Worksheet!P102&lt;&gt;"",Worksheet!P102,IF(Worksheet!R102&lt;&gt;"",Worksheet!R102,IF(Worksheet!T102&lt;&gt;"",Worksheet!T102,"")))</f>
        <v>sofie.pattyn@telenet.be</v>
      </c>
      <c r="L102" t="str">
        <f>IF(AND(Worksheet!V102&lt;&gt;"",Worksheet!V102&lt;&gt;0),Worksheet!V102&amp;"",IF(AND(Worksheet!X102&lt;&gt;"",Worksheet!X102&lt;&gt;0),Worksheet!X102&amp;"",IF(AND(Worksheet!Z102&lt;&gt;"",Worksheet!Z102&lt;&gt;0),Worksheet!Z102&amp;"","")))</f>
        <v>0477681738</v>
      </c>
      <c r="M102" t="str">
        <f>IF(Worksheet!AE102="","",Worksheet!AE102)</f>
        <v/>
      </c>
      <c r="N102">
        <f>IF(Worksheet!AG102="","",Worksheet!AG102)</f>
        <v>669074</v>
      </c>
      <c r="O102" t="str">
        <f>IF(Worksheet!AJ102="","",Worksheet!AJ102)</f>
        <v>M19 A Haantjes CERTIFISC Oudenaarde</v>
      </c>
      <c r="P102" t="str">
        <f>IF(Worksheet!AK102="","",Worksheet!AK102)</f>
        <v>Speler</v>
      </c>
    </row>
    <row r="103" spans="1:16" x14ac:dyDescent="0.25">
      <c r="A103" t="str">
        <v>Len De Coussemaker</v>
      </c>
      <c r="B103" t="str">
        <v>kristien.vdv@telenet.be</v>
      </c>
      <c r="C103" t="str">
        <v>32468280854</v>
      </c>
      <c r="D103" t="str">
        <v>https://app.twizzit.com/public/photos/2182636/s/ac8133dfa6021f95e4cb86240c3d9e68218f8a83.png</v>
      </c>
      <c r="E103" s="2">
        <v>717356</v>
      </c>
      <c r="F103" t="str">
        <v>J16 B Haantjes CERTIFISC Oudenaarde</v>
      </c>
      <c r="G103" t="str">
        <v>Speler</v>
      </c>
      <c r="J103" t="str">
        <f>Worksheet!C103&amp;" "&amp;Worksheet!B103</f>
        <v>Andy Cokelaere</v>
      </c>
      <c r="K103" t="str">
        <f>IF(Worksheet!P103&lt;&gt;"",Worksheet!P103,IF(Worksheet!R103&lt;&gt;"",Worksheet!R103,IF(Worksheet!T103&lt;&gt;"",Worksheet!T103,"")))</f>
        <v/>
      </c>
      <c r="L103" t="str">
        <f>IF(AND(Worksheet!V103&lt;&gt;"",Worksheet!V103&lt;&gt;0),Worksheet!V103&amp;"",IF(AND(Worksheet!X103&lt;&gt;"",Worksheet!X103&lt;&gt;0),Worksheet!X103&amp;"",IF(AND(Worksheet!Z103&lt;&gt;"",Worksheet!Z103&lt;&gt;0),Worksheet!Z103&amp;"","")))</f>
        <v/>
      </c>
      <c r="M103" t="str">
        <f>IF(Worksheet!AE103="","",Worksheet!AE103)</f>
        <v/>
      </c>
      <c r="N103">
        <f>IF(Worksheet!AG103="","",Worksheet!AG103)</f>
        <v>669072</v>
      </c>
      <c r="O103" t="str">
        <f>IF(Worksheet!AJ103="","",Worksheet!AJ103)</f>
        <v/>
      </c>
      <c r="P103" t="str">
        <f>IF(Worksheet!AK103="","",Worksheet!AK103)</f>
        <v/>
      </c>
    </row>
    <row r="104" spans="1:16" x14ac:dyDescent="0.25">
      <c r="A104" t="str">
        <v>Len De Coussemaker</v>
      </c>
      <c r="B104" t="str">
        <v>kristien.vdv@telenet.be</v>
      </c>
      <c r="C104" t="str">
        <v>32468280854</v>
      </c>
      <c r="D104" t="str">
        <v>https://app.twizzit.com/public/photos/2182636/s/ac8133dfa6021f95e4cb86240c3d9e68218f8a83.png</v>
      </c>
      <c r="E104" s="2">
        <v>717356</v>
      </c>
      <c r="F104" t="str">
        <v>Zomerstage 2026 (Blankenberge)</v>
      </c>
      <c r="G104" t="str">
        <v>Speler</v>
      </c>
      <c r="J104" t="str">
        <f>Worksheet!C104&amp;" "&amp;Worksheet!B104</f>
        <v>Jules Cokelaere</v>
      </c>
      <c r="K104" t="str">
        <f>IF(Worksheet!P104&lt;&gt;"",Worksheet!P104,IF(Worksheet!R104&lt;&gt;"",Worksheet!R104,IF(Worksheet!T104&lt;&gt;"",Worksheet!T104,"")))</f>
        <v/>
      </c>
      <c r="L104" t="str">
        <f>IF(AND(Worksheet!V104&lt;&gt;"",Worksheet!V104&lt;&gt;0),Worksheet!V104&amp;"",IF(AND(Worksheet!X104&lt;&gt;"",Worksheet!X104&lt;&gt;0),Worksheet!X104&amp;"",IF(AND(Worksheet!Z104&lt;&gt;"",Worksheet!Z104&lt;&gt;0),Worksheet!Z104&amp;"","")))</f>
        <v>320477681738</v>
      </c>
      <c r="M104" t="str">
        <f>IF(Worksheet!AE104="","",Worksheet!AE104)</f>
        <v/>
      </c>
      <c r="N104" t="str">
        <f>IF(Worksheet!AG104="","",Worksheet!AG104)</f>
        <v/>
      </c>
      <c r="O104" t="str">
        <f>IF(Worksheet!AJ104="","",Worksheet!AJ104)</f>
        <v>HSE  C Haantjes Certifisc Oudenaarde</v>
      </c>
      <c r="P104" t="str">
        <f>IF(Worksheet!AK104="","",Worksheet!AK104)</f>
        <v>Speler</v>
      </c>
    </row>
    <row r="105" spans="1:16" x14ac:dyDescent="0.25">
      <c r="A105" t="str">
        <v>Niels De Coussemaker</v>
      </c>
      <c r="B105" t="str">
        <v>kristien@coussies.be</v>
      </c>
      <c r="C105" t="str">
        <v>32490195438</v>
      </c>
      <c r="D105" t="str">
        <v>https://app.twizzit.com/public/photos/2182641/s/bc2ed87ccb6bf61129b3522eabde4c5cff856719.png</v>
      </c>
      <c r="E105" s="2">
        <v>708695</v>
      </c>
      <c r="F105" t="str">
        <v>J18 B Haantjes CERTIFISC Oudenaarde</v>
      </c>
      <c r="G105" t="str">
        <v>Speler</v>
      </c>
      <c r="J105" t="str">
        <f>Worksheet!C105&amp;" "&amp;Worksheet!B105</f>
        <v>Nand Colpaert</v>
      </c>
      <c r="K105" t="str">
        <f>IF(Worksheet!P105&lt;&gt;"",Worksheet!P105,IF(Worksheet!R105&lt;&gt;"",Worksheet!R105,IF(Worksheet!T105&lt;&gt;"",Worksheet!T105,"")))</f>
        <v>stijn.colpaert@telenet.be</v>
      </c>
      <c r="L105" t="str">
        <f>IF(AND(Worksheet!V105&lt;&gt;"",Worksheet!V105&lt;&gt;0),Worksheet!V105&amp;"",IF(AND(Worksheet!X105&lt;&gt;"",Worksheet!X105&lt;&gt;0),Worksheet!X105&amp;"",IF(AND(Worksheet!Z105&lt;&gt;"",Worksheet!Z105&lt;&gt;0),Worksheet!Z105&amp;"","")))</f>
        <v>0497216213</v>
      </c>
      <c r="M105" t="str">
        <f>IF(Worksheet!AE105="","",Worksheet!AE105)</f>
        <v/>
      </c>
      <c r="N105" t="str">
        <f>IF(Worksheet!AG105="","",Worksheet!AG105)</f>
        <v/>
      </c>
      <c r="O105" t="str">
        <f>IF(Worksheet!AJ105="","",Worksheet!AJ105)</f>
        <v>G10 Geel HAANTJES CERTIFISC OUDENAARDE</v>
      </c>
      <c r="P105" t="str">
        <f>IF(Worksheet!AK105="","",Worksheet!AK105)</f>
        <v>Speler</v>
      </c>
    </row>
    <row r="106" spans="1:16" x14ac:dyDescent="0.25">
      <c r="A106" t="str">
        <v>Niels De Coussemaker</v>
      </c>
      <c r="B106" t="str">
        <v>kristien@coussies.be</v>
      </c>
      <c r="C106" t="str">
        <v>32490195438</v>
      </c>
      <c r="D106" t="str">
        <v>https://app.twizzit.com/public/photos/2182641/s/bc2ed87ccb6bf61129b3522eabde4c5cff856719.png</v>
      </c>
      <c r="E106" s="2">
        <v>708695</v>
      </c>
      <c r="F106" t="str">
        <v>Zomerstage 2026 (Blankenberge)</v>
      </c>
      <c r="G106" t="str">
        <v>Speler</v>
      </c>
      <c r="J106" t="str">
        <f>Worksheet!C106&amp;" "&amp;Worksheet!B106</f>
        <v>Veerle Colpaert</v>
      </c>
      <c r="K106" t="str">
        <f>IF(Worksheet!P106&lt;&gt;"",Worksheet!P106,IF(Worksheet!R106&lt;&gt;"",Worksheet!R106,IF(Worksheet!T106&lt;&gt;"",Worksheet!T106,"")))</f>
        <v/>
      </c>
      <c r="L106" t="str">
        <f>IF(AND(Worksheet!V106&lt;&gt;"",Worksheet!V106&lt;&gt;0),Worksheet!V106&amp;"",IF(AND(Worksheet!X106&lt;&gt;"",Worksheet!X106&lt;&gt;0),Worksheet!X106&amp;"",IF(AND(Worksheet!Z106&lt;&gt;"",Worksheet!Z106&lt;&gt;0),Worksheet!Z106&amp;"","")))</f>
        <v>0476935877</v>
      </c>
      <c r="M106" t="str">
        <f>IF(Worksheet!AE106="","",Worksheet!AE106)</f>
        <v/>
      </c>
      <c r="N106" t="str">
        <f>IF(Worksheet!AG106="","",Worksheet!AG106)</f>
        <v/>
      </c>
      <c r="O106" t="str">
        <f>IF(Worksheet!AJ106="","",Worksheet!AJ106)</f>
        <v/>
      </c>
      <c r="P106" t="str">
        <f>IF(Worksheet!AK106="","",Worksheet!AK106)</f>
        <v/>
      </c>
    </row>
    <row r="107" spans="1:16" x14ac:dyDescent="0.25">
      <c r="A107" t="str">
        <v>Cécile De Groote Hoebeke</v>
      </c>
      <c r="B107" t="str">
        <v>hoebekehanne@gmail.com</v>
      </c>
      <c r="C107" t="str">
        <v>0473630733</v>
      </c>
      <c r="D107" t="str">
        <v/>
      </c>
      <c r="E107" s="2" t="str">
        <v/>
      </c>
      <c r="F107" t="str">
        <v>Balschool U6</v>
      </c>
      <c r="G107" t="str">
        <v>Speler</v>
      </c>
      <c r="J107" t="str">
        <f>Worksheet!C107&amp;" "&amp;Worksheet!B107</f>
        <v>Yvora Constant</v>
      </c>
      <c r="K107" t="str">
        <f>IF(Worksheet!P107&lt;&gt;"",Worksheet!P107,IF(Worksheet!R107&lt;&gt;"",Worksheet!R107,IF(Worksheet!T107&lt;&gt;"",Worksheet!T107,"")))</f>
        <v/>
      </c>
      <c r="L107" t="str">
        <f>IF(AND(Worksheet!V107&lt;&gt;"",Worksheet!V107&lt;&gt;0),Worksheet!V107&amp;"",IF(AND(Worksheet!X107&lt;&gt;"",Worksheet!X107&lt;&gt;0),Worksheet!X107&amp;"",IF(AND(Worksheet!Z107&lt;&gt;"",Worksheet!Z107&lt;&gt;0),Worksheet!Z107&amp;"","")))</f>
        <v>0477081887</v>
      </c>
      <c r="M107" t="str">
        <f>IF(Worksheet!AE107="","",Worksheet!AE107)</f>
        <v/>
      </c>
      <c r="N107">
        <f>IF(Worksheet!AG107="","",Worksheet!AG107)</f>
        <v>749623</v>
      </c>
      <c r="O107" t="str">
        <f>IF(Worksheet!AJ107="","",Worksheet!AJ107)</f>
        <v/>
      </c>
      <c r="P107" t="str">
        <f>IF(Worksheet!AK107="","",Worksheet!AK107)</f>
        <v/>
      </c>
    </row>
    <row r="108" spans="1:16" x14ac:dyDescent="0.25">
      <c r="A108" t="str">
        <v>Madelein De Groote Hoebeke</v>
      </c>
      <c r="B108" t="str">
        <v>hoebekehanne@gmail.com</v>
      </c>
      <c r="C108" t="str">
        <v>0473630733</v>
      </c>
      <c r="D108" t="str">
        <v>https://app.twizzit.com/public/photos/7992432/s/9093b3c321ebca1981daea541211e5a7f8dcd3e7.png</v>
      </c>
      <c r="E108" s="2" t="str">
        <v/>
      </c>
      <c r="F108" t="str">
        <v>G08 Geel HAANTJES CERTIFISC OUDENAARDE</v>
      </c>
      <c r="G108" t="str">
        <v>Speler</v>
      </c>
      <c r="J108" t="str">
        <f>Worksheet!C108&amp;" "&amp;Worksheet!B108</f>
        <v>Maarten Coopmans</v>
      </c>
      <c r="K108" t="str">
        <f>IF(Worksheet!P108&lt;&gt;"",Worksheet!P108,IF(Worksheet!R108&lt;&gt;"",Worksheet!R108,IF(Worksheet!T108&lt;&gt;"",Worksheet!T108,"")))</f>
        <v/>
      </c>
      <c r="L108" t="str">
        <f>IF(AND(Worksheet!V108&lt;&gt;"",Worksheet!V108&lt;&gt;0),Worksheet!V108&amp;"",IF(AND(Worksheet!X108&lt;&gt;"",Worksheet!X108&lt;&gt;0),Worksheet!X108&amp;"",IF(AND(Worksheet!Z108&lt;&gt;"",Worksheet!Z108&lt;&gt;0),Worksheet!Z108&amp;"","")))</f>
        <v/>
      </c>
      <c r="M108" t="str">
        <f>IF(Worksheet!AE108="","",Worksheet!AE108)</f>
        <v/>
      </c>
      <c r="N108" t="str">
        <f>IF(Worksheet!AG108="","",Worksheet!AG108)</f>
        <v/>
      </c>
      <c r="O108" t="str">
        <f>IF(Worksheet!AJ108="","",Worksheet!AJ108)</f>
        <v/>
      </c>
      <c r="P108" t="str">
        <f>IF(Worksheet!AK108="","",Worksheet!AK108)</f>
        <v/>
      </c>
    </row>
    <row r="109" spans="1:16" x14ac:dyDescent="0.25">
      <c r="A109" t="str">
        <v>Mary-Lou De Keukeleire</v>
      </c>
      <c r="B109" t="str">
        <v/>
      </c>
      <c r="C109" t="str">
        <v>0498363470</v>
      </c>
      <c r="D109" t="str">
        <v>https://app.twizzit.com/public/photos/7663442/s/a1e4c1d99d71fda9ac80bca383a3ddb377005195.png</v>
      </c>
      <c r="E109" s="2">
        <v>766478</v>
      </c>
      <c r="F109" t="str">
        <v>M12 A HAANTJES CERTIFISC OUDENAARDE</v>
      </c>
      <c r="G109" t="str">
        <v>Speler</v>
      </c>
      <c r="J109" t="str">
        <f>Worksheet!C109&amp;" "&amp;Worksheet!B109</f>
        <v>Didier Coppens</v>
      </c>
      <c r="K109" t="str">
        <f>IF(Worksheet!P109&lt;&gt;"",Worksheet!P109,IF(Worksheet!R109&lt;&gt;"",Worksheet!R109,IF(Worksheet!T109&lt;&gt;"",Worksheet!T109,"")))</f>
        <v/>
      </c>
      <c r="L109" t="str">
        <f>IF(AND(Worksheet!V109&lt;&gt;"",Worksheet!V109&lt;&gt;0),Worksheet!V109&amp;"",IF(AND(Worksheet!X109&lt;&gt;"",Worksheet!X109&lt;&gt;0),Worksheet!X109&amp;"",IF(AND(Worksheet!Z109&lt;&gt;"",Worksheet!Z109&lt;&gt;0),Worksheet!Z109&amp;"","")))</f>
        <v/>
      </c>
      <c r="M109" t="str">
        <f>IF(Worksheet!AE109="","",Worksheet!AE109)</f>
        <v>https://app.twizzit.com/public/photos/2669951/s/778e1130cdfaade86f30dde5646159e9171c6f6b.png</v>
      </c>
      <c r="N109">
        <f>IF(Worksheet!AG109="","",Worksheet!AG109)</f>
        <v>26737</v>
      </c>
      <c r="O109" t="str">
        <f>IF(Worksheet!AJ109="","",Worksheet!AJ109)</f>
        <v/>
      </c>
      <c r="P109" t="str">
        <f>IF(Worksheet!AK109="","",Worksheet!AK109)</f>
        <v/>
      </c>
    </row>
    <row r="110" spans="1:16" x14ac:dyDescent="0.25">
      <c r="A110" t="str">
        <v>Gaëlle de la Rivière</v>
      </c>
      <c r="B110" t="str">
        <v>dlrgeoffrey@gmail.com</v>
      </c>
      <c r="C110" t="str">
        <v>0494172499</v>
      </c>
      <c r="D110" t="str">
        <v/>
      </c>
      <c r="E110" s="2" t="str">
        <v/>
      </c>
      <c r="F110" t="str">
        <v>M12 A HAANTJES CERTIFISC OUDENAARDE</v>
      </c>
      <c r="G110" t="str">
        <v>Speler</v>
      </c>
      <c r="J110" t="str">
        <f>Worksheet!C110&amp;" "&amp;Worksheet!B110</f>
        <v>Luka Coryn</v>
      </c>
      <c r="K110" t="str">
        <f>IF(Worksheet!P110&lt;&gt;"",Worksheet!P110,IF(Worksheet!R110&lt;&gt;"",Worksheet!R110,IF(Worksheet!T110&lt;&gt;"",Worksheet!T110,"")))</f>
        <v>michael.coryn@telenet.be</v>
      </c>
      <c r="L110" t="str">
        <f>IF(AND(Worksheet!V110&lt;&gt;"",Worksheet!V110&lt;&gt;0),Worksheet!V110&amp;"",IF(AND(Worksheet!X110&lt;&gt;"",Worksheet!X110&lt;&gt;0),Worksheet!X110&amp;"",IF(AND(Worksheet!Z110&lt;&gt;"",Worksheet!Z110&lt;&gt;0),Worksheet!Z110&amp;"","")))</f>
        <v>0471737015</v>
      </c>
      <c r="M110" t="str">
        <f>IF(Worksheet!AE110="","",Worksheet!AE110)</f>
        <v/>
      </c>
      <c r="N110">
        <f>IF(Worksheet!AG110="","",Worksheet!AG110)</f>
        <v>724313</v>
      </c>
      <c r="O110" t="str">
        <f>IF(Worksheet!AJ110="","",Worksheet!AJ110)</f>
        <v>J21 A HAANTJES CERTIFISC OUDENAARDE</v>
      </c>
      <c r="P110" t="str">
        <f>IF(Worksheet!AK110="","",Worksheet!AK110)</f>
        <v>Speler</v>
      </c>
    </row>
    <row r="111" spans="1:16" x14ac:dyDescent="0.25">
      <c r="A111" t="str">
        <v>Mauro De Leersnyder</v>
      </c>
      <c r="B111" t="str">
        <v>joke.toye@gmail.com</v>
      </c>
      <c r="C111" t="str">
        <v>0475403946</v>
      </c>
      <c r="D111" t="str">
        <v/>
      </c>
      <c r="E111" s="2" t="str">
        <v/>
      </c>
      <c r="F111" t="str">
        <v>Balschool U6</v>
      </c>
      <c r="G111" t="str">
        <v>Speler</v>
      </c>
      <c r="J111" t="str">
        <f>Worksheet!C111&amp;" "&amp;Worksheet!B111</f>
        <v>Anna Cousaert</v>
      </c>
      <c r="K111" t="str">
        <f>IF(Worksheet!P111&lt;&gt;"",Worksheet!P111,IF(Worksheet!R111&lt;&gt;"",Worksheet!R111,IF(Worksheet!T111&lt;&gt;"",Worksheet!T111,"")))</f>
        <v/>
      </c>
      <c r="L111" t="str">
        <f>IF(AND(Worksheet!V111&lt;&gt;"",Worksheet!V111&lt;&gt;0),Worksheet!V111&amp;"",IF(AND(Worksheet!X111&lt;&gt;"",Worksheet!X111&lt;&gt;0),Worksheet!X111&amp;"",IF(AND(Worksheet!Z111&lt;&gt;"",Worksheet!Z111&lt;&gt;0),Worksheet!Z111&amp;"","")))</f>
        <v>0494445513</v>
      </c>
      <c r="M111" t="str">
        <f>IF(Worksheet!AE111="","",Worksheet!AE111)</f>
        <v/>
      </c>
      <c r="N111" t="str">
        <f>IF(Worksheet!AG111="","",Worksheet!AG111)</f>
        <v/>
      </c>
      <c r="O111" t="str">
        <f>IF(Worksheet!AJ111="","",Worksheet!AJ111)</f>
        <v/>
      </c>
      <c r="P111" t="str">
        <f>IF(Worksheet!AK111="","",Worksheet!AK111)</f>
        <v/>
      </c>
    </row>
    <row r="112" spans="1:16" x14ac:dyDescent="0.25">
      <c r="A112" t="str">
        <v>Niels De Lepeleire</v>
      </c>
      <c r="B112" t="str">
        <v/>
      </c>
      <c r="C112" t="str">
        <v>320470775058</v>
      </c>
      <c r="D112" t="str">
        <v/>
      </c>
      <c r="E112" s="2">
        <v>213745</v>
      </c>
      <c r="F112" t="str">
        <v>HSE A Haantjes Certifisc Oudenaarde</v>
      </c>
      <c r="G112" t="str">
        <v>Speler</v>
      </c>
      <c r="J112" t="str">
        <f>Worksheet!C112&amp;" "&amp;Worksheet!B112</f>
        <v>Frederik Cousaert</v>
      </c>
      <c r="K112" t="str">
        <f>IF(Worksheet!P112&lt;&gt;"",Worksheet!P112,IF(Worksheet!R112&lt;&gt;"",Worksheet!R112,IF(Worksheet!T112&lt;&gt;"",Worksheet!T112,"")))</f>
        <v/>
      </c>
      <c r="L112" t="str">
        <f>IF(AND(Worksheet!V112&lt;&gt;"",Worksheet!V112&lt;&gt;0),Worksheet!V112&amp;"",IF(AND(Worksheet!X112&lt;&gt;"",Worksheet!X112&lt;&gt;0),Worksheet!X112&amp;"",IF(AND(Worksheet!Z112&lt;&gt;"",Worksheet!Z112&lt;&gt;0),Worksheet!Z112&amp;"","")))</f>
        <v/>
      </c>
      <c r="M112" t="str">
        <f>IF(Worksheet!AE112="","",Worksheet!AE112)</f>
        <v/>
      </c>
      <c r="N112" t="str">
        <f>IF(Worksheet!AG112="","",Worksheet!AG112)</f>
        <v/>
      </c>
      <c r="O112" t="str">
        <f>IF(Worksheet!AJ112="","",Worksheet!AJ112)</f>
        <v/>
      </c>
      <c r="P112" t="str">
        <f>IF(Worksheet!AK112="","",Worksheet!AK112)</f>
        <v/>
      </c>
    </row>
    <row r="113" spans="1:16" x14ac:dyDescent="0.25">
      <c r="A113" t="str">
        <v>Niels De Lepeleire</v>
      </c>
      <c r="B113" t="str">
        <v/>
      </c>
      <c r="C113" t="str">
        <v>320470775058</v>
      </c>
      <c r="D113" t="str">
        <v/>
      </c>
      <c r="E113" s="2">
        <v>213745</v>
      </c>
      <c r="F113" t="str">
        <v>J16 B Haantjes CERTIFISC Oudenaarde</v>
      </c>
      <c r="G113" t="str">
        <v>Coach</v>
      </c>
      <c r="J113" t="str">
        <f>Worksheet!C113&amp;" "&amp;Worksheet!B113</f>
        <v>Lieze Cousaert</v>
      </c>
      <c r="K113" t="str">
        <f>IF(Worksheet!P113&lt;&gt;"",Worksheet!P113,IF(Worksheet!R113&lt;&gt;"",Worksheet!R113,IF(Worksheet!T113&lt;&gt;"",Worksheet!T113,"")))</f>
        <v/>
      </c>
      <c r="L113" t="str">
        <f>IF(AND(Worksheet!V113&lt;&gt;"",Worksheet!V113&lt;&gt;0),Worksheet!V113&amp;"",IF(AND(Worksheet!X113&lt;&gt;"",Worksheet!X113&lt;&gt;0),Worksheet!X113&amp;"",IF(AND(Worksheet!Z113&lt;&gt;"",Worksheet!Z113&lt;&gt;0),Worksheet!Z113&amp;"","")))</f>
        <v>320494445513</v>
      </c>
      <c r="M113" t="str">
        <f>IF(Worksheet!AE113="","",Worksheet!AE113)</f>
        <v/>
      </c>
      <c r="N113" t="str">
        <f>IF(Worksheet!AG113="","",Worksheet!AG113)</f>
        <v/>
      </c>
      <c r="O113" t="str">
        <f>IF(Worksheet!AJ113="","",Worksheet!AJ113)</f>
        <v/>
      </c>
      <c r="P113" t="str">
        <f>IF(Worksheet!AK113="","",Worksheet!AK113)</f>
        <v/>
      </c>
    </row>
    <row r="114" spans="1:16" x14ac:dyDescent="0.25">
      <c r="A114" t="str">
        <v>Niels De Lepeleire</v>
      </c>
      <c r="B114" t="str">
        <v/>
      </c>
      <c r="C114" t="str">
        <v>320470775058</v>
      </c>
      <c r="D114" t="str">
        <v/>
      </c>
      <c r="E114" s="2">
        <v>213745</v>
      </c>
      <c r="F114" t="str">
        <v>G12 Geel HAANTJES CERTIFISC OUDENAARDE</v>
      </c>
      <c r="G114" t="str">
        <v>Coach</v>
      </c>
      <c r="J114" t="str">
        <f>Worksheet!C114&amp;" "&amp;Worksheet!B114</f>
        <v>David Creteur</v>
      </c>
      <c r="K114" t="str">
        <f>IF(Worksheet!P114&lt;&gt;"",Worksheet!P114,IF(Worksheet!R114&lt;&gt;"",Worksheet!R114,IF(Worksheet!T114&lt;&gt;"",Worksheet!T114,"")))</f>
        <v/>
      </c>
      <c r="L114" t="str">
        <f>IF(AND(Worksheet!V114&lt;&gt;"",Worksheet!V114&lt;&gt;0),Worksheet!V114&amp;"",IF(AND(Worksheet!X114&lt;&gt;"",Worksheet!X114&lt;&gt;0),Worksheet!X114&amp;"",IF(AND(Worksheet!Z114&lt;&gt;"",Worksheet!Z114&lt;&gt;0),Worksheet!Z114&amp;"","")))</f>
        <v>00497249349</v>
      </c>
      <c r="M114" t="str">
        <f>IF(Worksheet!AE114="","",Worksheet!AE114)</f>
        <v/>
      </c>
      <c r="N114" t="str">
        <f>IF(Worksheet!AG114="","",Worksheet!AG114)</f>
        <v/>
      </c>
      <c r="O114" t="str">
        <f>IF(Worksheet!AJ114="","",Worksheet!AJ114)</f>
        <v/>
      </c>
      <c r="P114" t="str">
        <f>IF(Worksheet!AK114="","",Worksheet!AK114)</f>
        <v/>
      </c>
    </row>
    <row r="115" spans="1:16" x14ac:dyDescent="0.25">
      <c r="A115" t="str">
        <v>Siebe De Meyer</v>
      </c>
      <c r="B115" t="str">
        <v/>
      </c>
      <c r="C115" t="str">
        <v/>
      </c>
      <c r="D115" t="str">
        <v/>
      </c>
      <c r="E115" s="2">
        <v>655853</v>
      </c>
      <c r="F115" t="str">
        <v>HSE  C Haantjes Certifisc Oudenaarde</v>
      </c>
      <c r="G115" t="str">
        <v>Speler</v>
      </c>
      <c r="J115" t="str">
        <f>Worksheet!C115&amp;" "&amp;Worksheet!B115</f>
        <v>Niklas Creteur</v>
      </c>
      <c r="K115" t="str">
        <f>IF(Worksheet!P115&lt;&gt;"",Worksheet!P115,IF(Worksheet!R115&lt;&gt;"",Worksheet!R115,IF(Worksheet!T115&lt;&gt;"",Worksheet!T115,"")))</f>
        <v/>
      </c>
      <c r="L115" t="str">
        <f>IF(AND(Worksheet!V115&lt;&gt;"",Worksheet!V115&lt;&gt;0),Worksheet!V115&amp;"",IF(AND(Worksheet!X115&lt;&gt;"",Worksheet!X115&lt;&gt;0),Worksheet!X115&amp;"",IF(AND(Worksheet!Z115&lt;&gt;"",Worksheet!Z115&lt;&gt;0),Worksheet!Z115&amp;"","")))</f>
        <v>496211659</v>
      </c>
      <c r="M115" t="str">
        <f>IF(Worksheet!AE115="","",Worksheet!AE115)</f>
        <v/>
      </c>
      <c r="N115">
        <f>IF(Worksheet!AG115="","",Worksheet!AG115)</f>
        <v>734418</v>
      </c>
      <c r="O115" t="str">
        <f>IF(Worksheet!AJ115="","",Worksheet!AJ115)</f>
        <v>G14 B Haantjes CERTIFISC Oudenaarde</v>
      </c>
      <c r="P115" t="str">
        <f>IF(Worksheet!AK115="","",Worksheet!AK115)</f>
        <v>Speler</v>
      </c>
    </row>
    <row r="116" spans="1:16" x14ac:dyDescent="0.25">
      <c r="A116" t="str">
        <v>Kimberley De Smet</v>
      </c>
      <c r="B116" t="str">
        <v/>
      </c>
      <c r="C116" t="str">
        <v/>
      </c>
      <c r="D116" t="str">
        <v>https://app.twizzit.com/public/photos/2182696/s/b3404003062e85e1b45f5fca9b0565fe70029286.png</v>
      </c>
      <c r="E116" s="2">
        <v>266618</v>
      </c>
      <c r="F116" t="str">
        <v>DSE A Haantjes Certifisc Oudenaarde</v>
      </c>
      <c r="G116" t="str">
        <v>Speler</v>
      </c>
      <c r="J116" t="str">
        <f>Worksheet!C116&amp;" "&amp;Worksheet!B116</f>
        <v>Tanguy Creteur</v>
      </c>
      <c r="K116" t="str">
        <f>IF(Worksheet!P116&lt;&gt;"",Worksheet!P116,IF(Worksheet!R116&lt;&gt;"",Worksheet!R116,IF(Worksheet!T116&lt;&gt;"",Worksheet!T116,"")))</f>
        <v>david@credelec.be</v>
      </c>
      <c r="L116" t="str">
        <f>IF(AND(Worksheet!V116&lt;&gt;"",Worksheet!V116&lt;&gt;0),Worksheet!V116&amp;"",IF(AND(Worksheet!X116&lt;&gt;"",Worksheet!X116&lt;&gt;0),Worksheet!X116&amp;"",IF(AND(Worksheet!Z116&lt;&gt;"",Worksheet!Z116&lt;&gt;0),Worksheet!Z116&amp;"","")))</f>
        <v>0470535338</v>
      </c>
      <c r="M116" t="str">
        <f>IF(Worksheet!AE116="","",Worksheet!AE116)</f>
        <v/>
      </c>
      <c r="N116">
        <f>IF(Worksheet!AG116="","",Worksheet!AG116)</f>
        <v>737982</v>
      </c>
      <c r="O116" t="str">
        <f>IF(Worksheet!AJ116="","",Worksheet!AJ116)</f>
        <v>J21 A HAANTJES CERTIFISC OUDENAARDE</v>
      </c>
      <c r="P116" t="str">
        <f>IF(Worksheet!AK116="","",Worksheet!AK116)</f>
        <v>Speler</v>
      </c>
    </row>
    <row r="117" spans="1:16" x14ac:dyDescent="0.25">
      <c r="A117" t="str">
        <v>Kimberley De Smet</v>
      </c>
      <c r="B117" t="str">
        <v/>
      </c>
      <c r="C117" t="str">
        <v/>
      </c>
      <c r="D117" t="str">
        <v>https://app.twizzit.com/public/photos/2182696/s/b3404003062e85e1b45f5fca9b0565fe70029286.png</v>
      </c>
      <c r="E117" s="2">
        <v>266618</v>
      </c>
      <c r="F117" t="str">
        <v xml:space="preserve">Trainerspoule </v>
      </c>
      <c r="G117" t="str">
        <v>Coach</v>
      </c>
      <c r="J117" t="str">
        <f>Worksheet!C117&amp;" "&amp;Worksheet!B117</f>
        <v>Arthur Crombez</v>
      </c>
      <c r="K117" t="str">
        <f>IF(Worksheet!P117&lt;&gt;"",Worksheet!P117,IF(Worksheet!R117&lt;&gt;"",Worksheet!R117,IF(Worksheet!T117&lt;&gt;"",Worksheet!T117,"")))</f>
        <v/>
      </c>
      <c r="L117" t="str">
        <f>IF(AND(Worksheet!V117&lt;&gt;"",Worksheet!V117&lt;&gt;0),Worksheet!V117&amp;"",IF(AND(Worksheet!X117&lt;&gt;"",Worksheet!X117&lt;&gt;0),Worksheet!X117&amp;"",IF(AND(Worksheet!Z117&lt;&gt;"",Worksheet!Z117&lt;&gt;0),Worksheet!Z117&amp;"","")))</f>
        <v>0478792675</v>
      </c>
      <c r="M117" t="str">
        <f>IF(Worksheet!AE117="","",Worksheet!AE117)</f>
        <v>https://app.twizzit.com/public/photos/7501921/s/cda3c2c21188914d3908db110c011be3c8f5a13d.png</v>
      </c>
      <c r="N117" t="str">
        <f>IF(Worksheet!AG117="","",Worksheet!AG117)</f>
        <v/>
      </c>
      <c r="O117" t="str">
        <f>IF(Worksheet!AJ117="","",Worksheet!AJ117)</f>
        <v>G10 Blauw HAANTJES CERTIFISC OUDENAARDE</v>
      </c>
      <c r="P117" t="str">
        <f>IF(Worksheet!AK117="","",Worksheet!AK117)</f>
        <v>Speler</v>
      </c>
    </row>
    <row r="118" spans="1:16" x14ac:dyDescent="0.25">
      <c r="A118" t="str">
        <v>Camille De vreese</v>
      </c>
      <c r="B118" t="str">
        <v/>
      </c>
      <c r="C118" t="str">
        <v>0498651266</v>
      </c>
      <c r="D118" t="str">
        <v>https://app.twizzit.com/public/photos/7284534/s/89166ad605bd29d54909fd3e80a34843f88650ec.png</v>
      </c>
      <c r="E118" s="2" t="str">
        <v/>
      </c>
      <c r="F118" t="str">
        <v>M10 HAANTJES CERTIFISC OUDENAARDE</v>
      </c>
      <c r="G118" t="str">
        <v>Speler</v>
      </c>
      <c r="J118" t="str">
        <f>Worksheet!C118&amp;" "&amp;Worksheet!B118</f>
        <v>Ella-Marie Crombez</v>
      </c>
      <c r="K118" t="str">
        <f>IF(Worksheet!P118&lt;&gt;"",Worksheet!P118,IF(Worksheet!R118&lt;&gt;"",Worksheet!R118,IF(Worksheet!T118&lt;&gt;"",Worksheet!T118,"")))</f>
        <v>Tom.crombez@gmail.com</v>
      </c>
      <c r="L118" t="str">
        <f>IF(AND(Worksheet!V118&lt;&gt;"",Worksheet!V118&lt;&gt;0),Worksheet!V118&amp;"",IF(AND(Worksheet!X118&lt;&gt;"",Worksheet!X118&lt;&gt;0),Worksheet!X118&amp;"",IF(AND(Worksheet!Z118&lt;&gt;"",Worksheet!Z118&lt;&gt;0),Worksheet!Z118&amp;"","")))</f>
        <v>00478792675</v>
      </c>
      <c r="M118" t="str">
        <f>IF(Worksheet!AE118="","",Worksheet!AE118)</f>
        <v/>
      </c>
      <c r="N118" t="str">
        <f>IF(Worksheet!AG118="","",Worksheet!AG118)</f>
        <v/>
      </c>
      <c r="O118" t="str">
        <f>IF(Worksheet!AJ118="","",Worksheet!AJ118)</f>
        <v>M14 A Haantjes CERTIFISC  Oudenaarde</v>
      </c>
      <c r="P118" t="str">
        <f>IF(Worksheet!AK118="","",Worksheet!AK118)</f>
        <v>Speler</v>
      </c>
    </row>
    <row r="119" spans="1:16" x14ac:dyDescent="0.25">
      <c r="A119" t="str">
        <v>Emile-Louis De Windt</v>
      </c>
      <c r="B119" t="str">
        <v>dwingrey@gmail.com</v>
      </c>
      <c r="C119" t="str">
        <v>0485843240</v>
      </c>
      <c r="D119" t="str">
        <v>https://app.twizzit.com/public/photos/3463928/s/65ba284a6aa8f67e5b08f396e397206e4afd6e82.png</v>
      </c>
      <c r="E119" s="2">
        <v>747479</v>
      </c>
      <c r="F119" t="str">
        <v>J18 A Haantjes CERTIFISC Oudenaarde</v>
      </c>
      <c r="G119" t="str">
        <v>Speler</v>
      </c>
      <c r="J119" t="str">
        <f>Worksheet!C119&amp;" "&amp;Worksheet!B119</f>
        <v>Tom Crombez</v>
      </c>
      <c r="K119" t="str">
        <f>IF(Worksheet!P119&lt;&gt;"",Worksheet!P119,IF(Worksheet!R119&lt;&gt;"",Worksheet!R119,IF(Worksheet!T119&lt;&gt;"",Worksheet!T119,"")))</f>
        <v/>
      </c>
      <c r="L119" t="str">
        <f>IF(AND(Worksheet!V119&lt;&gt;"",Worksheet!V119&lt;&gt;0),Worksheet!V119&amp;"",IF(AND(Worksheet!X119&lt;&gt;"",Worksheet!X119&lt;&gt;0),Worksheet!X119&amp;"",IF(AND(Worksheet!Z119&lt;&gt;"",Worksheet!Z119&lt;&gt;0),Worksheet!Z119&amp;"","")))</f>
        <v>0474828659</v>
      </c>
      <c r="M119" t="str">
        <f>IF(Worksheet!AE119="","",Worksheet!AE119)</f>
        <v/>
      </c>
      <c r="N119" t="str">
        <f>IF(Worksheet!AG119="","",Worksheet!AG119)</f>
        <v/>
      </c>
      <c r="O119" t="str">
        <f>IF(Worksheet!AJ119="","",Worksheet!AJ119)</f>
        <v/>
      </c>
      <c r="P119" t="str">
        <f>IF(Worksheet!AK119="","",Worksheet!AK119)</f>
        <v/>
      </c>
    </row>
    <row r="120" spans="1:16" x14ac:dyDescent="0.25">
      <c r="A120" t="str">
        <v>Elli De Zitter</v>
      </c>
      <c r="B120" t="str">
        <v>de.zitter.steve@gmail.com</v>
      </c>
      <c r="C120" t="str">
        <v>0473423222</v>
      </c>
      <c r="D120" t="str">
        <v/>
      </c>
      <c r="E120" s="2" t="str">
        <v/>
      </c>
      <c r="F120" t="str">
        <v>G08 Geel HAANTJES CERTIFISC OUDENAARDE</v>
      </c>
      <c r="G120" t="str">
        <v>Speler</v>
      </c>
      <c r="J120" t="str">
        <f>Worksheet!C120&amp;" "&amp;Worksheet!B120</f>
        <v>Mathis Cromheeke</v>
      </c>
      <c r="K120" t="str">
        <f>IF(Worksheet!P120&lt;&gt;"",Worksheet!P120,IF(Worksheet!R120&lt;&gt;"",Worksheet!R120,IF(Worksheet!T120&lt;&gt;"",Worksheet!T120,"")))</f>
        <v/>
      </c>
      <c r="L120" t="str">
        <f>IF(AND(Worksheet!V120&lt;&gt;"",Worksheet!V120&lt;&gt;0),Worksheet!V120&amp;"",IF(AND(Worksheet!X120&lt;&gt;"",Worksheet!X120&lt;&gt;0),Worksheet!X120&amp;"",IF(AND(Worksheet!Z120&lt;&gt;"",Worksheet!Z120&lt;&gt;0),Worksheet!Z120&amp;"","")))</f>
        <v/>
      </c>
      <c r="M120" t="str">
        <f>IF(Worksheet!AE120="","",Worksheet!AE120)</f>
        <v/>
      </c>
      <c r="N120">
        <f>IF(Worksheet!AG120="","",Worksheet!AG120)</f>
        <v>715872</v>
      </c>
      <c r="O120" t="str">
        <f>IF(Worksheet!AJ120="","",Worksheet!AJ120)</f>
        <v>J18 B Haantjes CERTIFISC Oudenaarde</v>
      </c>
      <c r="P120" t="str">
        <f>IF(Worksheet!AK120="","",Worksheet!AK120)</f>
        <v>Speler</v>
      </c>
    </row>
    <row r="121" spans="1:16" x14ac:dyDescent="0.25">
      <c r="A121" t="str">
        <v>Elli De Zitter</v>
      </c>
      <c r="B121" t="str">
        <v>de.zitter.steve@gmail.com</v>
      </c>
      <c r="C121" t="str">
        <v>0473423222</v>
      </c>
      <c r="D121" t="str">
        <v/>
      </c>
      <c r="E121" s="2" t="str">
        <v/>
      </c>
      <c r="F121" t="str">
        <v>Zomerstage 2026 U8 (Oudenaarde)</v>
      </c>
      <c r="G121" t="str">
        <v>Speler</v>
      </c>
      <c r="J121" t="str">
        <f>Worksheet!C121&amp;" "&amp;Worksheet!B121</f>
        <v>Lou Cruypeninck</v>
      </c>
      <c r="K121" t="str">
        <f>IF(Worksheet!P121&lt;&gt;"",Worksheet!P121,IF(Worksheet!R121&lt;&gt;"",Worksheet!R121,IF(Worksheet!T121&lt;&gt;"",Worksheet!T121,"")))</f>
        <v>hanne.platteeuw@gmail.com</v>
      </c>
      <c r="L121" t="str">
        <f>IF(AND(Worksheet!V121&lt;&gt;"",Worksheet!V121&lt;&gt;0),Worksheet!V121&amp;"",IF(AND(Worksheet!X121&lt;&gt;"",Worksheet!X121&lt;&gt;0),Worksheet!X121&amp;"",IF(AND(Worksheet!Z121&lt;&gt;"",Worksheet!Z121&lt;&gt;0),Worksheet!Z121&amp;"","")))</f>
        <v>0477254581</v>
      </c>
      <c r="M121" t="str">
        <f>IF(Worksheet!AE121="","",Worksheet!AE121)</f>
        <v/>
      </c>
      <c r="N121" t="str">
        <f>IF(Worksheet!AG121="","",Worksheet!AG121)</f>
        <v/>
      </c>
      <c r="O121" t="str">
        <f>IF(Worksheet!AJ121="","",Worksheet!AJ121)</f>
        <v/>
      </c>
      <c r="P121" t="str">
        <f>IF(Worksheet!AK121="","",Worksheet!AK121)</f>
        <v/>
      </c>
    </row>
    <row r="122" spans="1:16" x14ac:dyDescent="0.25">
      <c r="A122" t="str">
        <v>Limme De Zitter</v>
      </c>
      <c r="B122" t="str">
        <v>de.zitter.steve@gmail.com</v>
      </c>
      <c r="C122" t="str">
        <v>473423222</v>
      </c>
      <c r="D122" t="str">
        <v/>
      </c>
      <c r="E122" s="2">
        <v>742327</v>
      </c>
      <c r="F122" t="str">
        <v>Zomerstage 2026 (Blankenberge)</v>
      </c>
      <c r="G122" t="str">
        <v>Speler</v>
      </c>
      <c r="J122" t="str">
        <f>Worksheet!C122&amp;" "&amp;Worksheet!B122</f>
        <v>Sofian D'Haenen</v>
      </c>
      <c r="K122" t="str">
        <f>IF(Worksheet!P122&lt;&gt;"",Worksheet!P122,IF(Worksheet!R122&lt;&gt;"",Worksheet!R122,IF(Worksheet!T122&lt;&gt;"",Worksheet!T122,"")))</f>
        <v/>
      </c>
      <c r="L122" t="str">
        <f>IF(AND(Worksheet!V122&lt;&gt;"",Worksheet!V122&lt;&gt;0),Worksheet!V122&amp;"",IF(AND(Worksheet!X122&lt;&gt;"",Worksheet!X122&lt;&gt;0),Worksheet!X122&amp;"",IF(AND(Worksheet!Z122&lt;&gt;"",Worksheet!Z122&lt;&gt;0),Worksheet!Z122&amp;"","")))</f>
        <v/>
      </c>
      <c r="M122" t="str">
        <f>IF(Worksheet!AE122="","",Worksheet!AE122)</f>
        <v/>
      </c>
      <c r="N122" t="str">
        <f>IF(Worksheet!AG122="","",Worksheet!AG122)</f>
        <v/>
      </c>
      <c r="O122" t="str">
        <f>IF(Worksheet!AJ122="","",Worksheet!AJ122)</f>
        <v>J18 A Haantjes CERTIFISC Oudenaarde</v>
      </c>
      <c r="P122" t="str">
        <f>IF(Worksheet!AK122="","",Worksheet!AK122)</f>
        <v>Speler</v>
      </c>
    </row>
    <row r="123" spans="1:16" x14ac:dyDescent="0.25">
      <c r="A123" t="str">
        <v>Limme De Zitter</v>
      </c>
      <c r="B123" t="str">
        <v>de.zitter.steve@gmail.com</v>
      </c>
      <c r="C123" t="str">
        <v>473423222</v>
      </c>
      <c r="D123" t="str">
        <v/>
      </c>
      <c r="E123" s="2">
        <v>742327</v>
      </c>
      <c r="F123" t="str">
        <v>M14 A Haantjes CERTIFISC  Oudenaarde</v>
      </c>
      <c r="G123" t="str">
        <v>Speler</v>
      </c>
      <c r="J123" t="str">
        <f>Worksheet!C123&amp;" "&amp;Worksheet!B123</f>
        <v>Sofian D'Haenen</v>
      </c>
      <c r="K123" t="str">
        <f>IF(Worksheet!P123&lt;&gt;"",Worksheet!P123,IF(Worksheet!R123&lt;&gt;"",Worksheet!R123,IF(Worksheet!T123&lt;&gt;"",Worksheet!T123,"")))</f>
        <v/>
      </c>
      <c r="L123" t="str">
        <f>IF(AND(Worksheet!V123&lt;&gt;"",Worksheet!V123&lt;&gt;0),Worksheet!V123&amp;"",IF(AND(Worksheet!X123&lt;&gt;"",Worksheet!X123&lt;&gt;0),Worksheet!X123&amp;"",IF(AND(Worksheet!Z123&lt;&gt;"",Worksheet!Z123&lt;&gt;0),Worksheet!Z123&amp;"","")))</f>
        <v/>
      </c>
      <c r="M123" t="str">
        <f>IF(Worksheet!AE123="","",Worksheet!AE123)</f>
        <v/>
      </c>
      <c r="N123" t="str">
        <f>IF(Worksheet!AG123="","",Worksheet!AG123)</f>
        <v/>
      </c>
      <c r="O123" t="str">
        <f>IF(Worksheet!AJ123="","",Worksheet!AJ123)</f>
        <v>Zomerstage 2026 (Blankenberge)</v>
      </c>
      <c r="P123" t="str">
        <f>IF(Worksheet!AK123="","",Worksheet!AK123)</f>
        <v>Speler</v>
      </c>
    </row>
    <row r="124" spans="1:16" x14ac:dyDescent="0.25">
      <c r="A124" t="str">
        <v>Maurice Debels</v>
      </c>
      <c r="B124" t="str">
        <v/>
      </c>
      <c r="C124" t="str">
        <v>0476521616</v>
      </c>
      <c r="D124" t="str">
        <v>https://app.twizzit.com/public/photos/7307064/s/62a20fb436e1f6920a77ad9e4cd715a7e88bd1d1.png</v>
      </c>
      <c r="E124" s="2" t="str">
        <v/>
      </c>
      <c r="F124" t="str">
        <v>G10 Blauw HAANTJES CERTIFISC OUDENAARDE</v>
      </c>
      <c r="G124" t="str">
        <v>Speler</v>
      </c>
      <c r="J124" t="str">
        <f>Worksheet!C124&amp;" "&amp;Worksheet!B124</f>
        <v>Sofian D'Haenen</v>
      </c>
      <c r="K124" t="str">
        <f>IF(Worksheet!P124&lt;&gt;"",Worksheet!P124,IF(Worksheet!R124&lt;&gt;"",Worksheet!R124,IF(Worksheet!T124&lt;&gt;"",Worksheet!T124,"")))</f>
        <v/>
      </c>
      <c r="L124" t="str">
        <f>IF(AND(Worksheet!V124&lt;&gt;"",Worksheet!V124&lt;&gt;0),Worksheet!V124&amp;"",IF(AND(Worksheet!X124&lt;&gt;"",Worksheet!X124&lt;&gt;0),Worksheet!X124&amp;"",IF(AND(Worksheet!Z124&lt;&gt;"",Worksheet!Z124&lt;&gt;0),Worksheet!Z124&amp;"","")))</f>
        <v/>
      </c>
      <c r="M124" t="str">
        <f>IF(Worksheet!AE124="","",Worksheet!AE124)</f>
        <v/>
      </c>
      <c r="N124" t="str">
        <f>IF(Worksheet!AG124="","",Worksheet!AG124)</f>
        <v/>
      </c>
      <c r="O124" t="str">
        <f>IF(Worksheet!AJ124="","",Worksheet!AJ124)</f>
        <v>HSE B Haantjes Certifisc Oudenaarde</v>
      </c>
      <c r="P124" t="str">
        <f>IF(Worksheet!AK124="","",Worksheet!AK124)</f>
        <v>Speler</v>
      </c>
    </row>
    <row r="125" spans="1:16" x14ac:dyDescent="0.25">
      <c r="A125" t="str">
        <v>Arthur Debisschop</v>
      </c>
      <c r="B125" t="str">
        <v/>
      </c>
      <c r="C125" t="str">
        <v>0486445874</v>
      </c>
      <c r="D125" t="str">
        <v/>
      </c>
      <c r="E125" s="2" t="str">
        <v/>
      </c>
      <c r="F125" t="str">
        <v>G14 B Haantjes CERTIFISC Oudenaarde</v>
      </c>
      <c r="G125" t="str">
        <v>Speler</v>
      </c>
      <c r="J125" t="str">
        <f>Worksheet!C125&amp;" "&amp;Worksheet!B125</f>
        <v>Yunus D'Haenen</v>
      </c>
      <c r="K125" t="str">
        <f>IF(Worksheet!P125&lt;&gt;"",Worksheet!P125,IF(Worksheet!R125&lt;&gt;"",Worksheet!R125,IF(Worksheet!T125&lt;&gt;"",Worksheet!T125,"")))</f>
        <v/>
      </c>
      <c r="L125" t="str">
        <f>IF(AND(Worksheet!V125&lt;&gt;"",Worksheet!V125&lt;&gt;0),Worksheet!V125&amp;"",IF(AND(Worksheet!X125&lt;&gt;"",Worksheet!X125&lt;&gt;0),Worksheet!X125&amp;"",IF(AND(Worksheet!Z125&lt;&gt;"",Worksheet!Z125&lt;&gt;0),Worksheet!Z125&amp;"","")))</f>
        <v/>
      </c>
      <c r="M125" t="str">
        <f>IF(Worksheet!AE125="","",Worksheet!AE125)</f>
        <v/>
      </c>
      <c r="N125" t="str">
        <f>IF(Worksheet!AG125="","",Worksheet!AG125)</f>
        <v/>
      </c>
      <c r="O125" t="str">
        <f>IF(Worksheet!AJ125="","",Worksheet!AJ125)</f>
        <v>J18 A Haantjes CERTIFISC Oudenaarde</v>
      </c>
      <c r="P125" t="str">
        <f>IF(Worksheet!AK125="","",Worksheet!AK125)</f>
        <v>Speler</v>
      </c>
    </row>
    <row r="126" spans="1:16" x14ac:dyDescent="0.25">
      <c r="A126" t="str">
        <v>Ryan Debouverie</v>
      </c>
      <c r="B126" t="str">
        <v/>
      </c>
      <c r="C126" t="str">
        <v>320496247133</v>
      </c>
      <c r="D126" t="str">
        <v/>
      </c>
      <c r="E126" s="2">
        <v>271615</v>
      </c>
      <c r="F126" t="str">
        <v>G10 Geel HAANTJES CERTIFISC OUDENAARDE</v>
      </c>
      <c r="G126" t="str">
        <v>Coach</v>
      </c>
      <c r="J126" t="str">
        <f>Worksheet!C126&amp;" "&amp;Worksheet!B126</f>
        <v>Yunus D'Haenen</v>
      </c>
      <c r="K126" t="str">
        <f>IF(Worksheet!P126&lt;&gt;"",Worksheet!P126,IF(Worksheet!R126&lt;&gt;"",Worksheet!R126,IF(Worksheet!T126&lt;&gt;"",Worksheet!T126,"")))</f>
        <v/>
      </c>
      <c r="L126" t="str">
        <f>IF(AND(Worksheet!V126&lt;&gt;"",Worksheet!V126&lt;&gt;0),Worksheet!V126&amp;"",IF(AND(Worksheet!X126&lt;&gt;"",Worksheet!X126&lt;&gt;0),Worksheet!X126&amp;"",IF(AND(Worksheet!Z126&lt;&gt;"",Worksheet!Z126&lt;&gt;0),Worksheet!Z126&amp;"","")))</f>
        <v/>
      </c>
      <c r="M126" t="str">
        <f>IF(Worksheet!AE126="","",Worksheet!AE126)</f>
        <v/>
      </c>
      <c r="N126" t="str">
        <f>IF(Worksheet!AG126="","",Worksheet!AG126)</f>
        <v/>
      </c>
      <c r="O126" t="str">
        <f>IF(Worksheet!AJ126="","",Worksheet!AJ126)</f>
        <v>Zomerstage 2026 (Blankenberge)</v>
      </c>
      <c r="P126" t="str">
        <f>IF(Worksheet!AK126="","",Worksheet!AK126)</f>
        <v>Speler</v>
      </c>
    </row>
    <row r="127" spans="1:16" x14ac:dyDescent="0.25">
      <c r="A127" t="str">
        <v>Ryan Debouverie</v>
      </c>
      <c r="B127" t="str">
        <v/>
      </c>
      <c r="C127" t="str">
        <v>320496247133</v>
      </c>
      <c r="D127" t="str">
        <v/>
      </c>
      <c r="E127" s="2">
        <v>271615</v>
      </c>
      <c r="F127" t="str">
        <v>HSE  C Haantjes Certifisc Oudenaarde</v>
      </c>
      <c r="G127" t="str">
        <v>Coach</v>
      </c>
      <c r="J127" t="str">
        <f>Worksheet!C127&amp;" "&amp;Worksheet!B127</f>
        <v>Mauro D'Haese</v>
      </c>
      <c r="K127" t="str">
        <f>IF(Worksheet!P127&lt;&gt;"",Worksheet!P127,IF(Worksheet!R127&lt;&gt;"",Worksheet!R127,IF(Worksheet!T127&lt;&gt;"",Worksheet!T127,"")))</f>
        <v/>
      </c>
      <c r="L127" t="str">
        <f>IF(AND(Worksheet!V127&lt;&gt;"",Worksheet!V127&lt;&gt;0),Worksheet!V127&amp;"",IF(AND(Worksheet!X127&lt;&gt;"",Worksheet!X127&lt;&gt;0),Worksheet!X127&amp;"",IF(AND(Worksheet!Z127&lt;&gt;"",Worksheet!Z127&lt;&gt;0),Worksheet!Z127&amp;"","")))</f>
        <v/>
      </c>
      <c r="M127" t="str">
        <f>IF(Worksheet!AE127="","",Worksheet!AE127)</f>
        <v/>
      </c>
      <c r="N127">
        <f>IF(Worksheet!AG127="","",Worksheet!AG127)</f>
        <v>720215</v>
      </c>
      <c r="O127" t="str">
        <f>IF(Worksheet!AJ127="","",Worksheet!AJ127)</f>
        <v/>
      </c>
      <c r="P127" t="str">
        <f>IF(Worksheet!AK127="","",Worksheet!AK127)</f>
        <v/>
      </c>
    </row>
    <row r="128" spans="1:16" x14ac:dyDescent="0.25">
      <c r="A128" t="str">
        <v>Ryan Debouverie</v>
      </c>
      <c r="B128" t="str">
        <v/>
      </c>
      <c r="C128" t="str">
        <v>320496247133</v>
      </c>
      <c r="D128" t="str">
        <v/>
      </c>
      <c r="E128" s="2">
        <v>271615</v>
      </c>
      <c r="F128" t="str">
        <v>HSE B Haantjes Certifisc Oudenaarde</v>
      </c>
      <c r="G128" t="str">
        <v>Speler</v>
      </c>
      <c r="J128" t="str">
        <f>Worksheet!C128&amp;" "&amp;Worksheet!B128</f>
        <v>Karen Dans</v>
      </c>
      <c r="K128" t="str">
        <f>IF(Worksheet!P128&lt;&gt;"",Worksheet!P128,IF(Worksheet!R128&lt;&gt;"",Worksheet!R128,IF(Worksheet!T128&lt;&gt;"",Worksheet!T128,"")))</f>
        <v/>
      </c>
      <c r="L128" t="str">
        <f>IF(AND(Worksheet!V128&lt;&gt;"",Worksheet!V128&lt;&gt;0),Worksheet!V128&amp;"",IF(AND(Worksheet!X128&lt;&gt;"",Worksheet!X128&lt;&gt;0),Worksheet!X128&amp;"",IF(AND(Worksheet!Z128&lt;&gt;"",Worksheet!Z128&lt;&gt;0),Worksheet!Z128&amp;"","")))</f>
        <v>320494698322</v>
      </c>
      <c r="M128" t="str">
        <f>IF(Worksheet!AE128="","",Worksheet!AE128)</f>
        <v>https://app.twizzit.com/public/photos/2182586/s/3c061ecaa7eb60b4e8b27f2490fa3fff24778b0c.png</v>
      </c>
      <c r="N128">
        <f>IF(Worksheet!AG128="","",Worksheet!AG128)</f>
        <v>220520</v>
      </c>
      <c r="O128" t="str">
        <f>IF(Worksheet!AJ128="","",Worksheet!AJ128)</f>
        <v>DSE A Haantjes Certifisc Oudenaarde</v>
      </c>
      <c r="P128" t="str">
        <f>IF(Worksheet!AK128="","",Worksheet!AK128)</f>
        <v>Speler</v>
      </c>
    </row>
    <row r="129" spans="1:16" x14ac:dyDescent="0.25">
      <c r="A129" t="str">
        <v>Seb Debouverie</v>
      </c>
      <c r="B129" t="str">
        <v/>
      </c>
      <c r="C129" t="str">
        <v>32474278078</v>
      </c>
      <c r="D129" t="str">
        <v>https://app.twizzit.com/public/photos/3470113/s/d4f4d56826c6eb1d41480a49a2f8240682b337d2.png</v>
      </c>
      <c r="E129" s="2" t="str">
        <v/>
      </c>
      <c r="F129" t="str">
        <v>G10 Geel HAANTJES CERTIFISC OUDENAARDE</v>
      </c>
      <c r="G129" t="str">
        <v>Speler</v>
      </c>
      <c r="J129" t="str">
        <f>Worksheet!C129&amp;" "&amp;Worksheet!B129</f>
        <v>Karen Dans</v>
      </c>
      <c r="K129" t="str">
        <f>IF(Worksheet!P129&lt;&gt;"",Worksheet!P129,IF(Worksheet!R129&lt;&gt;"",Worksheet!R129,IF(Worksheet!T129&lt;&gt;"",Worksheet!T129,"")))</f>
        <v/>
      </c>
      <c r="L129" t="str">
        <f>IF(AND(Worksheet!V129&lt;&gt;"",Worksheet!V129&lt;&gt;0),Worksheet!V129&amp;"",IF(AND(Worksheet!X129&lt;&gt;"",Worksheet!X129&lt;&gt;0),Worksheet!X129&amp;"",IF(AND(Worksheet!Z129&lt;&gt;"",Worksheet!Z129&lt;&gt;0),Worksheet!Z129&amp;"","")))</f>
        <v>320494698322</v>
      </c>
      <c r="M129" t="str">
        <f>IF(Worksheet!AE129="","",Worksheet!AE129)</f>
        <v>https://app.twizzit.com/public/photos/2182586/s/3c061ecaa7eb60b4e8b27f2490fa3fff24778b0c.png</v>
      </c>
      <c r="N129">
        <f>IF(Worksheet!AG129="","",Worksheet!AG129)</f>
        <v>220520</v>
      </c>
      <c r="O129" t="str">
        <f>IF(Worksheet!AJ129="","",Worksheet!AJ129)</f>
        <v>M10 HAANTJES CERTIFISC OUDENAARDE</v>
      </c>
      <c r="P129" t="str">
        <f>IF(Worksheet!AK129="","",Worksheet!AK129)</f>
        <v>Coach</v>
      </c>
    </row>
    <row r="130" spans="1:16" x14ac:dyDescent="0.25">
      <c r="A130" t="str">
        <v>Tille Debouverie</v>
      </c>
      <c r="B130" t="str">
        <v>debouverieryan@gmail.com</v>
      </c>
      <c r="C130" t="str">
        <v>32474278078</v>
      </c>
      <c r="D130" t="str">
        <v>https://app.twizzit.com/public/photos/10452578/s/292aacecec7d92bf38572d240646cc8a5ea5dc01.png</v>
      </c>
      <c r="E130" s="2" t="str">
        <v/>
      </c>
      <c r="F130" t="str">
        <v>G08 Groen HAANTJES CERTIFISC OUDENAARDE</v>
      </c>
      <c r="G130" t="str">
        <v>Speler</v>
      </c>
      <c r="J130" t="str">
        <f>Worksheet!C130&amp;" "&amp;Worksheet!B130</f>
        <v>Mauro Darragas</v>
      </c>
      <c r="K130" t="str">
        <f>IF(Worksheet!P130&lt;&gt;"",Worksheet!P130,IF(Worksheet!R130&lt;&gt;"",Worksheet!R130,IF(Worksheet!T130&lt;&gt;"",Worksheet!T130,"")))</f>
        <v>Ben_darragas@hotmail.com</v>
      </c>
      <c r="L130" t="str">
        <f>IF(AND(Worksheet!V130&lt;&gt;"",Worksheet!V130&lt;&gt;0),Worksheet!V130&amp;"",IF(AND(Worksheet!X130&lt;&gt;"",Worksheet!X130&lt;&gt;0),Worksheet!X130&amp;"",IF(AND(Worksheet!Z130&lt;&gt;"",Worksheet!Z130&lt;&gt;0),Worksheet!Z130&amp;"","")))</f>
        <v>473806201</v>
      </c>
      <c r="M130" t="str">
        <f>IF(Worksheet!AE130="","",Worksheet!AE130)</f>
        <v/>
      </c>
      <c r="N130" t="str">
        <f>IF(Worksheet!AG130="","",Worksheet!AG130)</f>
        <v/>
      </c>
      <c r="O130" t="str">
        <f>IF(Worksheet!AJ130="","",Worksheet!AJ130)</f>
        <v>G14 B Haantjes CERTIFISC Oudenaarde</v>
      </c>
      <c r="P130" t="str">
        <f>IF(Worksheet!AK130="","",Worksheet!AK130)</f>
        <v>Speler</v>
      </c>
    </row>
    <row r="131" spans="1:16" x14ac:dyDescent="0.25">
      <c r="A131" t="str">
        <v>Quentin Debruyne</v>
      </c>
      <c r="B131" t="str">
        <v/>
      </c>
      <c r="C131" t="str">
        <v>0471753995</v>
      </c>
      <c r="D131" t="str">
        <v/>
      </c>
      <c r="E131" s="2" t="str">
        <v/>
      </c>
      <c r="F131" t="str">
        <v>HSE  C Haantjes Certifisc Oudenaarde</v>
      </c>
      <c r="G131" t="str">
        <v>Speler</v>
      </c>
      <c r="J131" t="str">
        <f>Worksheet!C131&amp;" "&amp;Worksheet!B131</f>
        <v>Pip Dawyndt</v>
      </c>
      <c r="K131" t="str">
        <f>IF(Worksheet!P131&lt;&gt;"",Worksheet!P131,IF(Worksheet!R131&lt;&gt;"",Worksheet!R131,IF(Worksheet!T131&lt;&gt;"",Worksheet!T131,"")))</f>
        <v/>
      </c>
      <c r="L131" t="str">
        <f>IF(AND(Worksheet!V131&lt;&gt;"",Worksheet!V131&lt;&gt;0),Worksheet!V131&amp;"",IF(AND(Worksheet!X131&lt;&gt;"",Worksheet!X131&lt;&gt;0),Worksheet!X131&amp;"",IF(AND(Worksheet!Z131&lt;&gt;"",Worksheet!Z131&lt;&gt;0),Worksheet!Z131&amp;"","")))</f>
        <v>0473746819</v>
      </c>
      <c r="M131" t="str">
        <f>IF(Worksheet!AE131="","",Worksheet!AE131)</f>
        <v/>
      </c>
      <c r="N131">
        <f>IF(Worksheet!AG131="","",Worksheet!AG131)</f>
        <v>745355</v>
      </c>
      <c r="O131" t="str">
        <f>IF(Worksheet!AJ131="","",Worksheet!AJ131)</f>
        <v>M16 A Haantjes CERTIFISC  Oudenaarde</v>
      </c>
      <c r="P131" t="str">
        <f>IF(Worksheet!AK131="","",Worksheet!AK131)</f>
        <v>Speler</v>
      </c>
    </row>
    <row r="132" spans="1:16" x14ac:dyDescent="0.25">
      <c r="A132" t="str">
        <v>Rami Decock</v>
      </c>
      <c r="B132" t="str">
        <v>decock.anthony07@gmail.com</v>
      </c>
      <c r="C132" t="str">
        <v>049819525</v>
      </c>
      <c r="D132" t="str">
        <v/>
      </c>
      <c r="E132" s="2" t="str">
        <v/>
      </c>
      <c r="F132" t="str">
        <v>Balschool U6</v>
      </c>
      <c r="G132" t="str">
        <v>Speler</v>
      </c>
      <c r="J132" t="str">
        <f>Worksheet!C132&amp;" "&amp;Worksheet!B132</f>
        <v>Pip Dawyndt</v>
      </c>
      <c r="K132" t="str">
        <f>IF(Worksheet!P132&lt;&gt;"",Worksheet!P132,IF(Worksheet!R132&lt;&gt;"",Worksheet!R132,IF(Worksheet!T132&lt;&gt;"",Worksheet!T132,"")))</f>
        <v/>
      </c>
      <c r="L132" t="str">
        <f>IF(AND(Worksheet!V132&lt;&gt;"",Worksheet!V132&lt;&gt;0),Worksheet!V132&amp;"",IF(AND(Worksheet!X132&lt;&gt;"",Worksheet!X132&lt;&gt;0),Worksheet!X132&amp;"",IF(AND(Worksheet!Z132&lt;&gt;"",Worksheet!Z132&lt;&gt;0),Worksheet!Z132&amp;"","")))</f>
        <v>0473746819</v>
      </c>
      <c r="M132" t="str">
        <f>IF(Worksheet!AE132="","",Worksheet!AE132)</f>
        <v/>
      </c>
      <c r="N132">
        <f>IF(Worksheet!AG132="","",Worksheet!AG132)</f>
        <v>745355</v>
      </c>
      <c r="O132" t="str">
        <f>IF(Worksheet!AJ132="","",Worksheet!AJ132)</f>
        <v>Zomerstage 2026 (Blankenberge)</v>
      </c>
      <c r="P132" t="str">
        <f>IF(Worksheet!AK132="","",Worksheet!AK132)</f>
        <v>Speler</v>
      </c>
    </row>
    <row r="133" spans="1:16" x14ac:dyDescent="0.25">
      <c r="A133" t="str">
        <v>Dieuwke Decroix</v>
      </c>
      <c r="B133" t="str">
        <v>decroix.willem@gmail.com</v>
      </c>
      <c r="C133" t="str">
        <v>0483596928</v>
      </c>
      <c r="D133" t="str">
        <v/>
      </c>
      <c r="E133" s="2">
        <v>752195</v>
      </c>
      <c r="F133" t="str">
        <v>M19 A Haantjes CERTIFISC Oudenaarde</v>
      </c>
      <c r="G133" t="str">
        <v>Speler</v>
      </c>
      <c r="J133" t="str">
        <f>Worksheet!C133&amp;" "&amp;Worksheet!B133</f>
        <v>Tom Dawyndt</v>
      </c>
      <c r="K133" t="str">
        <f>IF(Worksheet!P133&lt;&gt;"",Worksheet!P133,IF(Worksheet!R133&lt;&gt;"",Worksheet!R133,IF(Worksheet!T133&lt;&gt;"",Worksheet!T133,"")))</f>
        <v/>
      </c>
      <c r="L133" t="str">
        <f>IF(AND(Worksheet!V133&lt;&gt;"",Worksheet!V133&lt;&gt;0),Worksheet!V133&amp;"",IF(AND(Worksheet!X133&lt;&gt;"",Worksheet!X133&lt;&gt;0),Worksheet!X133&amp;"",IF(AND(Worksheet!Z133&lt;&gt;"",Worksheet!Z133&lt;&gt;0),Worksheet!Z133&amp;"","")))</f>
        <v>0496273638</v>
      </c>
      <c r="M133" t="str">
        <f>IF(Worksheet!AE133="","",Worksheet!AE133)</f>
        <v/>
      </c>
      <c r="N133" t="str">
        <f>IF(Worksheet!AG133="","",Worksheet!AG133)</f>
        <v/>
      </c>
      <c r="O133" t="str">
        <f>IF(Worksheet!AJ133="","",Worksheet!AJ133)</f>
        <v/>
      </c>
      <c r="P133" t="str">
        <f>IF(Worksheet!AK133="","",Worksheet!AK133)</f>
        <v/>
      </c>
    </row>
    <row r="134" spans="1:16" x14ac:dyDescent="0.25">
      <c r="A134" t="str">
        <v>Jules Dekkar</v>
      </c>
      <c r="B134" t="str">
        <v>hakim.dekkar@icloud.com</v>
      </c>
      <c r="C134" t="str">
        <v>32499679978</v>
      </c>
      <c r="D134" t="str">
        <v>https://app.twizzit.com/public/photos/3451601/s/35fd5f537189934e8013cbeb18029ae3e97fcdcc.jpeg</v>
      </c>
      <c r="E134" s="2">
        <v>747253</v>
      </c>
      <c r="F134" t="str">
        <v>G14 A Haantjes CERTIFISC Oudenaarde</v>
      </c>
      <c r="G134" t="str">
        <v>Speler</v>
      </c>
      <c r="J134" t="str">
        <f>Worksheet!C134&amp;" "&amp;Worksheet!B134</f>
        <v>Tom Dawyndt</v>
      </c>
      <c r="K134" t="str">
        <f>IF(Worksheet!P134&lt;&gt;"",Worksheet!P134,IF(Worksheet!R134&lt;&gt;"",Worksheet!R134,IF(Worksheet!T134&lt;&gt;"",Worksheet!T134,"")))</f>
        <v/>
      </c>
      <c r="L134" t="str">
        <f>IF(AND(Worksheet!V134&lt;&gt;"",Worksheet!V134&lt;&gt;0),Worksheet!V134&amp;"",IF(AND(Worksheet!X134&lt;&gt;"",Worksheet!X134&lt;&gt;0),Worksheet!X134&amp;"",IF(AND(Worksheet!Z134&lt;&gt;"",Worksheet!Z134&lt;&gt;0),Worksheet!Z134&amp;"","")))</f>
        <v>0496273638</v>
      </c>
      <c r="M134" t="str">
        <f>IF(Worksheet!AE134="","",Worksheet!AE134)</f>
        <v/>
      </c>
      <c r="N134" t="str">
        <f>IF(Worksheet!AG134="","",Worksheet!AG134)</f>
        <v/>
      </c>
      <c r="O134" t="str">
        <f>IF(Worksheet!AJ134="","",Worksheet!AJ134)</f>
        <v/>
      </c>
      <c r="P134" t="str">
        <f>IF(Worksheet!AK134="","",Worksheet!AK134)</f>
        <v/>
      </c>
    </row>
    <row r="135" spans="1:16" x14ac:dyDescent="0.25">
      <c r="A135" t="str">
        <v>Jules Dekkar</v>
      </c>
      <c r="B135" t="str">
        <v>hakim.dekkar@icloud.com</v>
      </c>
      <c r="C135" t="str">
        <v>32499679978</v>
      </c>
      <c r="D135" t="str">
        <v>https://app.twizzit.com/public/photos/3451601/s/35fd5f537189934e8013cbeb18029ae3e97fcdcc.jpeg</v>
      </c>
      <c r="E135" s="2">
        <v>747253</v>
      </c>
      <c r="F135" t="str">
        <v>Zomerstage 2026 (Blankenberge)</v>
      </c>
      <c r="G135" t="str">
        <v>Speler</v>
      </c>
      <c r="J135" t="str">
        <f>Worksheet!C135&amp;" "&amp;Worksheet!B135</f>
        <v>Louis De Baere</v>
      </c>
      <c r="K135" t="str">
        <f>IF(Worksheet!P135&lt;&gt;"",Worksheet!P135,IF(Worksheet!R135&lt;&gt;"",Worksheet!R135,IF(Worksheet!T135&lt;&gt;"",Worksheet!T135,"")))</f>
        <v/>
      </c>
      <c r="L135" t="str">
        <f>IF(AND(Worksheet!V135&lt;&gt;"",Worksheet!V135&lt;&gt;0),Worksheet!V135&amp;"",IF(AND(Worksheet!X135&lt;&gt;"",Worksheet!X135&lt;&gt;0),Worksheet!X135&amp;"",IF(AND(Worksheet!Z135&lt;&gt;"",Worksheet!Z135&lt;&gt;0),Worksheet!Z135&amp;"","")))</f>
        <v>0491029558</v>
      </c>
      <c r="M135" t="str">
        <f>IF(Worksheet!AE135="","",Worksheet!AE135)</f>
        <v/>
      </c>
      <c r="N135" t="str">
        <f>IF(Worksheet!AG135="","",Worksheet!AG135)</f>
        <v/>
      </c>
      <c r="O135" t="str">
        <f>IF(Worksheet!AJ135="","",Worksheet!AJ135)</f>
        <v>HSE  C Haantjes Certifisc Oudenaarde</v>
      </c>
      <c r="P135" t="str">
        <f>IF(Worksheet!AK135="","",Worksheet!AK135)</f>
        <v>Speler</v>
      </c>
    </row>
    <row r="136" spans="1:16" x14ac:dyDescent="0.25">
      <c r="A136" t="str">
        <v>Jakob Delbaere</v>
      </c>
      <c r="B136" t="str">
        <v/>
      </c>
      <c r="C136" t="str">
        <v>0474233989</v>
      </c>
      <c r="D136" t="str">
        <v/>
      </c>
      <c r="E136" s="2" t="str">
        <v/>
      </c>
      <c r="F136" t="str">
        <v>Balschool U6</v>
      </c>
      <c r="G136" t="str">
        <v>Speler</v>
      </c>
      <c r="J136" t="str">
        <f>Worksheet!C136&amp;" "&amp;Worksheet!B136</f>
        <v>Nadine De Block</v>
      </c>
      <c r="K136" t="str">
        <f>IF(Worksheet!P136&lt;&gt;"",Worksheet!P136,IF(Worksheet!R136&lt;&gt;"",Worksheet!R136,IF(Worksheet!T136&lt;&gt;"",Worksheet!T136,"")))</f>
        <v/>
      </c>
      <c r="L136" t="str">
        <f>IF(AND(Worksheet!V136&lt;&gt;"",Worksheet!V136&lt;&gt;0),Worksheet!V136&amp;"",IF(AND(Worksheet!X136&lt;&gt;"",Worksheet!X136&lt;&gt;0),Worksheet!X136&amp;"",IF(AND(Worksheet!Z136&lt;&gt;"",Worksheet!Z136&lt;&gt;0),Worksheet!Z136&amp;"","")))</f>
        <v/>
      </c>
      <c r="M136" t="str">
        <f>IF(Worksheet!AE136="","",Worksheet!AE136)</f>
        <v/>
      </c>
      <c r="N136">
        <f>IF(Worksheet!AG136="","",Worksheet!AG136)</f>
        <v>609483</v>
      </c>
      <c r="O136" t="str">
        <f>IF(Worksheet!AJ136="","",Worksheet!AJ136)</f>
        <v/>
      </c>
      <c r="P136" t="str">
        <f>IF(Worksheet!AK136="","",Worksheet!AK136)</f>
        <v/>
      </c>
    </row>
    <row r="137" spans="1:16" x14ac:dyDescent="0.25">
      <c r="A137" t="str">
        <v>Mathias Delcroix</v>
      </c>
      <c r="B137" t="str">
        <v>Delcroix.dieter@hotmail.com</v>
      </c>
      <c r="C137" t="str">
        <v>0487106040</v>
      </c>
      <c r="D137" t="str">
        <v/>
      </c>
      <c r="E137" s="2" t="str">
        <v/>
      </c>
      <c r="F137" t="str">
        <v>G12 Blauw HAANTJES CERTIFISC OUDENAARDE</v>
      </c>
      <c r="G137" t="str">
        <v>Speler</v>
      </c>
      <c r="J137" t="str">
        <f>Worksheet!C137&amp;" "&amp;Worksheet!B137</f>
        <v>Marieke De Boe</v>
      </c>
      <c r="K137" t="str">
        <f>IF(Worksheet!P137&lt;&gt;"",Worksheet!P137,IF(Worksheet!R137&lt;&gt;"",Worksheet!R137,IF(Worksheet!T137&lt;&gt;"",Worksheet!T137,"")))</f>
        <v/>
      </c>
      <c r="L137" t="str">
        <f>IF(AND(Worksheet!V137&lt;&gt;"",Worksheet!V137&lt;&gt;0),Worksheet!V137&amp;"",IF(AND(Worksheet!X137&lt;&gt;"",Worksheet!X137&lt;&gt;0),Worksheet!X137&amp;"",IF(AND(Worksheet!Z137&lt;&gt;"",Worksheet!Z137&lt;&gt;0),Worksheet!Z137&amp;"","")))</f>
        <v/>
      </c>
      <c r="M137" t="str">
        <f>IF(Worksheet!AE137="","",Worksheet!AE137)</f>
        <v/>
      </c>
      <c r="N137" t="str">
        <f>IF(Worksheet!AG137="","",Worksheet!AG137)</f>
        <v/>
      </c>
      <c r="O137" t="str">
        <f>IF(Worksheet!AJ137="","",Worksheet!AJ137)</f>
        <v/>
      </c>
      <c r="P137" t="str">
        <f>IF(Worksheet!AK137="","",Worksheet!AK137)</f>
        <v/>
      </c>
    </row>
    <row r="138" spans="1:16" x14ac:dyDescent="0.25">
      <c r="A138" t="str">
        <v>Mathias Delcroix</v>
      </c>
      <c r="B138" t="str">
        <v>Delcroix.dieter@hotmail.com</v>
      </c>
      <c r="C138" t="str">
        <v>0487106040</v>
      </c>
      <c r="D138" t="str">
        <v/>
      </c>
      <c r="E138" s="2" t="str">
        <v/>
      </c>
      <c r="F138" t="str">
        <v>Zomerstage 2026 (Blankenberge)</v>
      </c>
      <c r="G138" t="str">
        <v>Speler</v>
      </c>
      <c r="J138" t="str">
        <f>Worksheet!C138&amp;" "&amp;Worksheet!B138</f>
        <v>Ria De Bosschere</v>
      </c>
      <c r="K138" t="str">
        <f>IF(Worksheet!P138&lt;&gt;"",Worksheet!P138,IF(Worksheet!R138&lt;&gt;"",Worksheet!R138,IF(Worksheet!T138&lt;&gt;"",Worksheet!T138,"")))</f>
        <v/>
      </c>
      <c r="L138" t="str">
        <f>IF(AND(Worksheet!V138&lt;&gt;"",Worksheet!V138&lt;&gt;0),Worksheet!V138&amp;"",IF(AND(Worksheet!X138&lt;&gt;"",Worksheet!X138&lt;&gt;0),Worksheet!X138&amp;"",IF(AND(Worksheet!Z138&lt;&gt;"",Worksheet!Z138&lt;&gt;0),Worksheet!Z138&amp;"","")))</f>
        <v>32496034315</v>
      </c>
      <c r="M138" t="str">
        <f>IF(Worksheet!AE138="","",Worksheet!AE138)</f>
        <v/>
      </c>
      <c r="N138">
        <f>IF(Worksheet!AG138="","",Worksheet!AG138)</f>
        <v>661059</v>
      </c>
      <c r="O138" t="str">
        <f>IF(Worksheet!AJ138="","",Worksheet!AJ138)</f>
        <v/>
      </c>
      <c r="P138" t="str">
        <f>IF(Worksheet!AK138="","",Worksheet!AK138)</f>
        <v/>
      </c>
    </row>
    <row r="139" spans="1:16" x14ac:dyDescent="0.25">
      <c r="A139" t="str">
        <v>Lora Demets</v>
      </c>
      <c r="B139" t="str">
        <v>Lowie.demets@telenet.be</v>
      </c>
      <c r="C139" t="str">
        <v>0474450168</v>
      </c>
      <c r="D139" t="str">
        <v/>
      </c>
      <c r="E139" s="2">
        <v>741137</v>
      </c>
      <c r="F139" t="str">
        <v>Zomerstage 2026 (Blankenberge)</v>
      </c>
      <c r="G139" t="str">
        <v>Speler</v>
      </c>
      <c r="J139" t="str">
        <f>Worksheet!C139&amp;" "&amp;Worksheet!B139</f>
        <v>David De Brabander</v>
      </c>
      <c r="K139" t="str">
        <f>IF(Worksheet!P139&lt;&gt;"",Worksheet!P139,IF(Worksheet!R139&lt;&gt;"",Worksheet!R139,IF(Worksheet!T139&lt;&gt;"",Worksheet!T139,"")))</f>
        <v/>
      </c>
      <c r="L139" t="str">
        <f>IF(AND(Worksheet!V139&lt;&gt;"",Worksheet!V139&lt;&gt;0),Worksheet!V139&amp;"",IF(AND(Worksheet!X139&lt;&gt;"",Worksheet!X139&lt;&gt;0),Worksheet!X139&amp;"",IF(AND(Worksheet!Z139&lt;&gt;"",Worksheet!Z139&lt;&gt;0),Worksheet!Z139&amp;"","")))</f>
        <v>0478251758</v>
      </c>
      <c r="M139" t="str">
        <f>IF(Worksheet!AE139="","",Worksheet!AE139)</f>
        <v>https://app.twizzit.com/public/photos/4024795/s/7af12ff114d5d53515b4f220ddc6cdb6ff121519.png</v>
      </c>
      <c r="N139">
        <f>IF(Worksheet!AG139="","",Worksheet!AG139)</f>
        <v>32746</v>
      </c>
      <c r="O139" t="str">
        <f>IF(Worksheet!AJ139="","",Worksheet!AJ139)</f>
        <v>J21 A HAANTJES CERTIFISC OUDENAARDE</v>
      </c>
      <c r="P139" t="str">
        <f>IF(Worksheet!AK139="","",Worksheet!AK139)</f>
        <v>Coach</v>
      </c>
    </row>
    <row r="140" spans="1:16" x14ac:dyDescent="0.25">
      <c r="A140" t="str">
        <v>Lora Demets</v>
      </c>
      <c r="B140" t="str">
        <v>Lowie.demets@telenet.be</v>
      </c>
      <c r="C140" t="str">
        <v>0474450168</v>
      </c>
      <c r="D140" t="str">
        <v/>
      </c>
      <c r="E140" s="2">
        <v>741137</v>
      </c>
      <c r="F140" t="str">
        <v>M19 A Haantjes CERTIFISC Oudenaarde</v>
      </c>
      <c r="G140" t="str">
        <v>Speler</v>
      </c>
      <c r="J140" t="str">
        <f>Worksheet!C140&amp;" "&amp;Worksheet!B140</f>
        <v>David De Brabander</v>
      </c>
      <c r="K140" t="str">
        <f>IF(Worksheet!P140&lt;&gt;"",Worksheet!P140,IF(Worksheet!R140&lt;&gt;"",Worksheet!R140,IF(Worksheet!T140&lt;&gt;"",Worksheet!T140,"")))</f>
        <v/>
      </c>
      <c r="L140" t="str">
        <f>IF(AND(Worksheet!V140&lt;&gt;"",Worksheet!V140&lt;&gt;0),Worksheet!V140&amp;"",IF(AND(Worksheet!X140&lt;&gt;"",Worksheet!X140&lt;&gt;0),Worksheet!X140&amp;"",IF(AND(Worksheet!Z140&lt;&gt;"",Worksheet!Z140&lt;&gt;0),Worksheet!Z140&amp;"","")))</f>
        <v>0478251758</v>
      </c>
      <c r="M140" t="str">
        <f>IF(Worksheet!AE140="","",Worksheet!AE140)</f>
        <v>https://app.twizzit.com/public/photos/4024795/s/7af12ff114d5d53515b4f220ddc6cdb6ff121519.png</v>
      </c>
      <c r="N140">
        <f>IF(Worksheet!AG140="","",Worksheet!AG140)</f>
        <v>32746</v>
      </c>
      <c r="O140" t="str">
        <f>IF(Worksheet!AJ140="","",Worksheet!AJ140)</f>
        <v>Zomerstage 2026 (Blankenberge)</v>
      </c>
      <c r="P140" t="str">
        <f>IF(Worksheet!AK140="","",Worksheet!AK140)</f>
        <v>Coach</v>
      </c>
    </row>
    <row r="141" spans="1:16" x14ac:dyDescent="0.25">
      <c r="A141" t="str">
        <v>Omer Demets</v>
      </c>
      <c r="B141" t="str">
        <v>Lowie.demets@telenet.be</v>
      </c>
      <c r="C141" t="str">
        <v>0474450168</v>
      </c>
      <c r="D141" t="str">
        <v/>
      </c>
      <c r="E141" s="2" t="str">
        <v/>
      </c>
      <c r="F141" t="str">
        <v>Zomerstage 2026 (Blankenberge)</v>
      </c>
      <c r="G141" t="str">
        <v>Speler</v>
      </c>
      <c r="J141" t="str">
        <f>Worksheet!C141&amp;" "&amp;Worksheet!B141</f>
        <v>David De Brabander</v>
      </c>
      <c r="K141" t="str">
        <f>IF(Worksheet!P141&lt;&gt;"",Worksheet!P141,IF(Worksheet!R141&lt;&gt;"",Worksheet!R141,IF(Worksheet!T141&lt;&gt;"",Worksheet!T141,"")))</f>
        <v/>
      </c>
      <c r="L141" t="str">
        <f>IF(AND(Worksheet!V141&lt;&gt;"",Worksheet!V141&lt;&gt;0),Worksheet!V141&amp;"",IF(AND(Worksheet!X141&lt;&gt;"",Worksheet!X141&lt;&gt;0),Worksheet!X141&amp;"",IF(AND(Worksheet!Z141&lt;&gt;"",Worksheet!Z141&lt;&gt;0),Worksheet!Z141&amp;"","")))</f>
        <v>0478251758</v>
      </c>
      <c r="M141" t="str">
        <f>IF(Worksheet!AE141="","",Worksheet!AE141)</f>
        <v>https://app.twizzit.com/public/photos/4024795/s/7af12ff114d5d53515b4f220ddc6cdb6ff121519.png</v>
      </c>
      <c r="N141">
        <f>IF(Worksheet!AG141="","",Worksheet!AG141)</f>
        <v>32746</v>
      </c>
      <c r="O141" t="str">
        <f>IF(Worksheet!AJ141="","",Worksheet!AJ141)</f>
        <v>HSE B Haantjes Certifisc Oudenaarde</v>
      </c>
      <c r="P141" t="str">
        <f>IF(Worksheet!AK141="","",Worksheet!AK141)</f>
        <v>Coach</v>
      </c>
    </row>
    <row r="142" spans="1:16" x14ac:dyDescent="0.25">
      <c r="A142" t="str">
        <v>Omer Demets</v>
      </c>
      <c r="B142" t="str">
        <v>Lowie.demets@telenet.be</v>
      </c>
      <c r="C142" t="str">
        <v>0474450168</v>
      </c>
      <c r="D142" t="str">
        <v/>
      </c>
      <c r="E142" s="2" t="str">
        <v/>
      </c>
      <c r="F142" t="str">
        <v>G12 Geel HAANTJES CERTIFISC OUDENAARDE</v>
      </c>
      <c r="G142" t="str">
        <v>Speler</v>
      </c>
      <c r="J142" t="str">
        <f>Worksheet!C142&amp;" "&amp;Worksheet!B142</f>
        <v>David De Brabander</v>
      </c>
      <c r="K142" t="str">
        <f>IF(Worksheet!P142&lt;&gt;"",Worksheet!P142,IF(Worksheet!R142&lt;&gt;"",Worksheet!R142,IF(Worksheet!T142&lt;&gt;"",Worksheet!T142,"")))</f>
        <v/>
      </c>
      <c r="L142" t="str">
        <f>IF(AND(Worksheet!V142&lt;&gt;"",Worksheet!V142&lt;&gt;0),Worksheet!V142&amp;"",IF(AND(Worksheet!X142&lt;&gt;"",Worksheet!X142&lt;&gt;0),Worksheet!X142&amp;"",IF(AND(Worksheet!Z142&lt;&gt;"",Worksheet!Z142&lt;&gt;0),Worksheet!Z142&amp;"","")))</f>
        <v>0478251758</v>
      </c>
      <c r="M142" t="str">
        <f>IF(Worksheet!AE142="","",Worksheet!AE142)</f>
        <v>https://app.twizzit.com/public/photos/4024795/s/7af12ff114d5d53515b4f220ddc6cdb6ff121519.png</v>
      </c>
      <c r="N142">
        <f>IF(Worksheet!AG142="","",Worksheet!AG142)</f>
        <v>32746</v>
      </c>
      <c r="O142" t="str">
        <f>IF(Worksheet!AJ142="","",Worksheet!AJ142)</f>
        <v>J18 A Haantjes CERTIFISC Oudenaarde</v>
      </c>
      <c r="P142" t="str">
        <f>IF(Worksheet!AK142="","",Worksheet!AK142)</f>
        <v>Coach</v>
      </c>
    </row>
    <row r="143" spans="1:16" x14ac:dyDescent="0.25">
      <c r="A143" t="str">
        <v>Renée Deraedt</v>
      </c>
      <c r="B143" t="str">
        <v/>
      </c>
      <c r="C143" t="str">
        <v>320477714035</v>
      </c>
      <c r="D143" t="str">
        <v>https://app.twizzit.com/public/photos/7328300/s/7e2d6dfb7100b0ca8feb8f22a68ce2009271348a.png</v>
      </c>
      <c r="E143" s="2" t="str">
        <v/>
      </c>
      <c r="F143" t="str">
        <v>M10 HAANTJES CERTIFISC OUDENAARDE</v>
      </c>
      <c r="G143" t="str">
        <v>Speler</v>
      </c>
      <c r="J143" t="str">
        <f>Worksheet!C143&amp;" "&amp;Worksheet!B143</f>
        <v>Milan De Brabander</v>
      </c>
      <c r="K143" t="str">
        <f>IF(Worksheet!P143&lt;&gt;"",Worksheet!P143,IF(Worksheet!R143&lt;&gt;"",Worksheet!R143,IF(Worksheet!T143&lt;&gt;"",Worksheet!T143,"")))</f>
        <v>Dorinne.reynen@gmail.com</v>
      </c>
      <c r="L143" t="str">
        <f>IF(AND(Worksheet!V143&lt;&gt;"",Worksheet!V143&lt;&gt;0),Worksheet!V143&amp;"",IF(AND(Worksheet!X143&lt;&gt;"",Worksheet!X143&lt;&gt;0),Worksheet!X143&amp;"",IF(AND(Worksheet!Z143&lt;&gt;"",Worksheet!Z143&lt;&gt;0),Worksheet!Z143&amp;"","")))</f>
        <v>0473865789</v>
      </c>
      <c r="M143" t="str">
        <f>IF(Worksheet!AE143="","",Worksheet!AE143)</f>
        <v>https://app.twizzit.com/public/photos/3519915/s/cb4bbdba90c700302dcd9548901e284ce021df92.jpeg</v>
      </c>
      <c r="N143">
        <f>IF(Worksheet!AG143="","",Worksheet!AG143)</f>
        <v>748910</v>
      </c>
      <c r="O143" t="str">
        <f>IF(Worksheet!AJ143="","",Worksheet!AJ143)</f>
        <v>J18 A Haantjes CERTIFISC Oudenaarde</v>
      </c>
      <c r="P143" t="str">
        <f>IF(Worksheet!AK143="","",Worksheet!AK143)</f>
        <v>Speler</v>
      </c>
    </row>
    <row r="144" spans="1:16" x14ac:dyDescent="0.25">
      <c r="A144" t="str">
        <v>Renée Deraedt</v>
      </c>
      <c r="B144" t="str">
        <v/>
      </c>
      <c r="C144" t="str">
        <v>320477714035</v>
      </c>
      <c r="D144" t="str">
        <v>https://app.twizzit.com/public/photos/7328300/s/7e2d6dfb7100b0ca8feb8f22a68ce2009271348a.png</v>
      </c>
      <c r="E144" s="2" t="str">
        <v/>
      </c>
      <c r="F144" t="str">
        <v>Zomerstage 2026 U10 &amp; U12 (Oudenaarde)</v>
      </c>
      <c r="G144" t="str">
        <v>Speler</v>
      </c>
      <c r="J144" t="str">
        <f>Worksheet!C144&amp;" "&amp;Worksheet!B144</f>
        <v>Milan De Brabander</v>
      </c>
      <c r="K144" t="str">
        <f>IF(Worksheet!P144&lt;&gt;"",Worksheet!P144,IF(Worksheet!R144&lt;&gt;"",Worksheet!R144,IF(Worksheet!T144&lt;&gt;"",Worksheet!T144,"")))</f>
        <v>Dorinne.reynen@gmail.com</v>
      </c>
      <c r="L144" t="str">
        <f>IF(AND(Worksheet!V144&lt;&gt;"",Worksheet!V144&lt;&gt;0),Worksheet!V144&amp;"",IF(AND(Worksheet!X144&lt;&gt;"",Worksheet!X144&lt;&gt;0),Worksheet!X144&amp;"",IF(AND(Worksheet!Z144&lt;&gt;"",Worksheet!Z144&lt;&gt;0),Worksheet!Z144&amp;"","")))</f>
        <v>0473865789</v>
      </c>
      <c r="M144" t="str">
        <f>IF(Worksheet!AE144="","",Worksheet!AE144)</f>
        <v>https://app.twizzit.com/public/photos/3519915/s/cb4bbdba90c700302dcd9548901e284ce021df92.jpeg</v>
      </c>
      <c r="N144">
        <f>IF(Worksheet!AG144="","",Worksheet!AG144)</f>
        <v>748910</v>
      </c>
      <c r="O144" t="str">
        <f>IF(Worksheet!AJ144="","",Worksheet!AJ144)</f>
        <v>HSE B Haantjes Certifisc Oudenaarde</v>
      </c>
      <c r="P144" t="str">
        <f>IF(Worksheet!AK144="","",Worksheet!AK144)</f>
        <v>Speler</v>
      </c>
    </row>
    <row r="145" spans="1:16" x14ac:dyDescent="0.25">
      <c r="A145" t="str">
        <v>Quinten Derous</v>
      </c>
      <c r="B145" t="str">
        <v/>
      </c>
      <c r="C145" t="str">
        <v>0468258571</v>
      </c>
      <c r="D145" t="str">
        <v/>
      </c>
      <c r="E145" s="2">
        <v>624753</v>
      </c>
      <c r="F145" t="str">
        <v>HSE A Haantjes Certifisc Oudenaarde</v>
      </c>
      <c r="G145" t="str">
        <v>Speler</v>
      </c>
      <c r="J145" t="str">
        <f>Worksheet!C145&amp;" "&amp;Worksheet!B145</f>
        <v>Norah De Cauwer</v>
      </c>
      <c r="K145" t="str">
        <f>IF(Worksheet!P145&lt;&gt;"",Worksheet!P145,IF(Worksheet!R145&lt;&gt;"",Worksheet!R145,IF(Worksheet!T145&lt;&gt;"",Worksheet!T145,"")))</f>
        <v>thomasdecauwer@msn.com</v>
      </c>
      <c r="L145" t="str">
        <f>IF(AND(Worksheet!V145&lt;&gt;"",Worksheet!V145&lt;&gt;0),Worksheet!V145&amp;"",IF(AND(Worksheet!X145&lt;&gt;"",Worksheet!X145&lt;&gt;0),Worksheet!X145&amp;"",IF(AND(Worksheet!Z145&lt;&gt;"",Worksheet!Z145&lt;&gt;0),Worksheet!Z145&amp;"","")))</f>
        <v>00499380833</v>
      </c>
      <c r="M145" t="str">
        <f>IF(Worksheet!AE145="","",Worksheet!AE145)</f>
        <v/>
      </c>
      <c r="N145" t="str">
        <f>IF(Worksheet!AG145="","",Worksheet!AG145)</f>
        <v/>
      </c>
      <c r="O145" t="str">
        <f>IF(Worksheet!AJ145="","",Worksheet!AJ145)</f>
        <v/>
      </c>
      <c r="P145" t="str">
        <f>IF(Worksheet!AK145="","",Worksheet!AK145)</f>
        <v/>
      </c>
    </row>
    <row r="146" spans="1:16" x14ac:dyDescent="0.25">
      <c r="A146" t="str">
        <v>Vinke Derycke</v>
      </c>
      <c r="B146" t="str">
        <v>stevenderycke244@gmail.com</v>
      </c>
      <c r="C146" t="str">
        <v>32484679541</v>
      </c>
      <c r="D146" t="str">
        <v/>
      </c>
      <c r="E146" s="2" t="str">
        <v/>
      </c>
      <c r="F146" t="str">
        <v>G12 Geel HAANTJES CERTIFISC OUDENAARDE</v>
      </c>
      <c r="G146" t="str">
        <v>Speler</v>
      </c>
      <c r="J146" t="str">
        <f>Worksheet!C146&amp;" "&amp;Worksheet!B146</f>
        <v xml:space="preserve">Camiel De Clercq </v>
      </c>
      <c r="K146" t="str">
        <f>IF(Worksheet!P146&lt;&gt;"",Worksheet!P146,IF(Worksheet!R146&lt;&gt;"",Worksheet!R146,IF(Worksheet!T146&lt;&gt;"",Worksheet!T146,"")))</f>
        <v/>
      </c>
      <c r="L146" t="str">
        <f>IF(AND(Worksheet!V146&lt;&gt;"",Worksheet!V146&lt;&gt;0),Worksheet!V146&amp;"",IF(AND(Worksheet!X146&lt;&gt;"",Worksheet!X146&lt;&gt;0),Worksheet!X146&amp;"",IF(AND(Worksheet!Z146&lt;&gt;"",Worksheet!Z146&lt;&gt;0),Worksheet!Z146&amp;"","")))</f>
        <v>00499129081</v>
      </c>
      <c r="M146" t="str">
        <f>IF(Worksheet!AE146="","",Worksheet!AE146)</f>
        <v/>
      </c>
      <c r="N146" t="str">
        <f>IF(Worksheet!AG146="","",Worksheet!AG146)</f>
        <v/>
      </c>
      <c r="O146" t="str">
        <f>IF(Worksheet!AJ146="","",Worksheet!AJ146)</f>
        <v>HSE  C Haantjes Certifisc Oudenaarde</v>
      </c>
      <c r="P146" t="str">
        <f>IF(Worksheet!AK146="","",Worksheet!AK146)</f>
        <v>Speler</v>
      </c>
    </row>
    <row r="147" spans="1:16" x14ac:dyDescent="0.25">
      <c r="A147" t="str">
        <v>Vinke Derycke</v>
      </c>
      <c r="B147" t="str">
        <v>stevenderycke244@gmail.com</v>
      </c>
      <c r="C147" t="str">
        <v>32484679541</v>
      </c>
      <c r="D147" t="str">
        <v/>
      </c>
      <c r="E147" s="2" t="str">
        <v/>
      </c>
      <c r="F147" t="str">
        <v>Zomerstage 2026 U10 &amp; U12 (Oudenaarde)</v>
      </c>
      <c r="G147" t="str">
        <v>Speler</v>
      </c>
      <c r="J147" t="str">
        <f>Worksheet!C147&amp;" "&amp;Worksheet!B147</f>
        <v>Lieven De Clercq</v>
      </c>
      <c r="K147" t="str">
        <f>IF(Worksheet!P147&lt;&gt;"",Worksheet!P147,IF(Worksheet!R147&lt;&gt;"",Worksheet!R147,IF(Worksheet!T147&lt;&gt;"",Worksheet!T147,"")))</f>
        <v/>
      </c>
      <c r="L147" t="str">
        <f>IF(AND(Worksheet!V147&lt;&gt;"",Worksheet!V147&lt;&gt;0),Worksheet!V147&amp;"",IF(AND(Worksheet!X147&lt;&gt;"",Worksheet!X147&lt;&gt;0),Worksheet!X147&amp;"",IF(AND(Worksheet!Z147&lt;&gt;"",Worksheet!Z147&lt;&gt;0),Worksheet!Z147&amp;"","")))</f>
        <v/>
      </c>
      <c r="M147" t="str">
        <f>IF(Worksheet!AE147="","",Worksheet!AE147)</f>
        <v/>
      </c>
      <c r="N147" t="str">
        <f>IF(Worksheet!AG147="","",Worksheet!AG147)</f>
        <v/>
      </c>
      <c r="O147" t="str">
        <f>IF(Worksheet!AJ147="","",Worksheet!AJ147)</f>
        <v/>
      </c>
      <c r="P147" t="str">
        <f>IF(Worksheet!AK147="","",Worksheet!AK147)</f>
        <v/>
      </c>
    </row>
    <row r="148" spans="1:16" x14ac:dyDescent="0.25">
      <c r="A148" t="str">
        <v>Ode Desmet</v>
      </c>
      <c r="B148" t="str">
        <v>freyamalfait@icloud.com</v>
      </c>
      <c r="C148" t="str">
        <v>0472832063</v>
      </c>
      <c r="D148" t="str">
        <v>https://app.twizzit.com/public/photos/2650916/s/be89217f1fc3b11d85c4b13abcca39bae64798e5.png</v>
      </c>
      <c r="E148" s="2">
        <v>742234</v>
      </c>
      <c r="F148" t="str">
        <v>Zomerstage 2026 (Blankenberge)</v>
      </c>
      <c r="G148" t="str">
        <v>Speler</v>
      </c>
      <c r="J148" t="str">
        <f>Worksheet!C148&amp;" "&amp;Worksheet!B148</f>
        <v>Mathieu De Clercq</v>
      </c>
      <c r="K148" t="str">
        <f>IF(Worksheet!P148&lt;&gt;"",Worksheet!P148,IF(Worksheet!R148&lt;&gt;"",Worksheet!R148,IF(Worksheet!T148&lt;&gt;"",Worksheet!T148,"")))</f>
        <v/>
      </c>
      <c r="L148" t="str">
        <f>IF(AND(Worksheet!V148&lt;&gt;"",Worksheet!V148&lt;&gt;0),Worksheet!V148&amp;"",IF(AND(Worksheet!X148&lt;&gt;"",Worksheet!X148&lt;&gt;0),Worksheet!X148&amp;"",IF(AND(Worksheet!Z148&lt;&gt;"",Worksheet!Z148&lt;&gt;0),Worksheet!Z148&amp;"","")))</f>
        <v>0495786491</v>
      </c>
      <c r="M148" t="str">
        <f>IF(Worksheet!AE148="","",Worksheet!AE148)</f>
        <v/>
      </c>
      <c r="N148">
        <f>IF(Worksheet!AG148="","",Worksheet!AG148)</f>
        <v>600191</v>
      </c>
      <c r="O148" t="str">
        <f>IF(Worksheet!AJ148="","",Worksheet!AJ148)</f>
        <v>HSE B Haantjes Certifisc Oudenaarde</v>
      </c>
      <c r="P148" t="str">
        <f>IF(Worksheet!AK148="","",Worksheet!AK148)</f>
        <v>Speler</v>
      </c>
    </row>
    <row r="149" spans="1:16" x14ac:dyDescent="0.25">
      <c r="A149" t="str">
        <v>Ode Desmet</v>
      </c>
      <c r="B149" t="str">
        <v>freyamalfait@icloud.com</v>
      </c>
      <c r="C149" t="str">
        <v>0472832063</v>
      </c>
      <c r="D149" t="str">
        <v>https://app.twizzit.com/public/photos/2650916/s/be89217f1fc3b11d85c4b13abcca39bae64798e5.png</v>
      </c>
      <c r="E149" s="2">
        <v>742234</v>
      </c>
      <c r="F149" t="str">
        <v>M14 A Haantjes CERTIFISC  Oudenaarde</v>
      </c>
      <c r="G149" t="str">
        <v>Speler</v>
      </c>
      <c r="J149" t="str">
        <f>Worksheet!C149&amp;" "&amp;Worksheet!B149</f>
        <v>Robbe De Clercq</v>
      </c>
      <c r="K149" t="str">
        <f>IF(Worksheet!P149&lt;&gt;"",Worksheet!P149,IF(Worksheet!R149&lt;&gt;"",Worksheet!R149,IF(Worksheet!T149&lt;&gt;"",Worksheet!T149,"")))</f>
        <v/>
      </c>
      <c r="L149" t="str">
        <f>IF(AND(Worksheet!V149&lt;&gt;"",Worksheet!V149&lt;&gt;0),Worksheet!V149&amp;"",IF(AND(Worksheet!X149&lt;&gt;"",Worksheet!X149&lt;&gt;0),Worksheet!X149&amp;"",IF(AND(Worksheet!Z149&lt;&gt;"",Worksheet!Z149&lt;&gt;0),Worksheet!Z149&amp;"","")))</f>
        <v/>
      </c>
      <c r="M149" t="str">
        <f>IF(Worksheet!AE149="","",Worksheet!AE149)</f>
        <v/>
      </c>
      <c r="N149">
        <f>IF(Worksheet!AG149="","",Worksheet!AG149)</f>
        <v>631328</v>
      </c>
      <c r="O149" t="str">
        <f>IF(Worksheet!AJ149="","",Worksheet!AJ149)</f>
        <v>HSE  C Haantjes Certifisc Oudenaarde</v>
      </c>
      <c r="P149" t="str">
        <f>IF(Worksheet!AK149="","",Worksheet!AK149)</f>
        <v>Speler</v>
      </c>
    </row>
    <row r="150" spans="1:16" x14ac:dyDescent="0.25">
      <c r="A150" t="str">
        <v>Tibo Despriet</v>
      </c>
      <c r="B150" t="str">
        <v>Tibo.despriet@gmail.com</v>
      </c>
      <c r="C150" t="str">
        <v/>
      </c>
      <c r="D150" t="str">
        <v>https://app.twizzit.com/public/photos/3884890/s/99828396af5826db82003655528894a4f299045f.jpeg</v>
      </c>
      <c r="E150" s="2" t="str">
        <v/>
      </c>
      <c r="F150" t="str">
        <v>J16 A Haantjes CERTIFISC Oudenaarde</v>
      </c>
      <c r="G150" t="str">
        <v>Speler</v>
      </c>
      <c r="J150" t="str">
        <f>Worksheet!C150&amp;" "&amp;Worksheet!B150</f>
        <v>Tybe De Clercq</v>
      </c>
      <c r="K150" t="str">
        <f>IF(Worksheet!P150&lt;&gt;"",Worksheet!P150,IF(Worksheet!R150&lt;&gt;"",Worksheet!R150,IF(Worksheet!T150&lt;&gt;"",Worksheet!T150,"")))</f>
        <v>freyadesmet@hotmail.com</v>
      </c>
      <c r="L150" t="str">
        <f>IF(AND(Worksheet!V150&lt;&gt;"",Worksheet!V150&lt;&gt;0),Worksheet!V150&amp;"",IF(AND(Worksheet!X150&lt;&gt;"",Worksheet!X150&lt;&gt;0),Worksheet!X150&amp;"",IF(AND(Worksheet!Z150&lt;&gt;"",Worksheet!Z150&lt;&gt;0),Worksheet!Z150&amp;"","")))</f>
        <v>0476214551</v>
      </c>
      <c r="M150" t="str">
        <f>IF(Worksheet!AE150="","",Worksheet!AE150)</f>
        <v/>
      </c>
      <c r="N150" t="str">
        <f>IF(Worksheet!AG150="","",Worksheet!AG150)</f>
        <v/>
      </c>
      <c r="O150" t="str">
        <f>IF(Worksheet!AJ150="","",Worksheet!AJ150)</f>
        <v>G08 Blauw HAANTJES CERTIFISC OUDENAARDE</v>
      </c>
      <c r="P150" t="str">
        <f>IF(Worksheet!AK150="","",Worksheet!AK150)</f>
        <v>Speler</v>
      </c>
    </row>
    <row r="151" spans="1:16" x14ac:dyDescent="0.25">
      <c r="A151" t="str">
        <v>Tibo Despriet</v>
      </c>
      <c r="B151" t="str">
        <v>Tibo.despriet@gmail.com</v>
      </c>
      <c r="C151" t="str">
        <v/>
      </c>
      <c r="D151" t="str">
        <v>https://app.twizzit.com/public/photos/3884890/s/99828396af5826db82003655528894a4f299045f.jpeg</v>
      </c>
      <c r="E151" s="2" t="str">
        <v/>
      </c>
      <c r="F151" t="str">
        <v>Zomerstage 2026 (Blankenberge)</v>
      </c>
      <c r="G151" t="str">
        <v>Speler</v>
      </c>
      <c r="J151" t="str">
        <f>Worksheet!C151&amp;" "&amp;Worksheet!B151</f>
        <v>Tybe De Clercq</v>
      </c>
      <c r="K151" t="str">
        <f>IF(Worksheet!P151&lt;&gt;"",Worksheet!P151,IF(Worksheet!R151&lt;&gt;"",Worksheet!R151,IF(Worksheet!T151&lt;&gt;"",Worksheet!T151,"")))</f>
        <v>freyadesmet@hotmail.com</v>
      </c>
      <c r="L151" t="str">
        <f>IF(AND(Worksheet!V151&lt;&gt;"",Worksheet!V151&lt;&gt;0),Worksheet!V151&amp;"",IF(AND(Worksheet!X151&lt;&gt;"",Worksheet!X151&lt;&gt;0),Worksheet!X151&amp;"",IF(AND(Worksheet!Z151&lt;&gt;"",Worksheet!Z151&lt;&gt;0),Worksheet!Z151&amp;"","")))</f>
        <v>0476214551</v>
      </c>
      <c r="M151" t="str">
        <f>IF(Worksheet!AE151="","",Worksheet!AE151)</f>
        <v/>
      </c>
      <c r="N151" t="str">
        <f>IF(Worksheet!AG151="","",Worksheet!AG151)</f>
        <v/>
      </c>
      <c r="O151" t="str">
        <f>IF(Worksheet!AJ151="","",Worksheet!AJ151)</f>
        <v>Zomerstage 2026 U8 (Oudenaarde)</v>
      </c>
      <c r="P151" t="str">
        <f>IF(Worksheet!AK151="","",Worksheet!AK151)</f>
        <v>Speler</v>
      </c>
    </row>
    <row r="152" spans="1:16" x14ac:dyDescent="0.25">
      <c r="A152" t="str">
        <v>Alexis Devos</v>
      </c>
      <c r="B152" t="str">
        <v/>
      </c>
      <c r="C152" t="str">
        <v>0495886987</v>
      </c>
      <c r="D152" t="str">
        <v>https://app.twizzit.com/public/photos/6106676/s/2ae43246aa8142b23f5743a7efbb9e280e512170.png</v>
      </c>
      <c r="E152" s="2">
        <v>763877</v>
      </c>
      <c r="F152" t="str">
        <v>G14 B Haantjes CERTIFISC Oudenaarde</v>
      </c>
      <c r="G152" t="str">
        <v>Speler</v>
      </c>
      <c r="J152" t="str">
        <f>Worksheet!C152&amp;" "&amp;Worksheet!B152</f>
        <v>Wim De Clercq</v>
      </c>
      <c r="K152" t="str">
        <f>IF(Worksheet!P152&lt;&gt;"",Worksheet!P152,IF(Worksheet!R152&lt;&gt;"",Worksheet!R152,IF(Worksheet!T152&lt;&gt;"",Worksheet!T152,"")))</f>
        <v/>
      </c>
      <c r="L152" t="str">
        <f>IF(AND(Worksheet!V152&lt;&gt;"",Worksheet!V152&lt;&gt;0),Worksheet!V152&amp;"",IF(AND(Worksheet!X152&lt;&gt;"",Worksheet!X152&lt;&gt;0),Worksheet!X152&amp;"",IF(AND(Worksheet!Z152&lt;&gt;"",Worksheet!Z152&lt;&gt;0),Worksheet!Z152&amp;"","")))</f>
        <v>0475797952</v>
      </c>
      <c r="M152" t="str">
        <f>IF(Worksheet!AE152="","",Worksheet!AE152)</f>
        <v/>
      </c>
      <c r="N152">
        <f>IF(Worksheet!AG152="","",Worksheet!AG152)</f>
        <v>250423</v>
      </c>
      <c r="O152" t="str">
        <f>IF(Worksheet!AJ152="","",Worksheet!AJ152)</f>
        <v/>
      </c>
      <c r="P152" t="str">
        <f>IF(Worksheet!AK152="","",Worksheet!AK152)</f>
        <v/>
      </c>
    </row>
    <row r="153" spans="1:16" x14ac:dyDescent="0.25">
      <c r="A153" t="str">
        <v>Alexis Devos</v>
      </c>
      <c r="B153" t="str">
        <v/>
      </c>
      <c r="C153" t="str">
        <v>0495886987</v>
      </c>
      <c r="D153" t="str">
        <v>https://app.twizzit.com/public/photos/6106676/s/2ae43246aa8142b23f5743a7efbb9e280e512170.png</v>
      </c>
      <c r="E153" s="2">
        <v>763877</v>
      </c>
      <c r="F153" t="str">
        <v>Zomerstage 2026 (Blankenberge)</v>
      </c>
      <c r="G153" t="str">
        <v>Speler</v>
      </c>
      <c r="J153" t="str">
        <f>Worksheet!C153&amp;" "&amp;Worksheet!B153</f>
        <v>Wim De Clercq</v>
      </c>
      <c r="K153" t="str">
        <f>IF(Worksheet!P153&lt;&gt;"",Worksheet!P153,IF(Worksheet!R153&lt;&gt;"",Worksheet!R153,IF(Worksheet!T153&lt;&gt;"",Worksheet!T153,"")))</f>
        <v/>
      </c>
      <c r="L153" t="str">
        <f>IF(AND(Worksheet!V153&lt;&gt;"",Worksheet!V153&lt;&gt;0),Worksheet!V153&amp;"",IF(AND(Worksheet!X153&lt;&gt;"",Worksheet!X153&lt;&gt;0),Worksheet!X153&amp;"",IF(AND(Worksheet!Z153&lt;&gt;"",Worksheet!Z153&lt;&gt;0),Worksheet!Z153&amp;"","")))</f>
        <v>0475797952</v>
      </c>
      <c r="M153" t="str">
        <f>IF(Worksheet!AE153="","",Worksheet!AE153)</f>
        <v/>
      </c>
      <c r="N153">
        <f>IF(Worksheet!AG153="","",Worksheet!AG153)</f>
        <v>250423</v>
      </c>
      <c r="O153" t="str">
        <f>IF(Worksheet!AJ153="","",Worksheet!AJ153)</f>
        <v/>
      </c>
      <c r="P153" t="str">
        <f>IF(Worksheet!AK153="","",Worksheet!AK153)</f>
        <v/>
      </c>
    </row>
    <row r="154" spans="1:16" x14ac:dyDescent="0.25">
      <c r="A154" t="str">
        <v>Emmanuelle Dewaele</v>
      </c>
      <c r="B154" t="str">
        <v/>
      </c>
      <c r="C154" t="str">
        <v>0498070140</v>
      </c>
      <c r="D154" t="str">
        <v/>
      </c>
      <c r="E154" s="2" t="str">
        <v/>
      </c>
      <c r="F154" t="str">
        <v>M12 A HAANTJES CERTIFISC OUDENAARDE</v>
      </c>
      <c r="G154" t="str">
        <v>Speler</v>
      </c>
      <c r="J154" t="str">
        <f>Worksheet!C154&amp;" "&amp;Worksheet!B154</f>
        <v>Maure De Coen</v>
      </c>
      <c r="K154" t="str">
        <f>IF(Worksheet!P154&lt;&gt;"",Worksheet!P154,IF(Worksheet!R154&lt;&gt;"",Worksheet!R154,IF(Worksheet!T154&lt;&gt;"",Worksheet!T154,"")))</f>
        <v>Achimdecoen@hotmail.com</v>
      </c>
      <c r="L154" t="str">
        <f>IF(AND(Worksheet!V154&lt;&gt;"",Worksheet!V154&lt;&gt;0),Worksheet!V154&amp;"",IF(AND(Worksheet!X154&lt;&gt;"",Worksheet!X154&lt;&gt;0),Worksheet!X154&amp;"",IF(AND(Worksheet!Z154&lt;&gt;"",Worksheet!Z154&lt;&gt;0),Worksheet!Z154&amp;"","")))</f>
        <v>0473760932</v>
      </c>
      <c r="M154" t="str">
        <f>IF(Worksheet!AE154="","",Worksheet!AE154)</f>
        <v/>
      </c>
      <c r="N154" t="str">
        <f>IF(Worksheet!AG154="","",Worksheet!AG154)</f>
        <v/>
      </c>
      <c r="O154" t="str">
        <f>IF(Worksheet!AJ154="","",Worksheet!AJ154)</f>
        <v>M16 A Haantjes CERTIFISC  Oudenaarde</v>
      </c>
      <c r="P154" t="str">
        <f>IF(Worksheet!AK154="","",Worksheet!AK154)</f>
        <v>Speler</v>
      </c>
    </row>
    <row r="155" spans="1:16" x14ac:dyDescent="0.25">
      <c r="A155" t="str">
        <v>Nathan Dewaele</v>
      </c>
      <c r="B155" t="str">
        <v>wesleydewaele@yahoo.co.uk</v>
      </c>
      <c r="C155" t="str">
        <v>478347087</v>
      </c>
      <c r="D155" t="str">
        <v>https://app.twizzit.com/public/photos/2182816/s/c00a73a61de05b1991d5eac8f8ad498e97a90e40.png</v>
      </c>
      <c r="E155" s="2">
        <v>718781</v>
      </c>
      <c r="F155" t="str">
        <v>J16 A Haantjes CERTIFISC Oudenaarde</v>
      </c>
      <c r="G155" t="str">
        <v>Speler</v>
      </c>
      <c r="J155" t="str">
        <f>Worksheet!C155&amp;" "&amp;Worksheet!B155</f>
        <v>Mike De Coker</v>
      </c>
      <c r="K155" t="str">
        <f>IF(Worksheet!P155&lt;&gt;"",Worksheet!P155,IF(Worksheet!R155&lt;&gt;"",Worksheet!R155,IF(Worksheet!T155&lt;&gt;"",Worksheet!T155,"")))</f>
        <v/>
      </c>
      <c r="L155" t="str">
        <f>IF(AND(Worksheet!V155&lt;&gt;"",Worksheet!V155&lt;&gt;0),Worksheet!V155&amp;"",IF(AND(Worksheet!X155&lt;&gt;"",Worksheet!X155&lt;&gt;0),Worksheet!X155&amp;"",IF(AND(Worksheet!Z155&lt;&gt;"",Worksheet!Z155&lt;&gt;0),Worksheet!Z155&amp;"","")))</f>
        <v>320472679659</v>
      </c>
      <c r="M155" t="str">
        <f>IF(Worksheet!AE155="","",Worksheet!AE155)</f>
        <v/>
      </c>
      <c r="N155">
        <f>IF(Worksheet!AG155="","",Worksheet!AG155)</f>
        <v>630887</v>
      </c>
      <c r="O155" t="str">
        <f>IF(Worksheet!AJ155="","",Worksheet!AJ155)</f>
        <v/>
      </c>
      <c r="P155" t="str">
        <f>IF(Worksheet!AK155="","",Worksheet!AK155)</f>
        <v/>
      </c>
    </row>
    <row r="156" spans="1:16" x14ac:dyDescent="0.25">
      <c r="A156" t="str">
        <v>Nathan Dewaele</v>
      </c>
      <c r="B156" t="str">
        <v>wesleydewaele@yahoo.co.uk</v>
      </c>
      <c r="C156" t="str">
        <v>478347087</v>
      </c>
      <c r="D156" t="str">
        <v>https://app.twizzit.com/public/photos/2182816/s/c00a73a61de05b1991d5eac8f8ad498e97a90e40.png</v>
      </c>
      <c r="E156" s="2">
        <v>718781</v>
      </c>
      <c r="F156" t="str">
        <v>Zomerstage 2026 (Blankenberge)</v>
      </c>
      <c r="G156" t="str">
        <v>Speler</v>
      </c>
      <c r="J156" t="str">
        <f>Worksheet!C156&amp;" "&amp;Worksheet!B156</f>
        <v>Billie De Coninck</v>
      </c>
      <c r="K156" t="str">
        <f>IF(Worksheet!P156&lt;&gt;"",Worksheet!P156,IF(Worksheet!R156&lt;&gt;"",Worksheet!R156,IF(Worksheet!T156&lt;&gt;"",Worksheet!T156,"")))</f>
        <v>kinoo.astrid@hotmail.com</v>
      </c>
      <c r="L156" t="str">
        <f>IF(AND(Worksheet!V156&lt;&gt;"",Worksheet!V156&lt;&gt;0),Worksheet!V156&amp;"",IF(AND(Worksheet!X156&lt;&gt;"",Worksheet!X156&lt;&gt;0),Worksheet!X156&amp;"",IF(AND(Worksheet!Z156&lt;&gt;"",Worksheet!Z156&lt;&gt;0),Worksheet!Z156&amp;"","")))</f>
        <v>0489941519</v>
      </c>
      <c r="M156" t="str">
        <f>IF(Worksheet!AE156="","",Worksheet!AE156)</f>
        <v/>
      </c>
      <c r="N156" t="str">
        <f>IF(Worksheet!AG156="","",Worksheet!AG156)</f>
        <v/>
      </c>
      <c r="O156" t="str">
        <f>IF(Worksheet!AJ156="","",Worksheet!AJ156)</f>
        <v/>
      </c>
      <c r="P156" t="str">
        <f>IF(Worksheet!AK156="","",Worksheet!AK156)</f>
        <v/>
      </c>
    </row>
    <row r="157" spans="1:16" x14ac:dyDescent="0.25">
      <c r="A157" t="str">
        <v>Jules Dewilde</v>
      </c>
      <c r="B157" t="str">
        <v>niekdewilde@hotmail.be</v>
      </c>
      <c r="C157" t="str">
        <v>0472914166</v>
      </c>
      <c r="D157" t="str">
        <v/>
      </c>
      <c r="E157" s="2" t="str">
        <v/>
      </c>
      <c r="F157" t="str">
        <v>G14 A Haantjes CERTIFISC Oudenaarde</v>
      </c>
      <c r="G157" t="str">
        <v>Speler</v>
      </c>
      <c r="J157" t="str">
        <f>Worksheet!C157&amp;" "&amp;Worksheet!B157</f>
        <v>Minne De Coninck</v>
      </c>
      <c r="K157" t="str">
        <f>IF(Worksheet!P157&lt;&gt;"",Worksheet!P157,IF(Worksheet!R157&lt;&gt;"",Worksheet!R157,IF(Worksheet!T157&lt;&gt;"",Worksheet!T157,"")))</f>
        <v>joosdeconinck@hotmail.com</v>
      </c>
      <c r="L157" t="str">
        <f>IF(AND(Worksheet!V157&lt;&gt;"",Worksheet!V157&lt;&gt;0),Worksheet!V157&amp;"",IF(AND(Worksheet!X157&lt;&gt;"",Worksheet!X157&lt;&gt;0),Worksheet!X157&amp;"",IF(AND(Worksheet!Z157&lt;&gt;"",Worksheet!Z157&lt;&gt;0),Worksheet!Z157&amp;"","")))</f>
        <v>0475398321</v>
      </c>
      <c r="M157" t="str">
        <f>IF(Worksheet!AE157="","",Worksheet!AE157)</f>
        <v/>
      </c>
      <c r="N157">
        <f>IF(Worksheet!AG157="","",Worksheet!AG157)</f>
        <v>762628</v>
      </c>
      <c r="O157" t="str">
        <f>IF(Worksheet!AJ157="","",Worksheet!AJ157)</f>
        <v>M12 A HAANTJES CERTIFISC OUDENAARDE</v>
      </c>
      <c r="P157" t="str">
        <f>IF(Worksheet!AK157="","",Worksheet!AK157)</f>
        <v>Speler</v>
      </c>
    </row>
    <row r="158" spans="1:16" x14ac:dyDescent="0.25">
      <c r="A158" t="str">
        <v>Jules Dewilde</v>
      </c>
      <c r="B158" t="str">
        <v>niekdewilde@hotmail.be</v>
      </c>
      <c r="C158" t="str">
        <v>0472914166</v>
      </c>
      <c r="D158" t="str">
        <v/>
      </c>
      <c r="E158" s="2" t="str">
        <v/>
      </c>
      <c r="F158" t="str">
        <v>Zomerstage 2026 (Blankenberge)</v>
      </c>
      <c r="G158" t="str">
        <v>Speler</v>
      </c>
      <c r="J158" t="str">
        <f>Worksheet!C158&amp;" "&amp;Worksheet!B158</f>
        <v>Len De Coussemaker</v>
      </c>
      <c r="K158" t="str">
        <f>IF(Worksheet!P158&lt;&gt;"",Worksheet!P158,IF(Worksheet!R158&lt;&gt;"",Worksheet!R158,IF(Worksheet!T158&lt;&gt;"",Worksheet!T158,"")))</f>
        <v>kristien.vdv@telenet.be</v>
      </c>
      <c r="L158" t="str">
        <f>IF(AND(Worksheet!V158&lt;&gt;"",Worksheet!V158&lt;&gt;0),Worksheet!V158&amp;"",IF(AND(Worksheet!X158&lt;&gt;"",Worksheet!X158&lt;&gt;0),Worksheet!X158&amp;"",IF(AND(Worksheet!Z158&lt;&gt;"",Worksheet!Z158&lt;&gt;0),Worksheet!Z158&amp;"","")))</f>
        <v>32468280854</v>
      </c>
      <c r="M158" t="str">
        <f>IF(Worksheet!AE158="","",Worksheet!AE158)</f>
        <v>https://app.twizzit.com/public/photos/2182636/s/ac8133dfa6021f95e4cb86240c3d9e68218f8a83.png</v>
      </c>
      <c r="N158">
        <f>IF(Worksheet!AG158="","",Worksheet!AG158)</f>
        <v>717356</v>
      </c>
      <c r="O158" t="str">
        <f>IF(Worksheet!AJ158="","",Worksheet!AJ158)</f>
        <v>J16 B Haantjes CERTIFISC Oudenaarde</v>
      </c>
      <c r="P158" t="str">
        <f>IF(Worksheet!AK158="","",Worksheet!AK158)</f>
        <v>Speler</v>
      </c>
    </row>
    <row r="159" spans="1:16" x14ac:dyDescent="0.25">
      <c r="A159" t="str">
        <v>Jarno Dhont</v>
      </c>
      <c r="B159" t="str">
        <v>dhont.lieven1@gmail.com</v>
      </c>
      <c r="C159" t="str">
        <v>320468292174</v>
      </c>
      <c r="D159" t="str">
        <v/>
      </c>
      <c r="E159" s="2">
        <v>658022</v>
      </c>
      <c r="F159" t="str">
        <v>HSE  C Haantjes Certifisc Oudenaarde</v>
      </c>
      <c r="G159" t="str">
        <v>Speler</v>
      </c>
      <c r="J159" t="str">
        <f>Worksheet!C159&amp;" "&amp;Worksheet!B159</f>
        <v>Len De Coussemaker</v>
      </c>
      <c r="K159" t="str">
        <f>IF(Worksheet!P159&lt;&gt;"",Worksheet!P159,IF(Worksheet!R159&lt;&gt;"",Worksheet!R159,IF(Worksheet!T159&lt;&gt;"",Worksheet!T159,"")))</f>
        <v>kristien.vdv@telenet.be</v>
      </c>
      <c r="L159" t="str">
        <f>IF(AND(Worksheet!V159&lt;&gt;"",Worksheet!V159&lt;&gt;0),Worksheet!V159&amp;"",IF(AND(Worksheet!X159&lt;&gt;"",Worksheet!X159&lt;&gt;0),Worksheet!X159&amp;"",IF(AND(Worksheet!Z159&lt;&gt;"",Worksheet!Z159&lt;&gt;0),Worksheet!Z159&amp;"","")))</f>
        <v>32468280854</v>
      </c>
      <c r="M159" t="str">
        <f>IF(Worksheet!AE159="","",Worksheet!AE159)</f>
        <v>https://app.twizzit.com/public/photos/2182636/s/ac8133dfa6021f95e4cb86240c3d9e68218f8a83.png</v>
      </c>
      <c r="N159">
        <f>IF(Worksheet!AG159="","",Worksheet!AG159)</f>
        <v>717356</v>
      </c>
      <c r="O159" t="str">
        <f>IF(Worksheet!AJ159="","",Worksheet!AJ159)</f>
        <v>Zomerstage 2026 (Blankenberge)</v>
      </c>
      <c r="P159" t="str">
        <f>IF(Worksheet!AK159="","",Worksheet!AK159)</f>
        <v>Speler</v>
      </c>
    </row>
    <row r="160" spans="1:16" x14ac:dyDescent="0.25">
      <c r="A160" t="str">
        <v>Kenneth Dhont</v>
      </c>
      <c r="B160" t="str">
        <v/>
      </c>
      <c r="C160" t="str">
        <v>0477485789</v>
      </c>
      <c r="D160" t="str">
        <v/>
      </c>
      <c r="E160" s="2">
        <v>50455</v>
      </c>
      <c r="F160" t="str">
        <v>Zomerstage 2026 (Blankenberge)</v>
      </c>
      <c r="G160" t="str">
        <v>Coach</v>
      </c>
      <c r="J160" t="str">
        <f>Worksheet!C160&amp;" "&amp;Worksheet!B160</f>
        <v>Niels De Coussemaker</v>
      </c>
      <c r="K160" t="str">
        <f>IF(Worksheet!P160&lt;&gt;"",Worksheet!P160,IF(Worksheet!R160&lt;&gt;"",Worksheet!R160,IF(Worksheet!T160&lt;&gt;"",Worksheet!T160,"")))</f>
        <v>kristien@coussies.be</v>
      </c>
      <c r="L160" t="str">
        <f>IF(AND(Worksheet!V160&lt;&gt;"",Worksheet!V160&lt;&gt;0),Worksheet!V160&amp;"",IF(AND(Worksheet!X160&lt;&gt;"",Worksheet!X160&lt;&gt;0),Worksheet!X160&amp;"",IF(AND(Worksheet!Z160&lt;&gt;"",Worksheet!Z160&lt;&gt;0),Worksheet!Z160&amp;"","")))</f>
        <v>32490195438</v>
      </c>
      <c r="M160" t="str">
        <f>IF(Worksheet!AE160="","",Worksheet!AE160)</f>
        <v>https://app.twizzit.com/public/photos/2182641/s/bc2ed87ccb6bf61129b3522eabde4c5cff856719.png</v>
      </c>
      <c r="N160">
        <f>IF(Worksheet!AG160="","",Worksheet!AG160)</f>
        <v>708695</v>
      </c>
      <c r="O160" t="str">
        <f>IF(Worksheet!AJ160="","",Worksheet!AJ160)</f>
        <v>J18 B Haantjes CERTIFISC Oudenaarde</v>
      </c>
      <c r="P160" t="str">
        <f>IF(Worksheet!AK160="","",Worksheet!AK160)</f>
        <v>Speler</v>
      </c>
    </row>
    <row r="161" spans="1:16" x14ac:dyDescent="0.25">
      <c r="A161" t="str">
        <v>Kenneth Dhont</v>
      </c>
      <c r="B161" t="str">
        <v/>
      </c>
      <c r="C161" t="str">
        <v>0477485789</v>
      </c>
      <c r="D161" t="str">
        <v/>
      </c>
      <c r="E161" s="2">
        <v>50455</v>
      </c>
      <c r="F161" t="str">
        <v>Zomerstage 2026 U8 (Oudenaarde)</v>
      </c>
      <c r="G161" t="str">
        <v>Coach</v>
      </c>
      <c r="J161" t="str">
        <f>Worksheet!C161&amp;" "&amp;Worksheet!B161</f>
        <v>Niels De Coussemaker</v>
      </c>
      <c r="K161" t="str">
        <f>IF(Worksheet!P161&lt;&gt;"",Worksheet!P161,IF(Worksheet!R161&lt;&gt;"",Worksheet!R161,IF(Worksheet!T161&lt;&gt;"",Worksheet!T161,"")))</f>
        <v>kristien@coussies.be</v>
      </c>
      <c r="L161" t="str">
        <f>IF(AND(Worksheet!V161&lt;&gt;"",Worksheet!V161&lt;&gt;0),Worksheet!V161&amp;"",IF(AND(Worksheet!X161&lt;&gt;"",Worksheet!X161&lt;&gt;0),Worksheet!X161&amp;"",IF(AND(Worksheet!Z161&lt;&gt;"",Worksheet!Z161&lt;&gt;0),Worksheet!Z161&amp;"","")))</f>
        <v>32490195438</v>
      </c>
      <c r="M161" t="str">
        <f>IF(Worksheet!AE161="","",Worksheet!AE161)</f>
        <v>https://app.twizzit.com/public/photos/2182641/s/bc2ed87ccb6bf61129b3522eabde4c5cff856719.png</v>
      </c>
      <c r="N161">
        <f>IF(Worksheet!AG161="","",Worksheet!AG161)</f>
        <v>708695</v>
      </c>
      <c r="O161" t="str">
        <f>IF(Worksheet!AJ161="","",Worksheet!AJ161)</f>
        <v>Zomerstage 2026 (Blankenberge)</v>
      </c>
      <c r="P161" t="str">
        <f>IF(Worksheet!AK161="","",Worksheet!AK161)</f>
        <v>Speler</v>
      </c>
    </row>
    <row r="162" spans="1:16" x14ac:dyDescent="0.25">
      <c r="A162" t="str">
        <v>Kenneth Dhont</v>
      </c>
      <c r="B162" t="str">
        <v/>
      </c>
      <c r="C162" t="str">
        <v>0477485789</v>
      </c>
      <c r="D162" t="str">
        <v/>
      </c>
      <c r="E162" s="2">
        <v>50455</v>
      </c>
      <c r="F162" t="str">
        <v>Zomerstage 2026 U10 &amp; U12 (Oudenaarde)</v>
      </c>
      <c r="G162" t="str">
        <v>Coach</v>
      </c>
      <c r="J162" t="str">
        <f>Worksheet!C162&amp;" "&amp;Worksheet!B162</f>
        <v>Cécile De Groote Hoebeke</v>
      </c>
      <c r="K162" t="str">
        <f>IF(Worksheet!P162&lt;&gt;"",Worksheet!P162,IF(Worksheet!R162&lt;&gt;"",Worksheet!R162,IF(Worksheet!T162&lt;&gt;"",Worksheet!T162,"")))</f>
        <v>hoebekehanne@gmail.com</v>
      </c>
      <c r="L162" t="str">
        <f>IF(AND(Worksheet!V162&lt;&gt;"",Worksheet!V162&lt;&gt;0),Worksheet!V162&amp;"",IF(AND(Worksheet!X162&lt;&gt;"",Worksheet!X162&lt;&gt;0),Worksheet!X162&amp;"",IF(AND(Worksheet!Z162&lt;&gt;"",Worksheet!Z162&lt;&gt;0),Worksheet!Z162&amp;"","")))</f>
        <v>0473630733</v>
      </c>
      <c r="M162" t="str">
        <f>IF(Worksheet!AE162="","",Worksheet!AE162)</f>
        <v/>
      </c>
      <c r="N162" t="str">
        <f>IF(Worksheet!AG162="","",Worksheet!AG162)</f>
        <v/>
      </c>
      <c r="O162" t="str">
        <f>IF(Worksheet!AJ162="","",Worksheet!AJ162)</f>
        <v>Balschool U6</v>
      </c>
      <c r="P162" t="str">
        <f>IF(Worksheet!AK162="","",Worksheet!AK162)</f>
        <v>Speler</v>
      </c>
    </row>
    <row r="163" spans="1:16" x14ac:dyDescent="0.25">
      <c r="A163" t="str">
        <v>Kenneth Dhont</v>
      </c>
      <c r="B163" t="str">
        <v/>
      </c>
      <c r="C163" t="str">
        <v>0477485789</v>
      </c>
      <c r="D163" t="str">
        <v/>
      </c>
      <c r="E163" s="2">
        <v>50455</v>
      </c>
      <c r="F163" t="str">
        <v>M19 A Haantjes CERTIFISC Oudenaarde</v>
      </c>
      <c r="G163" t="str">
        <v>Coach</v>
      </c>
      <c r="J163" t="str">
        <f>Worksheet!C163&amp;" "&amp;Worksheet!B163</f>
        <v>Madelein De Groote Hoebeke</v>
      </c>
      <c r="K163" t="str">
        <f>IF(Worksheet!P163&lt;&gt;"",Worksheet!P163,IF(Worksheet!R163&lt;&gt;"",Worksheet!R163,IF(Worksheet!T163&lt;&gt;"",Worksheet!T163,"")))</f>
        <v>hoebekehanne@gmail.com</v>
      </c>
      <c r="L163" t="str">
        <f>IF(AND(Worksheet!V163&lt;&gt;"",Worksheet!V163&lt;&gt;0),Worksheet!V163&amp;"",IF(AND(Worksheet!X163&lt;&gt;"",Worksheet!X163&lt;&gt;0),Worksheet!X163&amp;"",IF(AND(Worksheet!Z163&lt;&gt;"",Worksheet!Z163&lt;&gt;0),Worksheet!Z163&amp;"","")))</f>
        <v>0473630733</v>
      </c>
      <c r="M163" t="str">
        <f>IF(Worksheet!AE163="","",Worksheet!AE163)</f>
        <v>https://app.twizzit.com/public/photos/7992432/s/9093b3c321ebca1981daea541211e5a7f8dcd3e7.png</v>
      </c>
      <c r="N163" t="str">
        <f>IF(Worksheet!AG163="","",Worksheet!AG163)</f>
        <v/>
      </c>
      <c r="O163" t="str">
        <f>IF(Worksheet!AJ163="","",Worksheet!AJ163)</f>
        <v>G08 Geel HAANTJES CERTIFISC OUDENAARDE</v>
      </c>
      <c r="P163" t="str">
        <f>IF(Worksheet!AK163="","",Worksheet!AK163)</f>
        <v>Speler</v>
      </c>
    </row>
    <row r="164" spans="1:16" x14ac:dyDescent="0.25">
      <c r="A164" t="str">
        <v>Kenneth Dhont</v>
      </c>
      <c r="B164" t="str">
        <v/>
      </c>
      <c r="C164" t="str">
        <v>0477485789</v>
      </c>
      <c r="D164" t="str">
        <v/>
      </c>
      <c r="E164" s="2">
        <v>50455</v>
      </c>
      <c r="F164" t="str">
        <v>G12 Blauw HAANTJES CERTIFISC OUDENAARDE</v>
      </c>
      <c r="G164" t="str">
        <v>Coach</v>
      </c>
      <c r="J164" t="str">
        <f>Worksheet!C164&amp;" "&amp;Worksheet!B164</f>
        <v>Mary-Lou De Keukeleire</v>
      </c>
      <c r="K164" t="str">
        <f>IF(Worksheet!P164&lt;&gt;"",Worksheet!P164,IF(Worksheet!R164&lt;&gt;"",Worksheet!R164,IF(Worksheet!T164&lt;&gt;"",Worksheet!T164,"")))</f>
        <v/>
      </c>
      <c r="L164" t="str">
        <f>IF(AND(Worksheet!V164&lt;&gt;"",Worksheet!V164&lt;&gt;0),Worksheet!V164&amp;"",IF(AND(Worksheet!X164&lt;&gt;"",Worksheet!X164&lt;&gt;0),Worksheet!X164&amp;"",IF(AND(Worksheet!Z164&lt;&gt;"",Worksheet!Z164&lt;&gt;0),Worksheet!Z164&amp;"","")))</f>
        <v>0498363470</v>
      </c>
      <c r="M164" t="str">
        <f>IF(Worksheet!AE164="","",Worksheet!AE164)</f>
        <v>https://app.twizzit.com/public/photos/7663442/s/a1e4c1d99d71fda9ac80bca383a3ddb377005195.png</v>
      </c>
      <c r="N164">
        <f>IF(Worksheet!AG164="","",Worksheet!AG164)</f>
        <v>766478</v>
      </c>
      <c r="O164" t="str">
        <f>IF(Worksheet!AJ164="","",Worksheet!AJ164)</f>
        <v>M12 A HAANTJES CERTIFISC OUDENAARDE</v>
      </c>
      <c r="P164" t="str">
        <f>IF(Worksheet!AK164="","",Worksheet!AK164)</f>
        <v>Speler</v>
      </c>
    </row>
    <row r="165" spans="1:16" x14ac:dyDescent="0.25">
      <c r="A165" t="str">
        <v>Mathis Dhont</v>
      </c>
      <c r="B165" t="str">
        <v/>
      </c>
      <c r="C165" t="str">
        <v/>
      </c>
      <c r="D165" t="str">
        <v/>
      </c>
      <c r="E165" s="2">
        <v>660481</v>
      </c>
      <c r="F165" t="str">
        <v>HSE  C Haantjes Certifisc Oudenaarde</v>
      </c>
      <c r="G165" t="str">
        <v>Speler</v>
      </c>
      <c r="J165" t="str">
        <f>Worksheet!C165&amp;" "&amp;Worksheet!B165</f>
        <v>Jan De Keyser</v>
      </c>
      <c r="K165" t="str">
        <f>IF(Worksheet!P165&lt;&gt;"",Worksheet!P165,IF(Worksheet!R165&lt;&gt;"",Worksheet!R165,IF(Worksheet!T165&lt;&gt;"",Worksheet!T165,"")))</f>
        <v/>
      </c>
      <c r="L165" t="str">
        <f>IF(AND(Worksheet!V165&lt;&gt;"",Worksheet!V165&lt;&gt;0),Worksheet!V165&amp;"",IF(AND(Worksheet!X165&lt;&gt;"",Worksheet!X165&lt;&gt;0),Worksheet!X165&amp;"",IF(AND(Worksheet!Z165&lt;&gt;"",Worksheet!Z165&lt;&gt;0),Worksheet!Z165&amp;"","")))</f>
        <v>486971134</v>
      </c>
      <c r="M165" t="str">
        <f>IF(Worksheet!AE165="","",Worksheet!AE165)</f>
        <v/>
      </c>
      <c r="N165">
        <f>IF(Worksheet!AG165="","",Worksheet!AG165)</f>
        <v>219616</v>
      </c>
      <c r="O165" t="str">
        <f>IF(Worksheet!AJ165="","",Worksheet!AJ165)</f>
        <v/>
      </c>
      <c r="P165" t="str">
        <f>IF(Worksheet!AK165="","",Worksheet!AK165)</f>
        <v/>
      </c>
    </row>
    <row r="166" spans="1:16" x14ac:dyDescent="0.25">
      <c r="A166" t="str">
        <v>Marco Dick</v>
      </c>
      <c r="B166" t="str">
        <v/>
      </c>
      <c r="C166" t="str">
        <v>320499754251</v>
      </c>
      <c r="D166" t="str">
        <v/>
      </c>
      <c r="E166" s="2">
        <v>633923</v>
      </c>
      <c r="F166" t="str">
        <v>HSE A Haantjes Certifisc Oudenaarde</v>
      </c>
      <c r="G166" t="str">
        <v>Speler</v>
      </c>
      <c r="J166" t="str">
        <f>Worksheet!C166&amp;" "&amp;Worksheet!B166</f>
        <v>Thomas De Keyzer</v>
      </c>
      <c r="K166" t="str">
        <f>IF(Worksheet!P166&lt;&gt;"",Worksheet!P166,IF(Worksheet!R166&lt;&gt;"",Worksheet!R166,IF(Worksheet!T166&lt;&gt;"",Worksheet!T166,"")))</f>
        <v>maritadeclercq@gmail.com</v>
      </c>
      <c r="L166" t="str">
        <f>IF(AND(Worksheet!V166&lt;&gt;"",Worksheet!V166&lt;&gt;0),Worksheet!V166&amp;"",IF(AND(Worksheet!X166&lt;&gt;"",Worksheet!X166&lt;&gt;0),Worksheet!X166&amp;"",IF(AND(Worksheet!Z166&lt;&gt;"",Worksheet!Z166&lt;&gt;0),Worksheet!Z166&amp;"","")))</f>
        <v/>
      </c>
      <c r="M166" t="str">
        <f>IF(Worksheet!AE166="","",Worksheet!AE166)</f>
        <v/>
      </c>
      <c r="N166" t="str">
        <f>IF(Worksheet!AG166="","",Worksheet!AG166)</f>
        <v/>
      </c>
      <c r="O166" t="str">
        <f>IF(Worksheet!AJ166="","",Worksheet!AJ166)</f>
        <v/>
      </c>
      <c r="P166" t="str">
        <f>IF(Worksheet!AK166="","",Worksheet!AK166)</f>
        <v/>
      </c>
    </row>
    <row r="167" spans="1:16" x14ac:dyDescent="0.25">
      <c r="A167" t="str">
        <v>Pieter Diependaele</v>
      </c>
      <c r="B167" t="str">
        <v>coachpieter.basket@gmail.com</v>
      </c>
      <c r="C167" t="str">
        <v>32479044986</v>
      </c>
      <c r="D167" t="str">
        <v>https://app.twizzit.com/public/photos/3239965/s/944ad53074c1441abd98efedc98fef813d2f093f.png</v>
      </c>
      <c r="E167" s="2">
        <v>658023</v>
      </c>
      <c r="F167" t="str">
        <v>J21 A HAANTJES CERTIFISC OUDENAARDE</v>
      </c>
      <c r="G167" t="str">
        <v>Speler</v>
      </c>
      <c r="J167" t="str">
        <f>Worksheet!C167&amp;" "&amp;Worksheet!B167</f>
        <v>Gaëlle de la Rivière</v>
      </c>
      <c r="K167" t="str">
        <f>IF(Worksheet!P167&lt;&gt;"",Worksheet!P167,IF(Worksheet!R167&lt;&gt;"",Worksheet!R167,IF(Worksheet!T167&lt;&gt;"",Worksheet!T167,"")))</f>
        <v>dlrgeoffrey@gmail.com</v>
      </c>
      <c r="L167" t="str">
        <f>IF(AND(Worksheet!V167&lt;&gt;"",Worksheet!V167&lt;&gt;0),Worksheet!V167&amp;"",IF(AND(Worksheet!X167&lt;&gt;"",Worksheet!X167&lt;&gt;0),Worksheet!X167&amp;"",IF(AND(Worksheet!Z167&lt;&gt;"",Worksheet!Z167&lt;&gt;0),Worksheet!Z167&amp;"","")))</f>
        <v>0494172499</v>
      </c>
      <c r="M167" t="str">
        <f>IF(Worksheet!AE167="","",Worksheet!AE167)</f>
        <v/>
      </c>
      <c r="N167" t="str">
        <f>IF(Worksheet!AG167="","",Worksheet!AG167)</f>
        <v/>
      </c>
      <c r="O167" t="str">
        <f>IF(Worksheet!AJ167="","",Worksheet!AJ167)</f>
        <v>M12 A HAANTJES CERTIFISC OUDENAARDE</v>
      </c>
      <c r="P167" t="str">
        <f>IF(Worksheet!AK167="","",Worksheet!AK167)</f>
        <v>Speler</v>
      </c>
    </row>
    <row r="168" spans="1:16" x14ac:dyDescent="0.25">
      <c r="A168" t="str">
        <v>Cérile Doublet</v>
      </c>
      <c r="B168" t="str">
        <v>doubletbenoit@msn.com</v>
      </c>
      <c r="C168" t="str">
        <v>0472578222</v>
      </c>
      <c r="D168" t="str">
        <v/>
      </c>
      <c r="E168" s="2" t="str">
        <v/>
      </c>
      <c r="F168" t="str">
        <v>Balschool U6</v>
      </c>
      <c r="G168" t="str">
        <v>Speler</v>
      </c>
      <c r="J168" t="str">
        <f>Worksheet!C168&amp;" "&amp;Worksheet!B168</f>
        <v>Geoffrey de la Rivière</v>
      </c>
      <c r="K168" t="str">
        <f>IF(Worksheet!P168&lt;&gt;"",Worksheet!P168,IF(Worksheet!R168&lt;&gt;"",Worksheet!R168,IF(Worksheet!T168&lt;&gt;"",Worksheet!T168,"")))</f>
        <v/>
      </c>
      <c r="L168" t="str">
        <f>IF(AND(Worksheet!V168&lt;&gt;"",Worksheet!V168&lt;&gt;0),Worksheet!V168&amp;"",IF(AND(Worksheet!X168&lt;&gt;"",Worksheet!X168&lt;&gt;0),Worksheet!X168&amp;"",IF(AND(Worksheet!Z168&lt;&gt;"",Worksheet!Z168&lt;&gt;0),Worksheet!Z168&amp;"","")))</f>
        <v>0494773553</v>
      </c>
      <c r="M168" t="str">
        <f>IF(Worksheet!AE168="","",Worksheet!AE168)</f>
        <v/>
      </c>
      <c r="N168" t="str">
        <f>IF(Worksheet!AG168="","",Worksheet!AG168)</f>
        <v/>
      </c>
      <c r="O168" t="str">
        <f>IF(Worksheet!AJ168="","",Worksheet!AJ168)</f>
        <v/>
      </c>
      <c r="P168" t="str">
        <f>IF(Worksheet!AK168="","",Worksheet!AK168)</f>
        <v/>
      </c>
    </row>
    <row r="169" spans="1:16" x14ac:dyDescent="0.25">
      <c r="A169" t="str">
        <v>Emmanuel Dull</v>
      </c>
      <c r="B169" t="str">
        <v/>
      </c>
      <c r="C169" t="str">
        <v>0472172783</v>
      </c>
      <c r="D169" t="str">
        <v/>
      </c>
      <c r="E169" s="2" t="str">
        <v/>
      </c>
      <c r="F169" t="str">
        <v>J16 B Haantjes CERTIFISC Oudenaarde</v>
      </c>
      <c r="G169" t="str">
        <v>Speler</v>
      </c>
      <c r="J169" t="str">
        <f>Worksheet!C169&amp;" "&amp;Worksheet!B169</f>
        <v>Mauro De Leersnyder</v>
      </c>
      <c r="K169" t="str">
        <f>IF(Worksheet!P169&lt;&gt;"",Worksheet!P169,IF(Worksheet!R169&lt;&gt;"",Worksheet!R169,IF(Worksheet!T169&lt;&gt;"",Worksheet!T169,"")))</f>
        <v>joke.toye@gmail.com</v>
      </c>
      <c r="L169" t="str">
        <f>IF(AND(Worksheet!V169&lt;&gt;"",Worksheet!V169&lt;&gt;0),Worksheet!V169&amp;"",IF(AND(Worksheet!X169&lt;&gt;"",Worksheet!X169&lt;&gt;0),Worksheet!X169&amp;"",IF(AND(Worksheet!Z169&lt;&gt;"",Worksheet!Z169&lt;&gt;0),Worksheet!Z169&amp;"","")))</f>
        <v>0475403946</v>
      </c>
      <c r="M169" t="str">
        <f>IF(Worksheet!AE169="","",Worksheet!AE169)</f>
        <v/>
      </c>
      <c r="N169" t="str">
        <f>IF(Worksheet!AG169="","",Worksheet!AG169)</f>
        <v/>
      </c>
      <c r="O169" t="str">
        <f>IF(Worksheet!AJ169="","",Worksheet!AJ169)</f>
        <v>Balschool U6</v>
      </c>
      <c r="P169" t="str">
        <f>IF(Worksheet!AK169="","",Worksheet!AK169)</f>
        <v>Speler</v>
      </c>
    </row>
    <row r="170" spans="1:16" x14ac:dyDescent="0.25">
      <c r="A170" t="str">
        <v>Gust Dupont</v>
      </c>
      <c r="B170" t="str">
        <v>sarah.verhellen@hotmail.com</v>
      </c>
      <c r="C170" t="str">
        <v>0470112368</v>
      </c>
      <c r="D170" t="str">
        <v/>
      </c>
      <c r="E170" s="2" t="str">
        <v/>
      </c>
      <c r="F170" t="str">
        <v>G08 Geel HAANTJES CERTIFISC OUDENAARDE</v>
      </c>
      <c r="G170" t="str">
        <v>Speler</v>
      </c>
      <c r="J170" t="str">
        <f>Worksheet!C170&amp;" "&amp;Worksheet!B170</f>
        <v>Niels De Lepeleire</v>
      </c>
      <c r="K170" t="str">
        <f>IF(Worksheet!P170&lt;&gt;"",Worksheet!P170,IF(Worksheet!R170&lt;&gt;"",Worksheet!R170,IF(Worksheet!T170&lt;&gt;"",Worksheet!T170,"")))</f>
        <v/>
      </c>
      <c r="L170" t="str">
        <f>IF(AND(Worksheet!V170&lt;&gt;"",Worksheet!V170&lt;&gt;0),Worksheet!V170&amp;"",IF(AND(Worksheet!X170&lt;&gt;"",Worksheet!X170&lt;&gt;0),Worksheet!X170&amp;"",IF(AND(Worksheet!Z170&lt;&gt;"",Worksheet!Z170&lt;&gt;0),Worksheet!Z170&amp;"","")))</f>
        <v>320470775058</v>
      </c>
      <c r="M170" t="str">
        <f>IF(Worksheet!AE170="","",Worksheet!AE170)</f>
        <v/>
      </c>
      <c r="N170">
        <f>IF(Worksheet!AG170="","",Worksheet!AG170)</f>
        <v>213745</v>
      </c>
      <c r="O170" t="str">
        <f>IF(Worksheet!AJ170="","",Worksheet!AJ170)</f>
        <v>HSE A Haantjes Certifisc Oudenaarde</v>
      </c>
      <c r="P170" t="str">
        <f>IF(Worksheet!AK170="","",Worksheet!AK170)</f>
        <v>Speler</v>
      </c>
    </row>
    <row r="171" spans="1:16" x14ac:dyDescent="0.25">
      <c r="A171" t="str">
        <v>Egemen Durhan</v>
      </c>
      <c r="B171" t="str">
        <v>ibosabrie06@gmail.com</v>
      </c>
      <c r="C171" t="str">
        <v>0491630885</v>
      </c>
      <c r="D171" t="str">
        <v>https://app.twizzit.com/public/photos/5748750/s/6a03612f72e189fb2a542ac535552aede78aad3f.png</v>
      </c>
      <c r="E171" s="2" t="str">
        <v/>
      </c>
      <c r="F171" t="str">
        <v>G10 Blauw HAANTJES CERTIFISC OUDENAARDE</v>
      </c>
      <c r="G171" t="str">
        <v>Speler</v>
      </c>
      <c r="J171" t="str">
        <f>Worksheet!C171&amp;" "&amp;Worksheet!B171</f>
        <v>Niels De Lepeleire</v>
      </c>
      <c r="K171" t="str">
        <f>IF(Worksheet!P171&lt;&gt;"",Worksheet!P171,IF(Worksheet!R171&lt;&gt;"",Worksheet!R171,IF(Worksheet!T171&lt;&gt;"",Worksheet!T171,"")))</f>
        <v/>
      </c>
      <c r="L171" t="str">
        <f>IF(AND(Worksheet!V171&lt;&gt;"",Worksheet!V171&lt;&gt;0),Worksheet!V171&amp;"",IF(AND(Worksheet!X171&lt;&gt;"",Worksheet!X171&lt;&gt;0),Worksheet!X171&amp;"",IF(AND(Worksheet!Z171&lt;&gt;"",Worksheet!Z171&lt;&gt;0),Worksheet!Z171&amp;"","")))</f>
        <v>320470775058</v>
      </c>
      <c r="M171" t="str">
        <f>IF(Worksheet!AE171="","",Worksheet!AE171)</f>
        <v/>
      </c>
      <c r="N171">
        <f>IF(Worksheet!AG171="","",Worksheet!AG171)</f>
        <v>213745</v>
      </c>
      <c r="O171" t="str">
        <f>IF(Worksheet!AJ171="","",Worksheet!AJ171)</f>
        <v>J16 B Haantjes CERTIFISC Oudenaarde</v>
      </c>
      <c r="P171" t="str">
        <f>IF(Worksheet!AK171="","",Worksheet!AK171)</f>
        <v>Coach</v>
      </c>
    </row>
    <row r="172" spans="1:16" x14ac:dyDescent="0.25">
      <c r="A172" t="str">
        <v>Cas Elyn</v>
      </c>
      <c r="B172" t="str">
        <v>lievemoyaert@icloud.com</v>
      </c>
      <c r="C172" t="str">
        <v>0495653737</v>
      </c>
      <c r="D172" t="str">
        <v/>
      </c>
      <c r="E172" s="2" t="str">
        <v/>
      </c>
      <c r="F172" t="str">
        <v>Balschool U6</v>
      </c>
      <c r="G172" t="str">
        <v>Speler</v>
      </c>
      <c r="J172" t="str">
        <f>Worksheet!C172&amp;" "&amp;Worksheet!B172</f>
        <v>Niels De Lepeleire</v>
      </c>
      <c r="K172" t="str">
        <f>IF(Worksheet!P172&lt;&gt;"",Worksheet!P172,IF(Worksheet!R172&lt;&gt;"",Worksheet!R172,IF(Worksheet!T172&lt;&gt;"",Worksheet!T172,"")))</f>
        <v/>
      </c>
      <c r="L172" t="str">
        <f>IF(AND(Worksheet!V172&lt;&gt;"",Worksheet!V172&lt;&gt;0),Worksheet!V172&amp;"",IF(AND(Worksheet!X172&lt;&gt;"",Worksheet!X172&lt;&gt;0),Worksheet!X172&amp;"",IF(AND(Worksheet!Z172&lt;&gt;"",Worksheet!Z172&lt;&gt;0),Worksheet!Z172&amp;"","")))</f>
        <v>320470775058</v>
      </c>
      <c r="M172" t="str">
        <f>IF(Worksheet!AE172="","",Worksheet!AE172)</f>
        <v/>
      </c>
      <c r="N172">
        <f>IF(Worksheet!AG172="","",Worksheet!AG172)</f>
        <v>213745</v>
      </c>
      <c r="O172" t="str">
        <f>IF(Worksheet!AJ172="","",Worksheet!AJ172)</f>
        <v>G12 Geel HAANTJES CERTIFISC OUDENAARDE</v>
      </c>
      <c r="P172" t="str">
        <f>IF(Worksheet!AK172="","",Worksheet!AK172)</f>
        <v>Coach</v>
      </c>
    </row>
    <row r="173" spans="1:16" x14ac:dyDescent="0.25">
      <c r="A173" t="str">
        <v>Miel Elyn</v>
      </c>
      <c r="B173" t="str">
        <v>Lievemoyaert@icloud.com</v>
      </c>
      <c r="C173" t="str">
        <v/>
      </c>
      <c r="D173" t="str">
        <v/>
      </c>
      <c r="E173" s="2" t="str">
        <v/>
      </c>
      <c r="F173" t="str">
        <v>G10 Geel HAANTJES CERTIFISC OUDENAARDE</v>
      </c>
      <c r="G173" t="str">
        <v>Speler</v>
      </c>
      <c r="J173" t="str">
        <f>Worksheet!C173&amp;" "&amp;Worksheet!B173</f>
        <v>Leon De Maertelaere</v>
      </c>
      <c r="K173" t="str">
        <f>IF(Worksheet!P173&lt;&gt;"",Worksheet!P173,IF(Worksheet!R173&lt;&gt;"",Worksheet!R173,IF(Worksheet!T173&lt;&gt;"",Worksheet!T173,"")))</f>
        <v>valerie_glorieux@hotmail.com</v>
      </c>
      <c r="L173" t="str">
        <f>IF(AND(Worksheet!V173&lt;&gt;"",Worksheet!V173&lt;&gt;0),Worksheet!V173&amp;"",IF(AND(Worksheet!X173&lt;&gt;"",Worksheet!X173&lt;&gt;0),Worksheet!X173&amp;"",IF(AND(Worksheet!Z173&lt;&gt;"",Worksheet!Z173&lt;&gt;0),Worksheet!Z173&amp;"","")))</f>
        <v>4721630933</v>
      </c>
      <c r="M173" t="str">
        <f>IF(Worksheet!AE173="","",Worksheet!AE173)</f>
        <v>https://app.twizzit.com/public/photos/2650646/s/56772b58320eb18076cfee29ed253bb014e8ad21.png</v>
      </c>
      <c r="N173">
        <f>IF(Worksheet!AG173="","",Worksheet!AG173)</f>
        <v>742106</v>
      </c>
      <c r="O173" t="str">
        <f>IF(Worksheet!AJ173="","",Worksheet!AJ173)</f>
        <v/>
      </c>
      <c r="P173" t="str">
        <f>IF(Worksheet!AK173="","",Worksheet!AK173)</f>
        <v/>
      </c>
    </row>
    <row r="174" spans="1:16" x14ac:dyDescent="0.25">
      <c r="A174" t="str">
        <v>Miel Elyn</v>
      </c>
      <c r="B174" t="str">
        <v>Lievemoyaert@icloud.com</v>
      </c>
      <c r="C174" t="str">
        <v/>
      </c>
      <c r="D174" t="str">
        <v/>
      </c>
      <c r="E174" s="2" t="str">
        <v/>
      </c>
      <c r="F174" t="str">
        <v>Zomerstage 2026 U10 &amp; U12 (Oudenaarde)</v>
      </c>
      <c r="G174" t="str">
        <v>Speler</v>
      </c>
      <c r="J174" t="str">
        <f>Worksheet!C174&amp;" "&amp;Worksheet!B174</f>
        <v>Siebe De Meyer</v>
      </c>
      <c r="K174" t="str">
        <f>IF(Worksheet!P174&lt;&gt;"",Worksheet!P174,IF(Worksheet!R174&lt;&gt;"",Worksheet!R174,IF(Worksheet!T174&lt;&gt;"",Worksheet!T174,"")))</f>
        <v/>
      </c>
      <c r="L174" t="str">
        <f>IF(AND(Worksheet!V174&lt;&gt;"",Worksheet!V174&lt;&gt;0),Worksheet!V174&amp;"",IF(AND(Worksheet!X174&lt;&gt;"",Worksheet!X174&lt;&gt;0),Worksheet!X174&amp;"",IF(AND(Worksheet!Z174&lt;&gt;"",Worksheet!Z174&lt;&gt;0),Worksheet!Z174&amp;"","")))</f>
        <v/>
      </c>
      <c r="M174" t="str">
        <f>IF(Worksheet!AE174="","",Worksheet!AE174)</f>
        <v/>
      </c>
      <c r="N174">
        <f>IF(Worksheet!AG174="","",Worksheet!AG174)</f>
        <v>655853</v>
      </c>
      <c r="O174" t="str">
        <f>IF(Worksheet!AJ174="","",Worksheet!AJ174)</f>
        <v>HSE  C Haantjes Certifisc Oudenaarde</v>
      </c>
      <c r="P174" t="str">
        <f>IF(Worksheet!AK174="","",Worksheet!AK174)</f>
        <v>Speler</v>
      </c>
    </row>
    <row r="175" spans="1:16" x14ac:dyDescent="0.25">
      <c r="A175" t="str">
        <v>Robin Elyn</v>
      </c>
      <c r="B175" t="str">
        <v>lievemoyaert@icloud.com</v>
      </c>
      <c r="C175" t="str">
        <v>0495653737</v>
      </c>
      <c r="D175" t="str">
        <v/>
      </c>
      <c r="E175" s="2" t="str">
        <v/>
      </c>
      <c r="F175" t="str">
        <v>G08 Geel HAANTJES CERTIFISC OUDENAARDE</v>
      </c>
      <c r="G175" t="str">
        <v>Speler</v>
      </c>
      <c r="J175" t="str">
        <f>Worksheet!C175&amp;" "&amp;Worksheet!B175</f>
        <v>Jacques De Munter</v>
      </c>
      <c r="K175" t="str">
        <f>IF(Worksheet!P175&lt;&gt;"",Worksheet!P175,IF(Worksheet!R175&lt;&gt;"",Worksheet!R175,IF(Worksheet!T175&lt;&gt;"",Worksheet!T175,"")))</f>
        <v/>
      </c>
      <c r="L175" t="str">
        <f>IF(AND(Worksheet!V175&lt;&gt;"",Worksheet!V175&lt;&gt;0),Worksheet!V175&amp;"",IF(AND(Worksheet!X175&lt;&gt;"",Worksheet!X175&lt;&gt;0),Worksheet!X175&amp;"",IF(AND(Worksheet!Z175&lt;&gt;"",Worksheet!Z175&lt;&gt;0),Worksheet!Z175&amp;"","")))</f>
        <v/>
      </c>
      <c r="M175" t="str">
        <f>IF(Worksheet!AE175="","",Worksheet!AE175)</f>
        <v/>
      </c>
      <c r="N175">
        <f>IF(Worksheet!AG175="","",Worksheet!AG175)</f>
        <v>724983</v>
      </c>
      <c r="O175" t="str">
        <f>IF(Worksheet!AJ175="","",Worksheet!AJ175)</f>
        <v/>
      </c>
      <c r="P175" t="str">
        <f>IF(Worksheet!AK175="","",Worksheet!AK175)</f>
        <v/>
      </c>
    </row>
    <row r="176" spans="1:16" x14ac:dyDescent="0.25">
      <c r="A176" t="str">
        <v>Jasper Espeel</v>
      </c>
      <c r="B176" t="str">
        <v>leen.rebry@ugent.be</v>
      </c>
      <c r="C176" t="str">
        <v>0496150874</v>
      </c>
      <c r="D176" t="str">
        <v/>
      </c>
      <c r="E176" s="2">
        <v>749137</v>
      </c>
      <c r="F176" t="str">
        <v>J18 A Haantjes CERTIFISC Oudenaarde</v>
      </c>
      <c r="G176" t="str">
        <v>Speler</v>
      </c>
      <c r="J176" t="str">
        <f>Worksheet!C176&amp;" "&amp;Worksheet!B176</f>
        <v>Noach De Munter</v>
      </c>
      <c r="K176" t="str">
        <f>IF(Worksheet!P176&lt;&gt;"",Worksheet!P176,IF(Worksheet!R176&lt;&gt;"",Worksheet!R176,IF(Worksheet!T176&lt;&gt;"",Worksheet!T176,"")))</f>
        <v/>
      </c>
      <c r="L176" t="str">
        <f>IF(AND(Worksheet!V176&lt;&gt;"",Worksheet!V176&lt;&gt;0),Worksheet!V176&amp;"",IF(AND(Worksheet!X176&lt;&gt;"",Worksheet!X176&lt;&gt;0),Worksheet!X176&amp;"",IF(AND(Worksheet!Z176&lt;&gt;"",Worksheet!Z176&lt;&gt;0),Worksheet!Z176&amp;"","")))</f>
        <v/>
      </c>
      <c r="M176" t="str">
        <f>IF(Worksheet!AE176="","",Worksheet!AE176)</f>
        <v/>
      </c>
      <c r="N176">
        <f>IF(Worksheet!AG176="","",Worksheet!AG176)</f>
        <v>718057</v>
      </c>
      <c r="O176" t="str">
        <f>IF(Worksheet!AJ176="","",Worksheet!AJ176)</f>
        <v/>
      </c>
      <c r="P176" t="str">
        <f>IF(Worksheet!AK176="","",Worksheet!AK176)</f>
        <v/>
      </c>
    </row>
    <row r="177" spans="1:16" x14ac:dyDescent="0.25">
      <c r="A177" t="str">
        <v>Kobe Espeel</v>
      </c>
      <c r="B177" t="str">
        <v/>
      </c>
      <c r="C177" t="str">
        <v>0485070328</v>
      </c>
      <c r="D177" t="str">
        <v/>
      </c>
      <c r="E177" s="2" t="str">
        <v/>
      </c>
      <c r="F177" t="str">
        <v>G14 A Haantjes CERTIFISC Oudenaarde</v>
      </c>
      <c r="G177" t="str">
        <v>Speler</v>
      </c>
      <c r="J177" t="str">
        <f>Worksheet!C177&amp;" "&amp;Worksheet!B177</f>
        <v>Chloë De Ruyck</v>
      </c>
      <c r="K177" t="str">
        <f>IF(Worksheet!P177&lt;&gt;"",Worksheet!P177,IF(Worksheet!R177&lt;&gt;"",Worksheet!R177,IF(Worksheet!T177&lt;&gt;"",Worksheet!T177,"")))</f>
        <v/>
      </c>
      <c r="L177" t="str">
        <f>IF(AND(Worksheet!V177&lt;&gt;"",Worksheet!V177&lt;&gt;0),Worksheet!V177&amp;"",IF(AND(Worksheet!X177&lt;&gt;"",Worksheet!X177&lt;&gt;0),Worksheet!X177&amp;"",IF(AND(Worksheet!Z177&lt;&gt;"",Worksheet!Z177&lt;&gt;0),Worksheet!Z177&amp;"","")))</f>
        <v/>
      </c>
      <c r="M177" t="str">
        <f>IF(Worksheet!AE177="","",Worksheet!AE177)</f>
        <v/>
      </c>
      <c r="N177" t="str">
        <f>IF(Worksheet!AG177="","",Worksheet!AG177)</f>
        <v/>
      </c>
      <c r="O177" t="str">
        <f>IF(Worksheet!AJ177="","",Worksheet!AJ177)</f>
        <v/>
      </c>
      <c r="P177" t="str">
        <f>IF(Worksheet!AK177="","",Worksheet!AK177)</f>
        <v/>
      </c>
    </row>
    <row r="178" spans="1:16" x14ac:dyDescent="0.25">
      <c r="A178" t="str">
        <v>Ukeme Essien</v>
      </c>
      <c r="B178" t="str">
        <v/>
      </c>
      <c r="C178" t="str">
        <v>00493339044</v>
      </c>
      <c r="D178" t="str">
        <v/>
      </c>
      <c r="E178" s="2">
        <v>648536</v>
      </c>
      <c r="F178" t="str">
        <v>HSE A Haantjes Certifisc Oudenaarde</v>
      </c>
      <c r="G178" t="str">
        <v>Speler</v>
      </c>
      <c r="J178" t="str">
        <f>Worksheet!C178&amp;" "&amp;Worksheet!B178</f>
        <v>Yari De Ruysscher</v>
      </c>
      <c r="K178" t="str">
        <f>IF(Worksheet!P178&lt;&gt;"",Worksheet!P178,IF(Worksheet!R178&lt;&gt;"",Worksheet!R178,IF(Worksheet!T178&lt;&gt;"",Worksheet!T178,"")))</f>
        <v/>
      </c>
      <c r="L178" t="str">
        <f>IF(AND(Worksheet!V178&lt;&gt;"",Worksheet!V178&lt;&gt;0),Worksheet!V178&amp;"",IF(AND(Worksheet!X178&lt;&gt;"",Worksheet!X178&lt;&gt;0),Worksheet!X178&amp;"",IF(AND(Worksheet!Z178&lt;&gt;"",Worksheet!Z178&lt;&gt;0),Worksheet!Z178&amp;"","")))</f>
        <v>0475971559</v>
      </c>
      <c r="M178" t="str">
        <f>IF(Worksheet!AE178="","",Worksheet!AE178)</f>
        <v/>
      </c>
      <c r="N178" t="str">
        <f>IF(Worksheet!AG178="","",Worksheet!AG178)</f>
        <v/>
      </c>
      <c r="O178" t="str">
        <f>IF(Worksheet!AJ178="","",Worksheet!AJ178)</f>
        <v/>
      </c>
      <c r="P178" t="str">
        <f>IF(Worksheet!AK178="","",Worksheet!AK178)</f>
        <v/>
      </c>
    </row>
    <row r="179" spans="1:16" x14ac:dyDescent="0.25">
      <c r="A179" t="str">
        <v>Fadila Ettijrini</v>
      </c>
      <c r="B179" t="str">
        <v/>
      </c>
      <c r="C179" t="str">
        <v>0470221432</v>
      </c>
      <c r="D179" t="str">
        <v/>
      </c>
      <c r="E179" s="2" t="str">
        <v/>
      </c>
      <c r="F179" t="str">
        <v>M10 HAANTJES CERTIFISC OUDENAARDE</v>
      </c>
      <c r="G179" t="str">
        <v>Speler</v>
      </c>
      <c r="J179" t="str">
        <f>Worksheet!C179&amp;" "&amp;Worksheet!B179</f>
        <v>Yari De Ruysscher</v>
      </c>
      <c r="K179" t="str">
        <f>IF(Worksheet!P179&lt;&gt;"",Worksheet!P179,IF(Worksheet!R179&lt;&gt;"",Worksheet!R179,IF(Worksheet!T179&lt;&gt;"",Worksheet!T179,"")))</f>
        <v/>
      </c>
      <c r="L179" t="str">
        <f>IF(AND(Worksheet!V179&lt;&gt;"",Worksheet!V179&lt;&gt;0),Worksheet!V179&amp;"",IF(AND(Worksheet!X179&lt;&gt;"",Worksheet!X179&lt;&gt;0),Worksheet!X179&amp;"",IF(AND(Worksheet!Z179&lt;&gt;"",Worksheet!Z179&lt;&gt;0),Worksheet!Z179&amp;"","")))</f>
        <v>0475971559</v>
      </c>
      <c r="M179" t="str">
        <f>IF(Worksheet!AE179="","",Worksheet!AE179)</f>
        <v/>
      </c>
      <c r="N179" t="str">
        <f>IF(Worksheet!AG179="","",Worksheet!AG179)</f>
        <v/>
      </c>
      <c r="O179" t="str">
        <f>IF(Worksheet!AJ179="","",Worksheet!AJ179)</f>
        <v/>
      </c>
      <c r="P179" t="str">
        <f>IF(Worksheet!AK179="","",Worksheet!AK179)</f>
        <v/>
      </c>
    </row>
    <row r="180" spans="1:16" x14ac:dyDescent="0.25">
      <c r="A180" t="str">
        <v>Jamila Ettijrini</v>
      </c>
      <c r="B180" t="str">
        <v/>
      </c>
      <c r="C180" t="str">
        <v>0470221432</v>
      </c>
      <c r="D180" t="str">
        <v/>
      </c>
      <c r="E180" s="2" t="str">
        <v/>
      </c>
      <c r="F180" t="str">
        <v>M16 A Haantjes CERTIFISC  Oudenaarde</v>
      </c>
      <c r="G180" t="str">
        <v>Speler</v>
      </c>
      <c r="J180" t="str">
        <f>Worksheet!C180&amp;" "&amp;Worksheet!B180</f>
        <v>Inge De Ruyver</v>
      </c>
      <c r="K180" t="str">
        <f>IF(Worksheet!P180&lt;&gt;"",Worksheet!P180,IF(Worksheet!R180&lt;&gt;"",Worksheet!R180,IF(Worksheet!T180&lt;&gt;"",Worksheet!T180,"")))</f>
        <v/>
      </c>
      <c r="L180" t="str">
        <f>IF(AND(Worksheet!V180&lt;&gt;"",Worksheet!V180&lt;&gt;0),Worksheet!V180&amp;"",IF(AND(Worksheet!X180&lt;&gt;"",Worksheet!X180&lt;&gt;0),Worksheet!X180&amp;"",IF(AND(Worksheet!Z180&lt;&gt;"",Worksheet!Z180&lt;&gt;0),Worksheet!Z180&amp;"","")))</f>
        <v>0478347087</v>
      </c>
      <c r="M180" t="str">
        <f>IF(Worksheet!AE180="","",Worksheet!AE180)</f>
        <v>https://app.twizzit.com/public/photos/4358429/s/d79ff54bc507bc51b7a66ca27491ef8c288b7c7d.png</v>
      </c>
      <c r="N180" t="str">
        <f>IF(Worksheet!AG180="","",Worksheet!AG180)</f>
        <v/>
      </c>
      <c r="O180" t="str">
        <f>IF(Worksheet!AJ180="","",Worksheet!AJ180)</f>
        <v/>
      </c>
      <c r="P180" t="str">
        <f>IF(Worksheet!AK180="","",Worksheet!AK180)</f>
        <v/>
      </c>
    </row>
    <row r="181" spans="1:16" x14ac:dyDescent="0.25">
      <c r="A181" t="str">
        <v>Chloé Faelens</v>
      </c>
      <c r="B181" t="str">
        <v/>
      </c>
      <c r="C181" t="str">
        <v>0472960602</v>
      </c>
      <c r="D181" t="str">
        <v>https://app.twizzit.com/public/photos/4276094/s/88cd5d3554278fc03aae2c2a9989ae19589b1181.png</v>
      </c>
      <c r="E181" s="2" t="str">
        <v/>
      </c>
      <c r="F181" t="str">
        <v>M16 A Haantjes CERTIFISC  Oudenaarde</v>
      </c>
      <c r="G181" t="str">
        <v>Speler</v>
      </c>
      <c r="J181" t="str">
        <f>Worksheet!C181&amp;" "&amp;Worksheet!B181</f>
        <v>Tessa De Ruyver</v>
      </c>
      <c r="K181" t="str">
        <f>IF(Worksheet!P181&lt;&gt;"",Worksheet!P181,IF(Worksheet!R181&lt;&gt;"",Worksheet!R181,IF(Worksheet!T181&lt;&gt;"",Worksheet!T181,"")))</f>
        <v/>
      </c>
      <c r="L181" t="str">
        <f>IF(AND(Worksheet!V181&lt;&gt;"",Worksheet!V181&lt;&gt;0),Worksheet!V181&amp;"",IF(AND(Worksheet!X181&lt;&gt;"",Worksheet!X181&lt;&gt;0),Worksheet!X181&amp;"",IF(AND(Worksheet!Z181&lt;&gt;"",Worksheet!Z181&lt;&gt;0),Worksheet!Z181&amp;"","")))</f>
        <v>0478936135</v>
      </c>
      <c r="M181" t="str">
        <f>IF(Worksheet!AE181="","",Worksheet!AE181)</f>
        <v/>
      </c>
      <c r="N181" t="str">
        <f>IF(Worksheet!AG181="","",Worksheet!AG181)</f>
        <v/>
      </c>
      <c r="O181" t="str">
        <f>IF(Worksheet!AJ181="","",Worksheet!AJ181)</f>
        <v/>
      </c>
      <c r="P181" t="str">
        <f>IF(Worksheet!AK181="","",Worksheet!AK181)</f>
        <v/>
      </c>
    </row>
    <row r="182" spans="1:16" x14ac:dyDescent="0.25">
      <c r="A182" t="str">
        <v>Chloé Faelens</v>
      </c>
      <c r="B182" t="str">
        <v/>
      </c>
      <c r="C182" t="str">
        <v>0472960602</v>
      </c>
      <c r="D182" t="str">
        <v>https://app.twizzit.com/public/photos/4276094/s/88cd5d3554278fc03aae2c2a9989ae19589b1181.png</v>
      </c>
      <c r="E182" s="2" t="str">
        <v/>
      </c>
      <c r="F182" t="str">
        <v>Zomerstage 2026 (Blankenberge)</v>
      </c>
      <c r="G182" t="str">
        <v>Speler</v>
      </c>
      <c r="J182" t="str">
        <f>Worksheet!C182&amp;" "&amp;Worksheet!B182</f>
        <v>Lobke De Rycke</v>
      </c>
      <c r="K182" t="str">
        <f>IF(Worksheet!P182&lt;&gt;"",Worksheet!P182,IF(Worksheet!R182&lt;&gt;"",Worksheet!R182,IF(Worksheet!T182&lt;&gt;"",Worksheet!T182,"")))</f>
        <v>mariekedeboe@gmail.com</v>
      </c>
      <c r="L182" t="str">
        <f>IF(AND(Worksheet!V182&lt;&gt;"",Worksheet!V182&lt;&gt;0),Worksheet!V182&amp;"",IF(AND(Worksheet!X182&lt;&gt;"",Worksheet!X182&lt;&gt;0),Worksheet!X182&amp;"",IF(AND(Worksheet!Z182&lt;&gt;"",Worksheet!Z182&lt;&gt;0),Worksheet!Z182&amp;"","")))</f>
        <v>0497511954</v>
      </c>
      <c r="M182" t="str">
        <f>IF(Worksheet!AE182="","",Worksheet!AE182)</f>
        <v>https://app.twizzit.com/public/photos/3361769/s/b867d38024248d08e5578b9874af52a32c38205b.png</v>
      </c>
      <c r="N182">
        <f>IF(Worksheet!AG182="","",Worksheet!AG182)</f>
        <v>744635</v>
      </c>
      <c r="O182" t="str">
        <f>IF(Worksheet!AJ182="","",Worksheet!AJ182)</f>
        <v/>
      </c>
      <c r="P182" t="str">
        <f>IF(Worksheet!AK182="","",Worksheet!AK182)</f>
        <v/>
      </c>
    </row>
    <row r="183" spans="1:16" x14ac:dyDescent="0.25">
      <c r="A183" t="str">
        <v>Alixe Geenens</v>
      </c>
      <c r="B183" t="str">
        <v>stephengeenens@gmail.com</v>
      </c>
      <c r="C183" t="str">
        <v>0477248349</v>
      </c>
      <c r="D183" t="str">
        <v/>
      </c>
      <c r="E183" s="2" t="str">
        <v/>
      </c>
      <c r="F183" t="str">
        <v>M10 HAANTJES CERTIFISC OUDENAARDE</v>
      </c>
      <c r="G183" t="str">
        <v>Speler</v>
      </c>
      <c r="J183" t="str">
        <f>Worksheet!C183&amp;" "&amp;Worksheet!B183</f>
        <v>Cléo De Saedeleer</v>
      </c>
      <c r="K183" t="str">
        <f>IF(Worksheet!P183&lt;&gt;"",Worksheet!P183,IF(Worksheet!R183&lt;&gt;"",Worksheet!R183,IF(Worksheet!T183&lt;&gt;"",Worksheet!T183,"")))</f>
        <v/>
      </c>
      <c r="L183" t="str">
        <f>IF(AND(Worksheet!V183&lt;&gt;"",Worksheet!V183&lt;&gt;0),Worksheet!V183&amp;"",IF(AND(Worksheet!X183&lt;&gt;"",Worksheet!X183&lt;&gt;0),Worksheet!X183&amp;"",IF(AND(Worksheet!Z183&lt;&gt;"",Worksheet!Z183&lt;&gt;0),Worksheet!Z183&amp;"","")))</f>
        <v/>
      </c>
      <c r="M183" t="str">
        <f>IF(Worksheet!AE183="","",Worksheet!AE183)</f>
        <v/>
      </c>
      <c r="N183">
        <f>IF(Worksheet!AG183="","",Worksheet!AG183)</f>
        <v>763285</v>
      </c>
      <c r="O183" t="str">
        <f>IF(Worksheet!AJ183="","",Worksheet!AJ183)</f>
        <v/>
      </c>
      <c r="P183" t="str">
        <f>IF(Worksheet!AK183="","",Worksheet!AK183)</f>
        <v/>
      </c>
    </row>
    <row r="184" spans="1:16" x14ac:dyDescent="0.25">
      <c r="A184" t="str">
        <v>Alixe Geenens</v>
      </c>
      <c r="B184" t="str">
        <v>stephengeenens@gmail.com</v>
      </c>
      <c r="C184" t="str">
        <v>0477248349</v>
      </c>
      <c r="D184" t="str">
        <v/>
      </c>
      <c r="E184" s="2" t="str">
        <v/>
      </c>
      <c r="F184" t="str">
        <v>Zomerstage 2026 U10 &amp; U12 (Oudenaarde)</v>
      </c>
      <c r="G184" t="str">
        <v>Speler</v>
      </c>
      <c r="J184" t="str">
        <f>Worksheet!C184&amp;" "&amp;Worksheet!B184</f>
        <v>Naomi De Scheerder</v>
      </c>
      <c r="K184" t="str">
        <f>IF(Worksheet!P184&lt;&gt;"",Worksheet!P184,IF(Worksheet!R184&lt;&gt;"",Worksheet!R184,IF(Worksheet!T184&lt;&gt;"",Worksheet!T184,"")))</f>
        <v/>
      </c>
      <c r="L184" t="str">
        <f>IF(AND(Worksheet!V184&lt;&gt;"",Worksheet!V184&lt;&gt;0),Worksheet!V184&amp;"",IF(AND(Worksheet!X184&lt;&gt;"",Worksheet!X184&lt;&gt;0),Worksheet!X184&amp;"",IF(AND(Worksheet!Z184&lt;&gt;"",Worksheet!Z184&lt;&gt;0),Worksheet!Z184&amp;"","")))</f>
        <v>497389636</v>
      </c>
      <c r="M184" t="str">
        <f>IF(Worksheet!AE184="","",Worksheet!AE184)</f>
        <v>https://app.twizzit.com/public/photos/3434759/s/64625cb4a4a90ed188ec4a77f3e5a2582b82f71f.png</v>
      </c>
      <c r="N184" t="str">
        <f>IF(Worksheet!AG184="","",Worksheet!AG184)</f>
        <v/>
      </c>
      <c r="O184" t="str">
        <f>IF(Worksheet!AJ184="","",Worksheet!AJ184)</f>
        <v/>
      </c>
      <c r="P184" t="str">
        <f>IF(Worksheet!AK184="","",Worksheet!AK184)</f>
        <v/>
      </c>
    </row>
    <row r="185" spans="1:16" x14ac:dyDescent="0.25">
      <c r="A185" t="str">
        <v>Celeste Geenens</v>
      </c>
      <c r="B185" t="str">
        <v>stephengeenens@gmail.com</v>
      </c>
      <c r="C185" t="str">
        <v>0477248349</v>
      </c>
      <c r="D185" t="str">
        <v/>
      </c>
      <c r="E185" s="2" t="str">
        <v/>
      </c>
      <c r="F185" t="str">
        <v>Zomerstage 2026 (Blankenberge)</v>
      </c>
      <c r="G185" t="str">
        <v>Speler</v>
      </c>
      <c r="J185" t="str">
        <f>Worksheet!C185&amp;" "&amp;Worksheet!B185</f>
        <v>Anneleen De Smet</v>
      </c>
      <c r="K185" t="str">
        <f>IF(Worksheet!P185&lt;&gt;"",Worksheet!P185,IF(Worksheet!R185&lt;&gt;"",Worksheet!R185,IF(Worksheet!T185&lt;&gt;"",Worksheet!T185,"")))</f>
        <v/>
      </c>
      <c r="L185" t="str">
        <f>IF(AND(Worksheet!V185&lt;&gt;"",Worksheet!V185&lt;&gt;0),Worksheet!V185&amp;"",IF(AND(Worksheet!X185&lt;&gt;"",Worksheet!X185&lt;&gt;0),Worksheet!X185&amp;"",IF(AND(Worksheet!Z185&lt;&gt;"",Worksheet!Z185&lt;&gt;0),Worksheet!Z185&amp;"","")))</f>
        <v/>
      </c>
      <c r="M185" t="str">
        <f>IF(Worksheet!AE185="","",Worksheet!AE185)</f>
        <v/>
      </c>
      <c r="N185" t="str">
        <f>IF(Worksheet!AG185="","",Worksheet!AG185)</f>
        <v/>
      </c>
      <c r="O185" t="str">
        <f>IF(Worksheet!AJ185="","",Worksheet!AJ185)</f>
        <v/>
      </c>
      <c r="P185" t="str">
        <f>IF(Worksheet!AK185="","",Worksheet!AK185)</f>
        <v/>
      </c>
    </row>
    <row r="186" spans="1:16" x14ac:dyDescent="0.25">
      <c r="A186" t="str">
        <v>Celeste Geenens</v>
      </c>
      <c r="B186" t="str">
        <v>stephengeenens@gmail.com</v>
      </c>
      <c r="C186" t="str">
        <v>0477248349</v>
      </c>
      <c r="D186" t="str">
        <v/>
      </c>
      <c r="E186" s="2" t="str">
        <v/>
      </c>
      <c r="F186" t="str">
        <v>M14 A Haantjes CERTIFISC  Oudenaarde</v>
      </c>
      <c r="G186" t="str">
        <v>Speler</v>
      </c>
      <c r="J186" t="str">
        <f>Worksheet!C186&amp;" "&amp;Worksheet!B186</f>
        <v>Kimberley De Smet</v>
      </c>
      <c r="K186" t="str">
        <f>IF(Worksheet!P186&lt;&gt;"",Worksheet!P186,IF(Worksheet!R186&lt;&gt;"",Worksheet!R186,IF(Worksheet!T186&lt;&gt;"",Worksheet!T186,"")))</f>
        <v/>
      </c>
      <c r="L186" t="str">
        <f>IF(AND(Worksheet!V186&lt;&gt;"",Worksheet!V186&lt;&gt;0),Worksheet!V186&amp;"",IF(AND(Worksheet!X186&lt;&gt;"",Worksheet!X186&lt;&gt;0),Worksheet!X186&amp;"",IF(AND(Worksheet!Z186&lt;&gt;"",Worksheet!Z186&lt;&gt;0),Worksheet!Z186&amp;"","")))</f>
        <v/>
      </c>
      <c r="M186" t="str">
        <f>IF(Worksheet!AE186="","",Worksheet!AE186)</f>
        <v>https://app.twizzit.com/public/photos/2182696/s/b3404003062e85e1b45f5fca9b0565fe70029286.png</v>
      </c>
      <c r="N186">
        <f>IF(Worksheet!AG186="","",Worksheet!AG186)</f>
        <v>266618</v>
      </c>
      <c r="O186" t="str">
        <f>IF(Worksheet!AJ186="","",Worksheet!AJ186)</f>
        <v>DSE A Haantjes Certifisc Oudenaarde</v>
      </c>
      <c r="P186" t="str">
        <f>IF(Worksheet!AK186="","",Worksheet!AK186)</f>
        <v>Speler</v>
      </c>
    </row>
    <row r="187" spans="1:16" x14ac:dyDescent="0.25">
      <c r="A187" t="str">
        <v>Lou Geenens</v>
      </c>
      <c r="B187" t="str">
        <v/>
      </c>
      <c r="C187" t="str">
        <v>0474335674</v>
      </c>
      <c r="D187" t="str">
        <v>https://app.twizzit.com/public/photos/10377574/s/62e9c970b54f4ce753f6fe1b02a81459ce0f4576.png</v>
      </c>
      <c r="E187" s="2" t="str">
        <v/>
      </c>
      <c r="F187" t="str">
        <v>G12 Blauw HAANTJES CERTIFISC OUDENAARDE</v>
      </c>
      <c r="G187" t="str">
        <v>Speler</v>
      </c>
      <c r="J187" t="str">
        <f>Worksheet!C187&amp;" "&amp;Worksheet!B187</f>
        <v>Kimberley De Smet</v>
      </c>
      <c r="K187" t="str">
        <f>IF(Worksheet!P187&lt;&gt;"",Worksheet!P187,IF(Worksheet!R187&lt;&gt;"",Worksheet!R187,IF(Worksheet!T187&lt;&gt;"",Worksheet!T187,"")))</f>
        <v/>
      </c>
      <c r="L187" t="str">
        <f>IF(AND(Worksheet!V187&lt;&gt;"",Worksheet!V187&lt;&gt;0),Worksheet!V187&amp;"",IF(AND(Worksheet!X187&lt;&gt;"",Worksheet!X187&lt;&gt;0),Worksheet!X187&amp;"",IF(AND(Worksheet!Z187&lt;&gt;"",Worksheet!Z187&lt;&gt;0),Worksheet!Z187&amp;"","")))</f>
        <v/>
      </c>
      <c r="M187" t="str">
        <f>IF(Worksheet!AE187="","",Worksheet!AE187)</f>
        <v>https://app.twizzit.com/public/photos/2182696/s/b3404003062e85e1b45f5fca9b0565fe70029286.png</v>
      </c>
      <c r="N187">
        <f>IF(Worksheet!AG187="","",Worksheet!AG187)</f>
        <v>266618</v>
      </c>
      <c r="O187" t="str">
        <f>IF(Worksheet!AJ187="","",Worksheet!AJ187)</f>
        <v xml:space="preserve">Trainerspoule </v>
      </c>
      <c r="P187" t="str">
        <f>IF(Worksheet!AK187="","",Worksheet!AK187)</f>
        <v>Coach</v>
      </c>
    </row>
    <row r="188" spans="1:16" x14ac:dyDescent="0.25">
      <c r="A188" t="str">
        <v>Victor Geiregat</v>
      </c>
      <c r="B188" t="str">
        <v>jurgengeiregat@gmail.com</v>
      </c>
      <c r="C188" t="str">
        <v>0485242755</v>
      </c>
      <c r="D188" t="str">
        <v/>
      </c>
      <c r="E188" s="2" t="str">
        <v/>
      </c>
      <c r="F188" t="str">
        <v>J16 B Haantjes CERTIFISC Oudenaarde</v>
      </c>
      <c r="G188" t="str">
        <v>Speler</v>
      </c>
      <c r="J188" t="str">
        <f>Worksheet!C188&amp;" "&amp;Worksheet!B188</f>
        <v>Quint De Smet</v>
      </c>
      <c r="K188" t="str">
        <f>IF(Worksheet!P188&lt;&gt;"",Worksheet!P188,IF(Worksheet!R188&lt;&gt;"",Worksheet!R188,IF(Worksheet!T188&lt;&gt;"",Worksheet!T188,"")))</f>
        <v/>
      </c>
      <c r="L188" t="str">
        <f>IF(AND(Worksheet!V188&lt;&gt;"",Worksheet!V188&lt;&gt;0),Worksheet!V188&amp;"",IF(AND(Worksheet!X188&lt;&gt;"",Worksheet!X188&lt;&gt;0),Worksheet!X188&amp;"",IF(AND(Worksheet!Z188&lt;&gt;"",Worksheet!Z188&lt;&gt;0),Worksheet!Z188&amp;"","")))</f>
        <v>320491647774</v>
      </c>
      <c r="M188" t="str">
        <f>IF(Worksheet!AE188="","",Worksheet!AE188)</f>
        <v/>
      </c>
      <c r="N188">
        <f>IF(Worksheet!AG188="","",Worksheet!AG188)</f>
        <v>639029</v>
      </c>
      <c r="O188" t="str">
        <f>IF(Worksheet!AJ188="","",Worksheet!AJ188)</f>
        <v/>
      </c>
      <c r="P188" t="str">
        <f>IF(Worksheet!AK188="","",Worksheet!AK188)</f>
        <v/>
      </c>
    </row>
    <row r="189" spans="1:16" x14ac:dyDescent="0.25">
      <c r="A189" t="str">
        <v>Victor Geiregat</v>
      </c>
      <c r="B189" t="str">
        <v>jurgengeiregat@gmail.com</v>
      </c>
      <c r="C189" t="str">
        <v>0485242755</v>
      </c>
      <c r="D189" t="str">
        <v/>
      </c>
      <c r="E189" s="2" t="str">
        <v/>
      </c>
      <c r="F189" t="str">
        <v>Zomerstage 2026 (Blankenberge)</v>
      </c>
      <c r="G189" t="str">
        <v>Speler</v>
      </c>
      <c r="J189" t="str">
        <f>Worksheet!C189&amp;" "&amp;Worksheet!B189</f>
        <v>Vikter-Troy De Smet</v>
      </c>
      <c r="K189" t="str">
        <f>IF(Worksheet!P189&lt;&gt;"",Worksheet!P189,IF(Worksheet!R189&lt;&gt;"",Worksheet!R189,IF(Worksheet!T189&lt;&gt;"",Worksheet!T189,"")))</f>
        <v/>
      </c>
      <c r="L189" t="str">
        <f>IF(AND(Worksheet!V189&lt;&gt;"",Worksheet!V189&lt;&gt;0),Worksheet!V189&amp;"",IF(AND(Worksheet!X189&lt;&gt;"",Worksheet!X189&lt;&gt;0),Worksheet!X189&amp;"",IF(AND(Worksheet!Z189&lt;&gt;"",Worksheet!Z189&lt;&gt;0),Worksheet!Z189&amp;"","")))</f>
        <v>320491520844</v>
      </c>
      <c r="M189" t="str">
        <f>IF(Worksheet!AE189="","",Worksheet!AE189)</f>
        <v/>
      </c>
      <c r="N189">
        <f>IF(Worksheet!AG189="","",Worksheet!AG189)</f>
        <v>637076</v>
      </c>
      <c r="O189" t="str">
        <f>IF(Worksheet!AJ189="","",Worksheet!AJ189)</f>
        <v/>
      </c>
      <c r="P189" t="str">
        <f>IF(Worksheet!AK189="","",Worksheet!AK189)</f>
        <v/>
      </c>
    </row>
    <row r="190" spans="1:16" x14ac:dyDescent="0.25">
      <c r="A190" t="str">
        <v>Basiel Genbrugge</v>
      </c>
      <c r="B190" t="str">
        <v>basiel.genbrugge@gmail.com</v>
      </c>
      <c r="C190" t="str">
        <v>0486314030</v>
      </c>
      <c r="D190" t="str">
        <v>https://app.twizzit.com/public/photos/8579142/s/db8d4000b96831e0c69a1f9ee9bb0955ce673dba.png</v>
      </c>
      <c r="E190" s="2" t="str">
        <v/>
      </c>
      <c r="F190" t="str">
        <v>J16 A Haantjes CERTIFISC Oudenaarde</v>
      </c>
      <c r="G190" t="str">
        <v>Speler</v>
      </c>
      <c r="J190" t="str">
        <f>Worksheet!C190&amp;" "&amp;Worksheet!B190</f>
        <v>Felix De Sutter</v>
      </c>
      <c r="K190" t="str">
        <f>IF(Worksheet!P190&lt;&gt;"",Worksheet!P190,IF(Worksheet!R190&lt;&gt;"",Worksheet!R190,IF(Worksheet!T190&lt;&gt;"",Worksheet!T190,"")))</f>
        <v>Buckensmarie1@gmail.com</v>
      </c>
      <c r="L190" t="str">
        <f>IF(AND(Worksheet!V190&lt;&gt;"",Worksheet!V190&lt;&gt;0),Worksheet!V190&amp;"",IF(AND(Worksheet!X190&lt;&gt;"",Worksheet!X190&lt;&gt;0),Worksheet!X190&amp;"",IF(AND(Worksheet!Z190&lt;&gt;"",Worksheet!Z190&lt;&gt;0),Worksheet!Z190&amp;"","")))</f>
        <v>0478287091</v>
      </c>
      <c r="M190" t="str">
        <f>IF(Worksheet!AE190="","",Worksheet!AE190)</f>
        <v>https://app.twizzit.com/public/photos/3440013/s/d39cee25f3de0f58fe5c6da0a709df7576ef784e.png</v>
      </c>
      <c r="N190" t="str">
        <f>IF(Worksheet!AG190="","",Worksheet!AG190)</f>
        <v/>
      </c>
      <c r="O190" t="str">
        <f>IF(Worksheet!AJ190="","",Worksheet!AJ190)</f>
        <v/>
      </c>
      <c r="P190" t="str">
        <f>IF(Worksheet!AK190="","",Worksheet!AK190)</f>
        <v/>
      </c>
    </row>
    <row r="191" spans="1:16" x14ac:dyDescent="0.25">
      <c r="A191" t="str">
        <v>Basiel Genbrugge</v>
      </c>
      <c r="B191" t="str">
        <v>basiel.genbrugge@gmail.com</v>
      </c>
      <c r="C191" t="str">
        <v>0486314030</v>
      </c>
      <c r="D191" t="str">
        <v>https://app.twizzit.com/public/photos/8579142/s/db8d4000b96831e0c69a1f9ee9bb0955ce673dba.png</v>
      </c>
      <c r="E191" s="2" t="str">
        <v/>
      </c>
      <c r="F191" t="str">
        <v>Zomerstage 2026 (Blankenberge)</v>
      </c>
      <c r="G191" t="str">
        <v>Speler</v>
      </c>
      <c r="J191" t="str">
        <f>Worksheet!C191&amp;" "&amp;Worksheet!B191</f>
        <v>Leander De Sutter</v>
      </c>
      <c r="K191" t="str">
        <f>IF(Worksheet!P191&lt;&gt;"",Worksheet!P191,IF(Worksheet!R191&lt;&gt;"",Worksheet!R191,IF(Worksheet!T191&lt;&gt;"",Worksheet!T191,"")))</f>
        <v/>
      </c>
      <c r="L191" t="str">
        <f>IF(AND(Worksheet!V191&lt;&gt;"",Worksheet!V191&lt;&gt;0),Worksheet!V191&amp;"",IF(AND(Worksheet!X191&lt;&gt;"",Worksheet!X191&lt;&gt;0),Worksheet!X191&amp;"",IF(AND(Worksheet!Z191&lt;&gt;"",Worksheet!Z191&lt;&gt;0),Worksheet!Z191&amp;"","")))</f>
        <v/>
      </c>
      <c r="M191" t="str">
        <f>IF(Worksheet!AE191="","",Worksheet!AE191)</f>
        <v/>
      </c>
      <c r="N191" t="str">
        <f>IF(Worksheet!AG191="","",Worksheet!AG191)</f>
        <v/>
      </c>
      <c r="O191" t="str">
        <f>IF(Worksheet!AJ191="","",Worksheet!AJ191)</f>
        <v/>
      </c>
      <c r="P191" t="str">
        <f>IF(Worksheet!AK191="","",Worksheet!AK191)</f>
        <v/>
      </c>
    </row>
    <row r="192" spans="1:16" x14ac:dyDescent="0.25">
      <c r="A192" t="str">
        <v>Tuur Genbrugge</v>
      </c>
      <c r="B192" t="str">
        <v/>
      </c>
      <c r="C192" t="str">
        <v>0486314030</v>
      </c>
      <c r="D192" t="str">
        <v/>
      </c>
      <c r="E192" s="2" t="str">
        <v/>
      </c>
      <c r="F192" t="str">
        <v xml:space="preserve">Trainerspoule </v>
      </c>
      <c r="G192" t="str">
        <v>Coach</v>
      </c>
      <c r="J192" t="str">
        <f>Worksheet!C192&amp;" "&amp;Worksheet!B192</f>
        <v>Matthias De Sutter</v>
      </c>
      <c r="K192" t="str">
        <f>IF(Worksheet!P192&lt;&gt;"",Worksheet!P192,IF(Worksheet!R192&lt;&gt;"",Worksheet!R192,IF(Worksheet!T192&lt;&gt;"",Worksheet!T192,"")))</f>
        <v/>
      </c>
      <c r="L192" t="str">
        <f>IF(AND(Worksheet!V192&lt;&gt;"",Worksheet!V192&lt;&gt;0),Worksheet!V192&amp;"",IF(AND(Worksheet!X192&lt;&gt;"",Worksheet!X192&lt;&gt;0),Worksheet!X192&amp;"",IF(AND(Worksheet!Z192&lt;&gt;"",Worksheet!Z192&lt;&gt;0),Worksheet!Z192&amp;"","")))</f>
        <v>0478936135</v>
      </c>
      <c r="M192" t="str">
        <f>IF(Worksheet!AE192="","",Worksheet!AE192)</f>
        <v/>
      </c>
      <c r="N192">
        <f>IF(Worksheet!AG192="","",Worksheet!AG192)</f>
        <v>732757</v>
      </c>
      <c r="O192" t="str">
        <f>IF(Worksheet!AJ192="","",Worksheet!AJ192)</f>
        <v/>
      </c>
      <c r="P192" t="str">
        <f>IF(Worksheet!AK192="","",Worksheet!AK192)</f>
        <v/>
      </c>
    </row>
    <row r="193" spans="1:16" x14ac:dyDescent="0.25">
      <c r="A193" t="str">
        <v>Yves Bellard Giriteka</v>
      </c>
      <c r="B193" t="str">
        <v/>
      </c>
      <c r="C193" t="str">
        <v>0466419783</v>
      </c>
      <c r="D193" t="str">
        <v/>
      </c>
      <c r="E193" s="2" t="str">
        <v/>
      </c>
      <c r="F193" t="str">
        <v>HSE B Haantjes Certifisc Oudenaarde</v>
      </c>
      <c r="G193" t="str">
        <v>Speler</v>
      </c>
      <c r="J193" t="str">
        <f>Worksheet!C193&amp;" "&amp;Worksheet!B193</f>
        <v>Ulrike De Taeye</v>
      </c>
      <c r="K193" t="str">
        <f>IF(Worksheet!P193&lt;&gt;"",Worksheet!P193,IF(Worksheet!R193&lt;&gt;"",Worksheet!R193,IF(Worksheet!T193&lt;&gt;"",Worksheet!T193,"")))</f>
        <v/>
      </c>
      <c r="L193" t="str">
        <f>IF(AND(Worksheet!V193&lt;&gt;"",Worksheet!V193&lt;&gt;0),Worksheet!V193&amp;"",IF(AND(Worksheet!X193&lt;&gt;"",Worksheet!X193&lt;&gt;0),Worksheet!X193&amp;"",IF(AND(Worksheet!Z193&lt;&gt;"",Worksheet!Z193&lt;&gt;0),Worksheet!Z193&amp;"","")))</f>
        <v/>
      </c>
      <c r="M193" t="str">
        <f>IF(Worksheet!AE193="","",Worksheet!AE193)</f>
        <v>https://app.twizzit.com/public/photos/2182711/s/d2f671923bea94e6b46b55b94ee26f4649bac088.png</v>
      </c>
      <c r="N193">
        <f>IF(Worksheet!AG193="","",Worksheet!AG193)</f>
        <v>725134</v>
      </c>
      <c r="O193" t="str">
        <f>IF(Worksheet!AJ193="","",Worksheet!AJ193)</f>
        <v/>
      </c>
      <c r="P193" t="str">
        <f>IF(Worksheet!AK193="","",Worksheet!AK193)</f>
        <v/>
      </c>
    </row>
    <row r="194" spans="1:16" x14ac:dyDescent="0.25">
      <c r="A194" t="str">
        <v>Dea Gocaj</v>
      </c>
      <c r="B194" t="str">
        <v/>
      </c>
      <c r="C194" t="str">
        <v>00465136417</v>
      </c>
      <c r="D194" t="str">
        <v/>
      </c>
      <c r="E194" s="2" t="str">
        <v/>
      </c>
      <c r="F194" t="str">
        <v>M10 HAANTJES CERTIFISC OUDENAARDE</v>
      </c>
      <c r="G194" t="str">
        <v>Speler</v>
      </c>
      <c r="J194" t="str">
        <f>Worksheet!C194&amp;" "&amp;Worksheet!B194</f>
        <v>Ulrike De Taeye</v>
      </c>
      <c r="K194" t="str">
        <f>IF(Worksheet!P194&lt;&gt;"",Worksheet!P194,IF(Worksheet!R194&lt;&gt;"",Worksheet!R194,IF(Worksheet!T194&lt;&gt;"",Worksheet!T194,"")))</f>
        <v/>
      </c>
      <c r="L194" t="str">
        <f>IF(AND(Worksheet!V194&lt;&gt;"",Worksheet!V194&lt;&gt;0),Worksheet!V194&amp;"",IF(AND(Worksheet!X194&lt;&gt;"",Worksheet!X194&lt;&gt;0),Worksheet!X194&amp;"",IF(AND(Worksheet!Z194&lt;&gt;"",Worksheet!Z194&lt;&gt;0),Worksheet!Z194&amp;"","")))</f>
        <v/>
      </c>
      <c r="M194" t="str">
        <f>IF(Worksheet!AE194="","",Worksheet!AE194)</f>
        <v>https://app.twizzit.com/public/photos/2182711/s/d2f671923bea94e6b46b55b94ee26f4649bac088.png</v>
      </c>
      <c r="N194">
        <f>IF(Worksheet!AG194="","",Worksheet!AG194)</f>
        <v>725134</v>
      </c>
      <c r="O194" t="str">
        <f>IF(Worksheet!AJ194="","",Worksheet!AJ194)</f>
        <v/>
      </c>
      <c r="P194" t="str">
        <f>IF(Worksheet!AK194="","",Worksheet!AK194)</f>
        <v/>
      </c>
    </row>
    <row r="195" spans="1:16" x14ac:dyDescent="0.25">
      <c r="A195" t="str">
        <v>Oben Godpower</v>
      </c>
      <c r="B195" t="str">
        <v/>
      </c>
      <c r="C195" t="str">
        <v>0497885450</v>
      </c>
      <c r="D195" t="str">
        <v/>
      </c>
      <c r="E195" s="2" t="str">
        <v/>
      </c>
      <c r="F195" t="str">
        <v>G14 B Haantjes CERTIFISC Oudenaarde</v>
      </c>
      <c r="G195" t="str">
        <v>Speler</v>
      </c>
      <c r="J195" t="str">
        <f>Worksheet!C195&amp;" "&amp;Worksheet!B195</f>
        <v>Tibo De Vleeschauwer</v>
      </c>
      <c r="K195" t="str">
        <f>IF(Worksheet!P195&lt;&gt;"",Worksheet!P195,IF(Worksheet!R195&lt;&gt;"",Worksheet!R195,IF(Worksheet!T195&lt;&gt;"",Worksheet!T195,"")))</f>
        <v/>
      </c>
      <c r="L195" t="str">
        <f>IF(AND(Worksheet!V195&lt;&gt;"",Worksheet!V195&lt;&gt;0),Worksheet!V195&amp;"",IF(AND(Worksheet!X195&lt;&gt;"",Worksheet!X195&lt;&gt;0),Worksheet!X195&amp;"",IF(AND(Worksheet!Z195&lt;&gt;"",Worksheet!Z195&lt;&gt;0),Worksheet!Z195&amp;"","")))</f>
        <v>473544353</v>
      </c>
      <c r="M195" t="str">
        <f>IF(Worksheet!AE195="","",Worksheet!AE195)</f>
        <v/>
      </c>
      <c r="N195" t="str">
        <f>IF(Worksheet!AG195="","",Worksheet!AG195)</f>
        <v/>
      </c>
      <c r="O195" t="str">
        <f>IF(Worksheet!AJ195="","",Worksheet!AJ195)</f>
        <v/>
      </c>
      <c r="P195" t="str">
        <f>IF(Worksheet!AK195="","",Worksheet!AK195)</f>
        <v/>
      </c>
    </row>
    <row r="196" spans="1:16" x14ac:dyDescent="0.25">
      <c r="A196" t="str">
        <v>Briek Goossens</v>
      </c>
      <c r="B196" t="str">
        <v>dries.goossens@gmail.com</v>
      </c>
      <c r="C196" t="str">
        <v>320497948892</v>
      </c>
      <c r="D196" t="str">
        <v/>
      </c>
      <c r="E196" s="2">
        <v>735147</v>
      </c>
      <c r="F196" t="str">
        <v>J16 A Haantjes CERTIFISC Oudenaarde</v>
      </c>
      <c r="G196" t="str">
        <v>Speler</v>
      </c>
      <c r="J196" t="str">
        <f>Worksheet!C196&amp;" "&amp;Worksheet!B196</f>
        <v>Camille De vreese</v>
      </c>
      <c r="K196" t="str">
        <f>IF(Worksheet!P196&lt;&gt;"",Worksheet!P196,IF(Worksheet!R196&lt;&gt;"",Worksheet!R196,IF(Worksheet!T196&lt;&gt;"",Worksheet!T196,"")))</f>
        <v/>
      </c>
      <c r="L196" t="str">
        <f>IF(AND(Worksheet!V196&lt;&gt;"",Worksheet!V196&lt;&gt;0),Worksheet!V196&amp;"",IF(AND(Worksheet!X196&lt;&gt;"",Worksheet!X196&lt;&gt;0),Worksheet!X196&amp;"",IF(AND(Worksheet!Z196&lt;&gt;"",Worksheet!Z196&lt;&gt;0),Worksheet!Z196&amp;"","")))</f>
        <v>0498651266</v>
      </c>
      <c r="M196" t="str">
        <f>IF(Worksheet!AE196="","",Worksheet!AE196)</f>
        <v>https://app.twizzit.com/public/photos/7284534/s/89166ad605bd29d54909fd3e80a34843f88650ec.png</v>
      </c>
      <c r="N196" t="str">
        <f>IF(Worksheet!AG196="","",Worksheet!AG196)</f>
        <v/>
      </c>
      <c r="O196" t="str">
        <f>IF(Worksheet!AJ196="","",Worksheet!AJ196)</f>
        <v>M10 HAANTJES CERTIFISC OUDENAARDE</v>
      </c>
      <c r="P196" t="str">
        <f>IF(Worksheet!AK196="","",Worksheet!AK196)</f>
        <v>Speler</v>
      </c>
    </row>
    <row r="197" spans="1:16" x14ac:dyDescent="0.25">
      <c r="A197" t="str">
        <v>Briek Goossens</v>
      </c>
      <c r="B197" t="str">
        <v>dries.goossens@gmail.com</v>
      </c>
      <c r="C197" t="str">
        <v>320497948892</v>
      </c>
      <c r="D197" t="str">
        <v/>
      </c>
      <c r="E197" s="2">
        <v>735147</v>
      </c>
      <c r="F197" t="str">
        <v>Zomerstage 2026 (Blankenberge)</v>
      </c>
      <c r="G197" t="str">
        <v>Speler</v>
      </c>
      <c r="J197" t="str">
        <f>Worksheet!C197&amp;" "&amp;Worksheet!B197</f>
        <v>Oliver De Vreese</v>
      </c>
      <c r="K197" t="str">
        <f>IF(Worksheet!P197&lt;&gt;"",Worksheet!P197,IF(Worksheet!R197&lt;&gt;"",Worksheet!R197,IF(Worksheet!T197&lt;&gt;"",Worksheet!T197,"")))</f>
        <v/>
      </c>
      <c r="L197" t="str">
        <f>IF(AND(Worksheet!V197&lt;&gt;"",Worksheet!V197&lt;&gt;0),Worksheet!V197&amp;"",IF(AND(Worksheet!X197&lt;&gt;"",Worksheet!X197&lt;&gt;0),Worksheet!X197&amp;"",IF(AND(Worksheet!Z197&lt;&gt;"",Worksheet!Z197&lt;&gt;0),Worksheet!Z197&amp;"","")))</f>
        <v>32473582756</v>
      </c>
      <c r="M197" t="str">
        <f>IF(Worksheet!AE197="","",Worksheet!AE197)</f>
        <v/>
      </c>
      <c r="N197" t="str">
        <f>IF(Worksheet!AG197="","",Worksheet!AG197)</f>
        <v/>
      </c>
      <c r="O197" t="str">
        <f>IF(Worksheet!AJ197="","",Worksheet!AJ197)</f>
        <v/>
      </c>
      <c r="P197" t="str">
        <f>IF(Worksheet!AK197="","",Worksheet!AK197)</f>
        <v/>
      </c>
    </row>
    <row r="198" spans="1:16" x14ac:dyDescent="0.25">
      <c r="A198" t="str">
        <v>Thomas Goossens</v>
      </c>
      <c r="B198" t="str">
        <v/>
      </c>
      <c r="C198" t="str">
        <v>0477281468</v>
      </c>
      <c r="D198" t="str">
        <v>https://app.twizzit.com/public/photos/2182921/s/d5ec4bbccbaf575bfa3a597df60827a1e6809d4b.png</v>
      </c>
      <c r="E198" s="2">
        <v>708299</v>
      </c>
      <c r="F198" t="str">
        <v>J21 A HAANTJES CERTIFISC OUDENAARDE</v>
      </c>
      <c r="G198" t="str">
        <v>Speler</v>
      </c>
      <c r="J198" t="str">
        <f>Worksheet!C198&amp;" "&amp;Worksheet!B198</f>
        <v>Mats De Vriese</v>
      </c>
      <c r="K198" t="str">
        <f>IF(Worksheet!P198&lt;&gt;"",Worksheet!P198,IF(Worksheet!R198&lt;&gt;"",Worksheet!R198,IF(Worksheet!T198&lt;&gt;"",Worksheet!T198,"")))</f>
        <v/>
      </c>
      <c r="L198" t="str">
        <f>IF(AND(Worksheet!V198&lt;&gt;"",Worksheet!V198&lt;&gt;0),Worksheet!V198&amp;"",IF(AND(Worksheet!X198&lt;&gt;"",Worksheet!X198&lt;&gt;0),Worksheet!X198&amp;"",IF(AND(Worksheet!Z198&lt;&gt;"",Worksheet!Z198&lt;&gt;0),Worksheet!Z198&amp;"","")))</f>
        <v>0478239304</v>
      </c>
      <c r="M198" t="str">
        <f>IF(Worksheet!AE198="","",Worksheet!AE198)</f>
        <v/>
      </c>
      <c r="N198">
        <f>IF(Worksheet!AG198="","",Worksheet!AG198)</f>
        <v>733207</v>
      </c>
      <c r="O198" t="str">
        <f>IF(Worksheet!AJ198="","",Worksheet!AJ198)</f>
        <v/>
      </c>
      <c r="P198" t="str">
        <f>IF(Worksheet!AK198="","",Worksheet!AK198)</f>
        <v/>
      </c>
    </row>
    <row r="199" spans="1:16" x14ac:dyDescent="0.25">
      <c r="A199" t="str">
        <v>Thomas Goossens</v>
      </c>
      <c r="B199" t="str">
        <v/>
      </c>
      <c r="C199" t="str">
        <v>0477281468</v>
      </c>
      <c r="D199" t="str">
        <v>https://app.twizzit.com/public/photos/2182921/s/d5ec4bbccbaf575bfa3a597df60827a1e6809d4b.png</v>
      </c>
      <c r="E199" s="2">
        <v>708299</v>
      </c>
      <c r="F199" t="str">
        <v>HSE B Haantjes Certifisc Oudenaarde</v>
      </c>
      <c r="G199" t="str">
        <v>Speler</v>
      </c>
      <c r="J199" t="str">
        <f>Worksheet!C199&amp;" "&amp;Worksheet!B199</f>
        <v>Vital De Waele</v>
      </c>
      <c r="K199" t="str">
        <f>IF(Worksheet!P199&lt;&gt;"",Worksheet!P199,IF(Worksheet!R199&lt;&gt;"",Worksheet!R199,IF(Worksheet!T199&lt;&gt;"",Worksheet!T199,"")))</f>
        <v>eddy.de_waele@unilin.com</v>
      </c>
      <c r="L199" t="str">
        <f>IF(AND(Worksheet!V199&lt;&gt;"",Worksheet!V199&lt;&gt;0),Worksheet!V199&amp;"",IF(AND(Worksheet!X199&lt;&gt;"",Worksheet!X199&lt;&gt;0),Worksheet!X199&amp;"",IF(AND(Worksheet!Z199&lt;&gt;"",Worksheet!Z199&lt;&gt;0),Worksheet!Z199&amp;"","")))</f>
        <v>499789499</v>
      </c>
      <c r="M199" t="str">
        <f>IF(Worksheet!AE199="","",Worksheet!AE199)</f>
        <v/>
      </c>
      <c r="N199" t="str">
        <f>IF(Worksheet!AG199="","",Worksheet!AG199)</f>
        <v/>
      </c>
      <c r="O199" t="str">
        <f>IF(Worksheet!AJ199="","",Worksheet!AJ199)</f>
        <v/>
      </c>
      <c r="P199" t="str">
        <f>IF(Worksheet!AK199="","",Worksheet!AK199)</f>
        <v/>
      </c>
    </row>
    <row r="200" spans="1:16" x14ac:dyDescent="0.25">
      <c r="A200" t="str">
        <v>Tuur Goossens</v>
      </c>
      <c r="B200" t="str">
        <v>dries.goossens@gmail.com</v>
      </c>
      <c r="C200" t="str">
        <v>320497948892</v>
      </c>
      <c r="D200" t="str">
        <v/>
      </c>
      <c r="E200" s="2">
        <v>735148</v>
      </c>
      <c r="F200" t="str">
        <v>G14 B Haantjes CERTIFISC Oudenaarde</v>
      </c>
      <c r="G200" t="str">
        <v>Speler</v>
      </c>
      <c r="J200" t="str">
        <f>Worksheet!C200&amp;" "&amp;Worksheet!B200</f>
        <v>Cedric De Weirt</v>
      </c>
      <c r="K200" t="str">
        <f>IF(Worksheet!P200&lt;&gt;"",Worksheet!P200,IF(Worksheet!R200&lt;&gt;"",Worksheet!R200,IF(Worksheet!T200&lt;&gt;"",Worksheet!T200,"")))</f>
        <v/>
      </c>
      <c r="L200" t="str">
        <f>IF(AND(Worksheet!V200&lt;&gt;"",Worksheet!V200&lt;&gt;0),Worksheet!V200&amp;"",IF(AND(Worksheet!X200&lt;&gt;"",Worksheet!X200&lt;&gt;0),Worksheet!X200&amp;"",IF(AND(Worksheet!Z200&lt;&gt;"",Worksheet!Z200&lt;&gt;0),Worksheet!Z200&amp;"","")))</f>
        <v>0472263674</v>
      </c>
      <c r="M200" t="str">
        <f>IF(Worksheet!AE200="","",Worksheet!AE200)</f>
        <v>https://app.twizzit.com/public/photos/4024808/s/36237781b3b5fa7c3ba1974edd454e9639c65aac.png</v>
      </c>
      <c r="N200">
        <f>IF(Worksheet!AG200="","",Worksheet!AG200)</f>
        <v>252069</v>
      </c>
      <c r="O200" t="str">
        <f>IF(Worksheet!AJ200="","",Worksheet!AJ200)</f>
        <v/>
      </c>
      <c r="P200" t="str">
        <f>IF(Worksheet!AK200="","",Worksheet!AK200)</f>
        <v/>
      </c>
    </row>
    <row r="201" spans="1:16" x14ac:dyDescent="0.25">
      <c r="A201" t="str">
        <v>Heike Guenter</v>
      </c>
      <c r="B201" t="str">
        <v>Heike.guenter@telenet.be</v>
      </c>
      <c r="C201" t="str">
        <v>0474664394</v>
      </c>
      <c r="D201" t="str">
        <v/>
      </c>
      <c r="E201" s="2">
        <v>727038</v>
      </c>
      <c r="F201" t="str">
        <v>DSE A Haantjes Certifisc Oudenaarde</v>
      </c>
      <c r="G201" t="str">
        <v>Speler</v>
      </c>
      <c r="J201" t="str">
        <f>Worksheet!C201&amp;" "&amp;Worksheet!B201</f>
        <v>Emile-Louis De Windt</v>
      </c>
      <c r="K201" t="str">
        <f>IF(Worksheet!P201&lt;&gt;"",Worksheet!P201,IF(Worksheet!R201&lt;&gt;"",Worksheet!R201,IF(Worksheet!T201&lt;&gt;"",Worksheet!T201,"")))</f>
        <v>dwingrey@gmail.com</v>
      </c>
      <c r="L201" t="str">
        <f>IF(AND(Worksheet!V201&lt;&gt;"",Worksheet!V201&lt;&gt;0),Worksheet!V201&amp;"",IF(AND(Worksheet!X201&lt;&gt;"",Worksheet!X201&lt;&gt;0),Worksheet!X201&amp;"",IF(AND(Worksheet!Z201&lt;&gt;"",Worksheet!Z201&lt;&gt;0),Worksheet!Z201&amp;"","")))</f>
        <v>0485843240</v>
      </c>
      <c r="M201" t="str">
        <f>IF(Worksheet!AE201="","",Worksheet!AE201)</f>
        <v>https://app.twizzit.com/public/photos/3463928/s/65ba284a6aa8f67e5b08f396e397206e4afd6e82.png</v>
      </c>
      <c r="N201">
        <f>IF(Worksheet!AG201="","",Worksheet!AG201)</f>
        <v>747479</v>
      </c>
      <c r="O201" t="str">
        <f>IF(Worksheet!AJ201="","",Worksheet!AJ201)</f>
        <v>J18 A Haantjes CERTIFISC Oudenaarde</v>
      </c>
      <c r="P201" t="str">
        <f>IF(Worksheet!AK201="","",Worksheet!AK201)</f>
        <v>Speler</v>
      </c>
    </row>
    <row r="202" spans="1:16" x14ac:dyDescent="0.25">
      <c r="A202" t="str">
        <v>Heike Guenter</v>
      </c>
      <c r="B202" t="str">
        <v>Heike.guenter@telenet.be</v>
      </c>
      <c r="C202" t="str">
        <v>0474664394</v>
      </c>
      <c r="D202" t="str">
        <v/>
      </c>
      <c r="E202" s="2">
        <v>727038</v>
      </c>
      <c r="F202" t="str">
        <v>Zomerstage 2026 (Blankenberge)</v>
      </c>
      <c r="G202" t="str">
        <v>Speler</v>
      </c>
      <c r="J202" t="str">
        <f>Worksheet!C202&amp;" "&amp;Worksheet!B202</f>
        <v>Elli De Zitter</v>
      </c>
      <c r="K202" t="str">
        <f>IF(Worksheet!P202&lt;&gt;"",Worksheet!P202,IF(Worksheet!R202&lt;&gt;"",Worksheet!R202,IF(Worksheet!T202&lt;&gt;"",Worksheet!T202,"")))</f>
        <v>de.zitter.steve@gmail.com</v>
      </c>
      <c r="L202" t="str">
        <f>IF(AND(Worksheet!V202&lt;&gt;"",Worksheet!V202&lt;&gt;0),Worksheet!V202&amp;"",IF(AND(Worksheet!X202&lt;&gt;"",Worksheet!X202&lt;&gt;0),Worksheet!X202&amp;"",IF(AND(Worksheet!Z202&lt;&gt;"",Worksheet!Z202&lt;&gt;0),Worksheet!Z202&amp;"","")))</f>
        <v>0473423222</v>
      </c>
      <c r="M202" t="str">
        <f>IF(Worksheet!AE202="","",Worksheet!AE202)</f>
        <v/>
      </c>
      <c r="N202" t="str">
        <f>IF(Worksheet!AG202="","",Worksheet!AG202)</f>
        <v/>
      </c>
      <c r="O202" t="str">
        <f>IF(Worksheet!AJ202="","",Worksheet!AJ202)</f>
        <v>G08 Geel HAANTJES CERTIFISC OUDENAARDE</v>
      </c>
      <c r="P202" t="str">
        <f>IF(Worksheet!AK202="","",Worksheet!AK202)</f>
        <v>Speler</v>
      </c>
    </row>
    <row r="203" spans="1:16" x14ac:dyDescent="0.25">
      <c r="A203" t="str">
        <v>Heike Guenter</v>
      </c>
      <c r="B203" t="str">
        <v>Heike.guenter@telenet.be</v>
      </c>
      <c r="C203" t="str">
        <v>0474664394</v>
      </c>
      <c r="D203" t="str">
        <v/>
      </c>
      <c r="E203" s="2">
        <v>727038</v>
      </c>
      <c r="F203" t="str">
        <v>M19 A Haantjes CERTIFISC Oudenaarde</v>
      </c>
      <c r="G203" t="str">
        <v>Speler</v>
      </c>
      <c r="J203" t="str">
        <f>Worksheet!C203&amp;" "&amp;Worksheet!B203</f>
        <v>Elli De Zitter</v>
      </c>
      <c r="K203" t="str">
        <f>IF(Worksheet!P203&lt;&gt;"",Worksheet!P203,IF(Worksheet!R203&lt;&gt;"",Worksheet!R203,IF(Worksheet!T203&lt;&gt;"",Worksheet!T203,"")))</f>
        <v>de.zitter.steve@gmail.com</v>
      </c>
      <c r="L203" t="str">
        <f>IF(AND(Worksheet!V203&lt;&gt;"",Worksheet!V203&lt;&gt;0),Worksheet!V203&amp;"",IF(AND(Worksheet!X203&lt;&gt;"",Worksheet!X203&lt;&gt;0),Worksheet!X203&amp;"",IF(AND(Worksheet!Z203&lt;&gt;"",Worksheet!Z203&lt;&gt;0),Worksheet!Z203&amp;"","")))</f>
        <v>0473423222</v>
      </c>
      <c r="M203" t="str">
        <f>IF(Worksheet!AE203="","",Worksheet!AE203)</f>
        <v/>
      </c>
      <c r="N203" t="str">
        <f>IF(Worksheet!AG203="","",Worksheet!AG203)</f>
        <v/>
      </c>
      <c r="O203" t="str">
        <f>IF(Worksheet!AJ203="","",Worksheet!AJ203)</f>
        <v>Zomerstage 2026 U8 (Oudenaarde)</v>
      </c>
      <c r="P203" t="str">
        <f>IF(Worksheet!AK203="","",Worksheet!AK203)</f>
        <v>Speler</v>
      </c>
    </row>
    <row r="204" spans="1:16" x14ac:dyDescent="0.25">
      <c r="A204" t="str">
        <v>Viktor Guillaume</v>
      </c>
      <c r="B204" t="str">
        <v>Dieter.Guillaume@gmail.com</v>
      </c>
      <c r="C204" t="str">
        <v>0489100744</v>
      </c>
      <c r="D204" t="str">
        <v/>
      </c>
      <c r="E204" s="2" t="str">
        <v/>
      </c>
      <c r="F204" t="str">
        <v>G10 Blauw HAANTJES CERTIFISC OUDENAARDE</v>
      </c>
      <c r="G204" t="str">
        <v>Speler</v>
      </c>
      <c r="J204" t="str">
        <f>Worksheet!C204&amp;" "&amp;Worksheet!B204</f>
        <v>Limme De Zitter</v>
      </c>
      <c r="K204" t="str">
        <f>IF(Worksheet!P204&lt;&gt;"",Worksheet!P204,IF(Worksheet!R204&lt;&gt;"",Worksheet!R204,IF(Worksheet!T204&lt;&gt;"",Worksheet!T204,"")))</f>
        <v>de.zitter.steve@gmail.com</v>
      </c>
      <c r="L204" t="str">
        <f>IF(AND(Worksheet!V204&lt;&gt;"",Worksheet!V204&lt;&gt;0),Worksheet!V204&amp;"",IF(AND(Worksheet!X204&lt;&gt;"",Worksheet!X204&lt;&gt;0),Worksheet!X204&amp;"",IF(AND(Worksheet!Z204&lt;&gt;"",Worksheet!Z204&lt;&gt;0),Worksheet!Z204&amp;"","")))</f>
        <v>473423222</v>
      </c>
      <c r="M204" t="str">
        <f>IF(Worksheet!AE204="","",Worksheet!AE204)</f>
        <v/>
      </c>
      <c r="N204">
        <f>IF(Worksheet!AG204="","",Worksheet!AG204)</f>
        <v>742327</v>
      </c>
      <c r="O204" t="str">
        <f>IF(Worksheet!AJ204="","",Worksheet!AJ204)</f>
        <v>Zomerstage 2026 (Blankenberge)</v>
      </c>
      <c r="P204" t="str">
        <f>IF(Worksheet!AK204="","",Worksheet!AK204)</f>
        <v>Speler</v>
      </c>
    </row>
    <row r="205" spans="1:16" x14ac:dyDescent="0.25">
      <c r="A205" t="str">
        <v>Laura Hakuzimana</v>
      </c>
      <c r="B205" t="str">
        <v/>
      </c>
      <c r="C205" t="str">
        <v>0496950967</v>
      </c>
      <c r="D205" t="str">
        <v/>
      </c>
      <c r="E205" s="2">
        <v>721092</v>
      </c>
      <c r="F205" t="str">
        <v>M16 A Haantjes CERTIFISC  Oudenaarde</v>
      </c>
      <c r="G205" t="str">
        <v>Speler</v>
      </c>
      <c r="J205" t="str">
        <f>Worksheet!C205&amp;" "&amp;Worksheet!B205</f>
        <v>Limme De Zitter</v>
      </c>
      <c r="K205" t="str">
        <f>IF(Worksheet!P205&lt;&gt;"",Worksheet!P205,IF(Worksheet!R205&lt;&gt;"",Worksheet!R205,IF(Worksheet!T205&lt;&gt;"",Worksheet!T205,"")))</f>
        <v>de.zitter.steve@gmail.com</v>
      </c>
      <c r="L205" t="str">
        <f>IF(AND(Worksheet!V205&lt;&gt;"",Worksheet!V205&lt;&gt;0),Worksheet!V205&amp;"",IF(AND(Worksheet!X205&lt;&gt;"",Worksheet!X205&lt;&gt;0),Worksheet!X205&amp;"",IF(AND(Worksheet!Z205&lt;&gt;"",Worksheet!Z205&lt;&gt;0),Worksheet!Z205&amp;"","")))</f>
        <v>473423222</v>
      </c>
      <c r="M205" t="str">
        <f>IF(Worksheet!AE205="","",Worksheet!AE205)</f>
        <v/>
      </c>
      <c r="N205">
        <f>IF(Worksheet!AG205="","",Worksheet!AG205)</f>
        <v>742327</v>
      </c>
      <c r="O205" t="str">
        <f>IF(Worksheet!AJ205="","",Worksheet!AJ205)</f>
        <v>M14 A Haantjes CERTIFISC  Oudenaarde</v>
      </c>
      <c r="P205" t="str">
        <f>IF(Worksheet!AK205="","",Worksheet!AK205)</f>
        <v>Speler</v>
      </c>
    </row>
    <row r="206" spans="1:16" x14ac:dyDescent="0.25">
      <c r="A206" t="str">
        <v>Laura Hakuzimana</v>
      </c>
      <c r="B206" t="str">
        <v/>
      </c>
      <c r="C206" t="str">
        <v>0496950967</v>
      </c>
      <c r="D206" t="str">
        <v/>
      </c>
      <c r="E206" s="2">
        <v>721092</v>
      </c>
      <c r="F206" t="str">
        <v>Zomerstage 2026 (Blankenberge)</v>
      </c>
      <c r="G206" t="str">
        <v>Speler</v>
      </c>
      <c r="J206" t="str">
        <f>Worksheet!C206&amp;" "&amp;Worksheet!B206</f>
        <v>Davie Debels</v>
      </c>
      <c r="K206" t="str">
        <f>IF(Worksheet!P206&lt;&gt;"",Worksheet!P206,IF(Worksheet!R206&lt;&gt;"",Worksheet!R206,IF(Worksheet!T206&lt;&gt;"",Worksheet!T206,"")))</f>
        <v/>
      </c>
      <c r="L206" t="str">
        <f>IF(AND(Worksheet!V206&lt;&gt;"",Worksheet!V206&lt;&gt;0),Worksheet!V206&amp;"",IF(AND(Worksheet!X206&lt;&gt;"",Worksheet!X206&lt;&gt;0),Worksheet!X206&amp;"",IF(AND(Worksheet!Z206&lt;&gt;"",Worksheet!Z206&lt;&gt;0),Worksheet!Z206&amp;"","")))</f>
        <v>0495279874</v>
      </c>
      <c r="M206" t="str">
        <f>IF(Worksheet!AE206="","",Worksheet!AE206)</f>
        <v/>
      </c>
      <c r="N206" t="str">
        <f>IF(Worksheet!AG206="","",Worksheet!AG206)</f>
        <v/>
      </c>
      <c r="O206" t="str">
        <f>IF(Worksheet!AJ206="","",Worksheet!AJ206)</f>
        <v/>
      </c>
      <c r="P206" t="str">
        <f>IF(Worksheet!AK206="","",Worksheet!AK206)</f>
        <v/>
      </c>
    </row>
    <row r="207" spans="1:16" x14ac:dyDescent="0.25">
      <c r="A207" t="str">
        <v>Sander Hakuzimana</v>
      </c>
      <c r="B207" t="str">
        <v/>
      </c>
      <c r="C207" t="str">
        <v>0496950967</v>
      </c>
      <c r="D207" t="str">
        <v/>
      </c>
      <c r="E207" s="2" t="str">
        <v/>
      </c>
      <c r="F207" t="str">
        <v>J21 A HAANTJES CERTIFISC OUDENAARDE</v>
      </c>
      <c r="G207" t="str">
        <v>Speler</v>
      </c>
      <c r="J207" t="str">
        <f>Worksheet!C207&amp;" "&amp;Worksheet!B207</f>
        <v>Maurice Debels</v>
      </c>
      <c r="K207" t="str">
        <f>IF(Worksheet!P207&lt;&gt;"",Worksheet!P207,IF(Worksheet!R207&lt;&gt;"",Worksheet!R207,IF(Worksheet!T207&lt;&gt;"",Worksheet!T207,"")))</f>
        <v/>
      </c>
      <c r="L207" t="str">
        <f>IF(AND(Worksheet!V207&lt;&gt;"",Worksheet!V207&lt;&gt;0),Worksheet!V207&amp;"",IF(AND(Worksheet!X207&lt;&gt;"",Worksheet!X207&lt;&gt;0),Worksheet!X207&amp;"",IF(AND(Worksheet!Z207&lt;&gt;"",Worksheet!Z207&lt;&gt;0),Worksheet!Z207&amp;"","")))</f>
        <v>0476521616</v>
      </c>
      <c r="M207" t="str">
        <f>IF(Worksheet!AE207="","",Worksheet!AE207)</f>
        <v>https://app.twizzit.com/public/photos/7307064/s/62a20fb436e1f6920a77ad9e4cd715a7e88bd1d1.png</v>
      </c>
      <c r="N207" t="str">
        <f>IF(Worksheet!AG207="","",Worksheet!AG207)</f>
        <v/>
      </c>
      <c r="O207" t="str">
        <f>IF(Worksheet!AJ207="","",Worksheet!AJ207)</f>
        <v>G10 Blauw HAANTJES CERTIFISC OUDENAARDE</v>
      </c>
      <c r="P207" t="str">
        <f>IF(Worksheet!AK207="","",Worksheet!AK207)</f>
        <v>Speler</v>
      </c>
    </row>
    <row r="208" spans="1:16" x14ac:dyDescent="0.25">
      <c r="A208" t="str">
        <v>Sander Hakuzimana</v>
      </c>
      <c r="B208" t="str">
        <v/>
      </c>
      <c r="C208" t="str">
        <v>0496950967</v>
      </c>
      <c r="D208" t="str">
        <v/>
      </c>
      <c r="E208" s="2" t="str">
        <v/>
      </c>
      <c r="F208" t="str">
        <v>HSE B Haantjes Certifisc Oudenaarde</v>
      </c>
      <c r="G208" t="str">
        <v>Speler</v>
      </c>
      <c r="J208" t="str">
        <f>Worksheet!C208&amp;" "&amp;Worksheet!B208</f>
        <v>Arthur Debisschop</v>
      </c>
      <c r="K208" t="str">
        <f>IF(Worksheet!P208&lt;&gt;"",Worksheet!P208,IF(Worksheet!R208&lt;&gt;"",Worksheet!R208,IF(Worksheet!T208&lt;&gt;"",Worksheet!T208,"")))</f>
        <v/>
      </c>
      <c r="L208" t="str">
        <f>IF(AND(Worksheet!V208&lt;&gt;"",Worksheet!V208&lt;&gt;0),Worksheet!V208&amp;"",IF(AND(Worksheet!X208&lt;&gt;"",Worksheet!X208&lt;&gt;0),Worksheet!X208&amp;"",IF(AND(Worksheet!Z208&lt;&gt;"",Worksheet!Z208&lt;&gt;0),Worksheet!Z208&amp;"","")))</f>
        <v>0486445874</v>
      </c>
      <c r="M208" t="str">
        <f>IF(Worksheet!AE208="","",Worksheet!AE208)</f>
        <v/>
      </c>
      <c r="N208" t="str">
        <f>IF(Worksheet!AG208="","",Worksheet!AG208)</f>
        <v/>
      </c>
      <c r="O208" t="str">
        <f>IF(Worksheet!AJ208="","",Worksheet!AJ208)</f>
        <v>G14 B Haantjes CERTIFISC Oudenaarde</v>
      </c>
      <c r="P208" t="str">
        <f>IF(Worksheet!AK208="","",Worksheet!AK208)</f>
        <v>Speler</v>
      </c>
    </row>
    <row r="209" spans="1:16" x14ac:dyDescent="0.25">
      <c r="A209" t="str">
        <v>Ron Heestermans</v>
      </c>
      <c r="B209" t="str">
        <v/>
      </c>
      <c r="C209" t="str">
        <v>0468152536</v>
      </c>
      <c r="D209" t="str">
        <v/>
      </c>
      <c r="E209" s="2" t="str">
        <v/>
      </c>
      <c r="F209" t="str">
        <v>M16 A Haantjes CERTIFISC  Oudenaarde</v>
      </c>
      <c r="G209" t="str">
        <v>Coach</v>
      </c>
      <c r="J209" t="str">
        <f>Worksheet!C209&amp;" "&amp;Worksheet!B209</f>
        <v>Ryan Debouverie</v>
      </c>
      <c r="K209" t="str">
        <f>IF(Worksheet!P209&lt;&gt;"",Worksheet!P209,IF(Worksheet!R209&lt;&gt;"",Worksheet!R209,IF(Worksheet!T209&lt;&gt;"",Worksheet!T209,"")))</f>
        <v/>
      </c>
      <c r="L209" t="str">
        <f>IF(AND(Worksheet!V209&lt;&gt;"",Worksheet!V209&lt;&gt;0),Worksheet!V209&amp;"",IF(AND(Worksheet!X209&lt;&gt;"",Worksheet!X209&lt;&gt;0),Worksheet!X209&amp;"",IF(AND(Worksheet!Z209&lt;&gt;"",Worksheet!Z209&lt;&gt;0),Worksheet!Z209&amp;"","")))</f>
        <v>320496247133</v>
      </c>
      <c r="M209" t="str">
        <f>IF(Worksheet!AE209="","",Worksheet!AE209)</f>
        <v/>
      </c>
      <c r="N209">
        <f>IF(Worksheet!AG209="","",Worksheet!AG209)</f>
        <v>271615</v>
      </c>
      <c r="O209" t="str">
        <f>IF(Worksheet!AJ209="","",Worksheet!AJ209)</f>
        <v>G10 Geel HAANTJES CERTIFISC OUDENAARDE</v>
      </c>
      <c r="P209" t="str">
        <f>IF(Worksheet!AK209="","",Worksheet!AK209)</f>
        <v>Coach</v>
      </c>
    </row>
    <row r="210" spans="1:16" x14ac:dyDescent="0.25">
      <c r="A210" t="str">
        <v>Arno Heyerick</v>
      </c>
      <c r="B210" t="str">
        <v/>
      </c>
      <c r="C210" t="str">
        <v>0479480500</v>
      </c>
      <c r="D210" t="str">
        <v/>
      </c>
      <c r="E210" s="2">
        <v>665927</v>
      </c>
      <c r="F210" t="str">
        <v>J21 A HAANTJES CERTIFISC OUDENAARDE</v>
      </c>
      <c r="G210" t="str">
        <v>Speler</v>
      </c>
      <c r="J210" t="str">
        <f>Worksheet!C210&amp;" "&amp;Worksheet!B210</f>
        <v>Ryan Debouverie</v>
      </c>
      <c r="K210" t="str">
        <f>IF(Worksheet!P210&lt;&gt;"",Worksheet!P210,IF(Worksheet!R210&lt;&gt;"",Worksheet!R210,IF(Worksheet!T210&lt;&gt;"",Worksheet!T210,"")))</f>
        <v/>
      </c>
      <c r="L210" t="str">
        <f>IF(AND(Worksheet!V210&lt;&gt;"",Worksheet!V210&lt;&gt;0),Worksheet!V210&amp;"",IF(AND(Worksheet!X210&lt;&gt;"",Worksheet!X210&lt;&gt;0),Worksheet!X210&amp;"",IF(AND(Worksheet!Z210&lt;&gt;"",Worksheet!Z210&lt;&gt;0),Worksheet!Z210&amp;"","")))</f>
        <v>320496247133</v>
      </c>
      <c r="M210" t="str">
        <f>IF(Worksheet!AE210="","",Worksheet!AE210)</f>
        <v/>
      </c>
      <c r="N210">
        <f>IF(Worksheet!AG210="","",Worksheet!AG210)</f>
        <v>271615</v>
      </c>
      <c r="O210" t="str">
        <f>IF(Worksheet!AJ210="","",Worksheet!AJ210)</f>
        <v>HSE  C Haantjes Certifisc Oudenaarde</v>
      </c>
      <c r="P210" t="str">
        <f>IF(Worksheet!AK210="","",Worksheet!AK210)</f>
        <v>Coach</v>
      </c>
    </row>
    <row r="211" spans="1:16" x14ac:dyDescent="0.25">
      <c r="A211" t="str">
        <v>Arno Heyerick</v>
      </c>
      <c r="B211" t="str">
        <v/>
      </c>
      <c r="C211" t="str">
        <v>0479480500</v>
      </c>
      <c r="D211" t="str">
        <v/>
      </c>
      <c r="E211" s="2">
        <v>665927</v>
      </c>
      <c r="F211" t="str">
        <v>HSE B Haantjes Certifisc Oudenaarde</v>
      </c>
      <c r="G211" t="str">
        <v>Speler</v>
      </c>
      <c r="J211" t="str">
        <f>Worksheet!C211&amp;" "&amp;Worksheet!B211</f>
        <v>Ryan Debouverie</v>
      </c>
      <c r="K211" t="str">
        <f>IF(Worksheet!P211&lt;&gt;"",Worksheet!P211,IF(Worksheet!R211&lt;&gt;"",Worksheet!R211,IF(Worksheet!T211&lt;&gt;"",Worksheet!T211,"")))</f>
        <v/>
      </c>
      <c r="L211" t="str">
        <f>IF(AND(Worksheet!V211&lt;&gt;"",Worksheet!V211&lt;&gt;0),Worksheet!V211&amp;"",IF(AND(Worksheet!X211&lt;&gt;"",Worksheet!X211&lt;&gt;0),Worksheet!X211&amp;"",IF(AND(Worksheet!Z211&lt;&gt;"",Worksheet!Z211&lt;&gt;0),Worksheet!Z211&amp;"","")))</f>
        <v>320496247133</v>
      </c>
      <c r="M211" t="str">
        <f>IF(Worksheet!AE211="","",Worksheet!AE211)</f>
        <v/>
      </c>
      <c r="N211">
        <f>IF(Worksheet!AG211="","",Worksheet!AG211)</f>
        <v>271615</v>
      </c>
      <c r="O211" t="str">
        <f>IF(Worksheet!AJ211="","",Worksheet!AJ211)</f>
        <v>HSE B Haantjes Certifisc Oudenaarde</v>
      </c>
      <c r="P211" t="str">
        <f>IF(Worksheet!AK211="","",Worksheet!AK211)</f>
        <v>Speler</v>
      </c>
    </row>
    <row r="212" spans="1:16" x14ac:dyDescent="0.25">
      <c r="A212" t="str">
        <v>Lennert Huys</v>
      </c>
      <c r="B212" t="str">
        <v/>
      </c>
      <c r="C212" t="str">
        <v>32498104852</v>
      </c>
      <c r="D212" t="str">
        <v/>
      </c>
      <c r="E212" s="2">
        <v>735041</v>
      </c>
      <c r="F212" t="str">
        <v>G14 A Haantjes CERTIFISC Oudenaarde</v>
      </c>
      <c r="G212" t="str">
        <v>Speler</v>
      </c>
      <c r="J212" t="str">
        <f>Worksheet!C212&amp;" "&amp;Worksheet!B212</f>
        <v>Seb Debouverie</v>
      </c>
      <c r="K212" t="str">
        <f>IF(Worksheet!P212&lt;&gt;"",Worksheet!P212,IF(Worksheet!R212&lt;&gt;"",Worksheet!R212,IF(Worksheet!T212&lt;&gt;"",Worksheet!T212,"")))</f>
        <v/>
      </c>
      <c r="L212" t="str">
        <f>IF(AND(Worksheet!V212&lt;&gt;"",Worksheet!V212&lt;&gt;0),Worksheet!V212&amp;"",IF(AND(Worksheet!X212&lt;&gt;"",Worksheet!X212&lt;&gt;0),Worksheet!X212&amp;"",IF(AND(Worksheet!Z212&lt;&gt;"",Worksheet!Z212&lt;&gt;0),Worksheet!Z212&amp;"","")))</f>
        <v>32474278078</v>
      </c>
      <c r="M212" t="str">
        <f>IF(Worksheet!AE212="","",Worksheet!AE212)</f>
        <v>https://app.twizzit.com/public/photos/3470113/s/d4f4d56826c6eb1d41480a49a2f8240682b337d2.png</v>
      </c>
      <c r="N212" t="str">
        <f>IF(Worksheet!AG212="","",Worksheet!AG212)</f>
        <v/>
      </c>
      <c r="O212" t="str">
        <f>IF(Worksheet!AJ212="","",Worksheet!AJ212)</f>
        <v>G10 Geel HAANTJES CERTIFISC OUDENAARDE</v>
      </c>
      <c r="P212" t="str">
        <f>IF(Worksheet!AK212="","",Worksheet!AK212)</f>
        <v>Speler</v>
      </c>
    </row>
    <row r="213" spans="1:16" x14ac:dyDescent="0.25">
      <c r="A213" t="str">
        <v>Lennert Huys</v>
      </c>
      <c r="B213" t="str">
        <v/>
      </c>
      <c r="C213" t="str">
        <v>32498104852</v>
      </c>
      <c r="D213" t="str">
        <v/>
      </c>
      <c r="E213" s="2">
        <v>735041</v>
      </c>
      <c r="F213" t="str">
        <v>Zomerstage 2026 (Blankenberge)</v>
      </c>
      <c r="G213" t="str">
        <v>Speler</v>
      </c>
      <c r="J213" t="str">
        <f>Worksheet!C213&amp;" "&amp;Worksheet!B213</f>
        <v>Tille Debouverie</v>
      </c>
      <c r="K213" t="str">
        <f>IF(Worksheet!P213&lt;&gt;"",Worksheet!P213,IF(Worksheet!R213&lt;&gt;"",Worksheet!R213,IF(Worksheet!T213&lt;&gt;"",Worksheet!T213,"")))</f>
        <v>debouverieryan@gmail.com</v>
      </c>
      <c r="L213" t="str">
        <f>IF(AND(Worksheet!V213&lt;&gt;"",Worksheet!V213&lt;&gt;0),Worksheet!V213&amp;"",IF(AND(Worksheet!X213&lt;&gt;"",Worksheet!X213&lt;&gt;0),Worksheet!X213&amp;"",IF(AND(Worksheet!Z213&lt;&gt;"",Worksheet!Z213&lt;&gt;0),Worksheet!Z213&amp;"","")))</f>
        <v>32474278078</v>
      </c>
      <c r="M213" t="str">
        <f>IF(Worksheet!AE213="","",Worksheet!AE213)</f>
        <v>https://app.twizzit.com/public/photos/10452578/s/292aacecec7d92bf38572d240646cc8a5ea5dc01.png</v>
      </c>
      <c r="N213" t="str">
        <f>IF(Worksheet!AG213="","",Worksheet!AG213)</f>
        <v/>
      </c>
      <c r="O213" t="str">
        <f>IF(Worksheet!AJ213="","",Worksheet!AJ213)</f>
        <v>G08 Groen HAANTJES CERTIFISC OUDENAARDE</v>
      </c>
      <c r="P213" t="str">
        <f>IF(Worksheet!AK213="","",Worksheet!AK213)</f>
        <v>Speler</v>
      </c>
    </row>
    <row r="214" spans="1:16" x14ac:dyDescent="0.25">
      <c r="A214" t="str">
        <v>Vic Huysman</v>
      </c>
      <c r="B214" t="str">
        <v/>
      </c>
      <c r="C214" t="str">
        <v>474884540</v>
      </c>
      <c r="D214" t="str">
        <v>https://app.twizzit.com/public/photos/2936186/s/c4015a6cfb380c1e7090d66488ca6326fa9caa7a.png</v>
      </c>
      <c r="E214" s="2">
        <v>744354</v>
      </c>
      <c r="F214" t="str">
        <v>J18 A Haantjes CERTIFISC Oudenaarde</v>
      </c>
      <c r="G214" t="str">
        <v>Speler</v>
      </c>
      <c r="J214" t="str">
        <f>Worksheet!C214&amp;" "&amp;Worksheet!B214</f>
        <v>Alexander Debrabandere</v>
      </c>
      <c r="K214" t="str">
        <f>IF(Worksheet!P214&lt;&gt;"",Worksheet!P214,IF(Worksheet!R214&lt;&gt;"",Worksheet!R214,IF(Worksheet!T214&lt;&gt;"",Worksheet!T214,"")))</f>
        <v>wouterdebrabandere@hotmail.com</v>
      </c>
      <c r="L214" t="str">
        <f>IF(AND(Worksheet!V214&lt;&gt;"",Worksheet!V214&lt;&gt;0),Worksheet!V214&amp;"",IF(AND(Worksheet!X214&lt;&gt;"",Worksheet!X214&lt;&gt;0),Worksheet!X214&amp;"",IF(AND(Worksheet!Z214&lt;&gt;"",Worksheet!Z214&lt;&gt;0),Worksheet!Z214&amp;"","")))</f>
        <v>0477290811</v>
      </c>
      <c r="M214" t="str">
        <f>IF(Worksheet!AE214="","",Worksheet!AE214)</f>
        <v>https://app.twizzit.com/public/photos/9358687/s/39dec95c934b8449accefe9b14858af58d6c820f.png</v>
      </c>
      <c r="N214" t="str">
        <f>IF(Worksheet!AG214="","",Worksheet!AG214)</f>
        <v/>
      </c>
      <c r="O214" t="str">
        <f>IF(Worksheet!AJ214="","",Worksheet!AJ214)</f>
        <v/>
      </c>
      <c r="P214" t="str">
        <f>IF(Worksheet!AK214="","",Worksheet!AK214)</f>
        <v/>
      </c>
    </row>
    <row r="215" spans="1:16" x14ac:dyDescent="0.25">
      <c r="A215" t="str">
        <v>Vic Huysman</v>
      </c>
      <c r="B215" t="str">
        <v/>
      </c>
      <c r="C215" t="str">
        <v>474884540</v>
      </c>
      <c r="D215" t="str">
        <v>https://app.twizzit.com/public/photos/2936186/s/c4015a6cfb380c1e7090d66488ca6326fa9caa7a.png</v>
      </c>
      <c r="E215" s="2">
        <v>744354</v>
      </c>
      <c r="F215" t="str">
        <v>Zomerstage 2026 (Blankenberge)</v>
      </c>
      <c r="G215" t="str">
        <v>Speler</v>
      </c>
      <c r="J215" t="str">
        <f>Worksheet!C215&amp;" "&amp;Worksheet!B215</f>
        <v>Quentin Debruyne</v>
      </c>
      <c r="K215" t="str">
        <f>IF(Worksheet!P215&lt;&gt;"",Worksheet!P215,IF(Worksheet!R215&lt;&gt;"",Worksheet!R215,IF(Worksheet!T215&lt;&gt;"",Worksheet!T215,"")))</f>
        <v/>
      </c>
      <c r="L215" t="str">
        <f>IF(AND(Worksheet!V215&lt;&gt;"",Worksheet!V215&lt;&gt;0),Worksheet!V215&amp;"",IF(AND(Worksheet!X215&lt;&gt;"",Worksheet!X215&lt;&gt;0),Worksheet!X215&amp;"",IF(AND(Worksheet!Z215&lt;&gt;"",Worksheet!Z215&lt;&gt;0),Worksheet!Z215&amp;"","")))</f>
        <v>0471753995</v>
      </c>
      <c r="M215" t="str">
        <f>IF(Worksheet!AE215="","",Worksheet!AE215)</f>
        <v/>
      </c>
      <c r="N215" t="str">
        <f>IF(Worksheet!AG215="","",Worksheet!AG215)</f>
        <v/>
      </c>
      <c r="O215" t="str">
        <f>IF(Worksheet!AJ215="","",Worksheet!AJ215)</f>
        <v>HSE  C Haantjes Certifisc Oudenaarde</v>
      </c>
      <c r="P215" t="str">
        <f>IF(Worksheet!AK215="","",Worksheet!AK215)</f>
        <v>Speler</v>
      </c>
    </row>
    <row r="216" spans="1:16" x14ac:dyDescent="0.25">
      <c r="A216" t="str">
        <v>Vic Huysman</v>
      </c>
      <c r="B216" t="str">
        <v/>
      </c>
      <c r="C216" t="str">
        <v>474884540</v>
      </c>
      <c r="D216" t="str">
        <v>https://app.twizzit.com/public/photos/2936186/s/c4015a6cfb380c1e7090d66488ca6326fa9caa7a.png</v>
      </c>
      <c r="E216" s="2">
        <v>744354</v>
      </c>
      <c r="F216" t="str">
        <v>HSE B Haantjes Certifisc Oudenaarde</v>
      </c>
      <c r="G216" t="str">
        <v>Speler</v>
      </c>
      <c r="J216" t="str">
        <f>Worksheet!C216&amp;" "&amp;Worksheet!B216</f>
        <v>Henri Declercq</v>
      </c>
      <c r="K216" t="str">
        <f>IF(Worksheet!P216&lt;&gt;"",Worksheet!P216,IF(Worksheet!R216&lt;&gt;"",Worksheet!R216,IF(Worksheet!T216&lt;&gt;"",Worksheet!T216,"")))</f>
        <v/>
      </c>
      <c r="L216" t="str">
        <f>IF(AND(Worksheet!V216&lt;&gt;"",Worksheet!V216&lt;&gt;0),Worksheet!V216&amp;"",IF(AND(Worksheet!X216&lt;&gt;"",Worksheet!X216&lt;&gt;0),Worksheet!X216&amp;"",IF(AND(Worksheet!Z216&lt;&gt;"",Worksheet!Z216&lt;&gt;0),Worksheet!Z216&amp;"","")))</f>
        <v>490413065</v>
      </c>
      <c r="M216" t="str">
        <f>IF(Worksheet!AE216="","",Worksheet!AE216)</f>
        <v/>
      </c>
      <c r="N216">
        <f>IF(Worksheet!AG216="","",Worksheet!AG216)</f>
        <v>284348</v>
      </c>
      <c r="O216" t="str">
        <f>IF(Worksheet!AJ216="","",Worksheet!AJ216)</f>
        <v/>
      </c>
      <c r="P216" t="str">
        <f>IF(Worksheet!AK216="","",Worksheet!AK216)</f>
        <v/>
      </c>
    </row>
    <row r="217" spans="1:16" x14ac:dyDescent="0.25">
      <c r="A217" t="str">
        <v>Aleksandr Kazmenko</v>
      </c>
      <c r="B217" t="str">
        <v>alex@inolel.com</v>
      </c>
      <c r="C217" t="str">
        <v/>
      </c>
      <c r="D217" t="str">
        <v/>
      </c>
      <c r="E217" s="2">
        <v>280658</v>
      </c>
      <c r="F217" t="str">
        <v>HSE B Haantjes Certifisc Oudenaarde</v>
      </c>
      <c r="G217" t="str">
        <v>Speler</v>
      </c>
      <c r="J217" t="str">
        <f>Worksheet!C217&amp;" "&amp;Worksheet!B217</f>
        <v>Rami Decock</v>
      </c>
      <c r="K217" t="str">
        <f>IF(Worksheet!P217&lt;&gt;"",Worksheet!P217,IF(Worksheet!R217&lt;&gt;"",Worksheet!R217,IF(Worksheet!T217&lt;&gt;"",Worksheet!T217,"")))</f>
        <v>decock.anthony07@gmail.com</v>
      </c>
      <c r="L217" t="str">
        <f>IF(AND(Worksheet!V217&lt;&gt;"",Worksheet!V217&lt;&gt;0),Worksheet!V217&amp;"",IF(AND(Worksheet!X217&lt;&gt;"",Worksheet!X217&lt;&gt;0),Worksheet!X217&amp;"",IF(AND(Worksheet!Z217&lt;&gt;"",Worksheet!Z217&lt;&gt;0),Worksheet!Z217&amp;"","")))</f>
        <v>049819525</v>
      </c>
      <c r="M217" t="str">
        <f>IF(Worksheet!AE217="","",Worksheet!AE217)</f>
        <v/>
      </c>
      <c r="N217" t="str">
        <f>IF(Worksheet!AG217="","",Worksheet!AG217)</f>
        <v/>
      </c>
      <c r="O217" t="str">
        <f>IF(Worksheet!AJ217="","",Worksheet!AJ217)</f>
        <v>Balschool U6</v>
      </c>
      <c r="P217" t="str">
        <f>IF(Worksheet!AK217="","",Worksheet!AK217)</f>
        <v>Speler</v>
      </c>
    </row>
    <row r="218" spans="1:16" x14ac:dyDescent="0.25">
      <c r="A218" t="str">
        <v>Filip L'Hommelet</v>
      </c>
      <c r="B218" t="str">
        <v>filip.lhommelet@myweb4u.be</v>
      </c>
      <c r="C218" t="str">
        <v>32479376759</v>
      </c>
      <c r="D218" t="str">
        <v/>
      </c>
      <c r="E218" s="2">
        <v>92637</v>
      </c>
      <c r="F218" t="str">
        <v>G14 A Haantjes CERTIFISC Oudenaarde</v>
      </c>
      <c r="G218" t="str">
        <v>Coach</v>
      </c>
      <c r="J218" t="str">
        <f>Worksheet!C218&amp;" "&amp;Worksheet!B218</f>
        <v>Suze Decock</v>
      </c>
      <c r="K218" t="str">
        <f>IF(Worksheet!P218&lt;&gt;"",Worksheet!P218,IF(Worksheet!R218&lt;&gt;"",Worksheet!R218,IF(Worksheet!T218&lt;&gt;"",Worksheet!T218,"")))</f>
        <v>andries.decock@gmail.com</v>
      </c>
      <c r="L218" t="str">
        <f>IF(AND(Worksheet!V218&lt;&gt;"",Worksheet!V218&lt;&gt;0),Worksheet!V218&amp;"",IF(AND(Worksheet!X218&lt;&gt;"",Worksheet!X218&lt;&gt;0),Worksheet!X218&amp;"",IF(AND(Worksheet!Z218&lt;&gt;"",Worksheet!Z218&lt;&gt;0),Worksheet!Z218&amp;"","")))</f>
        <v>0495721285</v>
      </c>
      <c r="M218" t="str">
        <f>IF(Worksheet!AE218="","",Worksheet!AE218)</f>
        <v/>
      </c>
      <c r="N218" t="str">
        <f>IF(Worksheet!AG218="","",Worksheet!AG218)</f>
        <v/>
      </c>
      <c r="O218" t="str">
        <f>IF(Worksheet!AJ218="","",Worksheet!AJ218)</f>
        <v/>
      </c>
      <c r="P218" t="str">
        <f>IF(Worksheet!AK218="","",Worksheet!AK218)</f>
        <v/>
      </c>
    </row>
    <row r="219" spans="1:16" x14ac:dyDescent="0.25">
      <c r="A219" t="str">
        <v>Leon L'Hommelet</v>
      </c>
      <c r="B219" t="str">
        <v>els.bourgois@gmail.com</v>
      </c>
      <c r="C219" t="str">
        <v>479376759</v>
      </c>
      <c r="D219" t="str">
        <v/>
      </c>
      <c r="E219" s="2">
        <v>733228</v>
      </c>
      <c r="F219" t="str">
        <v>G14 A Haantjes CERTIFISC Oudenaarde</v>
      </c>
      <c r="G219" t="str">
        <v>Speler</v>
      </c>
      <c r="J219" t="str">
        <f>Worksheet!C219&amp;" "&amp;Worksheet!B219</f>
        <v>Dieuwke Decroix</v>
      </c>
      <c r="K219" t="str">
        <f>IF(Worksheet!P219&lt;&gt;"",Worksheet!P219,IF(Worksheet!R219&lt;&gt;"",Worksheet!R219,IF(Worksheet!T219&lt;&gt;"",Worksheet!T219,"")))</f>
        <v>decroix.willem@gmail.com</v>
      </c>
      <c r="L219" t="str">
        <f>IF(AND(Worksheet!V219&lt;&gt;"",Worksheet!V219&lt;&gt;0),Worksheet!V219&amp;"",IF(AND(Worksheet!X219&lt;&gt;"",Worksheet!X219&lt;&gt;0),Worksheet!X219&amp;"",IF(AND(Worksheet!Z219&lt;&gt;"",Worksheet!Z219&lt;&gt;0),Worksheet!Z219&amp;"","")))</f>
        <v>0483596928</v>
      </c>
      <c r="M219" t="str">
        <f>IF(Worksheet!AE219="","",Worksheet!AE219)</f>
        <v/>
      </c>
      <c r="N219">
        <f>IF(Worksheet!AG219="","",Worksheet!AG219)</f>
        <v>752195</v>
      </c>
      <c r="O219" t="str">
        <f>IF(Worksheet!AJ219="","",Worksheet!AJ219)</f>
        <v>M19 A Haantjes CERTIFISC Oudenaarde</v>
      </c>
      <c r="P219" t="str">
        <f>IF(Worksheet!AK219="","",Worksheet!AK219)</f>
        <v>Speler</v>
      </c>
    </row>
    <row r="220" spans="1:16" x14ac:dyDescent="0.25">
      <c r="A220" t="str">
        <v>Leon L'Hommelet</v>
      </c>
      <c r="B220" t="str">
        <v>els.bourgois@gmail.com</v>
      </c>
      <c r="C220" t="str">
        <v>479376759</v>
      </c>
      <c r="D220" t="str">
        <v/>
      </c>
      <c r="E220" s="2">
        <v>733228</v>
      </c>
      <c r="F220" t="str">
        <v>Zomerstage 2026 (Blankenberge)</v>
      </c>
      <c r="G220" t="str">
        <v>Speler</v>
      </c>
      <c r="J220" t="str">
        <f>Worksheet!C220&amp;" "&amp;Worksheet!B220</f>
        <v>Wouter Defever</v>
      </c>
      <c r="K220" t="str">
        <f>IF(Worksheet!P220&lt;&gt;"",Worksheet!P220,IF(Worksheet!R220&lt;&gt;"",Worksheet!R220,IF(Worksheet!T220&lt;&gt;"",Worksheet!T220,"")))</f>
        <v/>
      </c>
      <c r="L220" t="str">
        <f>IF(AND(Worksheet!V220&lt;&gt;"",Worksheet!V220&lt;&gt;0),Worksheet!V220&amp;"",IF(AND(Worksheet!X220&lt;&gt;"",Worksheet!X220&lt;&gt;0),Worksheet!X220&amp;"",IF(AND(Worksheet!Z220&lt;&gt;"",Worksheet!Z220&lt;&gt;0),Worksheet!Z220&amp;"","")))</f>
        <v>0470102338</v>
      </c>
      <c r="M220" t="str">
        <f>IF(Worksheet!AE220="","",Worksheet!AE220)</f>
        <v/>
      </c>
      <c r="N220" t="str">
        <f>IF(Worksheet!AG220="","",Worksheet!AG220)</f>
        <v/>
      </c>
      <c r="O220" t="str">
        <f>IF(Worksheet!AJ220="","",Worksheet!AJ220)</f>
        <v/>
      </c>
      <c r="P220" t="str">
        <f>IF(Worksheet!AK220="","",Worksheet!AK220)</f>
        <v/>
      </c>
    </row>
    <row r="221" spans="1:16" x14ac:dyDescent="0.25">
      <c r="A221" t="str">
        <v>Maud Lacres</v>
      </c>
      <c r="B221" t="str">
        <v>taelman.elke@gmail.com</v>
      </c>
      <c r="C221" t="str">
        <v>0486264195</v>
      </c>
      <c r="D221" t="str">
        <v>https://app.twizzit.com/public/photos/7284400/s/788dc5308deee743b8d2d9764e0824010b7633fe.png</v>
      </c>
      <c r="E221" s="2">
        <v>764842</v>
      </c>
      <c r="F221" t="str">
        <v>M12 A HAANTJES CERTIFISC OUDENAARDE</v>
      </c>
      <c r="G221" t="str">
        <v>Speler</v>
      </c>
      <c r="J221" t="str">
        <f>Worksheet!C221&amp;" "&amp;Worksheet!B221</f>
        <v>Maxime Defraigne</v>
      </c>
      <c r="K221" t="str">
        <f>IF(Worksheet!P221&lt;&gt;"",Worksheet!P221,IF(Worksheet!R221&lt;&gt;"",Worksheet!R221,IF(Worksheet!T221&lt;&gt;"",Worksheet!T221,"")))</f>
        <v/>
      </c>
      <c r="L221" t="str">
        <f>IF(AND(Worksheet!V221&lt;&gt;"",Worksheet!V221&lt;&gt;0),Worksheet!V221&amp;"",IF(AND(Worksheet!X221&lt;&gt;"",Worksheet!X221&lt;&gt;0),Worksheet!X221&amp;"",IF(AND(Worksheet!Z221&lt;&gt;"",Worksheet!Z221&lt;&gt;0),Worksheet!Z221&amp;"","")))</f>
        <v/>
      </c>
      <c r="M221" t="str">
        <f>IF(Worksheet!AE221="","",Worksheet!AE221)</f>
        <v/>
      </c>
      <c r="N221" t="str">
        <f>IF(Worksheet!AG221="","",Worksheet!AG221)</f>
        <v/>
      </c>
      <c r="O221" t="str">
        <f>IF(Worksheet!AJ221="","",Worksheet!AJ221)</f>
        <v/>
      </c>
      <c r="P221" t="str">
        <f>IF(Worksheet!AK221="","",Worksheet!AK221)</f>
        <v/>
      </c>
    </row>
    <row r="222" spans="1:16" x14ac:dyDescent="0.25">
      <c r="A222" t="str">
        <v>Ruube Lagae</v>
      </c>
      <c r="B222" t="str">
        <v>Ruubelagae@gmail.com</v>
      </c>
      <c r="C222" t="str">
        <v>32486615053</v>
      </c>
      <c r="D222" t="str">
        <v/>
      </c>
      <c r="E222" s="2" t="str">
        <v/>
      </c>
      <c r="F222" t="str">
        <v>G14 A Haantjes CERTIFISC Oudenaarde</v>
      </c>
      <c r="G222" t="str">
        <v>Speler</v>
      </c>
      <c r="J222" t="str">
        <f>Worksheet!C222&amp;" "&amp;Worksheet!B222</f>
        <v>Jente Degroote</v>
      </c>
      <c r="K222" t="str">
        <f>IF(Worksheet!P222&lt;&gt;"",Worksheet!P222,IF(Worksheet!R222&lt;&gt;"",Worksheet!R222,IF(Worksheet!T222&lt;&gt;"",Worksheet!T222,"")))</f>
        <v/>
      </c>
      <c r="L222" t="str">
        <f>IF(AND(Worksheet!V222&lt;&gt;"",Worksheet!V222&lt;&gt;0),Worksheet!V222&amp;"",IF(AND(Worksheet!X222&lt;&gt;"",Worksheet!X222&lt;&gt;0),Worksheet!X222&amp;"",IF(AND(Worksheet!Z222&lt;&gt;"",Worksheet!Z222&lt;&gt;0),Worksheet!Z222&amp;"","")))</f>
        <v>479645729</v>
      </c>
      <c r="M222" t="str">
        <f>IF(Worksheet!AE222="","",Worksheet!AE222)</f>
        <v/>
      </c>
      <c r="N222">
        <f>IF(Worksheet!AG222="","",Worksheet!AG222)</f>
        <v>714081</v>
      </c>
      <c r="O222" t="str">
        <f>IF(Worksheet!AJ222="","",Worksheet!AJ222)</f>
        <v/>
      </c>
      <c r="P222" t="str">
        <f>IF(Worksheet!AK222="","",Worksheet!AK222)</f>
        <v/>
      </c>
    </row>
    <row r="223" spans="1:16" x14ac:dyDescent="0.25">
      <c r="A223" t="str">
        <v>Ruube Lagae</v>
      </c>
      <c r="B223" t="str">
        <v>Ruubelagae@gmail.com</v>
      </c>
      <c r="C223" t="str">
        <v>32486615053</v>
      </c>
      <c r="D223" t="str">
        <v/>
      </c>
      <c r="E223" s="2" t="str">
        <v/>
      </c>
      <c r="F223" t="str">
        <v>Zomerstage 2026 (Blankenberge)</v>
      </c>
      <c r="G223" t="str">
        <v>Speler</v>
      </c>
      <c r="J223" t="str">
        <f>Worksheet!C223&amp;" "&amp;Worksheet!B223</f>
        <v>Jilke Degroote</v>
      </c>
      <c r="K223" t="str">
        <f>IF(Worksheet!P223&lt;&gt;"",Worksheet!P223,IF(Worksheet!R223&lt;&gt;"",Worksheet!R223,IF(Worksheet!T223&lt;&gt;"",Worksheet!T223,"")))</f>
        <v/>
      </c>
      <c r="L223" t="str">
        <f>IF(AND(Worksheet!V223&lt;&gt;"",Worksheet!V223&lt;&gt;0),Worksheet!V223&amp;"",IF(AND(Worksheet!X223&lt;&gt;"",Worksheet!X223&lt;&gt;0),Worksheet!X223&amp;"",IF(AND(Worksheet!Z223&lt;&gt;"",Worksheet!Z223&lt;&gt;0),Worksheet!Z223&amp;"","")))</f>
        <v>479645729</v>
      </c>
      <c r="M223" t="str">
        <f>IF(Worksheet!AE223="","",Worksheet!AE223)</f>
        <v/>
      </c>
      <c r="N223" t="str">
        <f>IF(Worksheet!AG223="","",Worksheet!AG223)</f>
        <v/>
      </c>
      <c r="O223" t="str">
        <f>IF(Worksheet!AJ223="","",Worksheet!AJ223)</f>
        <v/>
      </c>
      <c r="P223" t="str">
        <f>IF(Worksheet!AK223="","",Worksheet!AK223)</f>
        <v/>
      </c>
    </row>
    <row r="224" spans="1:16" x14ac:dyDescent="0.25">
      <c r="A224" t="str">
        <v>Babet Laurez</v>
      </c>
      <c r="B224" t="str">
        <v/>
      </c>
      <c r="C224" t="str">
        <v>0477501978</v>
      </c>
      <c r="D224" t="str">
        <v/>
      </c>
      <c r="E224" s="2" t="str">
        <v/>
      </c>
      <c r="F224" t="str">
        <v>M12 A HAANTJES CERTIFISC OUDENAARDE</v>
      </c>
      <c r="G224" t="str">
        <v>Speler</v>
      </c>
      <c r="J224" t="str">
        <f>Worksheet!C224&amp;" "&amp;Worksheet!B224</f>
        <v>Maxime Degroote</v>
      </c>
      <c r="K224" t="str">
        <f>IF(Worksheet!P224&lt;&gt;"",Worksheet!P224,IF(Worksheet!R224&lt;&gt;"",Worksheet!R224,IF(Worksheet!T224&lt;&gt;"",Worksheet!T224,"")))</f>
        <v>lien_baert@hotmail.be</v>
      </c>
      <c r="L224" t="str">
        <f>IF(AND(Worksheet!V224&lt;&gt;"",Worksheet!V224&lt;&gt;0),Worksheet!V224&amp;"",IF(AND(Worksheet!X224&lt;&gt;"",Worksheet!X224&lt;&gt;0),Worksheet!X224&amp;"",IF(AND(Worksheet!Z224&lt;&gt;"",Worksheet!Z224&lt;&gt;0),Worksheet!Z224&amp;"","")))</f>
        <v>494275249</v>
      </c>
      <c r="M224" t="str">
        <f>IF(Worksheet!AE224="","",Worksheet!AE224)</f>
        <v/>
      </c>
      <c r="N224" t="str">
        <f>IF(Worksheet!AG224="","",Worksheet!AG224)</f>
        <v/>
      </c>
      <c r="O224" t="str">
        <f>IF(Worksheet!AJ224="","",Worksheet!AJ224)</f>
        <v/>
      </c>
      <c r="P224" t="str">
        <f>IF(Worksheet!AK224="","",Worksheet!AK224)</f>
        <v/>
      </c>
    </row>
    <row r="225" spans="1:16" x14ac:dyDescent="0.25">
      <c r="A225" t="str">
        <v>Jef Lauwereins</v>
      </c>
      <c r="B225" t="str">
        <v>lauwereins.steven@gmail.com</v>
      </c>
      <c r="C225" t="str">
        <v>0474317844</v>
      </c>
      <c r="D225" t="str">
        <v/>
      </c>
      <c r="E225" s="2" t="str">
        <v/>
      </c>
      <c r="F225" t="str">
        <v>G08 Blauw HAANTJES CERTIFISC OUDENAARDE</v>
      </c>
      <c r="G225" t="str">
        <v>Speler</v>
      </c>
      <c r="J225" t="str">
        <f>Worksheet!C225&amp;" "&amp;Worksheet!B225</f>
        <v>Wouter Degroote</v>
      </c>
      <c r="K225" t="str">
        <f>IF(Worksheet!P225&lt;&gt;"",Worksheet!P225,IF(Worksheet!R225&lt;&gt;"",Worksheet!R225,IF(Worksheet!T225&lt;&gt;"",Worksheet!T225,"")))</f>
        <v/>
      </c>
      <c r="L225" t="str">
        <f>IF(AND(Worksheet!V225&lt;&gt;"",Worksheet!V225&lt;&gt;0),Worksheet!V225&amp;"",IF(AND(Worksheet!X225&lt;&gt;"",Worksheet!X225&lt;&gt;0),Worksheet!X225&amp;"",IF(AND(Worksheet!Z225&lt;&gt;"",Worksheet!Z225&lt;&gt;0),Worksheet!Z225&amp;"","")))</f>
        <v/>
      </c>
      <c r="M225" t="str">
        <f>IF(Worksheet!AE225="","",Worksheet!AE225)</f>
        <v/>
      </c>
      <c r="N225">
        <f>IF(Worksheet!AG225="","",Worksheet!AG225)</f>
        <v>719164</v>
      </c>
      <c r="O225" t="str">
        <f>IF(Worksheet!AJ225="","",Worksheet!AJ225)</f>
        <v/>
      </c>
      <c r="P225" t="str">
        <f>IF(Worksheet!AK225="","",Worksheet!AK225)</f>
        <v/>
      </c>
    </row>
    <row r="226" spans="1:16" x14ac:dyDescent="0.25">
      <c r="A226" t="str">
        <v>Jef Lauwereins</v>
      </c>
      <c r="B226" t="str">
        <v>lauwereins.steven@gmail.com</v>
      </c>
      <c r="C226" t="str">
        <v>0474317844</v>
      </c>
      <c r="D226" t="str">
        <v/>
      </c>
      <c r="E226" s="2" t="str">
        <v/>
      </c>
      <c r="F226" t="str">
        <v>Zomerstage 2026 U8 (Oudenaarde)</v>
      </c>
      <c r="G226" t="str">
        <v>Speler</v>
      </c>
      <c r="J226" t="str">
        <f>Worksheet!C226&amp;" "&amp;Worksheet!B226</f>
        <v>Jules Dekkar</v>
      </c>
      <c r="K226" t="str">
        <f>IF(Worksheet!P226&lt;&gt;"",Worksheet!P226,IF(Worksheet!R226&lt;&gt;"",Worksheet!R226,IF(Worksheet!T226&lt;&gt;"",Worksheet!T226,"")))</f>
        <v>hakim.dekkar@icloud.com</v>
      </c>
      <c r="L226" t="str">
        <f>IF(AND(Worksheet!V226&lt;&gt;"",Worksheet!V226&lt;&gt;0),Worksheet!V226&amp;"",IF(AND(Worksheet!X226&lt;&gt;"",Worksheet!X226&lt;&gt;0),Worksheet!X226&amp;"",IF(AND(Worksheet!Z226&lt;&gt;"",Worksheet!Z226&lt;&gt;0),Worksheet!Z226&amp;"","")))</f>
        <v>32499679978</v>
      </c>
      <c r="M226" t="str">
        <f>IF(Worksheet!AE226="","",Worksheet!AE226)</f>
        <v>https://app.twizzit.com/public/photos/3451601/s/35fd5f537189934e8013cbeb18029ae3e97fcdcc.jpeg</v>
      </c>
      <c r="N226">
        <f>IF(Worksheet!AG226="","",Worksheet!AG226)</f>
        <v>747253</v>
      </c>
      <c r="O226" t="str">
        <f>IF(Worksheet!AJ226="","",Worksheet!AJ226)</f>
        <v>G14 A Haantjes CERTIFISC Oudenaarde</v>
      </c>
      <c r="P226" t="str">
        <f>IF(Worksheet!AK226="","",Worksheet!AK226)</f>
        <v>Speler</v>
      </c>
    </row>
    <row r="227" spans="1:16" x14ac:dyDescent="0.25">
      <c r="A227" t="str">
        <v>Rayan Lebrouchi Poddubnaya</v>
      </c>
      <c r="B227" t="str">
        <v>marina.pd34@gmail</v>
      </c>
      <c r="C227" t="str">
        <v>0492948427</v>
      </c>
      <c r="D227" t="str">
        <v/>
      </c>
      <c r="E227" s="2" t="str">
        <v/>
      </c>
      <c r="F227" t="str">
        <v>J21 A HAANTJES CERTIFISC OUDENAARDE</v>
      </c>
      <c r="G227" t="str">
        <v>Speler</v>
      </c>
      <c r="J227" t="str">
        <f>Worksheet!C227&amp;" "&amp;Worksheet!B227</f>
        <v>Jules Dekkar</v>
      </c>
      <c r="K227" t="str">
        <f>IF(Worksheet!P227&lt;&gt;"",Worksheet!P227,IF(Worksheet!R227&lt;&gt;"",Worksheet!R227,IF(Worksheet!T227&lt;&gt;"",Worksheet!T227,"")))</f>
        <v>hakim.dekkar@icloud.com</v>
      </c>
      <c r="L227" t="str">
        <f>IF(AND(Worksheet!V227&lt;&gt;"",Worksheet!V227&lt;&gt;0),Worksheet!V227&amp;"",IF(AND(Worksheet!X227&lt;&gt;"",Worksheet!X227&lt;&gt;0),Worksheet!X227&amp;"",IF(AND(Worksheet!Z227&lt;&gt;"",Worksheet!Z227&lt;&gt;0),Worksheet!Z227&amp;"","")))</f>
        <v>32499679978</v>
      </c>
      <c r="M227" t="str">
        <f>IF(Worksheet!AE227="","",Worksheet!AE227)</f>
        <v>https://app.twizzit.com/public/photos/3451601/s/35fd5f537189934e8013cbeb18029ae3e97fcdcc.jpeg</v>
      </c>
      <c r="N227">
        <f>IF(Worksheet!AG227="","",Worksheet!AG227)</f>
        <v>747253</v>
      </c>
      <c r="O227" t="str">
        <f>IF(Worksheet!AJ227="","",Worksheet!AJ227)</f>
        <v>Zomerstage 2026 (Blankenberge)</v>
      </c>
      <c r="P227" t="str">
        <f>IF(Worksheet!AK227="","",Worksheet!AK227)</f>
        <v>Speler</v>
      </c>
    </row>
    <row r="228" spans="1:16" x14ac:dyDescent="0.25">
      <c r="A228" t="str">
        <v>Rayan Lebrouchi Poddubnaya</v>
      </c>
      <c r="B228" t="str">
        <v>marina.pd34@gmail</v>
      </c>
      <c r="C228" t="str">
        <v>0492948427</v>
      </c>
      <c r="D228" t="str">
        <v/>
      </c>
      <c r="E228" s="2" t="str">
        <v/>
      </c>
      <c r="F228" t="str">
        <v>J18 A Haantjes CERTIFISC Oudenaarde</v>
      </c>
      <c r="G228" t="str">
        <v>Speler</v>
      </c>
      <c r="J228" t="str">
        <f>Worksheet!C228&amp;" "&amp;Worksheet!B228</f>
        <v>Ann Dekorte</v>
      </c>
      <c r="K228" t="str">
        <f>IF(Worksheet!P228&lt;&gt;"",Worksheet!P228,IF(Worksheet!R228&lt;&gt;"",Worksheet!R228,IF(Worksheet!T228&lt;&gt;"",Worksheet!T228,"")))</f>
        <v/>
      </c>
      <c r="L228" t="str">
        <f>IF(AND(Worksheet!V228&lt;&gt;"",Worksheet!V228&lt;&gt;0),Worksheet!V228&amp;"",IF(AND(Worksheet!X228&lt;&gt;"",Worksheet!X228&lt;&gt;0),Worksheet!X228&amp;"",IF(AND(Worksheet!Z228&lt;&gt;"",Worksheet!Z228&lt;&gt;0),Worksheet!Z228&amp;"","")))</f>
        <v/>
      </c>
      <c r="M228" t="str">
        <f>IF(Worksheet!AE228="","",Worksheet!AE228)</f>
        <v/>
      </c>
      <c r="N228">
        <f>IF(Worksheet!AG228="","",Worksheet!AG228)</f>
        <v>37999</v>
      </c>
      <c r="O228" t="str">
        <f>IF(Worksheet!AJ228="","",Worksheet!AJ228)</f>
        <v/>
      </c>
      <c r="P228" t="str">
        <f>IF(Worksheet!AK228="","",Worksheet!AK228)</f>
        <v/>
      </c>
    </row>
    <row r="229" spans="1:16" x14ac:dyDescent="0.25">
      <c r="A229" t="str">
        <v>Lothar Lemaire</v>
      </c>
      <c r="B229" t="str">
        <v>huglemaire@hotmail.com</v>
      </c>
      <c r="C229" t="str">
        <v>0485677282</v>
      </c>
      <c r="D229" t="str">
        <v>https://app.twizzit.com/public/photos/9680220/s/630006e9802fd7af81a6784302b397c8d31a519e.jpeg</v>
      </c>
      <c r="E229" s="2" t="str">
        <v/>
      </c>
      <c r="F229" t="str">
        <v>G10 Blauw HAANTJES CERTIFISC OUDENAARDE</v>
      </c>
      <c r="G229" t="str">
        <v>Speler</v>
      </c>
      <c r="J229" t="str">
        <f>Worksheet!C229&amp;" "&amp;Worksheet!B229</f>
        <v>Jakob Delbaere</v>
      </c>
      <c r="K229" t="str">
        <f>IF(Worksheet!P229&lt;&gt;"",Worksheet!P229,IF(Worksheet!R229&lt;&gt;"",Worksheet!R229,IF(Worksheet!T229&lt;&gt;"",Worksheet!T229,"")))</f>
        <v/>
      </c>
      <c r="L229" t="str">
        <f>IF(AND(Worksheet!V229&lt;&gt;"",Worksheet!V229&lt;&gt;0),Worksheet!V229&amp;"",IF(AND(Worksheet!X229&lt;&gt;"",Worksheet!X229&lt;&gt;0),Worksheet!X229&amp;"",IF(AND(Worksheet!Z229&lt;&gt;"",Worksheet!Z229&lt;&gt;0),Worksheet!Z229&amp;"","")))</f>
        <v>0474233989</v>
      </c>
      <c r="M229" t="str">
        <f>IF(Worksheet!AE229="","",Worksheet!AE229)</f>
        <v/>
      </c>
      <c r="N229" t="str">
        <f>IF(Worksheet!AG229="","",Worksheet!AG229)</f>
        <v/>
      </c>
      <c r="O229" t="str">
        <f>IF(Worksheet!AJ229="","",Worksheet!AJ229)</f>
        <v>Balschool U6</v>
      </c>
      <c r="P229" t="str">
        <f>IF(Worksheet!AK229="","",Worksheet!AK229)</f>
        <v>Speler</v>
      </c>
    </row>
    <row r="230" spans="1:16" x14ac:dyDescent="0.25">
      <c r="A230" t="str">
        <v>Thor Lessenne</v>
      </c>
      <c r="B230" t="str">
        <v>lessenne_frederic@yahoo.com</v>
      </c>
      <c r="C230" t="str">
        <v>0494240195</v>
      </c>
      <c r="D230" t="str">
        <v>https://app.twizzit.com/public/photos/4393791/s/f227f8ddb169feb6dded4f508fa8f0a8d6bc3bc4.jpeg</v>
      </c>
      <c r="E230" s="2">
        <v>758517</v>
      </c>
      <c r="F230" t="str">
        <v>Zomerstage 2026 (Blankenberge)</v>
      </c>
      <c r="G230" t="str">
        <v>Speler</v>
      </c>
      <c r="J230" t="str">
        <f>Worksheet!C230&amp;" "&amp;Worksheet!B230</f>
        <v>Elias Delcoigne</v>
      </c>
      <c r="K230" t="str">
        <f>IF(Worksheet!P230&lt;&gt;"",Worksheet!P230,IF(Worksheet!R230&lt;&gt;"",Worksheet!R230,IF(Worksheet!T230&lt;&gt;"",Worksheet!T230,"")))</f>
        <v>Michael.delcoigne@bernardusscholen.be</v>
      </c>
      <c r="L230" t="str">
        <f>IF(AND(Worksheet!V230&lt;&gt;"",Worksheet!V230&lt;&gt;0),Worksheet!V230&amp;"",IF(AND(Worksheet!X230&lt;&gt;"",Worksheet!X230&lt;&gt;0),Worksheet!X230&amp;"",IF(AND(Worksheet!Z230&lt;&gt;"",Worksheet!Z230&lt;&gt;0),Worksheet!Z230&amp;"","")))</f>
        <v>0472527437</v>
      </c>
      <c r="M230" t="str">
        <f>IF(Worksheet!AE230="","",Worksheet!AE230)</f>
        <v>https://app.twizzit.com/public/photos/2650658/s/473b38a30fa520bc6241ccd50a4cd1d0948d70a8.png</v>
      </c>
      <c r="N230">
        <f>IF(Worksheet!AG230="","",Worksheet!AG230)</f>
        <v>742174</v>
      </c>
      <c r="O230" t="str">
        <f>IF(Worksheet!AJ230="","",Worksheet!AJ230)</f>
        <v/>
      </c>
      <c r="P230" t="str">
        <f>IF(Worksheet!AK230="","",Worksheet!AK230)</f>
        <v/>
      </c>
    </row>
    <row r="231" spans="1:16" x14ac:dyDescent="0.25">
      <c r="A231" t="str">
        <v>Thor Lessenne</v>
      </c>
      <c r="B231" t="str">
        <v>lessenne_frederic@yahoo.com</v>
      </c>
      <c r="C231" t="str">
        <v>0494240195</v>
      </c>
      <c r="D231" t="str">
        <v>https://app.twizzit.com/public/photos/4393791/s/f227f8ddb169feb6dded4f508fa8f0a8d6bc3bc4.jpeg</v>
      </c>
      <c r="E231" s="2">
        <v>758517</v>
      </c>
      <c r="F231" t="str">
        <v>G12 Geel HAANTJES CERTIFISC OUDENAARDE</v>
      </c>
      <c r="G231" t="str">
        <v>Speler</v>
      </c>
      <c r="J231" t="str">
        <f>Worksheet!C231&amp;" "&amp;Worksheet!B231</f>
        <v>Elias Delcoigne</v>
      </c>
      <c r="K231" t="str">
        <f>IF(Worksheet!P231&lt;&gt;"",Worksheet!P231,IF(Worksheet!R231&lt;&gt;"",Worksheet!R231,IF(Worksheet!T231&lt;&gt;"",Worksheet!T231,"")))</f>
        <v>Michael.delcoigne@bernardusscholen.be</v>
      </c>
      <c r="L231" t="str">
        <f>IF(AND(Worksheet!V231&lt;&gt;"",Worksheet!V231&lt;&gt;0),Worksheet!V231&amp;"",IF(AND(Worksheet!X231&lt;&gt;"",Worksheet!X231&lt;&gt;0),Worksheet!X231&amp;"",IF(AND(Worksheet!Z231&lt;&gt;"",Worksheet!Z231&lt;&gt;0),Worksheet!Z231&amp;"","")))</f>
        <v>0472527437</v>
      </c>
      <c r="M231" t="str">
        <f>IF(Worksheet!AE231="","",Worksheet!AE231)</f>
        <v>https://app.twizzit.com/public/photos/2650658/s/473b38a30fa520bc6241ccd50a4cd1d0948d70a8.png</v>
      </c>
      <c r="N231">
        <f>IF(Worksheet!AG231="","",Worksheet!AG231)</f>
        <v>742174</v>
      </c>
      <c r="O231" t="str">
        <f>IF(Worksheet!AJ231="","",Worksheet!AJ231)</f>
        <v/>
      </c>
      <c r="P231" t="str">
        <f>IF(Worksheet!AK231="","",Worksheet!AK231)</f>
        <v/>
      </c>
    </row>
    <row r="232" spans="1:16" x14ac:dyDescent="0.25">
      <c r="A232" t="str">
        <v>Wolf Lessenne</v>
      </c>
      <c r="B232" t="str">
        <v/>
      </c>
      <c r="C232" t="str">
        <v>32494240195</v>
      </c>
      <c r="D232" t="str">
        <v>https://app.twizzit.com/public/photos/3580747/s/157853967ede68629434e8db7d36b6d860f7ea97.jpeg</v>
      </c>
      <c r="E232" s="2" t="str">
        <v/>
      </c>
      <c r="F232" t="str">
        <v>G10 Geel HAANTJES CERTIFISC OUDENAARDE</v>
      </c>
      <c r="G232" t="str">
        <v>Speler</v>
      </c>
      <c r="J232" t="str">
        <f>Worksheet!C232&amp;" "&amp;Worksheet!B232</f>
        <v>Michaël Delcoigne</v>
      </c>
      <c r="K232" t="str">
        <f>IF(Worksheet!P232&lt;&gt;"",Worksheet!P232,IF(Worksheet!R232&lt;&gt;"",Worksheet!R232,IF(Worksheet!T232&lt;&gt;"",Worksheet!T232,"")))</f>
        <v/>
      </c>
      <c r="L232" t="str">
        <f>IF(AND(Worksheet!V232&lt;&gt;"",Worksheet!V232&lt;&gt;0),Worksheet!V232&amp;"",IF(AND(Worksheet!X232&lt;&gt;"",Worksheet!X232&lt;&gt;0),Worksheet!X232&amp;"",IF(AND(Worksheet!Z232&lt;&gt;"",Worksheet!Z232&lt;&gt;0),Worksheet!Z232&amp;"","")))</f>
        <v/>
      </c>
      <c r="M232" t="str">
        <f>IF(Worksheet!AE232="","",Worksheet!AE232)</f>
        <v/>
      </c>
      <c r="N232" t="str">
        <f>IF(Worksheet!AG232="","",Worksheet!AG232)</f>
        <v/>
      </c>
      <c r="O232" t="str">
        <f>IF(Worksheet!AJ232="","",Worksheet!AJ232)</f>
        <v/>
      </c>
      <c r="P232" t="str">
        <f>IF(Worksheet!AK232="","",Worksheet!AK232)</f>
        <v/>
      </c>
    </row>
    <row r="233" spans="1:16" x14ac:dyDescent="0.25">
      <c r="A233" t="str">
        <v>Alexander Libert</v>
      </c>
      <c r="B233" t="str">
        <v>s_ardenois@hotmail.com</v>
      </c>
      <c r="C233" t="str">
        <v>0479788543</v>
      </c>
      <c r="D233" t="str">
        <v/>
      </c>
      <c r="E233" s="2">
        <v>723668</v>
      </c>
      <c r="F233" t="str">
        <v>J16 B Haantjes CERTIFISC Oudenaarde</v>
      </c>
      <c r="G233" t="str">
        <v>Speler</v>
      </c>
      <c r="J233" t="str">
        <f>Worksheet!C233&amp;" "&amp;Worksheet!B233</f>
        <v>Mathias Delcroix</v>
      </c>
      <c r="K233" t="str">
        <f>IF(Worksheet!P233&lt;&gt;"",Worksheet!P233,IF(Worksheet!R233&lt;&gt;"",Worksheet!R233,IF(Worksheet!T233&lt;&gt;"",Worksheet!T233,"")))</f>
        <v>Delcroix.dieter@hotmail.com</v>
      </c>
      <c r="L233" t="str">
        <f>IF(AND(Worksheet!V233&lt;&gt;"",Worksheet!V233&lt;&gt;0),Worksheet!V233&amp;"",IF(AND(Worksheet!X233&lt;&gt;"",Worksheet!X233&lt;&gt;0),Worksheet!X233&amp;"",IF(AND(Worksheet!Z233&lt;&gt;"",Worksheet!Z233&lt;&gt;0),Worksheet!Z233&amp;"","")))</f>
        <v>0487106040</v>
      </c>
      <c r="M233" t="str">
        <f>IF(Worksheet!AE233="","",Worksheet!AE233)</f>
        <v/>
      </c>
      <c r="N233" t="str">
        <f>IF(Worksheet!AG233="","",Worksheet!AG233)</f>
        <v/>
      </c>
      <c r="O233" t="str">
        <f>IF(Worksheet!AJ233="","",Worksheet!AJ233)</f>
        <v>G12 Blauw HAANTJES CERTIFISC OUDENAARDE</v>
      </c>
      <c r="P233" t="str">
        <f>IF(Worksheet!AK233="","",Worksheet!AK233)</f>
        <v>Speler</v>
      </c>
    </row>
    <row r="234" spans="1:16" x14ac:dyDescent="0.25">
      <c r="A234" t="str">
        <v>Alexander Libert</v>
      </c>
      <c r="B234" t="str">
        <v>s_ardenois@hotmail.com</v>
      </c>
      <c r="C234" t="str">
        <v>0479788543</v>
      </c>
      <c r="D234" t="str">
        <v/>
      </c>
      <c r="E234" s="2">
        <v>723668</v>
      </c>
      <c r="F234" t="str">
        <v>Zomerstage 2026 (Blankenberge)</v>
      </c>
      <c r="G234" t="str">
        <v>Speler</v>
      </c>
      <c r="J234" t="str">
        <f>Worksheet!C234&amp;" "&amp;Worksheet!B234</f>
        <v>Mathias Delcroix</v>
      </c>
      <c r="K234" t="str">
        <f>IF(Worksheet!P234&lt;&gt;"",Worksheet!P234,IF(Worksheet!R234&lt;&gt;"",Worksheet!R234,IF(Worksheet!T234&lt;&gt;"",Worksheet!T234,"")))</f>
        <v>Delcroix.dieter@hotmail.com</v>
      </c>
      <c r="L234" t="str">
        <f>IF(AND(Worksheet!V234&lt;&gt;"",Worksheet!V234&lt;&gt;0),Worksheet!V234&amp;"",IF(AND(Worksheet!X234&lt;&gt;"",Worksheet!X234&lt;&gt;0),Worksheet!X234&amp;"",IF(AND(Worksheet!Z234&lt;&gt;"",Worksheet!Z234&lt;&gt;0),Worksheet!Z234&amp;"","")))</f>
        <v>0487106040</v>
      </c>
      <c r="M234" t="str">
        <f>IF(Worksheet!AE234="","",Worksheet!AE234)</f>
        <v/>
      </c>
      <c r="N234" t="str">
        <f>IF(Worksheet!AG234="","",Worksheet!AG234)</f>
        <v/>
      </c>
      <c r="O234" t="str">
        <f>IF(Worksheet!AJ234="","",Worksheet!AJ234)</f>
        <v>Zomerstage 2026 (Blankenberge)</v>
      </c>
      <c r="P234" t="str">
        <f>IF(Worksheet!AK234="","",Worksheet!AK234)</f>
        <v>Speler</v>
      </c>
    </row>
    <row r="235" spans="1:16" x14ac:dyDescent="0.25">
      <c r="A235" t="str">
        <v>Felice Libert</v>
      </c>
      <c r="B235" t="str">
        <v/>
      </c>
      <c r="C235" t="str">
        <v>0473780275</v>
      </c>
      <c r="D235" t="str">
        <v>https://app.twizzit.com/public/photos/7279180/s/1c5d9fda02031baa486ebec940b4c251ec4b6762.png</v>
      </c>
      <c r="E235" s="2">
        <v>762633</v>
      </c>
      <c r="F235" t="str">
        <v>M12 A HAANTJES CERTIFISC OUDENAARDE</v>
      </c>
      <c r="G235" t="str">
        <v>Speler</v>
      </c>
      <c r="J235" t="str">
        <f>Worksheet!C235&amp;" "&amp;Worksheet!B235</f>
        <v>Mathis Delmote</v>
      </c>
      <c r="K235" t="str">
        <f>IF(Worksheet!P235&lt;&gt;"",Worksheet!P235,IF(Worksheet!R235&lt;&gt;"",Worksheet!R235,IF(Worksheet!T235&lt;&gt;"",Worksheet!T235,"")))</f>
        <v/>
      </c>
      <c r="L235" t="str">
        <f>IF(AND(Worksheet!V235&lt;&gt;"",Worksheet!V235&lt;&gt;0),Worksheet!V235&amp;"",IF(AND(Worksheet!X235&lt;&gt;"",Worksheet!X235&lt;&gt;0),Worksheet!X235&amp;"",IF(AND(Worksheet!Z235&lt;&gt;"",Worksheet!Z235&lt;&gt;0),Worksheet!Z235&amp;"","")))</f>
        <v>320478547008</v>
      </c>
      <c r="M235" t="str">
        <f>IF(Worksheet!AE235="","",Worksheet!AE235)</f>
        <v/>
      </c>
      <c r="N235" t="str">
        <f>IF(Worksheet!AG235="","",Worksheet!AG235)</f>
        <v/>
      </c>
      <c r="O235" t="str">
        <f>IF(Worksheet!AJ235="","",Worksheet!AJ235)</f>
        <v/>
      </c>
      <c r="P235" t="str">
        <f>IF(Worksheet!AK235="","",Worksheet!AK235)</f>
        <v/>
      </c>
    </row>
    <row r="236" spans="1:16" x14ac:dyDescent="0.25">
      <c r="A236" t="str">
        <v>Mathieu Libert</v>
      </c>
      <c r="B236" t="str">
        <v>s_ardenois@hotmail.com</v>
      </c>
      <c r="C236" t="str">
        <v>32474397512</v>
      </c>
      <c r="D236" t="str">
        <v/>
      </c>
      <c r="E236" s="2" t="str">
        <v/>
      </c>
      <c r="F236" t="str">
        <v>Zomerstage 2026 (Blankenberge)</v>
      </c>
      <c r="G236" t="str">
        <v>Speler</v>
      </c>
      <c r="J236" t="str">
        <f>Worksheet!C236&amp;" "&amp;Worksheet!B236</f>
        <v>Frederic Delouvroy</v>
      </c>
      <c r="K236" t="str">
        <f>IF(Worksheet!P236&lt;&gt;"",Worksheet!P236,IF(Worksheet!R236&lt;&gt;"",Worksheet!R236,IF(Worksheet!T236&lt;&gt;"",Worksheet!T236,"")))</f>
        <v/>
      </c>
      <c r="L236" t="str">
        <f>IF(AND(Worksheet!V236&lt;&gt;"",Worksheet!V236&lt;&gt;0),Worksheet!V236&amp;"",IF(AND(Worksheet!X236&lt;&gt;"",Worksheet!X236&lt;&gt;0),Worksheet!X236&amp;"",IF(AND(Worksheet!Z236&lt;&gt;"",Worksheet!Z236&lt;&gt;0),Worksheet!Z236&amp;"","")))</f>
        <v/>
      </c>
      <c r="M236" t="str">
        <f>IF(Worksheet!AE236="","",Worksheet!AE236)</f>
        <v/>
      </c>
      <c r="N236" t="str">
        <f>IF(Worksheet!AG236="","",Worksheet!AG236)</f>
        <v/>
      </c>
      <c r="O236" t="str">
        <f>IF(Worksheet!AJ236="","",Worksheet!AJ236)</f>
        <v/>
      </c>
      <c r="P236" t="str">
        <f>IF(Worksheet!AK236="","",Worksheet!AK236)</f>
        <v/>
      </c>
    </row>
    <row r="237" spans="1:16" x14ac:dyDescent="0.25">
      <c r="A237" t="str">
        <v>Mathieu Libert</v>
      </c>
      <c r="B237" t="str">
        <v>s_ardenois@hotmail.com</v>
      </c>
      <c r="C237" t="str">
        <v>32474397512</v>
      </c>
      <c r="D237" t="str">
        <v/>
      </c>
      <c r="E237" s="2" t="str">
        <v/>
      </c>
      <c r="F237" t="str">
        <v>G12 Geel HAANTJES CERTIFISC OUDENAARDE</v>
      </c>
      <c r="G237" t="str">
        <v>Speler</v>
      </c>
      <c r="J237" t="str">
        <f>Worksheet!C237&amp;" "&amp;Worksheet!B237</f>
        <v>Ibe Demesure</v>
      </c>
      <c r="K237" t="str">
        <f>IF(Worksheet!P237&lt;&gt;"",Worksheet!P237,IF(Worksheet!R237&lt;&gt;"",Worksheet!R237,IF(Worksheet!T237&lt;&gt;"",Worksheet!T237,"")))</f>
        <v/>
      </c>
      <c r="L237" t="str">
        <f>IF(AND(Worksheet!V237&lt;&gt;"",Worksheet!V237&lt;&gt;0),Worksheet!V237&amp;"",IF(AND(Worksheet!X237&lt;&gt;"",Worksheet!X237&lt;&gt;0),Worksheet!X237&amp;"",IF(AND(Worksheet!Z237&lt;&gt;"",Worksheet!Z237&lt;&gt;0),Worksheet!Z237&amp;"","")))</f>
        <v/>
      </c>
      <c r="M237" t="str">
        <f>IF(Worksheet!AE237="","",Worksheet!AE237)</f>
        <v>https://app.twizzit.com/public/photos/2670015/s/f1e98f51378ab75737aecc5cbf700ec759f2fc89.png</v>
      </c>
      <c r="N237">
        <f>IF(Worksheet!AG237="","",Worksheet!AG237)</f>
        <v>671179</v>
      </c>
      <c r="O237" t="str">
        <f>IF(Worksheet!AJ237="","",Worksheet!AJ237)</f>
        <v/>
      </c>
      <c r="P237" t="str">
        <f>IF(Worksheet!AK237="","",Worksheet!AK237)</f>
        <v/>
      </c>
    </row>
    <row r="238" spans="1:16" x14ac:dyDescent="0.25">
      <c r="A238" t="str">
        <v>Victor Libert</v>
      </c>
      <c r="B238" t="str">
        <v/>
      </c>
      <c r="C238" t="str">
        <v>0473780275</v>
      </c>
      <c r="D238" t="str">
        <v>https://app.twizzit.com/public/photos/7493172/s/6235261693b78c2a6b1d4ecbb92a61770437eca9.jpeg</v>
      </c>
      <c r="E238" s="2" t="str">
        <v/>
      </c>
      <c r="F238" t="str">
        <v>G10 Blauw HAANTJES CERTIFISC OUDENAARDE</v>
      </c>
      <c r="G238" t="str">
        <v>Speler</v>
      </c>
      <c r="J238" t="str">
        <f>Worksheet!C238&amp;" "&amp;Worksheet!B238</f>
        <v>Lora Demets</v>
      </c>
      <c r="K238" t="str">
        <f>IF(Worksheet!P238&lt;&gt;"",Worksheet!P238,IF(Worksheet!R238&lt;&gt;"",Worksheet!R238,IF(Worksheet!T238&lt;&gt;"",Worksheet!T238,"")))</f>
        <v>Lowie.demets@telenet.be</v>
      </c>
      <c r="L238" t="str">
        <f>IF(AND(Worksheet!V238&lt;&gt;"",Worksheet!V238&lt;&gt;0),Worksheet!V238&amp;"",IF(AND(Worksheet!X238&lt;&gt;"",Worksheet!X238&lt;&gt;0),Worksheet!X238&amp;"",IF(AND(Worksheet!Z238&lt;&gt;"",Worksheet!Z238&lt;&gt;0),Worksheet!Z238&amp;"","")))</f>
        <v>0474450168</v>
      </c>
      <c r="M238" t="str">
        <f>IF(Worksheet!AE238="","",Worksheet!AE238)</f>
        <v/>
      </c>
      <c r="N238">
        <f>IF(Worksheet!AG238="","",Worksheet!AG238)</f>
        <v>741137</v>
      </c>
      <c r="O238" t="str">
        <f>IF(Worksheet!AJ238="","",Worksheet!AJ238)</f>
        <v>Zomerstage 2026 (Blankenberge)</v>
      </c>
      <c r="P238" t="str">
        <f>IF(Worksheet!AK238="","",Worksheet!AK238)</f>
        <v>Speler</v>
      </c>
    </row>
    <row r="239" spans="1:16" x14ac:dyDescent="0.25">
      <c r="A239" t="str">
        <v>Sam Liekens</v>
      </c>
      <c r="B239" t="str">
        <v/>
      </c>
      <c r="C239" t="str">
        <v>0478888243</v>
      </c>
      <c r="D239" t="str">
        <v>https://app.twizzit.com/public/photos/3475283/s/e532263ea43cddb59650656f3777387ca04d2de4.jpeg</v>
      </c>
      <c r="E239" s="2">
        <v>749236</v>
      </c>
      <c r="F239" t="str">
        <v>J18 B Haantjes CERTIFISC Oudenaarde</v>
      </c>
      <c r="G239" t="str">
        <v>Speler</v>
      </c>
      <c r="J239" t="str">
        <f>Worksheet!C239&amp;" "&amp;Worksheet!B239</f>
        <v>Lora Demets</v>
      </c>
      <c r="K239" t="str">
        <f>IF(Worksheet!P239&lt;&gt;"",Worksheet!P239,IF(Worksheet!R239&lt;&gt;"",Worksheet!R239,IF(Worksheet!T239&lt;&gt;"",Worksheet!T239,"")))</f>
        <v>Lowie.demets@telenet.be</v>
      </c>
      <c r="L239" t="str">
        <f>IF(AND(Worksheet!V239&lt;&gt;"",Worksheet!V239&lt;&gt;0),Worksheet!V239&amp;"",IF(AND(Worksheet!X239&lt;&gt;"",Worksheet!X239&lt;&gt;0),Worksheet!X239&amp;"",IF(AND(Worksheet!Z239&lt;&gt;"",Worksheet!Z239&lt;&gt;0),Worksheet!Z239&amp;"","")))</f>
        <v>0474450168</v>
      </c>
      <c r="M239" t="str">
        <f>IF(Worksheet!AE239="","",Worksheet!AE239)</f>
        <v/>
      </c>
      <c r="N239">
        <f>IF(Worksheet!AG239="","",Worksheet!AG239)</f>
        <v>741137</v>
      </c>
      <c r="O239" t="str">
        <f>IF(Worksheet!AJ239="","",Worksheet!AJ239)</f>
        <v>M19 A Haantjes CERTIFISC Oudenaarde</v>
      </c>
      <c r="P239" t="str">
        <f>IF(Worksheet!AK239="","",Worksheet!AK239)</f>
        <v>Speler</v>
      </c>
    </row>
    <row r="240" spans="1:16" x14ac:dyDescent="0.25">
      <c r="A240" t="str">
        <v>Sam Liekens</v>
      </c>
      <c r="B240" t="str">
        <v/>
      </c>
      <c r="C240" t="str">
        <v>0478888243</v>
      </c>
      <c r="D240" t="str">
        <v>https://app.twizzit.com/public/photos/3475283/s/e532263ea43cddb59650656f3777387ca04d2de4.jpeg</v>
      </c>
      <c r="E240" s="2">
        <v>749236</v>
      </c>
      <c r="F240" t="str">
        <v>Zomerstage 2026 (Blankenberge)</v>
      </c>
      <c r="G240" t="str">
        <v>Speler</v>
      </c>
      <c r="J240" t="str">
        <f>Worksheet!C240&amp;" "&amp;Worksheet!B240</f>
        <v>Lore Demets</v>
      </c>
      <c r="K240" t="str">
        <f>IF(Worksheet!P240&lt;&gt;"",Worksheet!P240,IF(Worksheet!R240&lt;&gt;"",Worksheet!R240,IF(Worksheet!T240&lt;&gt;"",Worksheet!T240,"")))</f>
        <v/>
      </c>
      <c r="L240" t="str">
        <f>IF(AND(Worksheet!V240&lt;&gt;"",Worksheet!V240&lt;&gt;0),Worksheet!V240&amp;"",IF(AND(Worksheet!X240&lt;&gt;"",Worksheet!X240&lt;&gt;0),Worksheet!X240&amp;"",IF(AND(Worksheet!Z240&lt;&gt;"",Worksheet!Z240&lt;&gt;0),Worksheet!Z240&amp;"","")))</f>
        <v>0497388351</v>
      </c>
      <c r="M240" t="str">
        <f>IF(Worksheet!AE240="","",Worksheet!AE240)</f>
        <v/>
      </c>
      <c r="N240">
        <f>IF(Worksheet!AG240="","",Worksheet!AG240)</f>
        <v>668841</v>
      </c>
      <c r="O240" t="str">
        <f>IF(Worksheet!AJ240="","",Worksheet!AJ240)</f>
        <v/>
      </c>
      <c r="P240" t="str">
        <f>IF(Worksheet!AK240="","",Worksheet!AK240)</f>
        <v/>
      </c>
    </row>
    <row r="241" spans="1:16" x14ac:dyDescent="0.25">
      <c r="A241" t="str">
        <v>Andreas Lippens</v>
      </c>
      <c r="B241" t="str">
        <v/>
      </c>
      <c r="C241" t="str">
        <v>032492223206</v>
      </c>
      <c r="D241" t="str">
        <v/>
      </c>
      <c r="E241" s="2">
        <v>287179</v>
      </c>
      <c r="F241" t="str">
        <v>HSE A Haantjes Certifisc Oudenaarde</v>
      </c>
      <c r="G241" t="str">
        <v>Speler</v>
      </c>
      <c r="J241" t="str">
        <f>Worksheet!C241&amp;" "&amp;Worksheet!B241</f>
        <v>Lotte Demets</v>
      </c>
      <c r="K241" t="str">
        <f>IF(Worksheet!P241&lt;&gt;"",Worksheet!P241,IF(Worksheet!R241&lt;&gt;"",Worksheet!R241,IF(Worksheet!T241&lt;&gt;"",Worksheet!T241,"")))</f>
        <v/>
      </c>
      <c r="L241" t="str">
        <f>IF(AND(Worksheet!V241&lt;&gt;"",Worksheet!V241&lt;&gt;0),Worksheet!V241&amp;"",IF(AND(Worksheet!X241&lt;&gt;"",Worksheet!X241&lt;&gt;0),Worksheet!X241&amp;"",IF(AND(Worksheet!Z241&lt;&gt;"",Worksheet!Z241&lt;&gt;0),Worksheet!Z241&amp;"","")))</f>
        <v>497388351</v>
      </c>
      <c r="M241" t="str">
        <f>IF(Worksheet!AE241="","",Worksheet!AE241)</f>
        <v/>
      </c>
      <c r="N241">
        <f>IF(Worksheet!AG241="","",Worksheet!AG241)</f>
        <v>668842</v>
      </c>
      <c r="O241" t="str">
        <f>IF(Worksheet!AJ241="","",Worksheet!AJ241)</f>
        <v/>
      </c>
      <c r="P241" t="str">
        <f>IF(Worksheet!AK241="","",Worksheet!AK241)</f>
        <v/>
      </c>
    </row>
    <row r="242" spans="1:16" x14ac:dyDescent="0.25">
      <c r="A242" t="str">
        <v>Boris Luyten</v>
      </c>
      <c r="B242" t="str">
        <v>liesbeth_boudrez@hotmail.be</v>
      </c>
      <c r="C242" t="str">
        <v>32499650150</v>
      </c>
      <c r="D242" t="str">
        <v>https://app.twizzit.com/public/photos/3437308/s/ee02af9294d7823dae37d6eb7126b435ef764909.png</v>
      </c>
      <c r="E242" s="2" t="str">
        <v/>
      </c>
      <c r="F242" t="str">
        <v>G10 Geel HAANTJES CERTIFISC OUDENAARDE</v>
      </c>
      <c r="G242" t="str">
        <v>Speler</v>
      </c>
      <c r="J242" t="str">
        <f>Worksheet!C242&amp;" "&amp;Worksheet!B242</f>
        <v>Omer Demets</v>
      </c>
      <c r="K242" t="str">
        <f>IF(Worksheet!P242&lt;&gt;"",Worksheet!P242,IF(Worksheet!R242&lt;&gt;"",Worksheet!R242,IF(Worksheet!T242&lt;&gt;"",Worksheet!T242,"")))</f>
        <v>Lowie.demets@telenet.be</v>
      </c>
      <c r="L242" t="str">
        <f>IF(AND(Worksheet!V242&lt;&gt;"",Worksheet!V242&lt;&gt;0),Worksheet!V242&amp;"",IF(AND(Worksheet!X242&lt;&gt;"",Worksheet!X242&lt;&gt;0),Worksheet!X242&amp;"",IF(AND(Worksheet!Z242&lt;&gt;"",Worksheet!Z242&lt;&gt;0),Worksheet!Z242&amp;"","")))</f>
        <v>0474450168</v>
      </c>
      <c r="M242" t="str">
        <f>IF(Worksheet!AE242="","",Worksheet!AE242)</f>
        <v/>
      </c>
      <c r="N242" t="str">
        <f>IF(Worksheet!AG242="","",Worksheet!AG242)</f>
        <v/>
      </c>
      <c r="O242" t="str">
        <f>IF(Worksheet!AJ242="","",Worksheet!AJ242)</f>
        <v>Zomerstage 2026 (Blankenberge)</v>
      </c>
      <c r="P242" t="str">
        <f>IF(Worksheet!AK242="","",Worksheet!AK242)</f>
        <v>Speler</v>
      </c>
    </row>
    <row r="243" spans="1:16" x14ac:dyDescent="0.25">
      <c r="A243" t="str">
        <v>Oskar Luyten</v>
      </c>
      <c r="B243" t="str">
        <v>liesbeth_boudrez@hotmail.be</v>
      </c>
      <c r="C243" t="str">
        <v>32499650150</v>
      </c>
      <c r="D243" t="str">
        <v>https://app.twizzit.com/public/photos/6067218/s/05d3b6d34153ded2c11249ae66f232311ce5df9d.jpeg</v>
      </c>
      <c r="E243" s="2" t="str">
        <v/>
      </c>
      <c r="F243" t="str">
        <v>G08 Geel HAANTJES CERTIFISC OUDENAARDE</v>
      </c>
      <c r="G243" t="str">
        <v>Speler</v>
      </c>
      <c r="J243" t="str">
        <f>Worksheet!C243&amp;" "&amp;Worksheet!B243</f>
        <v>Omer Demets</v>
      </c>
      <c r="K243" t="str">
        <f>IF(Worksheet!P243&lt;&gt;"",Worksheet!P243,IF(Worksheet!R243&lt;&gt;"",Worksheet!R243,IF(Worksheet!T243&lt;&gt;"",Worksheet!T243,"")))</f>
        <v>Lowie.demets@telenet.be</v>
      </c>
      <c r="L243" t="str">
        <f>IF(AND(Worksheet!V243&lt;&gt;"",Worksheet!V243&lt;&gt;0),Worksheet!V243&amp;"",IF(AND(Worksheet!X243&lt;&gt;"",Worksheet!X243&lt;&gt;0),Worksheet!X243&amp;"",IF(AND(Worksheet!Z243&lt;&gt;"",Worksheet!Z243&lt;&gt;0),Worksheet!Z243&amp;"","")))</f>
        <v>0474450168</v>
      </c>
      <c r="M243" t="str">
        <f>IF(Worksheet!AE243="","",Worksheet!AE243)</f>
        <v/>
      </c>
      <c r="N243" t="str">
        <f>IF(Worksheet!AG243="","",Worksheet!AG243)</f>
        <v/>
      </c>
      <c r="O243" t="str">
        <f>IF(Worksheet!AJ243="","",Worksheet!AJ243)</f>
        <v>G12 Geel HAANTJES CERTIFISC OUDENAARDE</v>
      </c>
      <c r="P243" t="str">
        <f>IF(Worksheet!AK243="","",Worksheet!AK243)</f>
        <v>Speler</v>
      </c>
    </row>
    <row r="244" spans="1:16" x14ac:dyDescent="0.25">
      <c r="A244" t="str">
        <v>Viktor L’Hommelet</v>
      </c>
      <c r="B244" t="str">
        <v>els.bourgois@gmail.com</v>
      </c>
      <c r="C244" t="str">
        <v>479376759</v>
      </c>
      <c r="D244" t="str">
        <v/>
      </c>
      <c r="E244" s="2">
        <v>714059</v>
      </c>
      <c r="F244" t="str">
        <v>J16 A Haantjes CERTIFISC Oudenaarde</v>
      </c>
      <c r="G244" t="str">
        <v>Speler</v>
      </c>
      <c r="J244" t="str">
        <f>Worksheet!C244&amp;" "&amp;Worksheet!B244</f>
        <v>Sabine Demeulemeester</v>
      </c>
      <c r="K244" t="str">
        <f>IF(Worksheet!P244&lt;&gt;"",Worksheet!P244,IF(Worksheet!R244&lt;&gt;"",Worksheet!R244,IF(Worksheet!T244&lt;&gt;"",Worksheet!T244,"")))</f>
        <v/>
      </c>
      <c r="L244" t="str">
        <f>IF(AND(Worksheet!V244&lt;&gt;"",Worksheet!V244&lt;&gt;0),Worksheet!V244&amp;"",IF(AND(Worksheet!X244&lt;&gt;"",Worksheet!X244&lt;&gt;0),Worksheet!X244&amp;"",IF(AND(Worksheet!Z244&lt;&gt;"",Worksheet!Z244&lt;&gt;0),Worksheet!Z244&amp;"","")))</f>
        <v>486584984</v>
      </c>
      <c r="M244" t="str">
        <f>IF(Worksheet!AE244="","",Worksheet!AE244)</f>
        <v/>
      </c>
      <c r="N244">
        <f>IF(Worksheet!AG244="","",Worksheet!AG244)</f>
        <v>737364</v>
      </c>
      <c r="O244" t="str">
        <f>IF(Worksheet!AJ244="","",Worksheet!AJ244)</f>
        <v/>
      </c>
      <c r="P244" t="str">
        <f>IF(Worksheet!AK244="","",Worksheet!AK244)</f>
        <v/>
      </c>
    </row>
    <row r="245" spans="1:16" x14ac:dyDescent="0.25">
      <c r="A245" t="str">
        <v>Viktor L’Hommelet</v>
      </c>
      <c r="B245" t="str">
        <v>els.bourgois@gmail.com</v>
      </c>
      <c r="C245" t="str">
        <v>479376759</v>
      </c>
      <c r="D245" t="str">
        <v/>
      </c>
      <c r="E245" s="2">
        <v>714059</v>
      </c>
      <c r="F245" t="str">
        <v>Zomerstage 2026 (Blankenberge)</v>
      </c>
      <c r="G245" t="str">
        <v>Speler</v>
      </c>
      <c r="J245" t="str">
        <f>Worksheet!C245&amp;" "&amp;Worksheet!B245</f>
        <v>Ian Demuynck</v>
      </c>
      <c r="K245" t="str">
        <f>IF(Worksheet!P245&lt;&gt;"",Worksheet!P245,IF(Worksheet!R245&lt;&gt;"",Worksheet!R245,IF(Worksheet!T245&lt;&gt;"",Worksheet!T245,"")))</f>
        <v/>
      </c>
      <c r="L245" t="str">
        <f>IF(AND(Worksheet!V245&lt;&gt;"",Worksheet!V245&lt;&gt;0),Worksheet!V245&amp;"",IF(AND(Worksheet!X245&lt;&gt;"",Worksheet!X245&lt;&gt;0),Worksheet!X245&amp;"",IF(AND(Worksheet!Z245&lt;&gt;"",Worksheet!Z245&lt;&gt;0),Worksheet!Z245&amp;"","")))</f>
        <v>0499758598</v>
      </c>
      <c r="M245" t="str">
        <f>IF(Worksheet!AE245="","",Worksheet!AE245)</f>
        <v/>
      </c>
      <c r="N245">
        <f>IF(Worksheet!AG245="","",Worksheet!AG245)</f>
        <v>752310</v>
      </c>
      <c r="O245" t="str">
        <f>IF(Worksheet!AJ245="","",Worksheet!AJ245)</f>
        <v/>
      </c>
      <c r="P245" t="str">
        <f>IF(Worksheet!AK245="","",Worksheet!AK245)</f>
        <v/>
      </c>
    </row>
    <row r="246" spans="1:16" x14ac:dyDescent="0.25">
      <c r="A246" t="str">
        <v>Nathan Maenhout</v>
      </c>
      <c r="B246" t="str">
        <v>jokespies@hotmail.com</v>
      </c>
      <c r="C246" t="str">
        <v>0489178706</v>
      </c>
      <c r="D246" t="str">
        <v>https://app.twizzit.com/public/photos/9359547/s/0986374ba59a462685344af411da25079641e82d.jpeg</v>
      </c>
      <c r="E246" s="2" t="str">
        <v/>
      </c>
      <c r="F246" t="str">
        <v>G14 A Haantjes CERTIFISC Oudenaarde</v>
      </c>
      <c r="G246" t="str">
        <v>Speler</v>
      </c>
      <c r="J246" t="str">
        <f>Worksheet!C246&amp;" "&amp;Worksheet!B246</f>
        <v>Guus Dequeecker</v>
      </c>
      <c r="K246" t="str">
        <f>IF(Worksheet!P246&lt;&gt;"",Worksheet!P246,IF(Worksheet!R246&lt;&gt;"",Worksheet!R246,IF(Worksheet!T246&lt;&gt;"",Worksheet!T246,"")))</f>
        <v>sven.dequeecker@scarlet.be</v>
      </c>
      <c r="L246" t="str">
        <f>IF(AND(Worksheet!V246&lt;&gt;"",Worksheet!V246&lt;&gt;0),Worksheet!V246&amp;"",IF(AND(Worksheet!X246&lt;&gt;"",Worksheet!X246&lt;&gt;0),Worksheet!X246&amp;"",IF(AND(Worksheet!Z246&lt;&gt;"",Worksheet!Z246&lt;&gt;0),Worksheet!Z246&amp;"","")))</f>
        <v/>
      </c>
      <c r="M246" t="str">
        <f>IF(Worksheet!AE246="","",Worksheet!AE246)</f>
        <v/>
      </c>
      <c r="N246">
        <f>IF(Worksheet!AG246="","",Worksheet!AG246)</f>
        <v>711210</v>
      </c>
      <c r="O246" t="str">
        <f>IF(Worksheet!AJ246="","",Worksheet!AJ246)</f>
        <v/>
      </c>
      <c r="P246" t="str">
        <f>IF(Worksheet!AK246="","",Worksheet!AK246)</f>
        <v/>
      </c>
    </row>
    <row r="247" spans="1:16" x14ac:dyDescent="0.25">
      <c r="A247" t="str">
        <v>Nathan Maenhout</v>
      </c>
      <c r="B247" t="str">
        <v>jokespies@hotmail.com</v>
      </c>
      <c r="C247" t="str">
        <v>0489178706</v>
      </c>
      <c r="D247" t="str">
        <v>https://app.twizzit.com/public/photos/9359547/s/0986374ba59a462685344af411da25079641e82d.jpeg</v>
      </c>
      <c r="E247" s="2" t="str">
        <v/>
      </c>
      <c r="F247" t="str">
        <v>Zomerstage 2026 (Blankenberge)</v>
      </c>
      <c r="G247" t="str">
        <v>Speler</v>
      </c>
      <c r="J247" t="str">
        <f>Worksheet!C247&amp;" "&amp;Worksheet!B247</f>
        <v>Sven Dequeecker</v>
      </c>
      <c r="K247" t="str">
        <f>IF(Worksheet!P247&lt;&gt;"",Worksheet!P247,IF(Worksheet!R247&lt;&gt;"",Worksheet!R247,IF(Worksheet!T247&lt;&gt;"",Worksheet!T247,"")))</f>
        <v/>
      </c>
      <c r="L247" t="str">
        <f>IF(AND(Worksheet!V247&lt;&gt;"",Worksheet!V247&lt;&gt;0),Worksheet!V247&amp;"",IF(AND(Worksheet!X247&lt;&gt;"",Worksheet!X247&lt;&gt;0),Worksheet!X247&amp;"",IF(AND(Worksheet!Z247&lt;&gt;"",Worksheet!Z247&lt;&gt;0),Worksheet!Z247&amp;"","")))</f>
        <v/>
      </c>
      <c r="M247" t="str">
        <f>IF(Worksheet!AE247="","",Worksheet!AE247)</f>
        <v/>
      </c>
      <c r="N247">
        <f>IF(Worksheet!AG247="","",Worksheet!AG247)</f>
        <v>716405</v>
      </c>
      <c r="O247" t="str">
        <f>IF(Worksheet!AJ247="","",Worksheet!AJ247)</f>
        <v/>
      </c>
      <c r="P247" t="str">
        <f>IF(Worksheet!AK247="","",Worksheet!AK247)</f>
        <v/>
      </c>
    </row>
    <row r="248" spans="1:16" x14ac:dyDescent="0.25">
      <c r="A248" t="str">
        <v>Dréa Maes</v>
      </c>
      <c r="B248" t="str">
        <v>Joke.merlaen@gmail.com</v>
      </c>
      <c r="C248" t="str">
        <v/>
      </c>
      <c r="D248" t="str">
        <v>https://app.twizzit.com/public/photos/3412861/s/5d2322ba0de7264fd5ba0170cc29e82844de05d5.png</v>
      </c>
      <c r="E248" s="2" t="str">
        <v/>
      </c>
      <c r="F248" t="str">
        <v>M16 A Haantjes CERTIFISC  Oudenaarde</v>
      </c>
      <c r="G248" t="str">
        <v>Speler</v>
      </c>
      <c r="J248" t="str">
        <f>Worksheet!C248&amp;" "&amp;Worksheet!B248</f>
        <v>Renée Deraedt</v>
      </c>
      <c r="K248" t="str">
        <f>IF(Worksheet!P248&lt;&gt;"",Worksheet!P248,IF(Worksheet!R248&lt;&gt;"",Worksheet!R248,IF(Worksheet!T248&lt;&gt;"",Worksheet!T248,"")))</f>
        <v/>
      </c>
      <c r="L248" t="str">
        <f>IF(AND(Worksheet!V248&lt;&gt;"",Worksheet!V248&lt;&gt;0),Worksheet!V248&amp;"",IF(AND(Worksheet!X248&lt;&gt;"",Worksheet!X248&lt;&gt;0),Worksheet!X248&amp;"",IF(AND(Worksheet!Z248&lt;&gt;"",Worksheet!Z248&lt;&gt;0),Worksheet!Z248&amp;"","")))</f>
        <v>320477714035</v>
      </c>
      <c r="M248" t="str">
        <f>IF(Worksheet!AE248="","",Worksheet!AE248)</f>
        <v>https://app.twizzit.com/public/photos/7328300/s/7e2d6dfb7100b0ca8feb8f22a68ce2009271348a.png</v>
      </c>
      <c r="N248" t="str">
        <f>IF(Worksheet!AG248="","",Worksheet!AG248)</f>
        <v/>
      </c>
      <c r="O248" t="str">
        <f>IF(Worksheet!AJ248="","",Worksheet!AJ248)</f>
        <v>M10 HAANTJES CERTIFISC OUDENAARDE</v>
      </c>
      <c r="P248" t="str">
        <f>IF(Worksheet!AK248="","",Worksheet!AK248)</f>
        <v>Speler</v>
      </c>
    </row>
    <row r="249" spans="1:16" x14ac:dyDescent="0.25">
      <c r="A249" t="str">
        <v>Dréa Maes</v>
      </c>
      <c r="B249" t="str">
        <v>Joke.merlaen@gmail.com</v>
      </c>
      <c r="C249" t="str">
        <v/>
      </c>
      <c r="D249" t="str">
        <v>https://app.twizzit.com/public/photos/3412861/s/5d2322ba0de7264fd5ba0170cc29e82844de05d5.png</v>
      </c>
      <c r="E249" s="2" t="str">
        <v/>
      </c>
      <c r="F249" t="str">
        <v>Zomerstage 2026 (Blankenberge)</v>
      </c>
      <c r="G249" t="str">
        <v>Speler</v>
      </c>
      <c r="J249" t="str">
        <f>Worksheet!C249&amp;" "&amp;Worksheet!B249</f>
        <v>Renée Deraedt</v>
      </c>
      <c r="K249" t="str">
        <f>IF(Worksheet!P249&lt;&gt;"",Worksheet!P249,IF(Worksheet!R249&lt;&gt;"",Worksheet!R249,IF(Worksheet!T249&lt;&gt;"",Worksheet!T249,"")))</f>
        <v/>
      </c>
      <c r="L249" t="str">
        <f>IF(AND(Worksheet!V249&lt;&gt;"",Worksheet!V249&lt;&gt;0),Worksheet!V249&amp;"",IF(AND(Worksheet!X249&lt;&gt;"",Worksheet!X249&lt;&gt;0),Worksheet!X249&amp;"",IF(AND(Worksheet!Z249&lt;&gt;"",Worksheet!Z249&lt;&gt;0),Worksheet!Z249&amp;"","")))</f>
        <v>320477714035</v>
      </c>
      <c r="M249" t="str">
        <f>IF(Worksheet!AE249="","",Worksheet!AE249)</f>
        <v>https://app.twizzit.com/public/photos/7328300/s/7e2d6dfb7100b0ca8feb8f22a68ce2009271348a.png</v>
      </c>
      <c r="N249" t="str">
        <f>IF(Worksheet!AG249="","",Worksheet!AG249)</f>
        <v/>
      </c>
      <c r="O249" t="str">
        <f>IF(Worksheet!AJ249="","",Worksheet!AJ249)</f>
        <v>Zomerstage 2026 U10 &amp; U12 (Oudenaarde)</v>
      </c>
      <c r="P249" t="str">
        <f>IF(Worksheet!AK249="","",Worksheet!AK249)</f>
        <v>Speler</v>
      </c>
    </row>
    <row r="250" spans="1:16" x14ac:dyDescent="0.25">
      <c r="A250" t="str">
        <v>Kamiel Mahieu</v>
      </c>
      <c r="B250" t="str">
        <v/>
      </c>
      <c r="C250" t="str">
        <v>0473745981</v>
      </c>
      <c r="D250" t="str">
        <v/>
      </c>
      <c r="E250" s="2" t="str">
        <v/>
      </c>
      <c r="F250" t="str">
        <v>J18 B Haantjes CERTIFISC Oudenaarde</v>
      </c>
      <c r="G250" t="str">
        <v>Speler</v>
      </c>
      <c r="J250" t="str">
        <f>Worksheet!C250&amp;" "&amp;Worksheet!B250</f>
        <v>Quinten Derous</v>
      </c>
      <c r="K250" t="str">
        <f>IF(Worksheet!P250&lt;&gt;"",Worksheet!P250,IF(Worksheet!R250&lt;&gt;"",Worksheet!R250,IF(Worksheet!T250&lt;&gt;"",Worksheet!T250,"")))</f>
        <v/>
      </c>
      <c r="L250" t="str">
        <f>IF(AND(Worksheet!V250&lt;&gt;"",Worksheet!V250&lt;&gt;0),Worksheet!V250&amp;"",IF(AND(Worksheet!X250&lt;&gt;"",Worksheet!X250&lt;&gt;0),Worksheet!X250&amp;"",IF(AND(Worksheet!Z250&lt;&gt;"",Worksheet!Z250&lt;&gt;0),Worksheet!Z250&amp;"","")))</f>
        <v>0468258571</v>
      </c>
      <c r="M250" t="str">
        <f>IF(Worksheet!AE250="","",Worksheet!AE250)</f>
        <v/>
      </c>
      <c r="N250">
        <f>IF(Worksheet!AG250="","",Worksheet!AG250)</f>
        <v>624753</v>
      </c>
      <c r="O250" t="str">
        <f>IF(Worksheet!AJ250="","",Worksheet!AJ250)</f>
        <v>HSE A Haantjes Certifisc Oudenaarde</v>
      </c>
      <c r="P250" t="str">
        <f>IF(Worksheet!AK250="","",Worksheet!AK250)</f>
        <v>Speler</v>
      </c>
    </row>
    <row r="251" spans="1:16" x14ac:dyDescent="0.25">
      <c r="A251" t="str">
        <v>Lowie Malfait</v>
      </c>
      <c r="B251" t="str">
        <v>Hoekman.annelies1@gmail.com</v>
      </c>
      <c r="C251" t="str">
        <v>0478836273</v>
      </c>
      <c r="D251" t="str">
        <v/>
      </c>
      <c r="E251" s="2" t="str">
        <v/>
      </c>
      <c r="F251" t="str">
        <v>G12 Blauw HAANTJES CERTIFISC OUDENAARDE</v>
      </c>
      <c r="G251" t="str">
        <v>Speler</v>
      </c>
      <c r="J251" t="str">
        <f>Worksheet!C251&amp;" "&amp;Worksheet!B251</f>
        <v>Vinke Derycke</v>
      </c>
      <c r="K251" t="str">
        <f>IF(Worksheet!P251&lt;&gt;"",Worksheet!P251,IF(Worksheet!R251&lt;&gt;"",Worksheet!R251,IF(Worksheet!T251&lt;&gt;"",Worksheet!T251,"")))</f>
        <v>stevenderycke244@gmail.com</v>
      </c>
      <c r="L251" t="str">
        <f>IF(AND(Worksheet!V251&lt;&gt;"",Worksheet!V251&lt;&gt;0),Worksheet!V251&amp;"",IF(AND(Worksheet!X251&lt;&gt;"",Worksheet!X251&lt;&gt;0),Worksheet!X251&amp;"",IF(AND(Worksheet!Z251&lt;&gt;"",Worksheet!Z251&lt;&gt;0),Worksheet!Z251&amp;"","")))</f>
        <v>32484679541</v>
      </c>
      <c r="M251" t="str">
        <f>IF(Worksheet!AE251="","",Worksheet!AE251)</f>
        <v/>
      </c>
      <c r="N251" t="str">
        <f>IF(Worksheet!AG251="","",Worksheet!AG251)</f>
        <v/>
      </c>
      <c r="O251" t="str">
        <f>IF(Worksheet!AJ251="","",Worksheet!AJ251)</f>
        <v>G12 Geel HAANTJES CERTIFISC OUDENAARDE</v>
      </c>
      <c r="P251" t="str">
        <f>IF(Worksheet!AK251="","",Worksheet!AK251)</f>
        <v>Speler</v>
      </c>
    </row>
    <row r="252" spans="1:16" x14ac:dyDescent="0.25">
      <c r="A252" t="str">
        <v>Jakob Marcou</v>
      </c>
      <c r="B252" t="str">
        <v/>
      </c>
      <c r="C252" t="str">
        <v>0474234134</v>
      </c>
      <c r="D252" t="str">
        <v/>
      </c>
      <c r="E252" s="2">
        <v>608268</v>
      </c>
      <c r="F252" t="str">
        <v>HSE A Haantjes Certifisc Oudenaarde</v>
      </c>
      <c r="G252" t="str">
        <v>Speler</v>
      </c>
      <c r="J252" t="str">
        <f>Worksheet!C252&amp;" "&amp;Worksheet!B252</f>
        <v>Vinke Derycke</v>
      </c>
      <c r="K252" t="str">
        <f>IF(Worksheet!P252&lt;&gt;"",Worksheet!P252,IF(Worksheet!R252&lt;&gt;"",Worksheet!R252,IF(Worksheet!T252&lt;&gt;"",Worksheet!T252,"")))</f>
        <v>stevenderycke244@gmail.com</v>
      </c>
      <c r="L252" t="str">
        <f>IF(AND(Worksheet!V252&lt;&gt;"",Worksheet!V252&lt;&gt;0),Worksheet!V252&amp;"",IF(AND(Worksheet!X252&lt;&gt;"",Worksheet!X252&lt;&gt;0),Worksheet!X252&amp;"",IF(AND(Worksheet!Z252&lt;&gt;"",Worksheet!Z252&lt;&gt;0),Worksheet!Z252&amp;"","")))</f>
        <v>32484679541</v>
      </c>
      <c r="M252" t="str">
        <f>IF(Worksheet!AE252="","",Worksheet!AE252)</f>
        <v/>
      </c>
      <c r="N252" t="str">
        <f>IF(Worksheet!AG252="","",Worksheet!AG252)</f>
        <v/>
      </c>
      <c r="O252" t="str">
        <f>IF(Worksheet!AJ252="","",Worksheet!AJ252)</f>
        <v>Zomerstage 2026 U10 &amp; U12 (Oudenaarde)</v>
      </c>
      <c r="P252" t="str">
        <f>IF(Worksheet!AK252="","",Worksheet!AK252)</f>
        <v>Speler</v>
      </c>
    </row>
    <row r="253" spans="1:16" x14ac:dyDescent="0.25">
      <c r="A253" t="str">
        <v>Steppe Matthys</v>
      </c>
      <c r="B253" t="str">
        <v/>
      </c>
      <c r="C253" t="str">
        <v>0468429871</v>
      </c>
      <c r="D253" t="str">
        <v>https://app.twizzit.com/public/photos/10488364/s/177c95b9932dcdda23e09eda7b0298c34ca94551.jpeg</v>
      </c>
      <c r="E253" s="2" t="str">
        <v/>
      </c>
      <c r="F253" t="str">
        <v>G14 B Haantjes CERTIFISC Oudenaarde</v>
      </c>
      <c r="G253" t="str">
        <v>Speler</v>
      </c>
      <c r="J253" t="str">
        <f>Worksheet!C253&amp;" "&amp;Worksheet!B253</f>
        <v>Matthias Desmet</v>
      </c>
      <c r="K253" t="str">
        <f>IF(Worksheet!P253&lt;&gt;"",Worksheet!P253,IF(Worksheet!R253&lt;&gt;"",Worksheet!R253,IF(Worksheet!T253&lt;&gt;"",Worksheet!T253,"")))</f>
        <v/>
      </c>
      <c r="L253" t="str">
        <f>IF(AND(Worksheet!V253&lt;&gt;"",Worksheet!V253&lt;&gt;0),Worksheet!V253&amp;"",IF(AND(Worksheet!X253&lt;&gt;"",Worksheet!X253&lt;&gt;0),Worksheet!X253&amp;"",IF(AND(Worksheet!Z253&lt;&gt;"",Worksheet!Z253&lt;&gt;0),Worksheet!Z253&amp;"","")))</f>
        <v/>
      </c>
      <c r="M253" t="str">
        <f>IF(Worksheet!AE253="","",Worksheet!AE253)</f>
        <v/>
      </c>
      <c r="N253">
        <f>IF(Worksheet!AG253="","",Worksheet!AG253)</f>
        <v>604348</v>
      </c>
      <c r="O253" t="str">
        <f>IF(Worksheet!AJ253="","",Worksheet!AJ253)</f>
        <v/>
      </c>
      <c r="P253" t="str">
        <f>IF(Worksheet!AK253="","",Worksheet!AK253)</f>
        <v/>
      </c>
    </row>
    <row r="254" spans="1:16" x14ac:dyDescent="0.25">
      <c r="A254" t="str">
        <v>Steppe Matthys</v>
      </c>
      <c r="B254" t="str">
        <v/>
      </c>
      <c r="C254" t="str">
        <v>0468429871</v>
      </c>
      <c r="D254" t="str">
        <v>https://app.twizzit.com/public/photos/10488364/s/177c95b9932dcdda23e09eda7b0298c34ca94551.jpeg</v>
      </c>
      <c r="E254" s="2" t="str">
        <v/>
      </c>
      <c r="F254" t="str">
        <v>Zomerstage 2026 (Blankenberge)</v>
      </c>
      <c r="G254" t="str">
        <v>Speler</v>
      </c>
      <c r="J254" t="str">
        <f>Worksheet!C254&amp;" "&amp;Worksheet!B254</f>
        <v>Ode Desmet</v>
      </c>
      <c r="K254" t="str">
        <f>IF(Worksheet!P254&lt;&gt;"",Worksheet!P254,IF(Worksheet!R254&lt;&gt;"",Worksheet!R254,IF(Worksheet!T254&lt;&gt;"",Worksheet!T254,"")))</f>
        <v>freyamalfait@icloud.com</v>
      </c>
      <c r="L254" t="str">
        <f>IF(AND(Worksheet!V254&lt;&gt;"",Worksheet!V254&lt;&gt;0),Worksheet!V254&amp;"",IF(AND(Worksheet!X254&lt;&gt;"",Worksheet!X254&lt;&gt;0),Worksheet!X254&amp;"",IF(AND(Worksheet!Z254&lt;&gt;"",Worksheet!Z254&lt;&gt;0),Worksheet!Z254&amp;"","")))</f>
        <v>0472832063</v>
      </c>
      <c r="M254" t="str">
        <f>IF(Worksheet!AE254="","",Worksheet!AE254)</f>
        <v>https://app.twizzit.com/public/photos/2650916/s/be89217f1fc3b11d85c4b13abcca39bae64798e5.png</v>
      </c>
      <c r="N254">
        <f>IF(Worksheet!AG254="","",Worksheet!AG254)</f>
        <v>742234</v>
      </c>
      <c r="O254" t="str">
        <f>IF(Worksheet!AJ254="","",Worksheet!AJ254)</f>
        <v>Zomerstage 2026 (Blankenberge)</v>
      </c>
      <c r="P254" t="str">
        <f>IF(Worksheet!AK254="","",Worksheet!AK254)</f>
        <v>Speler</v>
      </c>
    </row>
    <row r="255" spans="1:16" x14ac:dyDescent="0.25">
      <c r="A255" t="str">
        <v>Bleys Maxime</v>
      </c>
      <c r="B255" t="str">
        <v/>
      </c>
      <c r="C255" t="str">
        <v>0495940240</v>
      </c>
      <c r="D255" t="str">
        <v/>
      </c>
      <c r="E255" s="2">
        <v>661314</v>
      </c>
      <c r="F255" t="str">
        <v>HSE A Haantjes Certifisc Oudenaarde</v>
      </c>
      <c r="G255" t="str">
        <v>Speler</v>
      </c>
      <c r="J255" t="str">
        <f>Worksheet!C255&amp;" "&amp;Worksheet!B255</f>
        <v>Ode Desmet</v>
      </c>
      <c r="K255" t="str">
        <f>IF(Worksheet!P255&lt;&gt;"",Worksheet!P255,IF(Worksheet!R255&lt;&gt;"",Worksheet!R255,IF(Worksheet!T255&lt;&gt;"",Worksheet!T255,"")))</f>
        <v>freyamalfait@icloud.com</v>
      </c>
      <c r="L255" t="str">
        <f>IF(AND(Worksheet!V255&lt;&gt;"",Worksheet!V255&lt;&gt;0),Worksheet!V255&amp;"",IF(AND(Worksheet!X255&lt;&gt;"",Worksheet!X255&lt;&gt;0),Worksheet!X255&amp;"",IF(AND(Worksheet!Z255&lt;&gt;"",Worksheet!Z255&lt;&gt;0),Worksheet!Z255&amp;"","")))</f>
        <v>0472832063</v>
      </c>
      <c r="M255" t="str">
        <f>IF(Worksheet!AE255="","",Worksheet!AE255)</f>
        <v>https://app.twizzit.com/public/photos/2650916/s/be89217f1fc3b11d85c4b13abcca39bae64798e5.png</v>
      </c>
      <c r="N255">
        <f>IF(Worksheet!AG255="","",Worksheet!AG255)</f>
        <v>742234</v>
      </c>
      <c r="O255" t="str">
        <f>IF(Worksheet!AJ255="","",Worksheet!AJ255)</f>
        <v>M14 A Haantjes CERTIFISC  Oudenaarde</v>
      </c>
      <c r="P255" t="str">
        <f>IF(Worksheet!AK255="","",Worksheet!AK255)</f>
        <v>Speler</v>
      </c>
    </row>
    <row r="256" spans="1:16" x14ac:dyDescent="0.25">
      <c r="A256" t="str">
        <v>Marte Mechant</v>
      </c>
      <c r="B256" t="str">
        <v>jme.basket@telenet.be</v>
      </c>
      <c r="C256" t="str">
        <v>32470449365</v>
      </c>
      <c r="D256" t="str">
        <v/>
      </c>
      <c r="E256" s="2">
        <v>665060</v>
      </c>
      <c r="F256" t="str">
        <v>G10 Blauw HAANTJES CERTIFISC OUDENAARDE</v>
      </c>
      <c r="G256" t="str">
        <v>Coach</v>
      </c>
      <c r="J256" t="str">
        <f>Worksheet!C256&amp;" "&amp;Worksheet!B256</f>
        <v>Matheo Despriet</v>
      </c>
      <c r="K256" t="str">
        <f>IF(Worksheet!P256&lt;&gt;"",Worksheet!P256,IF(Worksheet!R256&lt;&gt;"",Worksheet!R256,IF(Worksheet!T256&lt;&gt;"",Worksheet!T256,"")))</f>
        <v>Matheo.despriet@gmail.com</v>
      </c>
      <c r="L256" t="str">
        <f>IF(AND(Worksheet!V256&lt;&gt;"",Worksheet!V256&lt;&gt;0),Worksheet!V256&amp;"",IF(AND(Worksheet!X256&lt;&gt;"",Worksheet!X256&lt;&gt;0),Worksheet!X256&amp;"",IF(AND(Worksheet!Z256&lt;&gt;"",Worksheet!Z256&lt;&gt;0),Worksheet!Z256&amp;"","")))</f>
        <v/>
      </c>
      <c r="M256" t="str">
        <f>IF(Worksheet!AE256="","",Worksheet!AE256)</f>
        <v/>
      </c>
      <c r="N256" t="str">
        <f>IF(Worksheet!AG256="","",Worksheet!AG256)</f>
        <v/>
      </c>
      <c r="O256" t="str">
        <f>IF(Worksheet!AJ256="","",Worksheet!AJ256)</f>
        <v/>
      </c>
      <c r="P256" t="str">
        <f>IF(Worksheet!AK256="","",Worksheet!AK256)</f>
        <v/>
      </c>
    </row>
    <row r="257" spans="1:16" x14ac:dyDescent="0.25">
      <c r="A257" t="str">
        <v>Kasper Mees</v>
      </c>
      <c r="B257" t="str">
        <v/>
      </c>
      <c r="C257" t="str">
        <v>474721420</v>
      </c>
      <c r="D257" t="str">
        <v>https://app.twizzit.com/public/photos/2183112/s/07942e4161d7a20864d1fbcf54b9a6dda331637e.png</v>
      </c>
      <c r="E257" s="2">
        <v>732219</v>
      </c>
      <c r="F257" t="str">
        <v>J16 A Haantjes CERTIFISC Oudenaarde</v>
      </c>
      <c r="G257" t="str">
        <v>Speler</v>
      </c>
      <c r="J257" t="str">
        <f>Worksheet!C257&amp;" "&amp;Worksheet!B257</f>
        <v>Tibo Despriet</v>
      </c>
      <c r="K257" t="str">
        <f>IF(Worksheet!P257&lt;&gt;"",Worksheet!P257,IF(Worksheet!R257&lt;&gt;"",Worksheet!R257,IF(Worksheet!T257&lt;&gt;"",Worksheet!T257,"")))</f>
        <v>Tibo.despriet@gmail.com</v>
      </c>
      <c r="L257" t="str">
        <f>IF(AND(Worksheet!V257&lt;&gt;"",Worksheet!V257&lt;&gt;0),Worksheet!V257&amp;"",IF(AND(Worksheet!X257&lt;&gt;"",Worksheet!X257&lt;&gt;0),Worksheet!X257&amp;"",IF(AND(Worksheet!Z257&lt;&gt;"",Worksheet!Z257&lt;&gt;0),Worksheet!Z257&amp;"","")))</f>
        <v/>
      </c>
      <c r="M257" t="str">
        <f>IF(Worksheet!AE257="","",Worksheet!AE257)</f>
        <v>https://app.twizzit.com/public/photos/3884890/s/99828396af5826db82003655528894a4f299045f.jpeg</v>
      </c>
      <c r="N257" t="str">
        <f>IF(Worksheet!AG257="","",Worksheet!AG257)</f>
        <v/>
      </c>
      <c r="O257" t="str">
        <f>IF(Worksheet!AJ257="","",Worksheet!AJ257)</f>
        <v>J16 A Haantjes CERTIFISC Oudenaarde</v>
      </c>
      <c r="P257" t="str">
        <f>IF(Worksheet!AK257="","",Worksheet!AK257)</f>
        <v>Speler</v>
      </c>
    </row>
    <row r="258" spans="1:16" x14ac:dyDescent="0.25">
      <c r="A258" t="str">
        <v>Kasper Mees</v>
      </c>
      <c r="B258" t="str">
        <v/>
      </c>
      <c r="C258" t="str">
        <v>474721420</v>
      </c>
      <c r="D258" t="str">
        <v>https://app.twizzit.com/public/photos/2183112/s/07942e4161d7a20864d1fbcf54b9a6dda331637e.png</v>
      </c>
      <c r="E258" s="2">
        <v>732219</v>
      </c>
      <c r="F258" t="str">
        <v>Zomerstage 2026 (Blankenberge)</v>
      </c>
      <c r="G258" t="str">
        <v>Speler</v>
      </c>
      <c r="J258" t="str">
        <f>Worksheet!C258&amp;" "&amp;Worksheet!B258</f>
        <v>Tibo Despriet</v>
      </c>
      <c r="K258" t="str">
        <f>IF(Worksheet!P258&lt;&gt;"",Worksheet!P258,IF(Worksheet!R258&lt;&gt;"",Worksheet!R258,IF(Worksheet!T258&lt;&gt;"",Worksheet!T258,"")))</f>
        <v>Tibo.despriet@gmail.com</v>
      </c>
      <c r="L258" t="str">
        <f>IF(AND(Worksheet!V258&lt;&gt;"",Worksheet!V258&lt;&gt;0),Worksheet!V258&amp;"",IF(AND(Worksheet!X258&lt;&gt;"",Worksheet!X258&lt;&gt;0),Worksheet!X258&amp;"",IF(AND(Worksheet!Z258&lt;&gt;"",Worksheet!Z258&lt;&gt;0),Worksheet!Z258&amp;"","")))</f>
        <v/>
      </c>
      <c r="M258" t="str">
        <f>IF(Worksheet!AE258="","",Worksheet!AE258)</f>
        <v>https://app.twizzit.com/public/photos/3884890/s/99828396af5826db82003655528894a4f299045f.jpeg</v>
      </c>
      <c r="N258" t="str">
        <f>IF(Worksheet!AG258="","",Worksheet!AG258)</f>
        <v/>
      </c>
      <c r="O258" t="str">
        <f>IF(Worksheet!AJ258="","",Worksheet!AJ258)</f>
        <v>Zomerstage 2026 (Blankenberge)</v>
      </c>
      <c r="P258" t="str">
        <f>IF(Worksheet!AK258="","",Worksheet!AK258)</f>
        <v>Speler</v>
      </c>
    </row>
    <row r="259" spans="1:16" x14ac:dyDescent="0.25">
      <c r="A259" t="str">
        <v>Juul Messeeuw</v>
      </c>
      <c r="B259" t="str">
        <v>lynnvdwiele@hotmail.com</v>
      </c>
      <c r="C259" t="str">
        <v>0486610793</v>
      </c>
      <c r="D259" t="str">
        <v/>
      </c>
      <c r="E259" s="2" t="str">
        <v/>
      </c>
      <c r="F259" t="str">
        <v>G08 Blauw HAANTJES CERTIFISC OUDENAARDE</v>
      </c>
      <c r="G259" t="str">
        <v>Speler</v>
      </c>
      <c r="J259" t="str">
        <f>Worksheet!C259&amp;" "&amp;Worksheet!B259</f>
        <v>Julie Destickere</v>
      </c>
      <c r="K259" t="str">
        <f>IF(Worksheet!P259&lt;&gt;"",Worksheet!P259,IF(Worksheet!R259&lt;&gt;"",Worksheet!R259,IF(Worksheet!T259&lt;&gt;"",Worksheet!T259,"")))</f>
        <v>stefaan@immoboss.be</v>
      </c>
      <c r="L259" t="str">
        <f>IF(AND(Worksheet!V259&lt;&gt;"",Worksheet!V259&lt;&gt;0),Worksheet!V259&amp;"",IF(AND(Worksheet!X259&lt;&gt;"",Worksheet!X259&lt;&gt;0),Worksheet!X259&amp;"",IF(AND(Worksheet!Z259&lt;&gt;"",Worksheet!Z259&lt;&gt;0),Worksheet!Z259&amp;"","")))</f>
        <v/>
      </c>
      <c r="M259" t="str">
        <f>IF(Worksheet!AE259="","",Worksheet!AE259)</f>
        <v/>
      </c>
      <c r="N259">
        <f>IF(Worksheet!AG259="","",Worksheet!AG259)</f>
        <v>728182</v>
      </c>
      <c r="O259" t="str">
        <f>IF(Worksheet!AJ259="","",Worksheet!AJ259)</f>
        <v/>
      </c>
      <c r="P259" t="str">
        <f>IF(Worksheet!AK259="","",Worksheet!AK259)</f>
        <v/>
      </c>
    </row>
    <row r="260" spans="1:16" x14ac:dyDescent="0.25">
      <c r="A260" t="str">
        <v>Julian Moerman</v>
      </c>
      <c r="B260" t="str">
        <v>mirkomoerman@hotmail.com</v>
      </c>
      <c r="C260" t="str">
        <v>0495423490</v>
      </c>
      <c r="D260" t="str">
        <v/>
      </c>
      <c r="E260" s="2" t="str">
        <v/>
      </c>
      <c r="F260" t="str">
        <v>G08 Groen HAANTJES CERTIFISC OUDENAARDE</v>
      </c>
      <c r="G260" t="str">
        <v>Speler</v>
      </c>
      <c r="J260" t="str">
        <f>Worksheet!C260&amp;" "&amp;Worksheet!B260</f>
        <v>Luca Detavernier</v>
      </c>
      <c r="K260" t="str">
        <f>IF(Worksheet!P260&lt;&gt;"",Worksheet!P260,IF(Worksheet!R260&lt;&gt;"",Worksheet!R260,IF(Worksheet!T260&lt;&gt;"",Worksheet!T260,"")))</f>
        <v>Kareldetavernier@hotmail.com</v>
      </c>
      <c r="L260" t="str">
        <f>IF(AND(Worksheet!V260&lt;&gt;"",Worksheet!V260&lt;&gt;0),Worksheet!V260&amp;"",IF(AND(Worksheet!X260&lt;&gt;"",Worksheet!X260&lt;&gt;0),Worksheet!X260&amp;"",IF(AND(Worksheet!Z260&lt;&gt;"",Worksheet!Z260&lt;&gt;0),Worksheet!Z260&amp;"","")))</f>
        <v>0498633133</v>
      </c>
      <c r="M260" t="str">
        <f>IF(Worksheet!AE260="","",Worksheet!AE260)</f>
        <v>https://app.twizzit.com/public/photos/7212696/s/e7c3461b90a1ac60a7f21e048de55152ece732aa.png</v>
      </c>
      <c r="N260" t="str">
        <f>IF(Worksheet!AG260="","",Worksheet!AG260)</f>
        <v/>
      </c>
      <c r="O260" t="str">
        <f>IF(Worksheet!AJ260="","",Worksheet!AJ260)</f>
        <v/>
      </c>
      <c r="P260" t="str">
        <f>IF(Worksheet!AK260="","",Worksheet!AK260)</f>
        <v/>
      </c>
    </row>
    <row r="261" spans="1:16" x14ac:dyDescent="0.25">
      <c r="A261" t="str">
        <v>Lucas Molly</v>
      </c>
      <c r="B261" t="str">
        <v>Molly.diederick@gmail.com</v>
      </c>
      <c r="C261" t="str">
        <v>0494605068</v>
      </c>
      <c r="D261" t="str">
        <v>https://app.twizzit.com/public/photos/3485821/s/5f632eac97edae595ea1c86f4260b88c5b95d8cd.jpeg</v>
      </c>
      <c r="E261" s="2" t="str">
        <v/>
      </c>
      <c r="F261" t="str">
        <v>G10 Blauw HAANTJES CERTIFISC OUDENAARDE</v>
      </c>
      <c r="G261" t="str">
        <v>Speler</v>
      </c>
      <c r="J261" t="str">
        <f>Worksheet!C261&amp;" "&amp;Worksheet!B261</f>
        <v>Alexis Devos</v>
      </c>
      <c r="K261" t="str">
        <f>IF(Worksheet!P261&lt;&gt;"",Worksheet!P261,IF(Worksheet!R261&lt;&gt;"",Worksheet!R261,IF(Worksheet!T261&lt;&gt;"",Worksheet!T261,"")))</f>
        <v/>
      </c>
      <c r="L261" t="str">
        <f>IF(AND(Worksheet!V261&lt;&gt;"",Worksheet!V261&lt;&gt;0),Worksheet!V261&amp;"",IF(AND(Worksheet!X261&lt;&gt;"",Worksheet!X261&lt;&gt;0),Worksheet!X261&amp;"",IF(AND(Worksheet!Z261&lt;&gt;"",Worksheet!Z261&lt;&gt;0),Worksheet!Z261&amp;"","")))</f>
        <v>0495886987</v>
      </c>
      <c r="M261" t="str">
        <f>IF(Worksheet!AE261="","",Worksheet!AE261)</f>
        <v>https://app.twizzit.com/public/photos/6106676/s/2ae43246aa8142b23f5743a7efbb9e280e512170.png</v>
      </c>
      <c r="N261">
        <f>IF(Worksheet!AG261="","",Worksheet!AG261)</f>
        <v>763877</v>
      </c>
      <c r="O261" t="str">
        <f>IF(Worksheet!AJ261="","",Worksheet!AJ261)</f>
        <v>G14 B Haantjes CERTIFISC Oudenaarde</v>
      </c>
      <c r="P261" t="str">
        <f>IF(Worksheet!AK261="","",Worksheet!AK261)</f>
        <v>Speler</v>
      </c>
    </row>
    <row r="262" spans="1:16" x14ac:dyDescent="0.25">
      <c r="A262" t="str">
        <v>Tiaz Molly</v>
      </c>
      <c r="B262" t="str">
        <v>Molly.diederick@gmail.com</v>
      </c>
      <c r="C262" t="str">
        <v>0494605068</v>
      </c>
      <c r="D262" t="str">
        <v/>
      </c>
      <c r="E262" s="2" t="str">
        <v/>
      </c>
      <c r="F262" t="str">
        <v>Balschool U6</v>
      </c>
      <c r="G262" t="str">
        <v>Speler</v>
      </c>
      <c r="J262" t="str">
        <f>Worksheet!C262&amp;" "&amp;Worksheet!B262</f>
        <v>Alexis Devos</v>
      </c>
      <c r="K262" t="str">
        <f>IF(Worksheet!P262&lt;&gt;"",Worksheet!P262,IF(Worksheet!R262&lt;&gt;"",Worksheet!R262,IF(Worksheet!T262&lt;&gt;"",Worksheet!T262,"")))</f>
        <v/>
      </c>
      <c r="L262" t="str">
        <f>IF(AND(Worksheet!V262&lt;&gt;"",Worksheet!V262&lt;&gt;0),Worksheet!V262&amp;"",IF(AND(Worksheet!X262&lt;&gt;"",Worksheet!X262&lt;&gt;0),Worksheet!X262&amp;"",IF(AND(Worksheet!Z262&lt;&gt;"",Worksheet!Z262&lt;&gt;0),Worksheet!Z262&amp;"","")))</f>
        <v>0495886987</v>
      </c>
      <c r="M262" t="str">
        <f>IF(Worksheet!AE262="","",Worksheet!AE262)</f>
        <v>https://app.twizzit.com/public/photos/6106676/s/2ae43246aa8142b23f5743a7efbb9e280e512170.png</v>
      </c>
      <c r="N262">
        <f>IF(Worksheet!AG262="","",Worksheet!AG262)</f>
        <v>763877</v>
      </c>
      <c r="O262" t="str">
        <f>IF(Worksheet!AJ262="","",Worksheet!AJ262)</f>
        <v>Zomerstage 2026 (Blankenberge)</v>
      </c>
      <c r="P262" t="str">
        <f>IF(Worksheet!AK262="","",Worksheet!AK262)</f>
        <v>Speler</v>
      </c>
    </row>
    <row r="263" spans="1:16" x14ac:dyDescent="0.25">
      <c r="A263" t="str">
        <v>Omer Nachtergaele</v>
      </c>
      <c r="B263" t="str">
        <v/>
      </c>
      <c r="C263" t="str">
        <v>486032155</v>
      </c>
      <c r="D263" t="str">
        <v>https://app.twizzit.com/public/photos/3526587/s/d9cd2de281e5d48997de87a634d3e25b996ae478.png</v>
      </c>
      <c r="E263" s="2" t="str">
        <v/>
      </c>
      <c r="F263" t="str">
        <v>G12 Blauw HAANTJES CERTIFISC OUDENAARDE</v>
      </c>
      <c r="G263" t="str">
        <v>Speler</v>
      </c>
      <c r="J263" t="str">
        <f>Worksheet!C263&amp;" "&amp;Worksheet!B263</f>
        <v>Emmanuelle Dewaele</v>
      </c>
      <c r="K263" t="str">
        <f>IF(Worksheet!P263&lt;&gt;"",Worksheet!P263,IF(Worksheet!R263&lt;&gt;"",Worksheet!R263,IF(Worksheet!T263&lt;&gt;"",Worksheet!T263,"")))</f>
        <v/>
      </c>
      <c r="L263" t="str">
        <f>IF(AND(Worksheet!V263&lt;&gt;"",Worksheet!V263&lt;&gt;0),Worksheet!V263&amp;"",IF(AND(Worksheet!X263&lt;&gt;"",Worksheet!X263&lt;&gt;0),Worksheet!X263&amp;"",IF(AND(Worksheet!Z263&lt;&gt;"",Worksheet!Z263&lt;&gt;0),Worksheet!Z263&amp;"","")))</f>
        <v>0498070140</v>
      </c>
      <c r="M263" t="str">
        <f>IF(Worksheet!AE263="","",Worksheet!AE263)</f>
        <v/>
      </c>
      <c r="N263" t="str">
        <f>IF(Worksheet!AG263="","",Worksheet!AG263)</f>
        <v/>
      </c>
      <c r="O263" t="str">
        <f>IF(Worksheet!AJ263="","",Worksheet!AJ263)</f>
        <v>M12 A HAANTJES CERTIFISC OUDENAARDE</v>
      </c>
      <c r="P263" t="str">
        <f>IF(Worksheet!AK263="","",Worksheet!AK263)</f>
        <v>Speler</v>
      </c>
    </row>
    <row r="264" spans="1:16" x14ac:dyDescent="0.25">
      <c r="A264" t="str">
        <v>Rover Naessens</v>
      </c>
      <c r="B264" t="str">
        <v>deesnaessens@hotmail.com</v>
      </c>
      <c r="C264" t="str">
        <v>0495844733</v>
      </c>
      <c r="D264" t="str">
        <v>https://app.twizzit.com/public/photos/7328405/s/a238a3bac0fa83cb173f769b5ce64dd7bdebab6d.jpeg</v>
      </c>
      <c r="E264" s="2" t="str">
        <v/>
      </c>
      <c r="F264" t="str">
        <v>G08 Blauw HAANTJES CERTIFISC OUDENAARDE</v>
      </c>
      <c r="G264" t="str">
        <v>Speler</v>
      </c>
      <c r="J264" t="str">
        <f>Worksheet!C264&amp;" "&amp;Worksheet!B264</f>
        <v>Mathis Dewaele</v>
      </c>
      <c r="K264" t="str">
        <f>IF(Worksheet!P264&lt;&gt;"",Worksheet!P264,IF(Worksheet!R264&lt;&gt;"",Worksheet!R264,IF(Worksheet!T264&lt;&gt;"",Worksheet!T264,"")))</f>
        <v/>
      </c>
      <c r="L264" t="str">
        <f>IF(AND(Worksheet!V264&lt;&gt;"",Worksheet!V264&lt;&gt;0),Worksheet!V264&amp;"",IF(AND(Worksheet!X264&lt;&gt;"",Worksheet!X264&lt;&gt;0),Worksheet!X264&amp;"",IF(AND(Worksheet!Z264&lt;&gt;"",Worksheet!Z264&lt;&gt;0),Worksheet!Z264&amp;"","")))</f>
        <v>4731881534</v>
      </c>
      <c r="M264" t="str">
        <f>IF(Worksheet!AE264="","",Worksheet!AE264)</f>
        <v/>
      </c>
      <c r="N264">
        <f>IF(Worksheet!AG264="","",Worksheet!AG264)</f>
        <v>740066</v>
      </c>
      <c r="O264" t="str">
        <f>IF(Worksheet!AJ264="","",Worksheet!AJ264)</f>
        <v/>
      </c>
      <c r="P264" t="str">
        <f>IF(Worksheet!AK264="","",Worksheet!AK264)</f>
        <v/>
      </c>
    </row>
    <row r="265" spans="1:16" x14ac:dyDescent="0.25">
      <c r="A265" t="str">
        <v>Rover Naessens</v>
      </c>
      <c r="B265" t="str">
        <v>deesnaessens@hotmail.com</v>
      </c>
      <c r="C265" t="str">
        <v>0495844733</v>
      </c>
      <c r="D265" t="str">
        <v>https://app.twizzit.com/public/photos/7328405/s/a238a3bac0fa83cb173f769b5ce64dd7bdebab6d.jpeg</v>
      </c>
      <c r="E265" s="2" t="str">
        <v/>
      </c>
      <c r="F265" t="str">
        <v>Zomerstage 2026 U8 (Oudenaarde)</v>
      </c>
      <c r="G265" t="str">
        <v>Speler</v>
      </c>
      <c r="J265" t="str">
        <f>Worksheet!C265&amp;" "&amp;Worksheet!B265</f>
        <v>Milan Dewaele</v>
      </c>
      <c r="K265" t="str">
        <f>IF(Worksheet!P265&lt;&gt;"",Worksheet!P265,IF(Worksheet!R265&lt;&gt;"",Worksheet!R265,IF(Worksheet!T265&lt;&gt;"",Worksheet!T265,"")))</f>
        <v/>
      </c>
      <c r="L265" t="str">
        <f>IF(AND(Worksheet!V265&lt;&gt;"",Worksheet!V265&lt;&gt;0),Worksheet!V265&amp;"",IF(AND(Worksheet!X265&lt;&gt;"",Worksheet!X265&lt;&gt;0),Worksheet!X265&amp;"",IF(AND(Worksheet!Z265&lt;&gt;"",Worksheet!Z265&lt;&gt;0),Worksheet!Z265&amp;"","")))</f>
        <v>0472984375</v>
      </c>
      <c r="M265" t="str">
        <f>IF(Worksheet!AE265="","",Worksheet!AE265)</f>
        <v/>
      </c>
      <c r="N265" t="str">
        <f>IF(Worksheet!AG265="","",Worksheet!AG265)</f>
        <v/>
      </c>
      <c r="O265" t="str">
        <f>IF(Worksheet!AJ265="","",Worksheet!AJ265)</f>
        <v/>
      </c>
      <c r="P265" t="str">
        <f>IF(Worksheet!AK265="","",Worksheet!AK265)</f>
        <v/>
      </c>
    </row>
    <row r="266" spans="1:16" x14ac:dyDescent="0.25">
      <c r="A266" t="str">
        <v>Jean-Reno Neyrinck</v>
      </c>
      <c r="B266" t="str">
        <v/>
      </c>
      <c r="C266" t="str">
        <v>474078109</v>
      </c>
      <c r="D266" t="str">
        <v>https://app.twizzit.com/public/photos/3543437/s/4b4d34aba7c38171a5f39885d89d2a702bb4c5c8.jpeg</v>
      </c>
      <c r="E266" s="2" t="str">
        <v/>
      </c>
      <c r="F266" t="str">
        <v>J16 B Haantjes CERTIFISC Oudenaarde</v>
      </c>
      <c r="G266" t="str">
        <v>Speler</v>
      </c>
      <c r="J266" t="str">
        <f>Worksheet!C266&amp;" "&amp;Worksheet!B266</f>
        <v>Nathan Dewaele</v>
      </c>
      <c r="K266" t="str">
        <f>IF(Worksheet!P266&lt;&gt;"",Worksheet!P266,IF(Worksheet!R266&lt;&gt;"",Worksheet!R266,IF(Worksheet!T266&lt;&gt;"",Worksheet!T266,"")))</f>
        <v>wesleydewaele@yahoo.co.uk</v>
      </c>
      <c r="L266" t="str">
        <f>IF(AND(Worksheet!V266&lt;&gt;"",Worksheet!V266&lt;&gt;0),Worksheet!V266&amp;"",IF(AND(Worksheet!X266&lt;&gt;"",Worksheet!X266&lt;&gt;0),Worksheet!X266&amp;"",IF(AND(Worksheet!Z266&lt;&gt;"",Worksheet!Z266&lt;&gt;0),Worksheet!Z266&amp;"","")))</f>
        <v>478347087</v>
      </c>
      <c r="M266" t="str">
        <f>IF(Worksheet!AE266="","",Worksheet!AE266)</f>
        <v>https://app.twizzit.com/public/photos/2182816/s/c00a73a61de05b1991d5eac8f8ad498e97a90e40.png</v>
      </c>
      <c r="N266">
        <f>IF(Worksheet!AG266="","",Worksheet!AG266)</f>
        <v>718781</v>
      </c>
      <c r="O266" t="str">
        <f>IF(Worksheet!AJ266="","",Worksheet!AJ266)</f>
        <v>J16 A Haantjes CERTIFISC Oudenaarde</v>
      </c>
      <c r="P266" t="str">
        <f>IF(Worksheet!AK266="","",Worksheet!AK266)</f>
        <v>Speler</v>
      </c>
    </row>
    <row r="267" spans="1:16" x14ac:dyDescent="0.25">
      <c r="A267" t="str">
        <v>George O'Reilly</v>
      </c>
      <c r="B267" t="str">
        <v>danieloreilly22@yahoo.ie</v>
      </c>
      <c r="C267" t="str">
        <v>0494886713</v>
      </c>
      <c r="D267" t="str">
        <v/>
      </c>
      <c r="E267" s="2" t="str">
        <v/>
      </c>
      <c r="F267" t="str">
        <v>G08 Groen HAANTJES CERTIFISC OUDENAARDE</v>
      </c>
      <c r="G267" t="str">
        <v>Speler</v>
      </c>
      <c r="J267" t="str">
        <f>Worksheet!C267&amp;" "&amp;Worksheet!B267</f>
        <v>Nathan Dewaele</v>
      </c>
      <c r="K267" t="str">
        <f>IF(Worksheet!P267&lt;&gt;"",Worksheet!P267,IF(Worksheet!R267&lt;&gt;"",Worksheet!R267,IF(Worksheet!T267&lt;&gt;"",Worksheet!T267,"")))</f>
        <v>wesleydewaele@yahoo.co.uk</v>
      </c>
      <c r="L267" t="str">
        <f>IF(AND(Worksheet!V267&lt;&gt;"",Worksheet!V267&lt;&gt;0),Worksheet!V267&amp;"",IF(AND(Worksheet!X267&lt;&gt;"",Worksheet!X267&lt;&gt;0),Worksheet!X267&amp;"",IF(AND(Worksheet!Z267&lt;&gt;"",Worksheet!Z267&lt;&gt;0),Worksheet!Z267&amp;"","")))</f>
        <v>478347087</v>
      </c>
      <c r="M267" t="str">
        <f>IF(Worksheet!AE267="","",Worksheet!AE267)</f>
        <v>https://app.twizzit.com/public/photos/2182816/s/c00a73a61de05b1991d5eac8f8ad498e97a90e40.png</v>
      </c>
      <c r="N267">
        <f>IF(Worksheet!AG267="","",Worksheet!AG267)</f>
        <v>718781</v>
      </c>
      <c r="O267" t="str">
        <f>IF(Worksheet!AJ267="","",Worksheet!AJ267)</f>
        <v>Zomerstage 2026 (Blankenberge)</v>
      </c>
      <c r="P267" t="str">
        <f>IF(Worksheet!AK267="","",Worksheet!AK267)</f>
        <v>Speler</v>
      </c>
    </row>
    <row r="268" spans="1:16" x14ac:dyDescent="0.25">
      <c r="A268" t="str">
        <v>Emiel Opsomer</v>
      </c>
      <c r="B268" t="str">
        <v>meirlaen.evelien@gmail.com</v>
      </c>
      <c r="C268" t="str">
        <v>0478767261</v>
      </c>
      <c r="D268" t="str">
        <v/>
      </c>
      <c r="E268" s="2">
        <v>757869</v>
      </c>
      <c r="F268" t="str">
        <v>G12 Geel HAANTJES CERTIFISC OUDENAARDE</v>
      </c>
      <c r="G268" t="str">
        <v>Speler</v>
      </c>
      <c r="J268" t="str">
        <f>Worksheet!C268&amp;" "&amp;Worksheet!B268</f>
        <v>Wesley Dewaele</v>
      </c>
      <c r="K268" t="str">
        <f>IF(Worksheet!P268&lt;&gt;"",Worksheet!P268,IF(Worksheet!R268&lt;&gt;"",Worksheet!R268,IF(Worksheet!T268&lt;&gt;"",Worksheet!T268,"")))</f>
        <v/>
      </c>
      <c r="L268" t="str">
        <f>IF(AND(Worksheet!V268&lt;&gt;"",Worksheet!V268&lt;&gt;0),Worksheet!V268&amp;"",IF(AND(Worksheet!X268&lt;&gt;"",Worksheet!X268&lt;&gt;0),Worksheet!X268&amp;"",IF(AND(Worksheet!Z268&lt;&gt;"",Worksheet!Z268&lt;&gt;0),Worksheet!Z268&amp;"","")))</f>
        <v>0470540240</v>
      </c>
      <c r="M268" t="str">
        <f>IF(Worksheet!AE268="","",Worksheet!AE268)</f>
        <v/>
      </c>
      <c r="N268">
        <f>IF(Worksheet!AG268="","",Worksheet!AG268)</f>
        <v>758055</v>
      </c>
      <c r="O268" t="str">
        <f>IF(Worksheet!AJ268="","",Worksheet!AJ268)</f>
        <v/>
      </c>
      <c r="P268" t="str">
        <f>IF(Worksheet!AK268="","",Worksheet!AK268)</f>
        <v/>
      </c>
    </row>
    <row r="269" spans="1:16" x14ac:dyDescent="0.25">
      <c r="A269" t="str">
        <v>Emiel Opsomer</v>
      </c>
      <c r="B269" t="str">
        <v>meirlaen.evelien@gmail.com</v>
      </c>
      <c r="C269" t="str">
        <v>0478767261</v>
      </c>
      <c r="D269" t="str">
        <v/>
      </c>
      <c r="E269" s="2">
        <v>757869</v>
      </c>
      <c r="F269" t="str">
        <v>Zomerstage 2026 U10 &amp; U12 (Oudenaarde)</v>
      </c>
      <c r="G269" t="str">
        <v>Speler</v>
      </c>
      <c r="J269" t="str">
        <f>Worksheet!C269&amp;" "&amp;Worksheet!B269</f>
        <v>Dora Deweerdt</v>
      </c>
      <c r="K269" t="str">
        <f>IF(Worksheet!P269&lt;&gt;"",Worksheet!P269,IF(Worksheet!R269&lt;&gt;"",Worksheet!R269,IF(Worksheet!T269&lt;&gt;"",Worksheet!T269,"")))</f>
        <v/>
      </c>
      <c r="L269" t="str">
        <f>IF(AND(Worksheet!V269&lt;&gt;"",Worksheet!V269&lt;&gt;0),Worksheet!V269&amp;"",IF(AND(Worksheet!X269&lt;&gt;"",Worksheet!X269&lt;&gt;0),Worksheet!X269&amp;"",IF(AND(Worksheet!Z269&lt;&gt;"",Worksheet!Z269&lt;&gt;0),Worksheet!Z269&amp;"","")))</f>
        <v/>
      </c>
      <c r="M269" t="str">
        <f>IF(Worksheet!AE269="","",Worksheet!AE269)</f>
        <v/>
      </c>
      <c r="N269" t="str">
        <f>IF(Worksheet!AG269="","",Worksheet!AG269)</f>
        <v/>
      </c>
      <c r="O269" t="str">
        <f>IF(Worksheet!AJ269="","",Worksheet!AJ269)</f>
        <v/>
      </c>
      <c r="P269" t="str">
        <f>IF(Worksheet!AK269="","",Worksheet!AK269)</f>
        <v/>
      </c>
    </row>
    <row r="270" spans="1:16" x14ac:dyDescent="0.25">
      <c r="A270" t="str">
        <v>Julie Orbie</v>
      </c>
      <c r="B270" t="str">
        <v/>
      </c>
      <c r="C270" t="str">
        <v>472656820</v>
      </c>
      <c r="D270" t="str">
        <v/>
      </c>
      <c r="E270" s="2">
        <v>746004</v>
      </c>
      <c r="F270" t="str">
        <v>Zomerstage 2026 (Blankenberge)</v>
      </c>
      <c r="G270" t="str">
        <v>Speler</v>
      </c>
      <c r="J270" t="str">
        <f>Worksheet!C270&amp;" "&amp;Worksheet!B270</f>
        <v>Jules Dewilde</v>
      </c>
      <c r="K270" t="str">
        <f>IF(Worksheet!P270&lt;&gt;"",Worksheet!P270,IF(Worksheet!R270&lt;&gt;"",Worksheet!R270,IF(Worksheet!T270&lt;&gt;"",Worksheet!T270,"")))</f>
        <v>niekdewilde@hotmail.be</v>
      </c>
      <c r="L270" t="str">
        <f>IF(AND(Worksheet!V270&lt;&gt;"",Worksheet!V270&lt;&gt;0),Worksheet!V270&amp;"",IF(AND(Worksheet!X270&lt;&gt;"",Worksheet!X270&lt;&gt;0),Worksheet!X270&amp;"",IF(AND(Worksheet!Z270&lt;&gt;"",Worksheet!Z270&lt;&gt;0),Worksheet!Z270&amp;"","")))</f>
        <v>0472914166</v>
      </c>
      <c r="M270" t="str">
        <f>IF(Worksheet!AE270="","",Worksheet!AE270)</f>
        <v/>
      </c>
      <c r="N270" t="str">
        <f>IF(Worksheet!AG270="","",Worksheet!AG270)</f>
        <v/>
      </c>
      <c r="O270" t="str">
        <f>IF(Worksheet!AJ270="","",Worksheet!AJ270)</f>
        <v>G14 A Haantjes CERTIFISC Oudenaarde</v>
      </c>
      <c r="P270" t="str">
        <f>IF(Worksheet!AK270="","",Worksheet!AK270)</f>
        <v>Speler</v>
      </c>
    </row>
    <row r="271" spans="1:16" x14ac:dyDescent="0.25">
      <c r="A271" t="str">
        <v>Julie Orbie</v>
      </c>
      <c r="B271" t="str">
        <v/>
      </c>
      <c r="C271" t="str">
        <v>472656820</v>
      </c>
      <c r="D271" t="str">
        <v/>
      </c>
      <c r="E271" s="2">
        <v>746004</v>
      </c>
      <c r="F271" t="str">
        <v>M14 A Haantjes CERTIFISC  Oudenaarde</v>
      </c>
      <c r="G271" t="str">
        <v>Speler</v>
      </c>
      <c r="J271" t="str">
        <f>Worksheet!C271&amp;" "&amp;Worksheet!B271</f>
        <v>Jules Dewilde</v>
      </c>
      <c r="K271" t="str">
        <f>IF(Worksheet!P271&lt;&gt;"",Worksheet!P271,IF(Worksheet!R271&lt;&gt;"",Worksheet!R271,IF(Worksheet!T271&lt;&gt;"",Worksheet!T271,"")))</f>
        <v>niekdewilde@hotmail.be</v>
      </c>
      <c r="L271" t="str">
        <f>IF(AND(Worksheet!V271&lt;&gt;"",Worksheet!V271&lt;&gt;0),Worksheet!V271&amp;"",IF(AND(Worksheet!X271&lt;&gt;"",Worksheet!X271&lt;&gt;0),Worksheet!X271&amp;"",IF(AND(Worksheet!Z271&lt;&gt;"",Worksheet!Z271&lt;&gt;0),Worksheet!Z271&amp;"","")))</f>
        <v>0472914166</v>
      </c>
      <c r="M271" t="str">
        <f>IF(Worksheet!AE271="","",Worksheet!AE271)</f>
        <v/>
      </c>
      <c r="N271" t="str">
        <f>IF(Worksheet!AG271="","",Worksheet!AG271)</f>
        <v/>
      </c>
      <c r="O271" t="str">
        <f>IF(Worksheet!AJ271="","",Worksheet!AJ271)</f>
        <v>Zomerstage 2026 (Blankenberge)</v>
      </c>
      <c r="P271" t="str">
        <f>IF(Worksheet!AK271="","",Worksheet!AK271)</f>
        <v>Speler</v>
      </c>
    </row>
    <row r="272" spans="1:16" x14ac:dyDescent="0.25">
      <c r="A272" t="str">
        <v>Gust Ottevaere</v>
      </c>
      <c r="B272" t="str">
        <v>maaike.teirlinck@telenet.be</v>
      </c>
      <c r="C272" t="str">
        <v>320476260862</v>
      </c>
      <c r="D272" t="str">
        <v/>
      </c>
      <c r="E272" s="2" t="str">
        <v/>
      </c>
      <c r="F272" t="str">
        <v>J16 A Haantjes CERTIFISC Oudenaarde</v>
      </c>
      <c r="G272" t="str">
        <v>Speler</v>
      </c>
      <c r="J272" t="str">
        <f>Worksheet!C272&amp;" "&amp;Worksheet!B272</f>
        <v>Paula Dewolf</v>
      </c>
      <c r="K272" t="str">
        <f>IF(Worksheet!P272&lt;&gt;"",Worksheet!P272,IF(Worksheet!R272&lt;&gt;"",Worksheet!R272,IF(Worksheet!T272&lt;&gt;"",Worksheet!T272,"")))</f>
        <v>kelly.wood@hotmail.be</v>
      </c>
      <c r="L272" t="str">
        <f>IF(AND(Worksheet!V272&lt;&gt;"",Worksheet!V272&lt;&gt;0),Worksheet!V272&amp;"",IF(AND(Worksheet!X272&lt;&gt;"",Worksheet!X272&lt;&gt;0),Worksheet!X272&amp;"",IF(AND(Worksheet!Z272&lt;&gt;"",Worksheet!Z272&lt;&gt;0),Worksheet!Z272&amp;"","")))</f>
        <v>0478720771</v>
      </c>
      <c r="M272" t="str">
        <f>IF(Worksheet!AE272="","",Worksheet!AE272)</f>
        <v/>
      </c>
      <c r="N272" t="str">
        <f>IF(Worksheet!AG272="","",Worksheet!AG272)</f>
        <v/>
      </c>
      <c r="O272" t="str">
        <f>IF(Worksheet!AJ272="","",Worksheet!AJ272)</f>
        <v/>
      </c>
      <c r="P272" t="str">
        <f>IF(Worksheet!AK272="","",Worksheet!AK272)</f>
        <v/>
      </c>
    </row>
    <row r="273" spans="1:16" x14ac:dyDescent="0.25">
      <c r="A273" t="str">
        <v>Gust Ottevaere</v>
      </c>
      <c r="B273" t="str">
        <v>maaike.teirlinck@telenet.be</v>
      </c>
      <c r="C273" t="str">
        <v>320476260862</v>
      </c>
      <c r="D273" t="str">
        <v/>
      </c>
      <c r="E273" s="2" t="str">
        <v/>
      </c>
      <c r="F273" t="str">
        <v>Zomerstage 2026 (Blankenberge)</v>
      </c>
      <c r="G273" t="str">
        <v>Speler</v>
      </c>
      <c r="J273" t="str">
        <f>Worksheet!C273&amp;" "&amp;Worksheet!B273</f>
        <v>Lowie Dewulf</v>
      </c>
      <c r="K273" t="str">
        <f>IF(Worksheet!P273&lt;&gt;"",Worksheet!P273,IF(Worksheet!R273&lt;&gt;"",Worksheet!R273,IF(Worksheet!T273&lt;&gt;"",Worksheet!T273,"")))</f>
        <v/>
      </c>
      <c r="L273" t="str">
        <f>IF(AND(Worksheet!V273&lt;&gt;"",Worksheet!V273&lt;&gt;0),Worksheet!V273&amp;"",IF(AND(Worksheet!X273&lt;&gt;"",Worksheet!X273&lt;&gt;0),Worksheet!X273&amp;"",IF(AND(Worksheet!Z273&lt;&gt;"",Worksheet!Z273&lt;&gt;0),Worksheet!Z273&amp;"","")))</f>
        <v>0474743487</v>
      </c>
      <c r="M273" t="str">
        <f>IF(Worksheet!AE273="","",Worksheet!AE273)</f>
        <v/>
      </c>
      <c r="N273" t="str">
        <f>IF(Worksheet!AG273="","",Worksheet!AG273)</f>
        <v/>
      </c>
      <c r="O273" t="str">
        <f>IF(Worksheet!AJ273="","",Worksheet!AJ273)</f>
        <v/>
      </c>
      <c r="P273" t="str">
        <f>IF(Worksheet!AK273="","",Worksheet!AK273)</f>
        <v/>
      </c>
    </row>
    <row r="274" spans="1:16" x14ac:dyDescent="0.25">
      <c r="A274" t="str">
        <v>Théo Parmentier</v>
      </c>
      <c r="B274" t="str">
        <v>jensparmentier@gmail.com</v>
      </c>
      <c r="C274" t="str">
        <v>0498076133</v>
      </c>
      <c r="D274" t="str">
        <v/>
      </c>
      <c r="E274" s="2" t="str">
        <v/>
      </c>
      <c r="F274" t="str">
        <v>G08 Blauw HAANTJES CERTIFISC OUDENAARDE</v>
      </c>
      <c r="G274" t="str">
        <v>Speler</v>
      </c>
      <c r="J274" t="str">
        <f>Worksheet!C274&amp;" "&amp;Worksheet!B274</f>
        <v>Alies Dhaenens</v>
      </c>
      <c r="K274" t="str">
        <f>IF(Worksheet!P274&lt;&gt;"",Worksheet!P274,IF(Worksheet!R274&lt;&gt;"",Worksheet!R274,IF(Worksheet!T274&lt;&gt;"",Worksheet!T274,"")))</f>
        <v>eline.huysman@gmail.com</v>
      </c>
      <c r="L274" t="str">
        <f>IF(AND(Worksheet!V274&lt;&gt;"",Worksheet!V274&lt;&gt;0),Worksheet!V274&amp;"",IF(AND(Worksheet!X274&lt;&gt;"",Worksheet!X274&lt;&gt;0),Worksheet!X274&amp;"",IF(AND(Worksheet!Z274&lt;&gt;"",Worksheet!Z274&lt;&gt;0),Worksheet!Z274&amp;"","")))</f>
        <v>0474684572</v>
      </c>
      <c r="M274" t="str">
        <f>IF(Worksheet!AE274="","",Worksheet!AE274)</f>
        <v/>
      </c>
      <c r="N274" t="str">
        <f>IF(Worksheet!AG274="","",Worksheet!AG274)</f>
        <v/>
      </c>
      <c r="O274" t="str">
        <f>IF(Worksheet!AJ274="","",Worksheet!AJ274)</f>
        <v/>
      </c>
      <c r="P274" t="str">
        <f>IF(Worksheet!AK274="","",Worksheet!AK274)</f>
        <v/>
      </c>
    </row>
    <row r="275" spans="1:16" x14ac:dyDescent="0.25">
      <c r="A275" t="str">
        <v>Théo Parmentier</v>
      </c>
      <c r="B275" t="str">
        <v>jensparmentier@gmail.com</v>
      </c>
      <c r="C275" t="str">
        <v>0498076133</v>
      </c>
      <c r="D275" t="str">
        <v/>
      </c>
      <c r="E275" s="2" t="str">
        <v/>
      </c>
      <c r="F275" t="str">
        <v>Zomerstage 2026 U8 (Oudenaarde)</v>
      </c>
      <c r="G275" t="str">
        <v>Speler</v>
      </c>
      <c r="J275" t="str">
        <f>Worksheet!C275&amp;" "&amp;Worksheet!B275</f>
        <v>Jarno Dhont</v>
      </c>
      <c r="K275" t="str">
        <f>IF(Worksheet!P275&lt;&gt;"",Worksheet!P275,IF(Worksheet!R275&lt;&gt;"",Worksheet!R275,IF(Worksheet!T275&lt;&gt;"",Worksheet!T275,"")))</f>
        <v>dhont.lieven1@gmail.com</v>
      </c>
      <c r="L275" t="str">
        <f>IF(AND(Worksheet!V275&lt;&gt;"",Worksheet!V275&lt;&gt;0),Worksheet!V275&amp;"",IF(AND(Worksheet!X275&lt;&gt;"",Worksheet!X275&lt;&gt;0),Worksheet!X275&amp;"",IF(AND(Worksheet!Z275&lt;&gt;"",Worksheet!Z275&lt;&gt;0),Worksheet!Z275&amp;"","")))</f>
        <v>320468292174</v>
      </c>
      <c r="M275" t="str">
        <f>IF(Worksheet!AE275="","",Worksheet!AE275)</f>
        <v/>
      </c>
      <c r="N275">
        <f>IF(Worksheet!AG275="","",Worksheet!AG275)</f>
        <v>658022</v>
      </c>
      <c r="O275" t="str">
        <f>IF(Worksheet!AJ275="","",Worksheet!AJ275)</f>
        <v>HSE  C Haantjes Certifisc Oudenaarde</v>
      </c>
      <c r="P275" t="str">
        <f>IF(Worksheet!AK275="","",Worksheet!AK275)</f>
        <v>Speler</v>
      </c>
    </row>
    <row r="276" spans="1:16" x14ac:dyDescent="0.25">
      <c r="A276" t="str">
        <v>Joël Peeters</v>
      </c>
      <c r="B276" t="str">
        <v/>
      </c>
      <c r="C276" t="str">
        <v/>
      </c>
      <c r="D276" t="str">
        <v/>
      </c>
      <c r="E276" s="2" t="str">
        <v/>
      </c>
      <c r="F276" t="str">
        <v>HSE  C Haantjes Certifisc Oudenaarde</v>
      </c>
      <c r="G276" t="str">
        <v>Speler</v>
      </c>
      <c r="J276" t="str">
        <f>Worksheet!C276&amp;" "&amp;Worksheet!B276</f>
        <v>Kenneth Dhont</v>
      </c>
      <c r="K276" t="str">
        <f>IF(Worksheet!P276&lt;&gt;"",Worksheet!P276,IF(Worksheet!R276&lt;&gt;"",Worksheet!R276,IF(Worksheet!T276&lt;&gt;"",Worksheet!T276,"")))</f>
        <v/>
      </c>
      <c r="L276" t="str">
        <f>IF(AND(Worksheet!V276&lt;&gt;"",Worksheet!V276&lt;&gt;0),Worksheet!V276&amp;"",IF(AND(Worksheet!X276&lt;&gt;"",Worksheet!X276&lt;&gt;0),Worksheet!X276&amp;"",IF(AND(Worksheet!Z276&lt;&gt;"",Worksheet!Z276&lt;&gt;0),Worksheet!Z276&amp;"","")))</f>
        <v>0477485789</v>
      </c>
      <c r="M276" t="str">
        <f>IF(Worksheet!AE276="","",Worksheet!AE276)</f>
        <v/>
      </c>
      <c r="N276">
        <f>IF(Worksheet!AG276="","",Worksheet!AG276)</f>
        <v>50455</v>
      </c>
      <c r="O276" t="str">
        <f>IF(Worksheet!AJ276="","",Worksheet!AJ276)</f>
        <v>Zomerstage 2026 (Blankenberge)</v>
      </c>
      <c r="P276" t="str">
        <f>IF(Worksheet!AK276="","",Worksheet!AK276)</f>
        <v>Coach</v>
      </c>
    </row>
    <row r="277" spans="1:16" x14ac:dyDescent="0.25">
      <c r="A277" t="str">
        <v>Brent Pollet</v>
      </c>
      <c r="B277" t="str">
        <v>pollet.jelle@gmail.com</v>
      </c>
      <c r="C277" t="str">
        <v>0497503207</v>
      </c>
      <c r="D277" t="str">
        <v>https://app.twizzit.com/public/photos/3454870/s/e7fdcf5140d5e910d15662f873e9aafb78eb7d4f.jpeg</v>
      </c>
      <c r="E277" s="2">
        <v>756320</v>
      </c>
      <c r="F277" t="str">
        <v>Zomerstage 2026 (Blankenberge)</v>
      </c>
      <c r="G277" t="str">
        <v>Speler</v>
      </c>
      <c r="J277" t="str">
        <f>Worksheet!C277&amp;" "&amp;Worksheet!B277</f>
        <v>Kenneth Dhont</v>
      </c>
      <c r="K277" t="str">
        <f>IF(Worksheet!P277&lt;&gt;"",Worksheet!P277,IF(Worksheet!R277&lt;&gt;"",Worksheet!R277,IF(Worksheet!T277&lt;&gt;"",Worksheet!T277,"")))</f>
        <v/>
      </c>
      <c r="L277" t="str">
        <f>IF(AND(Worksheet!V277&lt;&gt;"",Worksheet!V277&lt;&gt;0),Worksheet!V277&amp;"",IF(AND(Worksheet!X277&lt;&gt;"",Worksheet!X277&lt;&gt;0),Worksheet!X277&amp;"",IF(AND(Worksheet!Z277&lt;&gt;"",Worksheet!Z277&lt;&gt;0),Worksheet!Z277&amp;"","")))</f>
        <v>0477485789</v>
      </c>
      <c r="M277" t="str">
        <f>IF(Worksheet!AE277="","",Worksheet!AE277)</f>
        <v/>
      </c>
      <c r="N277">
        <f>IF(Worksheet!AG277="","",Worksheet!AG277)</f>
        <v>50455</v>
      </c>
      <c r="O277" t="str">
        <f>IF(Worksheet!AJ277="","",Worksheet!AJ277)</f>
        <v>Zomerstage 2026 U8 (Oudenaarde)</v>
      </c>
      <c r="P277" t="str">
        <f>IF(Worksheet!AK277="","",Worksheet!AK277)</f>
        <v>Coach</v>
      </c>
    </row>
    <row r="278" spans="1:16" x14ac:dyDescent="0.25">
      <c r="A278" t="str">
        <v>Brent Pollet</v>
      </c>
      <c r="B278" t="str">
        <v>pollet.jelle@gmail.com</v>
      </c>
      <c r="C278" t="str">
        <v>0497503207</v>
      </c>
      <c r="D278" t="str">
        <v>https://app.twizzit.com/public/photos/3454870/s/e7fdcf5140d5e910d15662f873e9aafb78eb7d4f.jpeg</v>
      </c>
      <c r="E278" s="2">
        <v>756320</v>
      </c>
      <c r="F278" t="str">
        <v>Zomerstage 2026 U10 &amp; U12 (Oudenaarde)</v>
      </c>
      <c r="G278" t="str">
        <v>Speler</v>
      </c>
      <c r="J278" t="str">
        <f>Worksheet!C278&amp;" "&amp;Worksheet!B278</f>
        <v>Kenneth Dhont</v>
      </c>
      <c r="K278" t="str">
        <f>IF(Worksheet!P278&lt;&gt;"",Worksheet!P278,IF(Worksheet!R278&lt;&gt;"",Worksheet!R278,IF(Worksheet!T278&lt;&gt;"",Worksheet!T278,"")))</f>
        <v/>
      </c>
      <c r="L278" t="str">
        <f>IF(AND(Worksheet!V278&lt;&gt;"",Worksheet!V278&lt;&gt;0),Worksheet!V278&amp;"",IF(AND(Worksheet!X278&lt;&gt;"",Worksheet!X278&lt;&gt;0),Worksheet!X278&amp;"",IF(AND(Worksheet!Z278&lt;&gt;"",Worksheet!Z278&lt;&gt;0),Worksheet!Z278&amp;"","")))</f>
        <v>0477485789</v>
      </c>
      <c r="M278" t="str">
        <f>IF(Worksheet!AE278="","",Worksheet!AE278)</f>
        <v/>
      </c>
      <c r="N278">
        <f>IF(Worksheet!AG278="","",Worksheet!AG278)</f>
        <v>50455</v>
      </c>
      <c r="O278" t="str">
        <f>IF(Worksheet!AJ278="","",Worksheet!AJ278)</f>
        <v>Zomerstage 2026 U10 &amp; U12 (Oudenaarde)</v>
      </c>
      <c r="P278" t="str">
        <f>IF(Worksheet!AK278="","",Worksheet!AK278)</f>
        <v>Coach</v>
      </c>
    </row>
    <row r="279" spans="1:16" x14ac:dyDescent="0.25">
      <c r="A279" t="str">
        <v>Brent Pollet</v>
      </c>
      <c r="B279" t="str">
        <v>pollet.jelle@gmail.com</v>
      </c>
      <c r="C279" t="str">
        <v>0497503207</v>
      </c>
      <c r="D279" t="str">
        <v>https://app.twizzit.com/public/photos/3454870/s/e7fdcf5140d5e910d15662f873e9aafb78eb7d4f.jpeg</v>
      </c>
      <c r="E279" s="2">
        <v>756320</v>
      </c>
      <c r="F279" t="str">
        <v>G12 Geel HAANTJES CERTIFISC OUDENAARDE</v>
      </c>
      <c r="G279" t="str">
        <v>Speler</v>
      </c>
      <c r="J279" t="str">
        <f>Worksheet!C279&amp;" "&amp;Worksheet!B279</f>
        <v>Kenneth Dhont</v>
      </c>
      <c r="K279" t="str">
        <f>IF(Worksheet!P279&lt;&gt;"",Worksheet!P279,IF(Worksheet!R279&lt;&gt;"",Worksheet!R279,IF(Worksheet!T279&lt;&gt;"",Worksheet!T279,"")))</f>
        <v/>
      </c>
      <c r="L279" t="str">
        <f>IF(AND(Worksheet!V279&lt;&gt;"",Worksheet!V279&lt;&gt;0),Worksheet!V279&amp;"",IF(AND(Worksheet!X279&lt;&gt;"",Worksheet!X279&lt;&gt;0),Worksheet!X279&amp;"",IF(AND(Worksheet!Z279&lt;&gt;"",Worksheet!Z279&lt;&gt;0),Worksheet!Z279&amp;"","")))</f>
        <v>0477485789</v>
      </c>
      <c r="M279" t="str">
        <f>IF(Worksheet!AE279="","",Worksheet!AE279)</f>
        <v/>
      </c>
      <c r="N279">
        <f>IF(Worksheet!AG279="","",Worksheet!AG279)</f>
        <v>50455</v>
      </c>
      <c r="O279" t="str">
        <f>IF(Worksheet!AJ279="","",Worksheet!AJ279)</f>
        <v>M19 A Haantjes CERTIFISC Oudenaarde</v>
      </c>
      <c r="P279" t="str">
        <f>IF(Worksheet!AK279="","",Worksheet!AK279)</f>
        <v>Coach</v>
      </c>
    </row>
    <row r="280" spans="1:16" x14ac:dyDescent="0.25">
      <c r="A280" t="str">
        <v>Mats Renard</v>
      </c>
      <c r="B280" t="str">
        <v/>
      </c>
      <c r="C280" t="str">
        <v>0476752923</v>
      </c>
      <c r="D280" t="str">
        <v>https://app.twizzit.com/public/photos/2183172/s/365feecf0a3ae5a9392582a322a55ff1fee56899.png</v>
      </c>
      <c r="E280" s="2">
        <v>714465</v>
      </c>
      <c r="F280" t="str">
        <v>Zomerstage 2026 (Blankenberge)</v>
      </c>
      <c r="G280" t="str">
        <v>Speler</v>
      </c>
      <c r="J280" t="str">
        <f>Worksheet!C280&amp;" "&amp;Worksheet!B280</f>
        <v>Kenneth Dhont</v>
      </c>
      <c r="K280" t="str">
        <f>IF(Worksheet!P280&lt;&gt;"",Worksheet!P280,IF(Worksheet!R280&lt;&gt;"",Worksheet!R280,IF(Worksheet!T280&lt;&gt;"",Worksheet!T280,"")))</f>
        <v/>
      </c>
      <c r="L280" t="str">
        <f>IF(AND(Worksheet!V280&lt;&gt;"",Worksheet!V280&lt;&gt;0),Worksheet!V280&amp;"",IF(AND(Worksheet!X280&lt;&gt;"",Worksheet!X280&lt;&gt;0),Worksheet!X280&amp;"",IF(AND(Worksheet!Z280&lt;&gt;"",Worksheet!Z280&lt;&gt;0),Worksheet!Z280&amp;"","")))</f>
        <v>0477485789</v>
      </c>
      <c r="M280" t="str">
        <f>IF(Worksheet!AE280="","",Worksheet!AE280)</f>
        <v/>
      </c>
      <c r="N280">
        <f>IF(Worksheet!AG280="","",Worksheet!AG280)</f>
        <v>50455</v>
      </c>
      <c r="O280" t="str">
        <f>IF(Worksheet!AJ280="","",Worksheet!AJ280)</f>
        <v>G12 Blauw HAANTJES CERTIFISC OUDENAARDE</v>
      </c>
      <c r="P280" t="str">
        <f>IF(Worksheet!AK280="","",Worksheet!AK280)</f>
        <v>Coach</v>
      </c>
    </row>
    <row r="281" spans="1:16" x14ac:dyDescent="0.25">
      <c r="A281" t="str">
        <v>Emlin Rommens</v>
      </c>
      <c r="B281" t="str">
        <v>pieterrommens@hotmail.be</v>
      </c>
      <c r="C281" t="str">
        <v>32470513652</v>
      </c>
      <c r="D281" t="str">
        <v>https://app.twizzit.com/public/photos/2650641/s/248b205ecc69fd455c13ac7cc9deb76d11e361a0.png</v>
      </c>
      <c r="E281" s="2">
        <v>742358</v>
      </c>
      <c r="F281" t="str">
        <v>Zomerstage 2026 (Blankenberge)</v>
      </c>
      <c r="G281" t="str">
        <v>Speler</v>
      </c>
      <c r="J281" t="str">
        <f>Worksheet!C281&amp;" "&amp;Worksheet!B281</f>
        <v>Lieven Dhont</v>
      </c>
      <c r="K281" t="str">
        <f>IF(Worksheet!P281&lt;&gt;"",Worksheet!P281,IF(Worksheet!R281&lt;&gt;"",Worksheet!R281,IF(Worksheet!T281&lt;&gt;"",Worksheet!T281,"")))</f>
        <v/>
      </c>
      <c r="L281" t="str">
        <f>IF(AND(Worksheet!V281&lt;&gt;"",Worksheet!V281&lt;&gt;0),Worksheet!V281&amp;"",IF(AND(Worksheet!X281&lt;&gt;"",Worksheet!X281&lt;&gt;0),Worksheet!X281&amp;"",IF(AND(Worksheet!Z281&lt;&gt;"",Worksheet!Z281&lt;&gt;0),Worksheet!Z281&amp;"","")))</f>
        <v/>
      </c>
      <c r="M281" t="str">
        <f>IF(Worksheet!AE281="","",Worksheet!AE281)</f>
        <v/>
      </c>
      <c r="N281">
        <f>IF(Worksheet!AG281="","",Worksheet!AG281)</f>
        <v>702229</v>
      </c>
      <c r="O281" t="str">
        <f>IF(Worksheet!AJ281="","",Worksheet!AJ281)</f>
        <v/>
      </c>
      <c r="P281" t="str">
        <f>IF(Worksheet!AK281="","",Worksheet!AK281)</f>
        <v/>
      </c>
    </row>
    <row r="282" spans="1:16" x14ac:dyDescent="0.25">
      <c r="A282" t="str">
        <v>Emlin Rommens</v>
      </c>
      <c r="B282" t="str">
        <v>pieterrommens@hotmail.be</v>
      </c>
      <c r="C282" t="str">
        <v>32470513652</v>
      </c>
      <c r="D282" t="str">
        <v>https://app.twizzit.com/public/photos/2650641/s/248b205ecc69fd455c13ac7cc9deb76d11e361a0.png</v>
      </c>
      <c r="E282" s="2">
        <v>742358</v>
      </c>
      <c r="F282" t="str">
        <v>M14 A Haantjes CERTIFISC  Oudenaarde</v>
      </c>
      <c r="G282" t="str">
        <v>Speler</v>
      </c>
      <c r="J282" t="str">
        <f>Worksheet!C282&amp;" "&amp;Worksheet!B282</f>
        <v>Mathis Dhont</v>
      </c>
      <c r="K282" t="str">
        <f>IF(Worksheet!P282&lt;&gt;"",Worksheet!P282,IF(Worksheet!R282&lt;&gt;"",Worksheet!R282,IF(Worksheet!T282&lt;&gt;"",Worksheet!T282,"")))</f>
        <v/>
      </c>
      <c r="L282" t="str">
        <f>IF(AND(Worksheet!V282&lt;&gt;"",Worksheet!V282&lt;&gt;0),Worksheet!V282&amp;"",IF(AND(Worksheet!X282&lt;&gt;"",Worksheet!X282&lt;&gt;0),Worksheet!X282&amp;"",IF(AND(Worksheet!Z282&lt;&gt;"",Worksheet!Z282&lt;&gt;0),Worksheet!Z282&amp;"","")))</f>
        <v/>
      </c>
      <c r="M282" t="str">
        <f>IF(Worksheet!AE282="","",Worksheet!AE282)</f>
        <v/>
      </c>
      <c r="N282">
        <f>IF(Worksheet!AG282="","",Worksheet!AG282)</f>
        <v>660481</v>
      </c>
      <c r="O282" t="str">
        <f>IF(Worksheet!AJ282="","",Worksheet!AJ282)</f>
        <v>HSE  C Haantjes Certifisc Oudenaarde</v>
      </c>
      <c r="P282" t="str">
        <f>IF(Worksheet!AK282="","",Worksheet!AK282)</f>
        <v>Speler</v>
      </c>
    </row>
    <row r="283" spans="1:16" x14ac:dyDescent="0.25">
      <c r="A283" t="str">
        <v>Thibaut Sadaune</v>
      </c>
      <c r="B283" t="str">
        <v>bartsadaune@hotmail.com</v>
      </c>
      <c r="C283" t="str">
        <v>32494904656</v>
      </c>
      <c r="D283" t="str">
        <v>https://app.twizzit.com/public/photos/8418475/s/c44854e7fe4ecdd14617bb0fe2e99a30f0cedc15.jpeg</v>
      </c>
      <c r="E283" s="2" t="str">
        <v/>
      </c>
      <c r="F283" t="str">
        <v>G08 Blauw HAANTJES CERTIFISC OUDENAARDE</v>
      </c>
      <c r="G283" t="str">
        <v>Speler</v>
      </c>
      <c r="J283" t="str">
        <f>Worksheet!C283&amp;" "&amp;Worksheet!B283</f>
        <v>Guillaume Dhont Gallant</v>
      </c>
      <c r="K283" t="str">
        <f>IF(Worksheet!P283&lt;&gt;"",Worksheet!P283,IF(Worksheet!R283&lt;&gt;"",Worksheet!R283,IF(Worksheet!T283&lt;&gt;"",Worksheet!T283,"")))</f>
        <v/>
      </c>
      <c r="L283" t="str">
        <f>IF(AND(Worksheet!V283&lt;&gt;"",Worksheet!V283&lt;&gt;0),Worksheet!V283&amp;"",IF(AND(Worksheet!X283&lt;&gt;"",Worksheet!X283&lt;&gt;0),Worksheet!X283&amp;"",IF(AND(Worksheet!Z283&lt;&gt;"",Worksheet!Z283&lt;&gt;0),Worksheet!Z283&amp;"","")))</f>
        <v>477485 789</v>
      </c>
      <c r="M283" t="str">
        <f>IF(Worksheet!AE283="","",Worksheet!AE283)</f>
        <v/>
      </c>
      <c r="N283">
        <f>IF(Worksheet!AG283="","",Worksheet!AG283)</f>
        <v>742181</v>
      </c>
      <c r="O283" t="str">
        <f>IF(Worksheet!AJ283="","",Worksheet!AJ283)</f>
        <v/>
      </c>
      <c r="P283" t="str">
        <f>IF(Worksheet!AK283="","",Worksheet!AK283)</f>
        <v/>
      </c>
    </row>
    <row r="284" spans="1:16" x14ac:dyDescent="0.25">
      <c r="A284" t="str">
        <v>Jack Saerens</v>
      </c>
      <c r="B284" t="str">
        <v/>
      </c>
      <c r="C284" t="str">
        <v>0472659326</v>
      </c>
      <c r="D284" t="str">
        <v>https://app.twizzit.com/public/photos/3475134/s/78bd944a9e8b36fe65d592312d1522f18bbf3e32.png</v>
      </c>
      <c r="E284" s="2" t="str">
        <v/>
      </c>
      <c r="F284" t="str">
        <v>G10 Geel HAANTJES CERTIFISC OUDENAARDE</v>
      </c>
      <c r="G284" t="str">
        <v>Speler</v>
      </c>
      <c r="J284" t="str">
        <f>Worksheet!C284&amp;" "&amp;Worksheet!B284</f>
        <v>Stefan Diciu</v>
      </c>
      <c r="K284" t="str">
        <f>IF(Worksheet!P284&lt;&gt;"",Worksheet!P284,IF(Worksheet!R284&lt;&gt;"",Worksheet!R284,IF(Worksheet!T284&lt;&gt;"",Worksheet!T284,"")))</f>
        <v/>
      </c>
      <c r="L284" t="str">
        <f>IF(AND(Worksheet!V284&lt;&gt;"",Worksheet!V284&lt;&gt;0),Worksheet!V284&amp;"",IF(AND(Worksheet!X284&lt;&gt;"",Worksheet!X284&lt;&gt;0),Worksheet!X284&amp;"",IF(AND(Worksheet!Z284&lt;&gt;"",Worksheet!Z284&lt;&gt;0),Worksheet!Z284&amp;"","")))</f>
        <v/>
      </c>
      <c r="M284" t="str">
        <f>IF(Worksheet!AE284="","",Worksheet!AE284)</f>
        <v>https://app.twizzit.com/public/photos/2650816/s/599e8735dd592b996d4eda81212c870f2e83f50b.png</v>
      </c>
      <c r="N284">
        <f>IF(Worksheet!AG284="","",Worksheet!AG284)</f>
        <v>739985</v>
      </c>
      <c r="O284" t="str">
        <f>IF(Worksheet!AJ284="","",Worksheet!AJ284)</f>
        <v/>
      </c>
      <c r="P284" t="str">
        <f>IF(Worksheet!AK284="","",Worksheet!AK284)</f>
        <v/>
      </c>
    </row>
    <row r="285" spans="1:16" x14ac:dyDescent="0.25">
      <c r="A285" t="str">
        <v>Elisabeth Saveyn</v>
      </c>
      <c r="B285" t="str">
        <v>moonvanneste@hotmail.com</v>
      </c>
      <c r="C285" t="str">
        <v>0496392369</v>
      </c>
      <c r="D285" t="str">
        <v/>
      </c>
      <c r="E285" s="2" t="str">
        <v/>
      </c>
      <c r="F285" t="str">
        <v>M16 A Haantjes CERTIFISC  Oudenaarde</v>
      </c>
      <c r="G285" t="str">
        <v>Speler</v>
      </c>
      <c r="J285" t="str">
        <f>Worksheet!C285&amp;" "&amp;Worksheet!B285</f>
        <v>Marco Dick</v>
      </c>
      <c r="K285" t="str">
        <f>IF(Worksheet!P285&lt;&gt;"",Worksheet!P285,IF(Worksheet!R285&lt;&gt;"",Worksheet!R285,IF(Worksheet!T285&lt;&gt;"",Worksheet!T285,"")))</f>
        <v/>
      </c>
      <c r="L285" t="str">
        <f>IF(AND(Worksheet!V285&lt;&gt;"",Worksheet!V285&lt;&gt;0),Worksheet!V285&amp;"",IF(AND(Worksheet!X285&lt;&gt;"",Worksheet!X285&lt;&gt;0),Worksheet!X285&amp;"",IF(AND(Worksheet!Z285&lt;&gt;"",Worksheet!Z285&lt;&gt;0),Worksheet!Z285&amp;"","")))</f>
        <v>320499754251</v>
      </c>
      <c r="M285" t="str">
        <f>IF(Worksheet!AE285="","",Worksheet!AE285)</f>
        <v/>
      </c>
      <c r="N285">
        <f>IF(Worksheet!AG285="","",Worksheet!AG285)</f>
        <v>633923</v>
      </c>
      <c r="O285" t="str">
        <f>IF(Worksheet!AJ285="","",Worksheet!AJ285)</f>
        <v>HSE A Haantjes Certifisc Oudenaarde</v>
      </c>
      <c r="P285" t="str">
        <f>IF(Worksheet!AK285="","",Worksheet!AK285)</f>
        <v>Speler</v>
      </c>
    </row>
    <row r="286" spans="1:16" x14ac:dyDescent="0.25">
      <c r="A286" t="str">
        <v>Elisabeth Saveyn</v>
      </c>
      <c r="B286" t="str">
        <v>moonvanneste@hotmail.com</v>
      </c>
      <c r="C286" t="str">
        <v>0496392369</v>
      </c>
      <c r="D286" t="str">
        <v/>
      </c>
      <c r="E286" s="2" t="str">
        <v/>
      </c>
      <c r="F286" t="str">
        <v>Zomerstage 2026 (Blankenberge)</v>
      </c>
      <c r="G286" t="str">
        <v>Speler</v>
      </c>
      <c r="J286" t="str">
        <f>Worksheet!C286&amp;" "&amp;Worksheet!B286</f>
        <v>Molly Diederick</v>
      </c>
      <c r="K286" t="str">
        <f>IF(Worksheet!P286&lt;&gt;"",Worksheet!P286,IF(Worksheet!R286&lt;&gt;"",Worksheet!R286,IF(Worksheet!T286&lt;&gt;"",Worksheet!T286,"")))</f>
        <v/>
      </c>
      <c r="L286" t="str">
        <f>IF(AND(Worksheet!V286&lt;&gt;"",Worksheet!V286&lt;&gt;0),Worksheet!V286&amp;"",IF(AND(Worksheet!X286&lt;&gt;"",Worksheet!X286&lt;&gt;0),Worksheet!X286&amp;"",IF(AND(Worksheet!Z286&lt;&gt;"",Worksheet!Z286&lt;&gt;0),Worksheet!Z286&amp;"","")))</f>
        <v>32478510919</v>
      </c>
      <c r="M286" t="str">
        <f>IF(Worksheet!AE286="","",Worksheet!AE286)</f>
        <v/>
      </c>
      <c r="N286" t="str">
        <f>IF(Worksheet!AG286="","",Worksheet!AG286)</f>
        <v/>
      </c>
      <c r="O286" t="str">
        <f>IF(Worksheet!AJ286="","",Worksheet!AJ286)</f>
        <v/>
      </c>
      <c r="P286" t="str">
        <f>IF(Worksheet!AK286="","",Worksheet!AK286)</f>
        <v/>
      </c>
    </row>
    <row r="287" spans="1:16" x14ac:dyDescent="0.25">
      <c r="A287" t="str">
        <v>Nona Schmitt</v>
      </c>
      <c r="B287" t="str">
        <v>marie.boullart@hotmail.com</v>
      </c>
      <c r="C287" t="str">
        <v>0473761554</v>
      </c>
      <c r="D287" t="str">
        <v/>
      </c>
      <c r="E287" s="2" t="str">
        <v/>
      </c>
      <c r="F287" t="str">
        <v>M16 A Haantjes CERTIFISC  Oudenaarde</v>
      </c>
      <c r="G287" t="str">
        <v>Speler</v>
      </c>
      <c r="J287" t="str">
        <f>Worksheet!C287&amp;" "&amp;Worksheet!B287</f>
        <v>Pieter Diependaele</v>
      </c>
      <c r="K287" t="str">
        <f>IF(Worksheet!P287&lt;&gt;"",Worksheet!P287,IF(Worksheet!R287&lt;&gt;"",Worksheet!R287,IF(Worksheet!T287&lt;&gt;"",Worksheet!T287,"")))</f>
        <v>coachpieter.basket@gmail.com</v>
      </c>
      <c r="L287" t="str">
        <f>IF(AND(Worksheet!V287&lt;&gt;"",Worksheet!V287&lt;&gt;0),Worksheet!V287&amp;"",IF(AND(Worksheet!X287&lt;&gt;"",Worksheet!X287&lt;&gt;0),Worksheet!X287&amp;"",IF(AND(Worksheet!Z287&lt;&gt;"",Worksheet!Z287&lt;&gt;0),Worksheet!Z287&amp;"","")))</f>
        <v>32479044986</v>
      </c>
      <c r="M287" t="str">
        <f>IF(Worksheet!AE287="","",Worksheet!AE287)</f>
        <v>https://app.twizzit.com/public/photos/3239965/s/944ad53074c1441abd98efedc98fef813d2f093f.png</v>
      </c>
      <c r="N287">
        <f>IF(Worksheet!AG287="","",Worksheet!AG287)</f>
        <v>658023</v>
      </c>
      <c r="O287" t="str">
        <f>IF(Worksheet!AJ287="","",Worksheet!AJ287)</f>
        <v>J21 A HAANTJES CERTIFISC OUDENAARDE</v>
      </c>
      <c r="P287" t="str">
        <f>IF(Worksheet!AK287="","",Worksheet!AK287)</f>
        <v>Speler</v>
      </c>
    </row>
    <row r="288" spans="1:16" x14ac:dyDescent="0.25">
      <c r="A288" t="str">
        <v>Nona Schmitt</v>
      </c>
      <c r="B288" t="str">
        <v>marie.boullart@hotmail.com</v>
      </c>
      <c r="C288" t="str">
        <v>0473761554</v>
      </c>
      <c r="D288" t="str">
        <v/>
      </c>
      <c r="E288" s="2" t="str">
        <v/>
      </c>
      <c r="F288" t="str">
        <v>Zomerstage 2026 (Blankenberge)</v>
      </c>
      <c r="G288" t="str">
        <v>Speler</v>
      </c>
      <c r="J288" t="str">
        <f>Worksheet!C288&amp;" "&amp;Worksheet!B288</f>
        <v>Kessy Dione</v>
      </c>
      <c r="K288" t="str">
        <f>IF(Worksheet!P288&lt;&gt;"",Worksheet!P288,IF(Worksheet!R288&lt;&gt;"",Worksheet!R288,IF(Worksheet!T288&lt;&gt;"",Worksheet!T288,"")))</f>
        <v/>
      </c>
      <c r="L288" t="str">
        <f>IF(AND(Worksheet!V288&lt;&gt;"",Worksheet!V288&lt;&gt;0),Worksheet!V288&amp;"",IF(AND(Worksheet!X288&lt;&gt;"",Worksheet!X288&lt;&gt;0),Worksheet!X288&amp;"",IF(AND(Worksheet!Z288&lt;&gt;"",Worksheet!Z288&lt;&gt;0),Worksheet!Z288&amp;"","")))</f>
        <v>491630065</v>
      </c>
      <c r="M288" t="str">
        <f>IF(Worksheet!AE288="","",Worksheet!AE288)</f>
        <v/>
      </c>
      <c r="N288" t="str">
        <f>IF(Worksheet!AG288="","",Worksheet!AG288)</f>
        <v/>
      </c>
      <c r="O288" t="str">
        <f>IF(Worksheet!AJ288="","",Worksheet!AJ288)</f>
        <v/>
      </c>
      <c r="P288" t="str">
        <f>IF(Worksheet!AK288="","",Worksheet!AK288)</f>
        <v/>
      </c>
    </row>
    <row r="289" spans="1:16" x14ac:dyDescent="0.25">
      <c r="A289" t="str">
        <v>Ziano Schoenmaekers</v>
      </c>
      <c r="B289" t="str">
        <v>pedro.schoenmaekers@hotmail.com</v>
      </c>
      <c r="C289" t="str">
        <v>0476935877</v>
      </c>
      <c r="D289" t="str">
        <v>https://app.twizzit.com/public/photos/2650796/s/806ce17769fd3d29fc435d865a5b302b6c25c6ca.png</v>
      </c>
      <c r="E289" s="2">
        <v>743241</v>
      </c>
      <c r="F289" t="str">
        <v>J18 B Haantjes CERTIFISC Oudenaarde</v>
      </c>
      <c r="G289" t="str">
        <v>Speler</v>
      </c>
      <c r="J289" t="str">
        <f>Worksheet!C289&amp;" "&amp;Worksheet!B289</f>
        <v>Laurens Donev</v>
      </c>
      <c r="K289" t="str">
        <f>IF(Worksheet!P289&lt;&gt;"",Worksheet!P289,IF(Worksheet!R289&lt;&gt;"",Worksheet!R289,IF(Worksheet!T289&lt;&gt;"",Worksheet!T289,"")))</f>
        <v/>
      </c>
      <c r="L289" t="str">
        <f>IF(AND(Worksheet!V289&lt;&gt;"",Worksheet!V289&lt;&gt;0),Worksheet!V289&amp;"",IF(AND(Worksheet!X289&lt;&gt;"",Worksheet!X289&lt;&gt;0),Worksheet!X289&amp;"",IF(AND(Worksheet!Z289&lt;&gt;"",Worksheet!Z289&lt;&gt;0),Worksheet!Z289&amp;"","")))</f>
        <v>320497937319</v>
      </c>
      <c r="M289" t="str">
        <f>IF(Worksheet!AE289="","",Worksheet!AE289)</f>
        <v/>
      </c>
      <c r="N289">
        <f>IF(Worksheet!AG289="","",Worksheet!AG289)</f>
        <v>660243</v>
      </c>
      <c r="O289" t="str">
        <f>IF(Worksheet!AJ289="","",Worksheet!AJ289)</f>
        <v/>
      </c>
      <c r="P289" t="str">
        <f>IF(Worksheet!AK289="","",Worksheet!AK289)</f>
        <v/>
      </c>
    </row>
    <row r="290" spans="1:16" x14ac:dyDescent="0.25">
      <c r="A290" t="str">
        <v>Ziano Schoenmaekers</v>
      </c>
      <c r="B290" t="str">
        <v>pedro.schoenmaekers@hotmail.com</v>
      </c>
      <c r="C290" t="str">
        <v>0476935877</v>
      </c>
      <c r="D290" t="str">
        <v>https://app.twizzit.com/public/photos/2650796/s/806ce17769fd3d29fc435d865a5b302b6c25c6ca.png</v>
      </c>
      <c r="E290" s="2">
        <v>743241</v>
      </c>
      <c r="F290" t="str">
        <v>Zomerstage 2026 (Blankenberge)</v>
      </c>
      <c r="G290" t="str">
        <v>Speler</v>
      </c>
      <c r="J290" t="str">
        <f>Worksheet!C290&amp;" "&amp;Worksheet!B290</f>
        <v>Stella Doom</v>
      </c>
      <c r="K290" t="str">
        <f>IF(Worksheet!P290&lt;&gt;"",Worksheet!P290,IF(Worksheet!R290&lt;&gt;"",Worksheet!R290,IF(Worksheet!T290&lt;&gt;"",Worksheet!T290,"")))</f>
        <v/>
      </c>
      <c r="L290" t="str">
        <f>IF(AND(Worksheet!V290&lt;&gt;"",Worksheet!V290&lt;&gt;0),Worksheet!V290&amp;"",IF(AND(Worksheet!X290&lt;&gt;"",Worksheet!X290&lt;&gt;0),Worksheet!X290&amp;"",IF(AND(Worksheet!Z290&lt;&gt;"",Worksheet!Z290&lt;&gt;0),Worksheet!Z290&amp;"","")))</f>
        <v>0474339019</v>
      </c>
      <c r="M290" t="str">
        <f>IF(Worksheet!AE290="","",Worksheet!AE290)</f>
        <v>https://app.twizzit.com/public/photos/2934216/s/45c04c91f177e5e2573823a0565e40b71992ab87.png</v>
      </c>
      <c r="N290">
        <f>IF(Worksheet!AG290="","",Worksheet!AG290)</f>
        <v>732388</v>
      </c>
      <c r="O290" t="str">
        <f>IF(Worksheet!AJ290="","",Worksheet!AJ290)</f>
        <v/>
      </c>
      <c r="P290" t="str">
        <f>IF(Worksheet!AK290="","",Worksheet!AK290)</f>
        <v/>
      </c>
    </row>
    <row r="291" spans="1:16" x14ac:dyDescent="0.25">
      <c r="A291" t="str">
        <v>Alba Slembrouck</v>
      </c>
      <c r="B291" t="str">
        <v>alexandra-kemp@hotmail.com</v>
      </c>
      <c r="C291" t="str">
        <v>00472902002</v>
      </c>
      <c r="D291" t="str">
        <v/>
      </c>
      <c r="E291" s="2" t="str">
        <v/>
      </c>
      <c r="F291" t="str">
        <v>Balschool U6</v>
      </c>
      <c r="G291" t="str">
        <v>Speler</v>
      </c>
      <c r="J291" t="str">
        <f>Worksheet!C291&amp;" "&amp;Worksheet!B291</f>
        <v>Cérile Doublet</v>
      </c>
      <c r="K291" t="str">
        <f>IF(Worksheet!P291&lt;&gt;"",Worksheet!P291,IF(Worksheet!R291&lt;&gt;"",Worksheet!R291,IF(Worksheet!T291&lt;&gt;"",Worksheet!T291,"")))</f>
        <v>doubletbenoit@msn.com</v>
      </c>
      <c r="L291" t="str">
        <f>IF(AND(Worksheet!V291&lt;&gt;"",Worksheet!V291&lt;&gt;0),Worksheet!V291&amp;"",IF(AND(Worksheet!X291&lt;&gt;"",Worksheet!X291&lt;&gt;0),Worksheet!X291&amp;"",IF(AND(Worksheet!Z291&lt;&gt;"",Worksheet!Z291&lt;&gt;0),Worksheet!Z291&amp;"","")))</f>
        <v>0472578222</v>
      </c>
      <c r="M291" t="str">
        <f>IF(Worksheet!AE291="","",Worksheet!AE291)</f>
        <v/>
      </c>
      <c r="N291" t="str">
        <f>IF(Worksheet!AG291="","",Worksheet!AG291)</f>
        <v/>
      </c>
      <c r="O291" t="str">
        <f>IF(Worksheet!AJ291="","",Worksheet!AJ291)</f>
        <v>Balschool U6</v>
      </c>
      <c r="P291" t="str">
        <f>IF(Worksheet!AK291="","",Worksheet!AK291)</f>
        <v>Speler</v>
      </c>
    </row>
    <row r="292" spans="1:16" x14ac:dyDescent="0.25">
      <c r="A292" t="str">
        <v>Romée Slembrouck</v>
      </c>
      <c r="B292" t="str">
        <v>alexandra-kemp@hotmail.com</v>
      </c>
      <c r="C292" t="str">
        <v>0472902002</v>
      </c>
      <c r="D292" t="str">
        <v>https://app.twizzit.com/public/photos/7328316/s/d832d97a4d222f65f11eb5051494f0f7bb0f899d.png</v>
      </c>
      <c r="E292" s="2" t="str">
        <v/>
      </c>
      <c r="F292" t="str">
        <v>G08 Groen HAANTJES CERTIFISC OUDENAARDE</v>
      </c>
      <c r="G292" t="str">
        <v>Speler</v>
      </c>
      <c r="J292" t="str">
        <f>Worksheet!C292&amp;" "&amp;Worksheet!B292</f>
        <v>Romain Doublet</v>
      </c>
      <c r="K292" t="str">
        <f>IF(Worksheet!P292&lt;&gt;"",Worksheet!P292,IF(Worksheet!R292&lt;&gt;"",Worksheet!R292,IF(Worksheet!T292&lt;&gt;"",Worksheet!T292,"")))</f>
        <v>doubletbenoit@msn.com</v>
      </c>
      <c r="L292" t="str">
        <f>IF(AND(Worksheet!V292&lt;&gt;"",Worksheet!V292&lt;&gt;0),Worksheet!V292&amp;"",IF(AND(Worksheet!X292&lt;&gt;"",Worksheet!X292&lt;&gt;0),Worksheet!X292&amp;"",IF(AND(Worksheet!Z292&lt;&gt;"",Worksheet!Z292&lt;&gt;0),Worksheet!Z292&amp;"","")))</f>
        <v>00472578222</v>
      </c>
      <c r="M292" t="str">
        <f>IF(Worksheet!AE292="","",Worksheet!AE292)</f>
        <v>https://app.twizzit.com/public/photos/7664262/s/02fc4b8f066baecdefdf5af95e2fcf6d6b1f0215.jpeg</v>
      </c>
      <c r="N292" t="str">
        <f>IF(Worksheet!AG292="","",Worksheet!AG292)</f>
        <v/>
      </c>
      <c r="O292" t="str">
        <f>IF(Worksheet!AJ292="","",Worksheet!AJ292)</f>
        <v/>
      </c>
      <c r="P292" t="str">
        <f>IF(Worksheet!AK292="","",Worksheet!AK292)</f>
        <v/>
      </c>
    </row>
    <row r="293" spans="1:16" x14ac:dyDescent="0.25">
      <c r="A293" t="str">
        <v>Robin Spaens</v>
      </c>
      <c r="B293" t="str">
        <v/>
      </c>
      <c r="C293" t="str">
        <v>0476359988</v>
      </c>
      <c r="D293" t="str">
        <v/>
      </c>
      <c r="E293" s="2">
        <v>234515</v>
      </c>
      <c r="F293" t="str">
        <v>HSE A Haantjes Certifisc Oudenaarde</v>
      </c>
      <c r="G293" t="str">
        <v>Speler</v>
      </c>
      <c r="J293" t="str">
        <f>Worksheet!C293&amp;" "&amp;Worksheet!B293</f>
        <v>Dieter Dujardin</v>
      </c>
      <c r="K293" t="str">
        <f>IF(Worksheet!P293&lt;&gt;"",Worksheet!P293,IF(Worksheet!R293&lt;&gt;"",Worksheet!R293,IF(Worksheet!T293&lt;&gt;"",Worksheet!T293,"")))</f>
        <v/>
      </c>
      <c r="L293" t="str">
        <f>IF(AND(Worksheet!V293&lt;&gt;"",Worksheet!V293&lt;&gt;0),Worksheet!V293&amp;"",IF(AND(Worksheet!X293&lt;&gt;"",Worksheet!X293&lt;&gt;0),Worksheet!X293&amp;"",IF(AND(Worksheet!Z293&lt;&gt;"",Worksheet!Z293&lt;&gt;0),Worksheet!Z293&amp;"","")))</f>
        <v/>
      </c>
      <c r="M293" t="str">
        <f>IF(Worksheet!AE293="","",Worksheet!AE293)</f>
        <v/>
      </c>
      <c r="N293" t="str">
        <f>IF(Worksheet!AG293="","",Worksheet!AG293)</f>
        <v/>
      </c>
      <c r="O293" t="str">
        <f>IF(Worksheet!AJ293="","",Worksheet!AJ293)</f>
        <v/>
      </c>
      <c r="P293" t="str">
        <f>IF(Worksheet!AK293="","",Worksheet!AK293)</f>
        <v/>
      </c>
    </row>
    <row r="294" spans="1:16" x14ac:dyDescent="0.25">
      <c r="A294" t="str">
        <v>Merel Spiessens</v>
      </c>
      <c r="B294" t="str">
        <v>Me@opcd.net</v>
      </c>
      <c r="C294" t="str">
        <v>0474655154</v>
      </c>
      <c r="D294" t="str">
        <v>https://app.twizzit.com/public/photos/2183207/s/cd9fd40cf38cd1eb62df0198f102c2154c08c604.jpeg</v>
      </c>
      <c r="E294" s="2">
        <v>721093</v>
      </c>
      <c r="F294" t="str">
        <v>Zomerstage 2026 (Blankenberge)</v>
      </c>
      <c r="G294" t="str">
        <v>Speler</v>
      </c>
      <c r="J294" t="str">
        <f>Worksheet!C294&amp;" "&amp;Worksheet!B294</f>
        <v>Emmanuel Dull</v>
      </c>
      <c r="K294" t="str">
        <f>IF(Worksheet!P294&lt;&gt;"",Worksheet!P294,IF(Worksheet!R294&lt;&gt;"",Worksheet!R294,IF(Worksheet!T294&lt;&gt;"",Worksheet!T294,"")))</f>
        <v/>
      </c>
      <c r="L294" t="str">
        <f>IF(AND(Worksheet!V294&lt;&gt;"",Worksheet!V294&lt;&gt;0),Worksheet!V294&amp;"",IF(AND(Worksheet!X294&lt;&gt;"",Worksheet!X294&lt;&gt;0),Worksheet!X294&amp;"",IF(AND(Worksheet!Z294&lt;&gt;"",Worksheet!Z294&lt;&gt;0),Worksheet!Z294&amp;"","")))</f>
        <v>0472172783</v>
      </c>
      <c r="M294" t="str">
        <f>IF(Worksheet!AE294="","",Worksheet!AE294)</f>
        <v/>
      </c>
      <c r="N294" t="str">
        <f>IF(Worksheet!AG294="","",Worksheet!AG294)</f>
        <v/>
      </c>
      <c r="O294" t="str">
        <f>IF(Worksheet!AJ294="","",Worksheet!AJ294)</f>
        <v>J16 B Haantjes CERTIFISC Oudenaarde</v>
      </c>
      <c r="P294" t="str">
        <f>IF(Worksheet!AK294="","",Worksheet!AK294)</f>
        <v>Speler</v>
      </c>
    </row>
    <row r="295" spans="1:16" x14ac:dyDescent="0.25">
      <c r="A295" t="str">
        <v>Merel Spiessens</v>
      </c>
      <c r="B295" t="str">
        <v>Me@opcd.net</v>
      </c>
      <c r="C295" t="str">
        <v>0474655154</v>
      </c>
      <c r="D295" t="str">
        <v>https://app.twizzit.com/public/photos/2183207/s/cd9fd40cf38cd1eb62df0198f102c2154c08c604.jpeg</v>
      </c>
      <c r="E295" s="2">
        <v>721093</v>
      </c>
      <c r="F295" t="str">
        <v>M14 A Haantjes CERTIFISC  Oudenaarde</v>
      </c>
      <c r="G295" t="str">
        <v>Speler</v>
      </c>
      <c r="J295" t="str">
        <f>Worksheet!C295&amp;" "&amp;Worksheet!B295</f>
        <v>Craig Dupont</v>
      </c>
      <c r="K295" t="str">
        <f>IF(Worksheet!P295&lt;&gt;"",Worksheet!P295,IF(Worksheet!R295&lt;&gt;"",Worksheet!R295,IF(Worksheet!T295&lt;&gt;"",Worksheet!T295,"")))</f>
        <v/>
      </c>
      <c r="L295" t="str">
        <f>IF(AND(Worksheet!V295&lt;&gt;"",Worksheet!V295&lt;&gt;0),Worksheet!V295&amp;"",IF(AND(Worksheet!X295&lt;&gt;"",Worksheet!X295&lt;&gt;0),Worksheet!X295&amp;"",IF(AND(Worksheet!Z295&lt;&gt;"",Worksheet!Z295&lt;&gt;0),Worksheet!Z295&amp;"","")))</f>
        <v/>
      </c>
      <c r="M295" t="str">
        <f>IF(Worksheet!AE295="","",Worksheet!AE295)</f>
        <v/>
      </c>
      <c r="N295">
        <f>IF(Worksheet!AG295="","",Worksheet!AG295)</f>
        <v>644666</v>
      </c>
      <c r="O295" t="str">
        <f>IF(Worksheet!AJ295="","",Worksheet!AJ295)</f>
        <v/>
      </c>
      <c r="P295" t="str">
        <f>IF(Worksheet!AK295="","",Worksheet!AK295)</f>
        <v/>
      </c>
    </row>
    <row r="296" spans="1:16" x14ac:dyDescent="0.25">
      <c r="A296" t="str">
        <v>Magalie Stevens</v>
      </c>
      <c r="B296" t="str">
        <v>safadorote3@gmail.com</v>
      </c>
      <c r="C296" t="str">
        <v>0477968913</v>
      </c>
      <c r="D296" t="str">
        <v/>
      </c>
      <c r="E296" s="2" t="str">
        <v/>
      </c>
      <c r="F296" t="str">
        <v>M10 HAANTJES CERTIFISC OUDENAARDE</v>
      </c>
      <c r="G296" t="str">
        <v>Speler</v>
      </c>
      <c r="J296" t="str">
        <f>Worksheet!C296&amp;" "&amp;Worksheet!B296</f>
        <v>Gust Dupont</v>
      </c>
      <c r="K296" t="str">
        <f>IF(Worksheet!P296&lt;&gt;"",Worksheet!P296,IF(Worksheet!R296&lt;&gt;"",Worksheet!R296,IF(Worksheet!T296&lt;&gt;"",Worksheet!T296,"")))</f>
        <v>sarah.verhellen@hotmail.com</v>
      </c>
      <c r="L296" t="str">
        <f>IF(AND(Worksheet!V296&lt;&gt;"",Worksheet!V296&lt;&gt;0),Worksheet!V296&amp;"",IF(AND(Worksheet!X296&lt;&gt;"",Worksheet!X296&lt;&gt;0),Worksheet!X296&amp;"",IF(AND(Worksheet!Z296&lt;&gt;"",Worksheet!Z296&lt;&gt;0),Worksheet!Z296&amp;"","")))</f>
        <v>0470112368</v>
      </c>
      <c r="M296" t="str">
        <f>IF(Worksheet!AE296="","",Worksheet!AE296)</f>
        <v/>
      </c>
      <c r="N296" t="str">
        <f>IF(Worksheet!AG296="","",Worksheet!AG296)</f>
        <v/>
      </c>
      <c r="O296" t="str">
        <f>IF(Worksheet!AJ296="","",Worksheet!AJ296)</f>
        <v>G08 Geel HAANTJES CERTIFISC OUDENAARDE</v>
      </c>
      <c r="P296" t="str">
        <f>IF(Worksheet!AK296="","",Worksheet!AK296)</f>
        <v>Speler</v>
      </c>
    </row>
    <row r="297" spans="1:16" x14ac:dyDescent="0.25">
      <c r="A297" t="str">
        <v>Magalie Stevens</v>
      </c>
      <c r="B297" t="str">
        <v>safadorote3@gmail.com</v>
      </c>
      <c r="C297" t="str">
        <v>0477968913</v>
      </c>
      <c r="D297" t="str">
        <v/>
      </c>
      <c r="E297" s="2" t="str">
        <v/>
      </c>
      <c r="F297" t="str">
        <v>Zomerstage 2026 U10 &amp; U12 (Oudenaarde)</v>
      </c>
      <c r="G297" t="str">
        <v>Speler</v>
      </c>
      <c r="J297" t="str">
        <f>Worksheet!C297&amp;" "&amp;Worksheet!B297</f>
        <v>Tanguy Duran</v>
      </c>
      <c r="K297" t="str">
        <f>IF(Worksheet!P297&lt;&gt;"",Worksheet!P297,IF(Worksheet!R297&lt;&gt;"",Worksheet!R297,IF(Worksheet!T297&lt;&gt;"",Worksheet!T297,"")))</f>
        <v/>
      </c>
      <c r="L297" t="str">
        <f>IF(AND(Worksheet!V297&lt;&gt;"",Worksheet!V297&lt;&gt;0),Worksheet!V297&amp;"",IF(AND(Worksheet!X297&lt;&gt;"",Worksheet!X297&lt;&gt;0),Worksheet!X297&amp;"",IF(AND(Worksheet!Z297&lt;&gt;"",Worksheet!Z297&lt;&gt;0),Worksheet!Z297&amp;"","")))</f>
        <v>0477784746</v>
      </c>
      <c r="M297" t="str">
        <f>IF(Worksheet!AE297="","",Worksheet!AE297)</f>
        <v/>
      </c>
      <c r="N297">
        <f>IF(Worksheet!AG297="","",Worksheet!AG297)</f>
        <v>708296</v>
      </c>
      <c r="O297" t="str">
        <f>IF(Worksheet!AJ297="","",Worksheet!AJ297)</f>
        <v/>
      </c>
      <c r="P297" t="str">
        <f>IF(Worksheet!AK297="","",Worksheet!AK297)</f>
        <v/>
      </c>
    </row>
    <row r="298" spans="1:16" x14ac:dyDescent="0.25">
      <c r="A298" t="str">
        <v>Maiga Stevens</v>
      </c>
      <c r="B298" t="str">
        <v>safadorote3@gmail.com</v>
      </c>
      <c r="C298" t="str">
        <v>0477968913</v>
      </c>
      <c r="D298" t="str">
        <v/>
      </c>
      <c r="E298" s="2" t="str">
        <v/>
      </c>
      <c r="F298" t="str">
        <v>M10 HAANTJES CERTIFISC OUDENAARDE</v>
      </c>
      <c r="G298" t="str">
        <v>Speler</v>
      </c>
      <c r="J298" t="str">
        <f>Worksheet!C298&amp;" "&amp;Worksheet!B298</f>
        <v>Egemen Durhan</v>
      </c>
      <c r="K298" t="str">
        <f>IF(Worksheet!P298&lt;&gt;"",Worksheet!P298,IF(Worksheet!R298&lt;&gt;"",Worksheet!R298,IF(Worksheet!T298&lt;&gt;"",Worksheet!T298,"")))</f>
        <v>ibosabrie06@gmail.com</v>
      </c>
      <c r="L298" t="str">
        <f>IF(AND(Worksheet!V298&lt;&gt;"",Worksheet!V298&lt;&gt;0),Worksheet!V298&amp;"",IF(AND(Worksheet!X298&lt;&gt;"",Worksheet!X298&lt;&gt;0),Worksheet!X298&amp;"",IF(AND(Worksheet!Z298&lt;&gt;"",Worksheet!Z298&lt;&gt;0),Worksheet!Z298&amp;"","")))</f>
        <v>0491630885</v>
      </c>
      <c r="M298" t="str">
        <f>IF(Worksheet!AE298="","",Worksheet!AE298)</f>
        <v>https://app.twizzit.com/public/photos/5748750/s/6a03612f72e189fb2a542ac535552aede78aad3f.png</v>
      </c>
      <c r="N298" t="str">
        <f>IF(Worksheet!AG298="","",Worksheet!AG298)</f>
        <v/>
      </c>
      <c r="O298" t="str">
        <f>IF(Worksheet!AJ298="","",Worksheet!AJ298)</f>
        <v>G10 Blauw HAANTJES CERTIFISC OUDENAARDE</v>
      </c>
      <c r="P298" t="str">
        <f>IF(Worksheet!AK298="","",Worksheet!AK298)</f>
        <v>Speler</v>
      </c>
    </row>
    <row r="299" spans="1:16" x14ac:dyDescent="0.25">
      <c r="A299" t="str">
        <v>Maiga Stevens</v>
      </c>
      <c r="B299" t="str">
        <v>safadorote3@gmail.com</v>
      </c>
      <c r="C299" t="str">
        <v>0477968913</v>
      </c>
      <c r="D299" t="str">
        <v/>
      </c>
      <c r="E299" s="2" t="str">
        <v/>
      </c>
      <c r="F299" t="str">
        <v>Zomerstage 2026 U10 &amp; U12 (Oudenaarde)</v>
      </c>
      <c r="G299" t="str">
        <v>Speler</v>
      </c>
      <c r="J299" t="str">
        <f>Worksheet!C299&amp;" "&amp;Worksheet!B299</f>
        <v>Stijn Duyck</v>
      </c>
      <c r="K299" t="str">
        <f>IF(Worksheet!P299&lt;&gt;"",Worksheet!P299,IF(Worksheet!R299&lt;&gt;"",Worksheet!R299,IF(Worksheet!T299&lt;&gt;"",Worksheet!T299,"")))</f>
        <v/>
      </c>
      <c r="L299" t="str">
        <f>IF(AND(Worksheet!V299&lt;&gt;"",Worksheet!V299&lt;&gt;0),Worksheet!V299&amp;"",IF(AND(Worksheet!X299&lt;&gt;"",Worksheet!X299&lt;&gt;0),Worksheet!X299&amp;"",IF(AND(Worksheet!Z299&lt;&gt;"",Worksheet!Z299&lt;&gt;0),Worksheet!Z299&amp;"","")))</f>
        <v>479762435</v>
      </c>
      <c r="M299" t="str">
        <f>IF(Worksheet!AE299="","",Worksheet!AE299)</f>
        <v/>
      </c>
      <c r="N299" t="str">
        <f>IF(Worksheet!AG299="","",Worksheet!AG299)</f>
        <v/>
      </c>
      <c r="O299" t="str">
        <f>IF(Worksheet!AJ299="","",Worksheet!AJ299)</f>
        <v/>
      </c>
      <c r="P299" t="str">
        <f>IF(Worksheet!AK299="","",Worksheet!AK299)</f>
        <v/>
      </c>
    </row>
    <row r="300" spans="1:16" x14ac:dyDescent="0.25">
      <c r="A300" t="str">
        <v>Jules Ternoot</v>
      </c>
      <c r="B300" t="str">
        <v/>
      </c>
      <c r="C300" t="str">
        <v>320472603499</v>
      </c>
      <c r="D300" t="str">
        <v>https://app.twizzit.com/public/photos/9499964/s/ff5f984b647838e4bd7563b356e5c206230b1763.jpeg</v>
      </c>
      <c r="E300" s="2">
        <v>743553</v>
      </c>
      <c r="F300" t="str">
        <v>G14 A Haantjes CERTIFISC Oudenaarde</v>
      </c>
      <c r="G300" t="str">
        <v>Speler</v>
      </c>
      <c r="J300" t="str">
        <f>Worksheet!C300&amp;" "&amp;Worksheet!B300</f>
        <v>Rayan El Hajli</v>
      </c>
      <c r="K300" t="str">
        <f>IF(Worksheet!P300&lt;&gt;"",Worksheet!P300,IF(Worksheet!R300&lt;&gt;"",Worksheet!R300,IF(Worksheet!T300&lt;&gt;"",Worksheet!T300,"")))</f>
        <v/>
      </c>
      <c r="L300" t="str">
        <f>IF(AND(Worksheet!V300&lt;&gt;"",Worksheet!V300&lt;&gt;0),Worksheet!V300&amp;"",IF(AND(Worksheet!X300&lt;&gt;"",Worksheet!X300&lt;&gt;0),Worksheet!X300&amp;"",IF(AND(Worksheet!Z300&lt;&gt;"",Worksheet!Z300&lt;&gt;0),Worksheet!Z300&amp;"","")))</f>
        <v/>
      </c>
      <c r="M300" t="str">
        <f>IF(Worksheet!AE300="","",Worksheet!AE300)</f>
        <v/>
      </c>
      <c r="N300" t="str">
        <f>IF(Worksheet!AG300="","",Worksheet!AG300)</f>
        <v/>
      </c>
      <c r="O300" t="str">
        <f>IF(Worksheet!AJ300="","",Worksheet!AJ300)</f>
        <v/>
      </c>
      <c r="P300" t="str">
        <f>IF(Worksheet!AK300="","",Worksheet!AK300)</f>
        <v/>
      </c>
    </row>
    <row r="301" spans="1:16" x14ac:dyDescent="0.25">
      <c r="A301" t="str">
        <v>Jules Ternoot</v>
      </c>
      <c r="B301" t="str">
        <v/>
      </c>
      <c r="C301" t="str">
        <v>320472603499</v>
      </c>
      <c r="D301" t="str">
        <v>https://app.twizzit.com/public/photos/9499964/s/ff5f984b647838e4bd7563b356e5c206230b1763.jpeg</v>
      </c>
      <c r="E301" s="2">
        <v>743553</v>
      </c>
      <c r="F301" t="str">
        <v>Zomerstage 2026 (Blankenberge)</v>
      </c>
      <c r="G301" t="str">
        <v>Speler</v>
      </c>
      <c r="J301" t="str">
        <f>Worksheet!C301&amp;" "&amp;Worksheet!B301</f>
        <v>Yassin El Malt</v>
      </c>
      <c r="K301" t="str">
        <f>IF(Worksheet!P301&lt;&gt;"",Worksheet!P301,IF(Worksheet!R301&lt;&gt;"",Worksheet!R301,IF(Worksheet!T301&lt;&gt;"",Worksheet!T301,"")))</f>
        <v>m.elmalt@europital.com</v>
      </c>
      <c r="L301" t="str">
        <f>IF(AND(Worksheet!V301&lt;&gt;"",Worksheet!V301&lt;&gt;0),Worksheet!V301&amp;"",IF(AND(Worksheet!X301&lt;&gt;"",Worksheet!X301&lt;&gt;0),Worksheet!X301&amp;"",IF(AND(Worksheet!Z301&lt;&gt;"",Worksheet!Z301&lt;&gt;0),Worksheet!Z301&amp;"","")))</f>
        <v>32477256935</v>
      </c>
      <c r="M301" t="str">
        <f>IF(Worksheet!AE301="","",Worksheet!AE301)</f>
        <v/>
      </c>
      <c r="N301">
        <f>IF(Worksheet!AG301="","",Worksheet!AG301)</f>
        <v>752538</v>
      </c>
      <c r="O301" t="str">
        <f>IF(Worksheet!AJ301="","",Worksheet!AJ301)</f>
        <v/>
      </c>
      <c r="P301" t="str">
        <f>IF(Worksheet!AK301="","",Worksheet!AK301)</f>
        <v/>
      </c>
    </row>
    <row r="302" spans="1:16" x14ac:dyDescent="0.25">
      <c r="A302" t="str">
        <v>Maro Thas</v>
      </c>
      <c r="B302" t="str">
        <v/>
      </c>
      <c r="C302" t="str">
        <v>0472433051</v>
      </c>
      <c r="D302" t="str">
        <v>https://app.twizzit.com/public/photos/3451572/s/f7bd7e0dc5dd014e64108bf9fe43059bbb6a9a41.png</v>
      </c>
      <c r="E302" s="2" t="str">
        <v/>
      </c>
      <c r="F302" t="str">
        <v>J16 B Haantjes CERTIFISC Oudenaarde</v>
      </c>
      <c r="G302" t="str">
        <v>Speler</v>
      </c>
      <c r="J302" t="str">
        <f>Worksheet!C302&amp;" "&amp;Worksheet!B302</f>
        <v>Rawi El-Batouli</v>
      </c>
      <c r="K302" t="str">
        <f>IF(Worksheet!P302&lt;&gt;"",Worksheet!P302,IF(Worksheet!R302&lt;&gt;"",Worksheet!R302,IF(Worksheet!T302&lt;&gt;"",Worksheet!T302,"")))</f>
        <v/>
      </c>
      <c r="L302" t="str">
        <f>IF(AND(Worksheet!V302&lt;&gt;"",Worksheet!V302&lt;&gt;0),Worksheet!V302&amp;"",IF(AND(Worksheet!X302&lt;&gt;"",Worksheet!X302&lt;&gt;0),Worksheet!X302&amp;"",IF(AND(Worksheet!Z302&lt;&gt;"",Worksheet!Z302&lt;&gt;0),Worksheet!Z302&amp;"","")))</f>
        <v>472041772</v>
      </c>
      <c r="M302" t="str">
        <f>IF(Worksheet!AE302="","",Worksheet!AE302)</f>
        <v/>
      </c>
      <c r="N302">
        <f>IF(Worksheet!AG302="","",Worksheet!AG302)</f>
        <v>725719</v>
      </c>
      <c r="O302" t="str">
        <f>IF(Worksheet!AJ302="","",Worksheet!AJ302)</f>
        <v/>
      </c>
      <c r="P302" t="str">
        <f>IF(Worksheet!AK302="","",Worksheet!AK302)</f>
        <v/>
      </c>
    </row>
    <row r="303" spans="1:16" x14ac:dyDescent="0.25">
      <c r="A303" t="str">
        <v>Juul Torrekens</v>
      </c>
      <c r="B303" t="str">
        <v/>
      </c>
      <c r="C303" t="str">
        <v>0491736700</v>
      </c>
      <c r="D303" t="str">
        <v>https://app.twizzit.com/public/photos/10452742/s/6c5cf54cdc2121df9ea81aa430b2b5f8abe2c81a.jpeg</v>
      </c>
      <c r="E303" s="2" t="str">
        <v/>
      </c>
      <c r="F303" t="str">
        <v>G08 Groen HAANTJES CERTIFISC OUDENAARDE</v>
      </c>
      <c r="G303" t="str">
        <v>Speler</v>
      </c>
      <c r="J303" t="str">
        <f>Worksheet!C303&amp;" "&amp;Worksheet!B303</f>
        <v>Cas Elyn</v>
      </c>
      <c r="K303" t="str">
        <f>IF(Worksheet!P303&lt;&gt;"",Worksheet!P303,IF(Worksheet!R303&lt;&gt;"",Worksheet!R303,IF(Worksheet!T303&lt;&gt;"",Worksheet!T303,"")))</f>
        <v>lievemoyaert@icloud.com</v>
      </c>
      <c r="L303" t="str">
        <f>IF(AND(Worksheet!V303&lt;&gt;"",Worksheet!V303&lt;&gt;0),Worksheet!V303&amp;"",IF(AND(Worksheet!X303&lt;&gt;"",Worksheet!X303&lt;&gt;0),Worksheet!X303&amp;"",IF(AND(Worksheet!Z303&lt;&gt;"",Worksheet!Z303&lt;&gt;0),Worksheet!Z303&amp;"","")))</f>
        <v>0495653737</v>
      </c>
      <c r="M303" t="str">
        <f>IF(Worksheet!AE303="","",Worksheet!AE303)</f>
        <v/>
      </c>
      <c r="N303" t="str">
        <f>IF(Worksheet!AG303="","",Worksheet!AG303)</f>
        <v/>
      </c>
      <c r="O303" t="str">
        <f>IF(Worksheet!AJ303="","",Worksheet!AJ303)</f>
        <v>Balschool U6</v>
      </c>
      <c r="P303" t="str">
        <f>IF(Worksheet!AK303="","",Worksheet!AK303)</f>
        <v>Speler</v>
      </c>
    </row>
    <row r="304" spans="1:16" x14ac:dyDescent="0.25">
      <c r="A304" t="str">
        <v>Mattis Van Assche</v>
      </c>
      <c r="B304" t="str">
        <v/>
      </c>
      <c r="C304" t="str">
        <v>0497912121</v>
      </c>
      <c r="D304" t="str">
        <v>https://app.twizzit.com/public/photos/2183242/s/024b94ee0589d7797c4da7bd2e98266bcdb2677a.png</v>
      </c>
      <c r="E304" s="2">
        <v>729846</v>
      </c>
      <c r="F304" t="str">
        <v>G14 A Haantjes CERTIFISC Oudenaarde</v>
      </c>
      <c r="G304" t="str">
        <v>Speler</v>
      </c>
      <c r="J304" t="str">
        <f>Worksheet!C304&amp;" "&amp;Worksheet!B304</f>
        <v>Charlotte Elyn</v>
      </c>
      <c r="K304" t="str">
        <f>IF(Worksheet!P304&lt;&gt;"",Worksheet!P304,IF(Worksheet!R304&lt;&gt;"",Worksheet!R304,IF(Worksheet!T304&lt;&gt;"",Worksheet!T304,"")))</f>
        <v/>
      </c>
      <c r="L304" t="str">
        <f>IF(AND(Worksheet!V304&lt;&gt;"",Worksheet!V304&lt;&gt;0),Worksheet!V304&amp;"",IF(AND(Worksheet!X304&lt;&gt;"",Worksheet!X304&lt;&gt;0),Worksheet!X304&amp;"",IF(AND(Worksheet!Z304&lt;&gt;"",Worksheet!Z304&lt;&gt;0),Worksheet!Z304&amp;"","")))</f>
        <v>320495653737</v>
      </c>
      <c r="M304" t="str">
        <f>IF(Worksheet!AE304="","",Worksheet!AE304)</f>
        <v/>
      </c>
      <c r="N304">
        <f>IF(Worksheet!AG304="","",Worksheet!AG304)</f>
        <v>267006</v>
      </c>
      <c r="O304" t="str">
        <f>IF(Worksheet!AJ304="","",Worksheet!AJ304)</f>
        <v/>
      </c>
      <c r="P304" t="str">
        <f>IF(Worksheet!AK304="","",Worksheet!AK304)</f>
        <v/>
      </c>
    </row>
    <row r="305" spans="1:16" x14ac:dyDescent="0.25">
      <c r="A305" t="str">
        <v>Mattis Van Assche</v>
      </c>
      <c r="B305" t="str">
        <v/>
      </c>
      <c r="C305" t="str">
        <v>0497912121</v>
      </c>
      <c r="D305" t="str">
        <v>https://app.twizzit.com/public/photos/2183242/s/024b94ee0589d7797c4da7bd2e98266bcdb2677a.png</v>
      </c>
      <c r="E305" s="2">
        <v>729846</v>
      </c>
      <c r="F305" t="str">
        <v>Zomerstage 2026 (Blankenberge)</v>
      </c>
      <c r="G305" t="str">
        <v>Speler</v>
      </c>
      <c r="J305" t="str">
        <f>Worksheet!C305&amp;" "&amp;Worksheet!B305</f>
        <v>Jorunn Elyn</v>
      </c>
      <c r="K305" t="str">
        <f>IF(Worksheet!P305&lt;&gt;"",Worksheet!P305,IF(Worksheet!R305&lt;&gt;"",Worksheet!R305,IF(Worksheet!T305&lt;&gt;"",Worksheet!T305,"")))</f>
        <v/>
      </c>
      <c r="L305" t="str">
        <f>IF(AND(Worksheet!V305&lt;&gt;"",Worksheet!V305&lt;&gt;0),Worksheet!V305&amp;"",IF(AND(Worksheet!X305&lt;&gt;"",Worksheet!X305&lt;&gt;0),Worksheet!X305&amp;"",IF(AND(Worksheet!Z305&lt;&gt;"",Worksheet!Z305&lt;&gt;0),Worksheet!Z305&amp;"","")))</f>
        <v/>
      </c>
      <c r="M305" t="str">
        <f>IF(Worksheet!AE305="","",Worksheet!AE305)</f>
        <v/>
      </c>
      <c r="N305">
        <f>IF(Worksheet!AG305="","",Worksheet!AG305)</f>
        <v>742390</v>
      </c>
      <c r="O305" t="str">
        <f>IF(Worksheet!AJ305="","",Worksheet!AJ305)</f>
        <v/>
      </c>
      <c r="P305" t="str">
        <f>IF(Worksheet!AK305="","",Worksheet!AK305)</f>
        <v/>
      </c>
    </row>
    <row r="306" spans="1:16" x14ac:dyDescent="0.25">
      <c r="A306" t="str">
        <v>Anoek Van Caeneghem</v>
      </c>
      <c r="B306" t="str">
        <v/>
      </c>
      <c r="C306" t="str">
        <v>0498086024</v>
      </c>
      <c r="D306" t="str">
        <v>https://app.twizzit.com/public/photos/11917018/s/e098521fbafba2a80a9ddb8d7c06f83cdbae52a9.png</v>
      </c>
      <c r="E306" s="2" t="str">
        <v/>
      </c>
      <c r="F306" t="str">
        <v>J16 A Haantjes CERTIFISC Oudenaarde</v>
      </c>
      <c r="G306" t="str">
        <v>Coach</v>
      </c>
      <c r="J306" t="str">
        <f>Worksheet!C306&amp;" "&amp;Worksheet!B306</f>
        <v>Laurence Elyn</v>
      </c>
      <c r="K306" t="str">
        <f>IF(Worksheet!P306&lt;&gt;"",Worksheet!P306,IF(Worksheet!R306&lt;&gt;"",Worksheet!R306,IF(Worksheet!T306&lt;&gt;"",Worksheet!T306,"")))</f>
        <v/>
      </c>
      <c r="L306" t="str">
        <f>IF(AND(Worksheet!V306&lt;&gt;"",Worksheet!V306&lt;&gt;0),Worksheet!V306&amp;"",IF(AND(Worksheet!X306&lt;&gt;"",Worksheet!X306&lt;&gt;0),Worksheet!X306&amp;"",IF(AND(Worksheet!Z306&lt;&gt;"",Worksheet!Z306&lt;&gt;0),Worksheet!Z306&amp;"","")))</f>
        <v>472595888</v>
      </c>
      <c r="M306" t="str">
        <f>IF(Worksheet!AE306="","",Worksheet!AE306)</f>
        <v/>
      </c>
      <c r="N306">
        <f>IF(Worksheet!AG306="","",Worksheet!AG306)</f>
        <v>258653</v>
      </c>
      <c r="O306" t="str">
        <f>IF(Worksheet!AJ306="","",Worksheet!AJ306)</f>
        <v/>
      </c>
      <c r="P306" t="str">
        <f>IF(Worksheet!AK306="","",Worksheet!AK306)</f>
        <v/>
      </c>
    </row>
    <row r="307" spans="1:16" x14ac:dyDescent="0.25">
      <c r="A307" t="str">
        <v>Aster Van Cauwenberghe</v>
      </c>
      <c r="B307" t="str">
        <v/>
      </c>
      <c r="C307" t="str">
        <v>0476529185</v>
      </c>
      <c r="D307" t="str">
        <v>https://app.twizzit.com/public/photos/6080950/s/e37d4499e2422d263ca72ca5adc1adb614aa1f40.jpeg</v>
      </c>
      <c r="E307" s="2">
        <v>768928</v>
      </c>
      <c r="F307" t="str">
        <v>G08 Blauw HAANTJES CERTIFISC OUDENAARDE</v>
      </c>
      <c r="G307" t="str">
        <v>Speler</v>
      </c>
      <c r="J307" t="str">
        <f>Worksheet!C307&amp;" "&amp;Worksheet!B307</f>
        <v>Manou Elyn</v>
      </c>
      <c r="K307" t="str">
        <f>IF(Worksheet!P307&lt;&gt;"",Worksheet!P307,IF(Worksheet!R307&lt;&gt;"",Worksheet!R307,IF(Worksheet!T307&lt;&gt;"",Worksheet!T307,"")))</f>
        <v/>
      </c>
      <c r="L307" t="str">
        <f>IF(AND(Worksheet!V307&lt;&gt;"",Worksheet!V307&lt;&gt;0),Worksheet!V307&amp;"",IF(AND(Worksheet!X307&lt;&gt;"",Worksheet!X307&lt;&gt;0),Worksheet!X307&amp;"",IF(AND(Worksheet!Z307&lt;&gt;"",Worksheet!Z307&lt;&gt;0),Worksheet!Z307&amp;"","")))</f>
        <v/>
      </c>
      <c r="M307" t="str">
        <f>IF(Worksheet!AE307="","",Worksheet!AE307)</f>
        <v/>
      </c>
      <c r="N307">
        <f>IF(Worksheet!AG307="","",Worksheet!AG307)</f>
        <v>742391</v>
      </c>
      <c r="O307" t="str">
        <f>IF(Worksheet!AJ307="","",Worksheet!AJ307)</f>
        <v/>
      </c>
      <c r="P307" t="str">
        <f>IF(Worksheet!AK307="","",Worksheet!AK307)</f>
        <v/>
      </c>
    </row>
    <row r="308" spans="1:16" x14ac:dyDescent="0.25">
      <c r="A308" t="str">
        <v>Manu Van de Casteele</v>
      </c>
      <c r="B308" t="str">
        <v>pietervdc@gmail.com</v>
      </c>
      <c r="C308" t="str">
        <v>00472846382</v>
      </c>
      <c r="D308" t="str">
        <v/>
      </c>
      <c r="E308" s="2" t="str">
        <v/>
      </c>
      <c r="F308" t="str">
        <v>G10 Blauw HAANTJES CERTIFISC OUDENAARDE</v>
      </c>
      <c r="G308" t="str">
        <v>Speler</v>
      </c>
      <c r="J308" t="str">
        <f>Worksheet!C308&amp;" "&amp;Worksheet!B308</f>
        <v>Miel Elyn</v>
      </c>
      <c r="K308" t="str">
        <f>IF(Worksheet!P308&lt;&gt;"",Worksheet!P308,IF(Worksheet!R308&lt;&gt;"",Worksheet!R308,IF(Worksheet!T308&lt;&gt;"",Worksheet!T308,"")))</f>
        <v>Lievemoyaert@icloud.com</v>
      </c>
      <c r="L308" t="str">
        <f>IF(AND(Worksheet!V308&lt;&gt;"",Worksheet!V308&lt;&gt;0),Worksheet!V308&amp;"",IF(AND(Worksheet!X308&lt;&gt;"",Worksheet!X308&lt;&gt;0),Worksheet!X308&amp;"",IF(AND(Worksheet!Z308&lt;&gt;"",Worksheet!Z308&lt;&gt;0),Worksheet!Z308&amp;"","")))</f>
        <v/>
      </c>
      <c r="M308" t="str">
        <f>IF(Worksheet!AE308="","",Worksheet!AE308)</f>
        <v/>
      </c>
      <c r="N308" t="str">
        <f>IF(Worksheet!AG308="","",Worksheet!AG308)</f>
        <v/>
      </c>
      <c r="O308" t="str">
        <f>IF(Worksheet!AJ308="","",Worksheet!AJ308)</f>
        <v>G10 Geel HAANTJES CERTIFISC OUDENAARDE</v>
      </c>
      <c r="P308" t="str">
        <f>IF(Worksheet!AK308="","",Worksheet!AK308)</f>
        <v>Speler</v>
      </c>
    </row>
    <row r="309" spans="1:16" x14ac:dyDescent="0.25">
      <c r="A309" t="str">
        <v>Lander Van De Maele</v>
      </c>
      <c r="B309" t="str">
        <v>jensvdmaele@gmail.com</v>
      </c>
      <c r="C309" t="str">
        <v>0479246218</v>
      </c>
      <c r="D309" t="str">
        <v>https://app.twizzit.com/public/photos/10715682/s/9ac40a7d3bcb76b36d9290dcb9c3bcdc167e2add.jpeg</v>
      </c>
      <c r="E309" s="2" t="str">
        <v/>
      </c>
      <c r="F309" t="str">
        <v>G08 Blauw HAANTJES CERTIFISC OUDENAARDE</v>
      </c>
      <c r="G309" t="str">
        <v>Speler</v>
      </c>
      <c r="J309" t="str">
        <f>Worksheet!C309&amp;" "&amp;Worksheet!B309</f>
        <v>Miel Elyn</v>
      </c>
      <c r="K309" t="str">
        <f>IF(Worksheet!P309&lt;&gt;"",Worksheet!P309,IF(Worksheet!R309&lt;&gt;"",Worksheet!R309,IF(Worksheet!T309&lt;&gt;"",Worksheet!T309,"")))</f>
        <v>Lievemoyaert@icloud.com</v>
      </c>
      <c r="L309" t="str">
        <f>IF(AND(Worksheet!V309&lt;&gt;"",Worksheet!V309&lt;&gt;0),Worksheet!V309&amp;"",IF(AND(Worksheet!X309&lt;&gt;"",Worksheet!X309&lt;&gt;0),Worksheet!X309&amp;"",IF(AND(Worksheet!Z309&lt;&gt;"",Worksheet!Z309&lt;&gt;0),Worksheet!Z309&amp;"","")))</f>
        <v/>
      </c>
      <c r="M309" t="str">
        <f>IF(Worksheet!AE309="","",Worksheet!AE309)</f>
        <v/>
      </c>
      <c r="N309" t="str">
        <f>IF(Worksheet!AG309="","",Worksheet!AG309)</f>
        <v/>
      </c>
      <c r="O309" t="str">
        <f>IF(Worksheet!AJ309="","",Worksheet!AJ309)</f>
        <v>Zomerstage 2026 U10 &amp; U12 (Oudenaarde)</v>
      </c>
      <c r="P309" t="str">
        <f>IF(Worksheet!AK309="","",Worksheet!AK309)</f>
        <v>Speler</v>
      </c>
    </row>
    <row r="310" spans="1:16" x14ac:dyDescent="0.25">
      <c r="A310" t="str">
        <v>Lander Van De Maele</v>
      </c>
      <c r="B310" t="str">
        <v>jensvdmaele@gmail.com</v>
      </c>
      <c r="C310" t="str">
        <v>0479246218</v>
      </c>
      <c r="D310" t="str">
        <v>https://app.twizzit.com/public/photos/10715682/s/9ac40a7d3bcb76b36d9290dcb9c3bcdc167e2add.jpeg</v>
      </c>
      <c r="E310" s="2" t="str">
        <v/>
      </c>
      <c r="F310" t="str">
        <v>Zomerstage 2026 U8 (Oudenaarde)</v>
      </c>
      <c r="G310" t="str">
        <v>Speler</v>
      </c>
      <c r="J310" t="str">
        <f>Worksheet!C310&amp;" "&amp;Worksheet!B310</f>
        <v>Robin Elyn</v>
      </c>
      <c r="K310" t="str">
        <f>IF(Worksheet!P310&lt;&gt;"",Worksheet!P310,IF(Worksheet!R310&lt;&gt;"",Worksheet!R310,IF(Worksheet!T310&lt;&gt;"",Worksheet!T310,"")))</f>
        <v>lievemoyaert@icloud.com</v>
      </c>
      <c r="L310" t="str">
        <f>IF(AND(Worksheet!V310&lt;&gt;"",Worksheet!V310&lt;&gt;0),Worksheet!V310&amp;"",IF(AND(Worksheet!X310&lt;&gt;"",Worksheet!X310&lt;&gt;0),Worksheet!X310&amp;"",IF(AND(Worksheet!Z310&lt;&gt;"",Worksheet!Z310&lt;&gt;0),Worksheet!Z310&amp;"","")))</f>
        <v>0495653737</v>
      </c>
      <c r="M310" t="str">
        <f>IF(Worksheet!AE310="","",Worksheet!AE310)</f>
        <v/>
      </c>
      <c r="N310" t="str">
        <f>IF(Worksheet!AG310="","",Worksheet!AG310)</f>
        <v/>
      </c>
      <c r="O310" t="str">
        <f>IF(Worksheet!AJ310="","",Worksheet!AJ310)</f>
        <v>G08 Geel HAANTJES CERTIFISC OUDENAARDE</v>
      </c>
      <c r="P310" t="str">
        <f>IF(Worksheet!AK310="","",Worksheet!AK310)</f>
        <v>Speler</v>
      </c>
    </row>
    <row r="311" spans="1:16" x14ac:dyDescent="0.25">
      <c r="A311" t="str">
        <v>Loes Van de Populiere</v>
      </c>
      <c r="B311" t="str">
        <v>biekemoone@hotmail.com</v>
      </c>
      <c r="C311" t="str">
        <v>320477353878</v>
      </c>
      <c r="D311" t="str">
        <v/>
      </c>
      <c r="E311" s="2" t="str">
        <v/>
      </c>
      <c r="F311" t="str">
        <v>M12 A HAANTJES CERTIFISC OUDENAARDE</v>
      </c>
      <c r="G311" t="str">
        <v>Speler</v>
      </c>
      <c r="J311" t="str">
        <f>Worksheet!C311&amp;" "&amp;Worksheet!B311</f>
        <v>Evi Engels</v>
      </c>
      <c r="K311" t="str">
        <f>IF(Worksheet!P311&lt;&gt;"",Worksheet!P311,IF(Worksheet!R311&lt;&gt;"",Worksheet!R311,IF(Worksheet!T311&lt;&gt;"",Worksheet!T311,"")))</f>
        <v/>
      </c>
      <c r="L311" t="str">
        <f>IF(AND(Worksheet!V311&lt;&gt;"",Worksheet!V311&lt;&gt;0),Worksheet!V311&amp;"",IF(AND(Worksheet!X311&lt;&gt;"",Worksheet!X311&lt;&gt;0),Worksheet!X311&amp;"",IF(AND(Worksheet!Z311&lt;&gt;"",Worksheet!Z311&lt;&gt;0),Worksheet!Z311&amp;"","")))</f>
        <v/>
      </c>
      <c r="M311" t="str">
        <f>IF(Worksheet!AE311="","",Worksheet!AE311)</f>
        <v/>
      </c>
      <c r="N311" t="str">
        <f>IF(Worksheet!AG311="","",Worksheet!AG311)</f>
        <v/>
      </c>
      <c r="O311" t="str">
        <f>IF(Worksheet!AJ311="","",Worksheet!AJ311)</f>
        <v/>
      </c>
      <c r="P311" t="str">
        <f>IF(Worksheet!AK311="","",Worksheet!AK311)</f>
        <v/>
      </c>
    </row>
    <row r="312" spans="1:16" x14ac:dyDescent="0.25">
      <c r="A312" t="str">
        <v>Loes Van de Populiere</v>
      </c>
      <c r="B312" t="str">
        <v>biekemoone@hotmail.com</v>
      </c>
      <c r="C312" t="str">
        <v>320477353878</v>
      </c>
      <c r="D312" t="str">
        <v/>
      </c>
      <c r="E312" s="2" t="str">
        <v/>
      </c>
      <c r="F312" t="str">
        <v>Zomerstage 2026 (Blankenberge)</v>
      </c>
      <c r="G312" t="str">
        <v>Speler</v>
      </c>
      <c r="J312" t="str">
        <f>Worksheet!C312&amp;" "&amp;Worksheet!B312</f>
        <v>Jasper Espeel</v>
      </c>
      <c r="K312" t="str">
        <f>IF(Worksheet!P312&lt;&gt;"",Worksheet!P312,IF(Worksheet!R312&lt;&gt;"",Worksheet!R312,IF(Worksheet!T312&lt;&gt;"",Worksheet!T312,"")))</f>
        <v>leen.rebry@ugent.be</v>
      </c>
      <c r="L312" t="str">
        <f>IF(AND(Worksheet!V312&lt;&gt;"",Worksheet!V312&lt;&gt;0),Worksheet!V312&amp;"",IF(AND(Worksheet!X312&lt;&gt;"",Worksheet!X312&lt;&gt;0),Worksheet!X312&amp;"",IF(AND(Worksheet!Z312&lt;&gt;"",Worksheet!Z312&lt;&gt;0),Worksheet!Z312&amp;"","")))</f>
        <v>0496150874</v>
      </c>
      <c r="M312" t="str">
        <f>IF(Worksheet!AE312="","",Worksheet!AE312)</f>
        <v/>
      </c>
      <c r="N312">
        <f>IF(Worksheet!AG312="","",Worksheet!AG312)</f>
        <v>749137</v>
      </c>
      <c r="O312" t="str">
        <f>IF(Worksheet!AJ312="","",Worksheet!AJ312)</f>
        <v>J18 A Haantjes CERTIFISC Oudenaarde</v>
      </c>
      <c r="P312" t="str">
        <f>IF(Worksheet!AK312="","",Worksheet!AK312)</f>
        <v>Speler</v>
      </c>
    </row>
    <row r="313" spans="1:16" x14ac:dyDescent="0.25">
      <c r="A313" t="str">
        <v>Ilaï Van De Walle</v>
      </c>
      <c r="B313" t="str">
        <v/>
      </c>
      <c r="C313" t="str">
        <v>0474818195</v>
      </c>
      <c r="D313" t="str">
        <v/>
      </c>
      <c r="E313" s="2" t="str">
        <v/>
      </c>
      <c r="F313" t="str">
        <v>G08 Geel HAANTJES CERTIFISC OUDENAARDE</v>
      </c>
      <c r="G313" t="str">
        <v>Speler</v>
      </c>
      <c r="J313" t="str">
        <f>Worksheet!C313&amp;" "&amp;Worksheet!B313</f>
        <v>Jasper Espeel</v>
      </c>
      <c r="K313" t="str">
        <f>IF(Worksheet!P313&lt;&gt;"",Worksheet!P313,IF(Worksheet!R313&lt;&gt;"",Worksheet!R313,IF(Worksheet!T313&lt;&gt;"",Worksheet!T313,"")))</f>
        <v>leen.rebry@ugent.be</v>
      </c>
      <c r="L313" t="str">
        <f>IF(AND(Worksheet!V313&lt;&gt;"",Worksheet!V313&lt;&gt;0),Worksheet!V313&amp;"",IF(AND(Worksheet!X313&lt;&gt;"",Worksheet!X313&lt;&gt;0),Worksheet!X313&amp;"",IF(AND(Worksheet!Z313&lt;&gt;"",Worksheet!Z313&lt;&gt;0),Worksheet!Z313&amp;"","")))</f>
        <v>0496150874</v>
      </c>
      <c r="M313" t="str">
        <f>IF(Worksheet!AE313="","",Worksheet!AE313)</f>
        <v/>
      </c>
      <c r="N313">
        <f>IF(Worksheet!AG313="","",Worksheet!AG313)</f>
        <v>749137</v>
      </c>
      <c r="O313" t="str">
        <f>IF(Worksheet!AJ313="","",Worksheet!AJ313)</f>
        <v/>
      </c>
      <c r="P313" t="str">
        <f>IF(Worksheet!AK313="","",Worksheet!AK313)</f>
        <v/>
      </c>
    </row>
    <row r="314" spans="1:16" x14ac:dyDescent="0.25">
      <c r="A314" t="str">
        <v>Edouard Van de Weghe</v>
      </c>
      <c r="B314" t="str">
        <v/>
      </c>
      <c r="C314" t="str">
        <v>32479793011</v>
      </c>
      <c r="D314" t="str">
        <v/>
      </c>
      <c r="E314" s="2">
        <v>735070</v>
      </c>
      <c r="F314" t="str">
        <v>G14 A Haantjes CERTIFISC Oudenaarde</v>
      </c>
      <c r="G314" t="str">
        <v>Speler</v>
      </c>
      <c r="J314" t="str">
        <f>Worksheet!C314&amp;" "&amp;Worksheet!B314</f>
        <v>Kobe Espeel</v>
      </c>
      <c r="K314" t="str">
        <f>IF(Worksheet!P314&lt;&gt;"",Worksheet!P314,IF(Worksheet!R314&lt;&gt;"",Worksheet!R314,IF(Worksheet!T314&lt;&gt;"",Worksheet!T314,"")))</f>
        <v/>
      </c>
      <c r="L314" t="str">
        <f>IF(AND(Worksheet!V314&lt;&gt;"",Worksheet!V314&lt;&gt;0),Worksheet!V314&amp;"",IF(AND(Worksheet!X314&lt;&gt;"",Worksheet!X314&lt;&gt;0),Worksheet!X314&amp;"",IF(AND(Worksheet!Z314&lt;&gt;"",Worksheet!Z314&lt;&gt;0),Worksheet!Z314&amp;"","")))</f>
        <v>0485070328</v>
      </c>
      <c r="M314" t="str">
        <f>IF(Worksheet!AE314="","",Worksheet!AE314)</f>
        <v/>
      </c>
      <c r="N314" t="str">
        <f>IF(Worksheet!AG314="","",Worksheet!AG314)</f>
        <v/>
      </c>
      <c r="O314" t="str">
        <f>IF(Worksheet!AJ314="","",Worksheet!AJ314)</f>
        <v>G14 A Haantjes CERTIFISC Oudenaarde</v>
      </c>
      <c r="P314" t="str">
        <f>IF(Worksheet!AK314="","",Worksheet!AK314)</f>
        <v>Speler</v>
      </c>
    </row>
    <row r="315" spans="1:16" x14ac:dyDescent="0.25">
      <c r="A315" t="str">
        <v>Edouard Van de Weghe</v>
      </c>
      <c r="B315" t="str">
        <v/>
      </c>
      <c r="C315" t="str">
        <v>32479793011</v>
      </c>
      <c r="D315" t="str">
        <v/>
      </c>
      <c r="E315" s="2">
        <v>735070</v>
      </c>
      <c r="F315" t="str">
        <v>Zomerstage 2026 (Blankenberge)</v>
      </c>
      <c r="G315" t="str">
        <v>Speler</v>
      </c>
      <c r="J315" t="str">
        <f>Worksheet!C315&amp;" "&amp;Worksheet!B315</f>
        <v>Ukeme Essien</v>
      </c>
      <c r="K315" t="str">
        <f>IF(Worksheet!P315&lt;&gt;"",Worksheet!P315,IF(Worksheet!R315&lt;&gt;"",Worksheet!R315,IF(Worksheet!T315&lt;&gt;"",Worksheet!T315,"")))</f>
        <v/>
      </c>
      <c r="L315" t="str">
        <f>IF(AND(Worksheet!V315&lt;&gt;"",Worksheet!V315&lt;&gt;0),Worksheet!V315&amp;"",IF(AND(Worksheet!X315&lt;&gt;"",Worksheet!X315&lt;&gt;0),Worksheet!X315&amp;"",IF(AND(Worksheet!Z315&lt;&gt;"",Worksheet!Z315&lt;&gt;0),Worksheet!Z315&amp;"","")))</f>
        <v>00493339044</v>
      </c>
      <c r="M315" t="str">
        <f>IF(Worksheet!AE315="","",Worksheet!AE315)</f>
        <v/>
      </c>
      <c r="N315">
        <f>IF(Worksheet!AG315="","",Worksheet!AG315)</f>
        <v>648536</v>
      </c>
      <c r="O315" t="str">
        <f>IF(Worksheet!AJ315="","",Worksheet!AJ315)</f>
        <v>HSE A Haantjes Certifisc Oudenaarde</v>
      </c>
      <c r="P315" t="str">
        <f>IF(Worksheet!AK315="","",Worksheet!AK315)</f>
        <v>Speler</v>
      </c>
    </row>
    <row r="316" spans="1:16" x14ac:dyDescent="0.25">
      <c r="A316" t="str">
        <v>Jerome Van de Weghe</v>
      </c>
      <c r="B316" t="str">
        <v>pieter@combus.be</v>
      </c>
      <c r="C316" t="str">
        <v>0479793011</v>
      </c>
      <c r="D316" t="str">
        <v/>
      </c>
      <c r="E316" s="2">
        <v>758509</v>
      </c>
      <c r="F316" t="str">
        <v>Zomerstage 2026 (Blankenberge)</v>
      </c>
      <c r="G316" t="str">
        <v>Speler</v>
      </c>
      <c r="J316" t="str">
        <f>Worksheet!C316&amp;" "&amp;Worksheet!B316</f>
        <v>Fadila Ettijrini</v>
      </c>
      <c r="K316" t="str">
        <f>IF(Worksheet!P316&lt;&gt;"",Worksheet!P316,IF(Worksheet!R316&lt;&gt;"",Worksheet!R316,IF(Worksheet!T316&lt;&gt;"",Worksheet!T316,"")))</f>
        <v/>
      </c>
      <c r="L316" t="str">
        <f>IF(AND(Worksheet!V316&lt;&gt;"",Worksheet!V316&lt;&gt;0),Worksheet!V316&amp;"",IF(AND(Worksheet!X316&lt;&gt;"",Worksheet!X316&lt;&gt;0),Worksheet!X316&amp;"",IF(AND(Worksheet!Z316&lt;&gt;"",Worksheet!Z316&lt;&gt;0),Worksheet!Z316&amp;"","")))</f>
        <v>0470221432</v>
      </c>
      <c r="M316" t="str">
        <f>IF(Worksheet!AE316="","",Worksheet!AE316)</f>
        <v/>
      </c>
      <c r="N316" t="str">
        <f>IF(Worksheet!AG316="","",Worksheet!AG316)</f>
        <v/>
      </c>
      <c r="O316" t="str">
        <f>IF(Worksheet!AJ316="","",Worksheet!AJ316)</f>
        <v>M10 HAANTJES CERTIFISC OUDENAARDE</v>
      </c>
      <c r="P316" t="str">
        <f>IF(Worksheet!AK316="","",Worksheet!AK316)</f>
        <v>Speler</v>
      </c>
    </row>
    <row r="317" spans="1:16" x14ac:dyDescent="0.25">
      <c r="A317" t="str">
        <v>Jerome Van de Weghe</v>
      </c>
      <c r="B317" t="str">
        <v>pieter@combus.be</v>
      </c>
      <c r="C317" t="str">
        <v>0479793011</v>
      </c>
      <c r="D317" t="str">
        <v/>
      </c>
      <c r="E317" s="2">
        <v>758509</v>
      </c>
      <c r="F317" t="str">
        <v>G12 Geel HAANTJES CERTIFISC OUDENAARDE</v>
      </c>
      <c r="G317" t="str">
        <v>Speler</v>
      </c>
      <c r="J317" t="str">
        <f>Worksheet!C317&amp;" "&amp;Worksheet!B317</f>
        <v>Jamila Ettijrini</v>
      </c>
      <c r="K317" t="str">
        <f>IF(Worksheet!P317&lt;&gt;"",Worksheet!P317,IF(Worksheet!R317&lt;&gt;"",Worksheet!R317,IF(Worksheet!T317&lt;&gt;"",Worksheet!T317,"")))</f>
        <v/>
      </c>
      <c r="L317" t="str">
        <f>IF(AND(Worksheet!V317&lt;&gt;"",Worksheet!V317&lt;&gt;0),Worksheet!V317&amp;"",IF(AND(Worksheet!X317&lt;&gt;"",Worksheet!X317&lt;&gt;0),Worksheet!X317&amp;"",IF(AND(Worksheet!Z317&lt;&gt;"",Worksheet!Z317&lt;&gt;0),Worksheet!Z317&amp;"","")))</f>
        <v>0470221432</v>
      </c>
      <c r="M317" t="str">
        <f>IF(Worksheet!AE317="","",Worksheet!AE317)</f>
        <v/>
      </c>
      <c r="N317" t="str">
        <f>IF(Worksheet!AG317="","",Worksheet!AG317)</f>
        <v/>
      </c>
      <c r="O317" t="str">
        <f>IF(Worksheet!AJ317="","",Worksheet!AJ317)</f>
        <v>M16 A Haantjes CERTIFISC  Oudenaarde</v>
      </c>
      <c r="P317" t="str">
        <f>IF(Worksheet!AK317="","",Worksheet!AK317)</f>
        <v>Speler</v>
      </c>
    </row>
    <row r="318" spans="1:16" x14ac:dyDescent="0.25">
      <c r="A318" t="str">
        <v>Ella Van de zande</v>
      </c>
      <c r="B318" t="str">
        <v>piekske007@yahoo.com</v>
      </c>
      <c r="C318" t="str">
        <v>0486372617</v>
      </c>
      <c r="D318" t="str">
        <v>https://app.twizzit.com/public/photos/7665003/s/5ed58413208ebbb451d8f9179fc6141b44a190fa.png</v>
      </c>
      <c r="E318" s="2" t="str">
        <v/>
      </c>
      <c r="F318" t="str">
        <v>M10 HAANTJES CERTIFISC OUDENAARDE</v>
      </c>
      <c r="G318" t="str">
        <v>Speler</v>
      </c>
      <c r="J318" t="str">
        <f>Worksheet!C318&amp;" "&amp;Worksheet!B318</f>
        <v>Amélie Evrard</v>
      </c>
      <c r="K318" t="str">
        <f>IF(Worksheet!P318&lt;&gt;"",Worksheet!P318,IF(Worksheet!R318&lt;&gt;"",Worksheet!R318,IF(Worksheet!T318&lt;&gt;"",Worksheet!T318,"")))</f>
        <v>evrard143@gmail.com</v>
      </c>
      <c r="L318" t="str">
        <f>IF(AND(Worksheet!V318&lt;&gt;"",Worksheet!V318&lt;&gt;0),Worksheet!V318&amp;"",IF(AND(Worksheet!X318&lt;&gt;"",Worksheet!X318&lt;&gt;0),Worksheet!X318&amp;"",IF(AND(Worksheet!Z318&lt;&gt;"",Worksheet!Z318&lt;&gt;0),Worksheet!Z318&amp;"","")))</f>
        <v>00473223315</v>
      </c>
      <c r="M318" t="str">
        <f>IF(Worksheet!AE318="","",Worksheet!AE318)</f>
        <v/>
      </c>
      <c r="N318" t="str">
        <f>IF(Worksheet!AG318="","",Worksheet!AG318)</f>
        <v/>
      </c>
      <c r="O318" t="str">
        <f>IF(Worksheet!AJ318="","",Worksheet!AJ318)</f>
        <v/>
      </c>
      <c r="P318" t="str">
        <f>IF(Worksheet!AK318="","",Worksheet!AK318)</f>
        <v/>
      </c>
    </row>
    <row r="319" spans="1:16" x14ac:dyDescent="0.25">
      <c r="A319" t="str">
        <v>Ella Van de zande</v>
      </c>
      <c r="B319" t="str">
        <v>piekske007@yahoo.com</v>
      </c>
      <c r="C319" t="str">
        <v>0486372617</v>
      </c>
      <c r="D319" t="str">
        <v>https://app.twizzit.com/public/photos/7665003/s/5ed58413208ebbb451d8f9179fc6141b44a190fa.png</v>
      </c>
      <c r="E319" s="2" t="str">
        <v/>
      </c>
      <c r="F319" t="str">
        <v>Zomerstage 2026 U10 &amp; U12 (Oudenaarde)</v>
      </c>
      <c r="G319" t="str">
        <v>Speler</v>
      </c>
      <c r="J319" t="str">
        <f>Worksheet!C319&amp;" "&amp;Worksheet!B319</f>
        <v>Chloé Faelens</v>
      </c>
      <c r="K319" t="str">
        <f>IF(Worksheet!P319&lt;&gt;"",Worksheet!P319,IF(Worksheet!R319&lt;&gt;"",Worksheet!R319,IF(Worksheet!T319&lt;&gt;"",Worksheet!T319,"")))</f>
        <v/>
      </c>
      <c r="L319" t="str">
        <f>IF(AND(Worksheet!V319&lt;&gt;"",Worksheet!V319&lt;&gt;0),Worksheet!V319&amp;"",IF(AND(Worksheet!X319&lt;&gt;"",Worksheet!X319&lt;&gt;0),Worksheet!X319&amp;"",IF(AND(Worksheet!Z319&lt;&gt;"",Worksheet!Z319&lt;&gt;0),Worksheet!Z319&amp;"","")))</f>
        <v>0472960602</v>
      </c>
      <c r="M319" t="str">
        <f>IF(Worksheet!AE319="","",Worksheet!AE319)</f>
        <v>https://app.twizzit.com/public/photos/4276094/s/88cd5d3554278fc03aae2c2a9989ae19589b1181.png</v>
      </c>
      <c r="N319" t="str">
        <f>IF(Worksheet!AG319="","",Worksheet!AG319)</f>
        <v/>
      </c>
      <c r="O319" t="str">
        <f>IF(Worksheet!AJ319="","",Worksheet!AJ319)</f>
        <v>M16 A Haantjes CERTIFISC  Oudenaarde</v>
      </c>
      <c r="P319" t="str">
        <f>IF(Worksheet!AK319="","",Worksheet!AK319)</f>
        <v>Speler</v>
      </c>
    </row>
    <row r="320" spans="1:16" x14ac:dyDescent="0.25">
      <c r="A320" t="str">
        <v>Mali-June Van Dorpe</v>
      </c>
      <c r="B320" t="str">
        <v>tracy.desmet@hotmail.com</v>
      </c>
      <c r="C320" t="str">
        <v>0485650671</v>
      </c>
      <c r="D320" t="str">
        <v/>
      </c>
      <c r="E320" s="2" t="str">
        <v/>
      </c>
      <c r="F320" t="str">
        <v>G08 Groen HAANTJES CERTIFISC OUDENAARDE</v>
      </c>
      <c r="G320" t="str">
        <v>Speler</v>
      </c>
      <c r="J320" t="str">
        <f>Worksheet!C320&amp;" "&amp;Worksheet!B320</f>
        <v>Chloé Faelens</v>
      </c>
      <c r="K320" t="str">
        <f>IF(Worksheet!P320&lt;&gt;"",Worksheet!P320,IF(Worksheet!R320&lt;&gt;"",Worksheet!R320,IF(Worksheet!T320&lt;&gt;"",Worksheet!T320,"")))</f>
        <v/>
      </c>
      <c r="L320" t="str">
        <f>IF(AND(Worksheet!V320&lt;&gt;"",Worksheet!V320&lt;&gt;0),Worksheet!V320&amp;"",IF(AND(Worksheet!X320&lt;&gt;"",Worksheet!X320&lt;&gt;0),Worksheet!X320&amp;"",IF(AND(Worksheet!Z320&lt;&gt;"",Worksheet!Z320&lt;&gt;0),Worksheet!Z320&amp;"","")))</f>
        <v>0472960602</v>
      </c>
      <c r="M320" t="str">
        <f>IF(Worksheet!AE320="","",Worksheet!AE320)</f>
        <v>https://app.twizzit.com/public/photos/4276094/s/88cd5d3554278fc03aae2c2a9989ae19589b1181.png</v>
      </c>
      <c r="N320" t="str">
        <f>IF(Worksheet!AG320="","",Worksheet!AG320)</f>
        <v/>
      </c>
      <c r="O320" t="str">
        <f>IF(Worksheet!AJ320="","",Worksheet!AJ320)</f>
        <v>Zomerstage 2026 (Blankenberge)</v>
      </c>
      <c r="P320" t="str">
        <f>IF(Worksheet!AK320="","",Worksheet!AK320)</f>
        <v>Speler</v>
      </c>
    </row>
    <row r="321" spans="1:16" x14ac:dyDescent="0.25">
      <c r="A321" t="str">
        <v>Mali-June Van Dorpe</v>
      </c>
      <c r="B321" t="str">
        <v>tracy.desmet@hotmail.com</v>
      </c>
      <c r="C321" t="str">
        <v>0485650671</v>
      </c>
      <c r="D321" t="str">
        <v/>
      </c>
      <c r="E321" s="2" t="str">
        <v/>
      </c>
      <c r="F321" t="str">
        <v>Zomerstage 2026 U8 (Oudenaarde)</v>
      </c>
      <c r="G321" t="str">
        <v>Speler</v>
      </c>
      <c r="J321" t="str">
        <f>Worksheet!C321&amp;" "&amp;Worksheet!B321</f>
        <v>Thibeau Flamant</v>
      </c>
      <c r="K321" t="str">
        <f>IF(Worksheet!P321&lt;&gt;"",Worksheet!P321,IF(Worksheet!R321&lt;&gt;"",Worksheet!R321,IF(Worksheet!T321&lt;&gt;"",Worksheet!T321,"")))</f>
        <v/>
      </c>
      <c r="L321" t="str">
        <f>IF(AND(Worksheet!V321&lt;&gt;"",Worksheet!V321&lt;&gt;0),Worksheet!V321&amp;"",IF(AND(Worksheet!X321&lt;&gt;"",Worksheet!X321&lt;&gt;0),Worksheet!X321&amp;"",IF(AND(Worksheet!Z321&lt;&gt;"",Worksheet!Z321&lt;&gt;0),Worksheet!Z321&amp;"","")))</f>
        <v>32473663542</v>
      </c>
      <c r="M321" t="str">
        <f>IF(Worksheet!AE321="","",Worksheet!AE321)</f>
        <v/>
      </c>
      <c r="N321" t="str">
        <f>IF(Worksheet!AG321="","",Worksheet!AG321)</f>
        <v/>
      </c>
      <c r="O321" t="str">
        <f>IF(Worksheet!AJ321="","",Worksheet!AJ321)</f>
        <v/>
      </c>
      <c r="P321" t="str">
        <f>IF(Worksheet!AK321="","",Worksheet!AK321)</f>
        <v/>
      </c>
    </row>
    <row r="322" spans="1:16" x14ac:dyDescent="0.25">
      <c r="A322" t="str">
        <v>Brecht Van Glabeke</v>
      </c>
      <c r="B322" t="str">
        <v/>
      </c>
      <c r="C322" t="str">
        <v>32470671727</v>
      </c>
      <c r="D322" t="str">
        <v/>
      </c>
      <c r="E322" s="2" t="str">
        <v/>
      </c>
      <c r="F322" t="str">
        <v>J18 A Haantjes CERTIFISC Oudenaarde</v>
      </c>
      <c r="G322" t="str">
        <v>Speler</v>
      </c>
      <c r="J322" t="str">
        <f>Worksheet!C322&amp;" "&amp;Worksheet!B322</f>
        <v>Matteo Foret</v>
      </c>
      <c r="K322" t="str">
        <f>IF(Worksheet!P322&lt;&gt;"",Worksheet!P322,IF(Worksheet!R322&lt;&gt;"",Worksheet!R322,IF(Worksheet!T322&lt;&gt;"",Worksheet!T322,"")))</f>
        <v/>
      </c>
      <c r="L322" t="str">
        <f>IF(AND(Worksheet!V322&lt;&gt;"",Worksheet!V322&lt;&gt;0),Worksheet!V322&amp;"",IF(AND(Worksheet!X322&lt;&gt;"",Worksheet!X322&lt;&gt;0),Worksheet!X322&amp;"",IF(AND(Worksheet!Z322&lt;&gt;"",Worksheet!Z322&lt;&gt;0),Worksheet!Z322&amp;"","")))</f>
        <v>477187671</v>
      </c>
      <c r="M322" t="str">
        <f>IF(Worksheet!AE322="","",Worksheet!AE322)</f>
        <v/>
      </c>
      <c r="N322" t="str">
        <f>IF(Worksheet!AG322="","",Worksheet!AG322)</f>
        <v/>
      </c>
      <c r="O322" t="str">
        <f>IF(Worksheet!AJ322="","",Worksheet!AJ322)</f>
        <v/>
      </c>
      <c r="P322" t="str">
        <f>IF(Worksheet!AK322="","",Worksheet!AK322)</f>
        <v/>
      </c>
    </row>
    <row r="323" spans="1:16" x14ac:dyDescent="0.25">
      <c r="A323" t="str">
        <v>Brecht Van Glabeke</v>
      </c>
      <c r="B323" t="str">
        <v/>
      </c>
      <c r="C323" t="str">
        <v>32470671727</v>
      </c>
      <c r="D323" t="str">
        <v/>
      </c>
      <c r="E323" s="2" t="str">
        <v/>
      </c>
      <c r="F323" t="str">
        <v>Zomerstage 2026 (Blankenberge)</v>
      </c>
      <c r="G323" t="str">
        <v>Speler</v>
      </c>
      <c r="J323" t="str">
        <f>Worksheet!C323&amp;" "&amp;Worksheet!B323</f>
        <v>Karolien Gallant</v>
      </c>
      <c r="K323" t="str">
        <f>IF(Worksheet!P323&lt;&gt;"",Worksheet!P323,IF(Worksheet!R323&lt;&gt;"",Worksheet!R323,IF(Worksheet!T323&lt;&gt;"",Worksheet!T323,"")))</f>
        <v/>
      </c>
      <c r="L323" t="str">
        <f>IF(AND(Worksheet!V323&lt;&gt;"",Worksheet!V323&lt;&gt;0),Worksheet!V323&amp;"",IF(AND(Worksheet!X323&lt;&gt;"",Worksheet!X323&lt;&gt;0),Worksheet!X323&amp;"",IF(AND(Worksheet!Z323&lt;&gt;"",Worksheet!Z323&lt;&gt;0),Worksheet!Z323&amp;"","")))</f>
        <v/>
      </c>
      <c r="M323" t="str">
        <f>IF(Worksheet!AE323="","",Worksheet!AE323)</f>
        <v/>
      </c>
      <c r="N323" t="str">
        <f>IF(Worksheet!AG323="","",Worksheet!AG323)</f>
        <v/>
      </c>
      <c r="O323" t="str">
        <f>IF(Worksheet!AJ323="","",Worksheet!AJ323)</f>
        <v/>
      </c>
      <c r="P323" t="str">
        <f>IF(Worksheet!AK323="","",Worksheet!AK323)</f>
        <v/>
      </c>
    </row>
    <row r="324" spans="1:16" x14ac:dyDescent="0.25">
      <c r="A324" t="str">
        <v>Brecht Van Glabeke</v>
      </c>
      <c r="B324" t="str">
        <v/>
      </c>
      <c r="C324" t="str">
        <v>32470671727</v>
      </c>
      <c r="D324" t="str">
        <v/>
      </c>
      <c r="E324" s="2" t="str">
        <v/>
      </c>
      <c r="F324" t="str">
        <v>HSE B Haantjes Certifisc Oudenaarde</v>
      </c>
      <c r="G324" t="str">
        <v>Speler</v>
      </c>
      <c r="J324" t="str">
        <f>Worksheet!C324&amp;" "&amp;Worksheet!B324</f>
        <v>Daniël Garcia</v>
      </c>
      <c r="K324" t="str">
        <f>IF(Worksheet!P324&lt;&gt;"",Worksheet!P324,IF(Worksheet!R324&lt;&gt;"",Worksheet!R324,IF(Worksheet!T324&lt;&gt;"",Worksheet!T324,"")))</f>
        <v/>
      </c>
      <c r="L324" t="str">
        <f>IF(AND(Worksheet!V324&lt;&gt;"",Worksheet!V324&lt;&gt;0),Worksheet!V324&amp;"",IF(AND(Worksheet!X324&lt;&gt;"",Worksheet!X324&lt;&gt;0),Worksheet!X324&amp;"",IF(AND(Worksheet!Z324&lt;&gt;"",Worksheet!Z324&lt;&gt;0),Worksheet!Z324&amp;"","")))</f>
        <v/>
      </c>
      <c r="M324" t="str">
        <f>IF(Worksheet!AE324="","",Worksheet!AE324)</f>
        <v/>
      </c>
      <c r="N324" t="str">
        <f>IF(Worksheet!AG324="","",Worksheet!AG324)</f>
        <v/>
      </c>
      <c r="O324" t="str">
        <f>IF(Worksheet!AJ324="","",Worksheet!AJ324)</f>
        <v/>
      </c>
      <c r="P324" t="str">
        <f>IF(Worksheet!AK324="","",Worksheet!AK324)</f>
        <v/>
      </c>
    </row>
    <row r="325" spans="1:16" x14ac:dyDescent="0.25">
      <c r="A325" t="str">
        <v>Maxime Van Herpe</v>
      </c>
      <c r="B325" t="str">
        <v/>
      </c>
      <c r="C325" t="str">
        <v>0494706960</v>
      </c>
      <c r="D325" t="str">
        <v/>
      </c>
      <c r="E325" s="2" t="str">
        <v/>
      </c>
      <c r="F325" t="str">
        <v>G12 Blauw HAANTJES CERTIFISC OUDENAARDE</v>
      </c>
      <c r="G325" t="str">
        <v>Speler</v>
      </c>
      <c r="J325" t="str">
        <f>Worksheet!C325&amp;" "&amp;Worksheet!B325</f>
        <v>Luis Garcia</v>
      </c>
      <c r="K325" t="str">
        <f>IF(Worksheet!P325&lt;&gt;"",Worksheet!P325,IF(Worksheet!R325&lt;&gt;"",Worksheet!R325,IF(Worksheet!T325&lt;&gt;"",Worksheet!T325,"")))</f>
        <v/>
      </c>
      <c r="L325" t="str">
        <f>IF(AND(Worksheet!V325&lt;&gt;"",Worksheet!V325&lt;&gt;0),Worksheet!V325&amp;"",IF(AND(Worksheet!X325&lt;&gt;"",Worksheet!X325&lt;&gt;0),Worksheet!X325&amp;"",IF(AND(Worksheet!Z325&lt;&gt;"",Worksheet!Z325&lt;&gt;0),Worksheet!Z325&amp;"","")))</f>
        <v/>
      </c>
      <c r="M325" t="str">
        <f>IF(Worksheet!AE325="","",Worksheet!AE325)</f>
        <v/>
      </c>
      <c r="N325">
        <f>IF(Worksheet!AG325="","",Worksheet!AG325)</f>
        <v>646498</v>
      </c>
      <c r="O325" t="str">
        <f>IF(Worksheet!AJ325="","",Worksheet!AJ325)</f>
        <v/>
      </c>
      <c r="P325" t="str">
        <f>IF(Worksheet!AK325="","",Worksheet!AK325)</f>
        <v/>
      </c>
    </row>
    <row r="326" spans="1:16" x14ac:dyDescent="0.25">
      <c r="A326" t="str">
        <v>Maxime Van Herpe</v>
      </c>
      <c r="B326" t="str">
        <v/>
      </c>
      <c r="C326" t="str">
        <v>0494706960</v>
      </c>
      <c r="D326" t="str">
        <v/>
      </c>
      <c r="E326" s="2" t="str">
        <v/>
      </c>
      <c r="F326" t="str">
        <v>Zomerstage 2026 (Blankenberge)</v>
      </c>
      <c r="G326" t="str">
        <v>Speler</v>
      </c>
      <c r="J326" t="str">
        <f>Worksheet!C326&amp;" "&amp;Worksheet!B326</f>
        <v>Alixe Geenens</v>
      </c>
      <c r="K326" t="str">
        <f>IF(Worksheet!P326&lt;&gt;"",Worksheet!P326,IF(Worksheet!R326&lt;&gt;"",Worksheet!R326,IF(Worksheet!T326&lt;&gt;"",Worksheet!T326,"")))</f>
        <v>stephengeenens@gmail.com</v>
      </c>
      <c r="L326" t="str">
        <f>IF(AND(Worksheet!V326&lt;&gt;"",Worksheet!V326&lt;&gt;0),Worksheet!V326&amp;"",IF(AND(Worksheet!X326&lt;&gt;"",Worksheet!X326&lt;&gt;0),Worksheet!X326&amp;"",IF(AND(Worksheet!Z326&lt;&gt;"",Worksheet!Z326&lt;&gt;0),Worksheet!Z326&amp;"","")))</f>
        <v>0477248349</v>
      </c>
      <c r="M326" t="str">
        <f>IF(Worksheet!AE326="","",Worksheet!AE326)</f>
        <v/>
      </c>
      <c r="N326" t="str">
        <f>IF(Worksheet!AG326="","",Worksheet!AG326)</f>
        <v/>
      </c>
      <c r="O326" t="str">
        <f>IF(Worksheet!AJ326="","",Worksheet!AJ326)</f>
        <v>M10 HAANTJES CERTIFISC OUDENAARDE</v>
      </c>
      <c r="P326" t="str">
        <f>IF(Worksheet!AK326="","",Worksheet!AK326)</f>
        <v>Speler</v>
      </c>
    </row>
    <row r="327" spans="1:16" x14ac:dyDescent="0.25">
      <c r="A327" t="str">
        <v>Jaimie Van Marcke</v>
      </c>
      <c r="B327" t="str">
        <v/>
      </c>
      <c r="C327" t="str">
        <v>32474552662</v>
      </c>
      <c r="D327" t="str">
        <v>https://app.twizzit.com/public/photos/4080394/s/a0a6f7a1f3c9650e7b60b7c90fcc741fdb018fb0.png</v>
      </c>
      <c r="E327" s="2" t="str">
        <v/>
      </c>
      <c r="F327" t="str">
        <v>J18 B Haantjes CERTIFISC Oudenaarde</v>
      </c>
      <c r="G327" t="str">
        <v>Speler</v>
      </c>
      <c r="J327" t="str">
        <f>Worksheet!C327&amp;" "&amp;Worksheet!B327</f>
        <v>Alixe Geenens</v>
      </c>
      <c r="K327" t="str">
        <f>IF(Worksheet!P327&lt;&gt;"",Worksheet!P327,IF(Worksheet!R327&lt;&gt;"",Worksheet!R327,IF(Worksheet!T327&lt;&gt;"",Worksheet!T327,"")))</f>
        <v>stephengeenens@gmail.com</v>
      </c>
      <c r="L327" t="str">
        <f>IF(AND(Worksheet!V327&lt;&gt;"",Worksheet!V327&lt;&gt;0),Worksheet!V327&amp;"",IF(AND(Worksheet!X327&lt;&gt;"",Worksheet!X327&lt;&gt;0),Worksheet!X327&amp;"",IF(AND(Worksheet!Z327&lt;&gt;"",Worksheet!Z327&lt;&gt;0),Worksheet!Z327&amp;"","")))</f>
        <v>0477248349</v>
      </c>
      <c r="M327" t="str">
        <f>IF(Worksheet!AE327="","",Worksheet!AE327)</f>
        <v/>
      </c>
      <c r="N327" t="str">
        <f>IF(Worksheet!AG327="","",Worksheet!AG327)</f>
        <v/>
      </c>
      <c r="O327" t="str">
        <f>IF(Worksheet!AJ327="","",Worksheet!AJ327)</f>
        <v>Zomerstage 2026 U10 &amp; U12 (Oudenaarde)</v>
      </c>
      <c r="P327" t="str">
        <f>IF(Worksheet!AK327="","",Worksheet!AK327)</f>
        <v>Speler</v>
      </c>
    </row>
    <row r="328" spans="1:16" x14ac:dyDescent="0.25">
      <c r="A328" t="str">
        <v>Tristan Van Meenen</v>
      </c>
      <c r="B328" t="str">
        <v>jzvanmeenen@telenet.be</v>
      </c>
      <c r="C328" t="str">
        <v>0468153046</v>
      </c>
      <c r="D328" t="str">
        <v/>
      </c>
      <c r="E328" s="2" t="str">
        <v/>
      </c>
      <c r="F328" t="str">
        <v>HSE  C Haantjes Certifisc Oudenaarde</v>
      </c>
      <c r="G328" t="str">
        <v>Speler</v>
      </c>
      <c r="J328" t="str">
        <f>Worksheet!C328&amp;" "&amp;Worksheet!B328</f>
        <v>Celeste Geenens</v>
      </c>
      <c r="K328" t="str">
        <f>IF(Worksheet!P328&lt;&gt;"",Worksheet!P328,IF(Worksheet!R328&lt;&gt;"",Worksheet!R328,IF(Worksheet!T328&lt;&gt;"",Worksheet!T328,"")))</f>
        <v>stephengeenens@gmail.com</v>
      </c>
      <c r="L328" t="str">
        <f>IF(AND(Worksheet!V328&lt;&gt;"",Worksheet!V328&lt;&gt;0),Worksheet!V328&amp;"",IF(AND(Worksheet!X328&lt;&gt;"",Worksheet!X328&lt;&gt;0),Worksheet!X328&amp;"",IF(AND(Worksheet!Z328&lt;&gt;"",Worksheet!Z328&lt;&gt;0),Worksheet!Z328&amp;"","")))</f>
        <v>0477248349</v>
      </c>
      <c r="M328" t="str">
        <f>IF(Worksheet!AE328="","",Worksheet!AE328)</f>
        <v/>
      </c>
      <c r="N328" t="str">
        <f>IF(Worksheet!AG328="","",Worksheet!AG328)</f>
        <v/>
      </c>
      <c r="O328" t="str">
        <f>IF(Worksheet!AJ328="","",Worksheet!AJ328)</f>
        <v>Zomerstage 2026 (Blankenberge)</v>
      </c>
      <c r="P328" t="str">
        <f>IF(Worksheet!AK328="","",Worksheet!AK328)</f>
        <v>Speler</v>
      </c>
    </row>
    <row r="329" spans="1:16" x14ac:dyDescent="0.25">
      <c r="A329" t="str">
        <v>Giles Van Merhaeghe</v>
      </c>
      <c r="B329" t="str">
        <v/>
      </c>
      <c r="C329" t="str">
        <v/>
      </c>
      <c r="D329" t="str">
        <v/>
      </c>
      <c r="E329" s="2">
        <v>663125</v>
      </c>
      <c r="F329" t="str">
        <v>HSE  C Haantjes Certifisc Oudenaarde</v>
      </c>
      <c r="G329" t="str">
        <v>Speler</v>
      </c>
      <c r="J329" t="str">
        <f>Worksheet!C329&amp;" "&amp;Worksheet!B329</f>
        <v>Celeste Geenens</v>
      </c>
      <c r="K329" t="str">
        <f>IF(Worksheet!P329&lt;&gt;"",Worksheet!P329,IF(Worksheet!R329&lt;&gt;"",Worksheet!R329,IF(Worksheet!T329&lt;&gt;"",Worksheet!T329,"")))</f>
        <v>stephengeenens@gmail.com</v>
      </c>
      <c r="L329" t="str">
        <f>IF(AND(Worksheet!V329&lt;&gt;"",Worksheet!V329&lt;&gt;0),Worksheet!V329&amp;"",IF(AND(Worksheet!X329&lt;&gt;"",Worksheet!X329&lt;&gt;0),Worksheet!X329&amp;"",IF(AND(Worksheet!Z329&lt;&gt;"",Worksheet!Z329&lt;&gt;0),Worksheet!Z329&amp;"","")))</f>
        <v>0477248349</v>
      </c>
      <c r="M329" t="str">
        <f>IF(Worksheet!AE329="","",Worksheet!AE329)</f>
        <v/>
      </c>
      <c r="N329" t="str">
        <f>IF(Worksheet!AG329="","",Worksheet!AG329)</f>
        <v/>
      </c>
      <c r="O329" t="str">
        <f>IF(Worksheet!AJ329="","",Worksheet!AJ329)</f>
        <v>M14 A Haantjes CERTIFISC  Oudenaarde</v>
      </c>
      <c r="P329" t="str">
        <f>IF(Worksheet!AK329="","",Worksheet!AK329)</f>
        <v>Speler</v>
      </c>
    </row>
    <row r="330" spans="1:16" x14ac:dyDescent="0.25">
      <c r="A330" t="str">
        <v>Charlotte Van Moorleghem</v>
      </c>
      <c r="B330" t="str">
        <v>charlotte.vanmoorleghem1@gmail.com</v>
      </c>
      <c r="C330" t="str">
        <v/>
      </c>
      <c r="D330" t="str">
        <v/>
      </c>
      <c r="E330" s="2">
        <v>201618</v>
      </c>
      <c r="F330" t="str">
        <v xml:space="preserve">Trainerspoule </v>
      </c>
      <c r="G330" t="str">
        <v>Coach</v>
      </c>
      <c r="J330" t="str">
        <f>Worksheet!C330&amp;" "&amp;Worksheet!B330</f>
        <v>Lou Geenens</v>
      </c>
      <c r="K330" t="str">
        <f>IF(Worksheet!P330&lt;&gt;"",Worksheet!P330,IF(Worksheet!R330&lt;&gt;"",Worksheet!R330,IF(Worksheet!T330&lt;&gt;"",Worksheet!T330,"")))</f>
        <v/>
      </c>
      <c r="L330" t="str">
        <f>IF(AND(Worksheet!V330&lt;&gt;"",Worksheet!V330&lt;&gt;0),Worksheet!V330&amp;"",IF(AND(Worksheet!X330&lt;&gt;"",Worksheet!X330&lt;&gt;0),Worksheet!X330&amp;"",IF(AND(Worksheet!Z330&lt;&gt;"",Worksheet!Z330&lt;&gt;0),Worksheet!Z330&amp;"","")))</f>
        <v>0474335674</v>
      </c>
      <c r="M330" t="str">
        <f>IF(Worksheet!AE330="","",Worksheet!AE330)</f>
        <v>https://app.twizzit.com/public/photos/10377574/s/62e9c970b54f4ce753f6fe1b02a81459ce0f4576.png</v>
      </c>
      <c r="N330" t="str">
        <f>IF(Worksheet!AG330="","",Worksheet!AG330)</f>
        <v/>
      </c>
      <c r="O330" t="str">
        <f>IF(Worksheet!AJ330="","",Worksheet!AJ330)</f>
        <v>G12 Blauw HAANTJES CERTIFISC OUDENAARDE</v>
      </c>
      <c r="P330" t="str">
        <f>IF(Worksheet!AK330="","",Worksheet!AK330)</f>
        <v>Speler</v>
      </c>
    </row>
    <row r="331" spans="1:16" x14ac:dyDescent="0.25">
      <c r="A331" t="str">
        <v>Emma Van Nieuwenhuyze</v>
      </c>
      <c r="B331" t="str">
        <v>maaikeschiettecatte@gmail.com</v>
      </c>
      <c r="C331" t="str">
        <v>0477259667</v>
      </c>
      <c r="D331" t="str">
        <v/>
      </c>
      <c r="E331" s="2" t="str">
        <v/>
      </c>
      <c r="F331" t="str">
        <v>M12 A HAANTJES CERTIFISC OUDENAARDE</v>
      </c>
      <c r="G331" t="str">
        <v>Speler</v>
      </c>
      <c r="J331" t="str">
        <f>Worksheet!C331&amp;" "&amp;Worksheet!B331</f>
        <v>Stephen Geenens</v>
      </c>
      <c r="K331" t="str">
        <f>IF(Worksheet!P331&lt;&gt;"",Worksheet!P331,IF(Worksheet!R331&lt;&gt;"",Worksheet!R331,IF(Worksheet!T331&lt;&gt;"",Worksheet!T331,"")))</f>
        <v/>
      </c>
      <c r="L331" t="str">
        <f>IF(AND(Worksheet!V331&lt;&gt;"",Worksheet!V331&lt;&gt;0),Worksheet!V331&amp;"",IF(AND(Worksheet!X331&lt;&gt;"",Worksheet!X331&lt;&gt;0),Worksheet!X331&amp;"",IF(AND(Worksheet!Z331&lt;&gt;"",Worksheet!Z331&lt;&gt;0),Worksheet!Z331&amp;"","")))</f>
        <v>0494195355</v>
      </c>
      <c r="M331" t="str">
        <f>IF(Worksheet!AE331="","",Worksheet!AE331)</f>
        <v/>
      </c>
      <c r="N331">
        <f>IF(Worksheet!AG331="","",Worksheet!AG331)</f>
        <v>773025</v>
      </c>
      <c r="O331" t="str">
        <f>IF(Worksheet!AJ331="","",Worksheet!AJ331)</f>
        <v/>
      </c>
      <c r="P331" t="str">
        <f>IF(Worksheet!AK331="","",Worksheet!AK331)</f>
        <v/>
      </c>
    </row>
    <row r="332" spans="1:16" x14ac:dyDescent="0.25">
      <c r="A332" t="str">
        <v>Emma Van Nieuwenhuyze</v>
      </c>
      <c r="B332" t="str">
        <v>maaikeschiettecatte@gmail.com</v>
      </c>
      <c r="C332" t="str">
        <v>0477259667</v>
      </c>
      <c r="D332" t="str">
        <v/>
      </c>
      <c r="E332" s="2" t="str">
        <v/>
      </c>
      <c r="F332" t="str">
        <v>Zomerstage 2026 U10 &amp; U12 (Oudenaarde)</v>
      </c>
      <c r="G332" t="str">
        <v>Speler</v>
      </c>
      <c r="J332" t="str">
        <f>Worksheet!C332&amp;" "&amp;Worksheet!B332</f>
        <v>Stephen Geenens</v>
      </c>
      <c r="K332" t="str">
        <f>IF(Worksheet!P332&lt;&gt;"",Worksheet!P332,IF(Worksheet!R332&lt;&gt;"",Worksheet!R332,IF(Worksheet!T332&lt;&gt;"",Worksheet!T332,"")))</f>
        <v/>
      </c>
      <c r="L332" t="str">
        <f>IF(AND(Worksheet!V332&lt;&gt;"",Worksheet!V332&lt;&gt;0),Worksheet!V332&amp;"",IF(AND(Worksheet!X332&lt;&gt;"",Worksheet!X332&lt;&gt;0),Worksheet!X332&amp;"",IF(AND(Worksheet!Z332&lt;&gt;"",Worksheet!Z332&lt;&gt;0),Worksheet!Z332&amp;"","")))</f>
        <v>0494195355</v>
      </c>
      <c r="M332" t="str">
        <f>IF(Worksheet!AE332="","",Worksheet!AE332)</f>
        <v/>
      </c>
      <c r="N332">
        <f>IF(Worksheet!AG332="","",Worksheet!AG332)</f>
        <v>773025</v>
      </c>
      <c r="O332" t="str">
        <f>IF(Worksheet!AJ332="","",Worksheet!AJ332)</f>
        <v/>
      </c>
      <c r="P332" t="str">
        <f>IF(Worksheet!AK332="","",Worksheet!AK332)</f>
        <v/>
      </c>
    </row>
    <row r="333" spans="1:16" x14ac:dyDescent="0.25">
      <c r="A333" t="str">
        <v>Lowie Van Nieuwenhuyze</v>
      </c>
      <c r="B333" t="str">
        <v>pietervannieuwenhuyze1984@gmail.com</v>
      </c>
      <c r="C333" t="str">
        <v>0499272428</v>
      </c>
      <c r="D333" t="str">
        <v/>
      </c>
      <c r="E333" s="2" t="str">
        <v/>
      </c>
      <c r="F333" t="str">
        <v>G08 Geel HAANTJES CERTIFISC OUDENAARDE</v>
      </c>
      <c r="G333" t="str">
        <v>Speler</v>
      </c>
      <c r="J333" t="str">
        <f>Worksheet!C333&amp;" "&amp;Worksheet!B333</f>
        <v>Matisse Geiregat</v>
      </c>
      <c r="K333" t="str">
        <f>IF(Worksheet!P333&lt;&gt;"",Worksheet!P333,IF(Worksheet!R333&lt;&gt;"",Worksheet!R333,IF(Worksheet!T333&lt;&gt;"",Worksheet!T333,"")))</f>
        <v/>
      </c>
      <c r="L333" t="str">
        <f>IF(AND(Worksheet!V333&lt;&gt;"",Worksheet!V333&lt;&gt;0),Worksheet!V333&amp;"",IF(AND(Worksheet!X333&lt;&gt;"",Worksheet!X333&lt;&gt;0),Worksheet!X333&amp;"",IF(AND(Worksheet!Z333&lt;&gt;"",Worksheet!Z333&lt;&gt;0),Worksheet!Z333&amp;"","")))</f>
        <v>0499132186</v>
      </c>
      <c r="M333" t="str">
        <f>IF(Worksheet!AE333="","",Worksheet!AE333)</f>
        <v/>
      </c>
      <c r="N333" t="str">
        <f>IF(Worksheet!AG333="","",Worksheet!AG333)</f>
        <v/>
      </c>
      <c r="O333" t="str">
        <f>IF(Worksheet!AJ333="","",Worksheet!AJ333)</f>
        <v/>
      </c>
      <c r="P333" t="str">
        <f>IF(Worksheet!AK333="","",Worksheet!AK333)</f>
        <v/>
      </c>
    </row>
    <row r="334" spans="1:16" x14ac:dyDescent="0.25">
      <c r="A334" t="str">
        <v>Lowie Van Nieuwenhuyze</v>
      </c>
      <c r="B334" t="str">
        <v>pietervannieuwenhuyze1984@gmail.com</v>
      </c>
      <c r="C334" t="str">
        <v>0499272428</v>
      </c>
      <c r="D334" t="str">
        <v/>
      </c>
      <c r="E334" s="2" t="str">
        <v/>
      </c>
      <c r="F334" t="str">
        <v>Zomerstage 2026 U8 (Oudenaarde)</v>
      </c>
      <c r="G334" t="str">
        <v>Speler</v>
      </c>
      <c r="J334" t="str">
        <f>Worksheet!C334&amp;" "&amp;Worksheet!B334</f>
        <v>Victor Geiregat</v>
      </c>
      <c r="K334" t="str">
        <f>IF(Worksheet!P334&lt;&gt;"",Worksheet!P334,IF(Worksheet!R334&lt;&gt;"",Worksheet!R334,IF(Worksheet!T334&lt;&gt;"",Worksheet!T334,"")))</f>
        <v>jurgengeiregat@gmail.com</v>
      </c>
      <c r="L334" t="str">
        <f>IF(AND(Worksheet!V334&lt;&gt;"",Worksheet!V334&lt;&gt;0),Worksheet!V334&amp;"",IF(AND(Worksheet!X334&lt;&gt;"",Worksheet!X334&lt;&gt;0),Worksheet!X334&amp;"",IF(AND(Worksheet!Z334&lt;&gt;"",Worksheet!Z334&lt;&gt;0),Worksheet!Z334&amp;"","")))</f>
        <v>0485242755</v>
      </c>
      <c r="M334" t="str">
        <f>IF(Worksheet!AE334="","",Worksheet!AE334)</f>
        <v/>
      </c>
      <c r="N334" t="str">
        <f>IF(Worksheet!AG334="","",Worksheet!AG334)</f>
        <v/>
      </c>
      <c r="O334" t="str">
        <f>IF(Worksheet!AJ334="","",Worksheet!AJ334)</f>
        <v>J16 B Haantjes CERTIFISC Oudenaarde</v>
      </c>
      <c r="P334" t="str">
        <f>IF(Worksheet!AK334="","",Worksheet!AK334)</f>
        <v>Speler</v>
      </c>
    </row>
    <row r="335" spans="1:16" x14ac:dyDescent="0.25">
      <c r="A335" t="str">
        <v>Mauro Van Sande</v>
      </c>
      <c r="B335" t="str">
        <v>Sylvie.mincke@outlook.com</v>
      </c>
      <c r="C335" t="str">
        <v>32478784192</v>
      </c>
      <c r="D335" t="str">
        <v>https://app.twizzit.com/public/photos/2650608/s/9cebeb89f0d68fff18c1faf3be6be5621d757adb.png</v>
      </c>
      <c r="E335" s="2">
        <v>742367</v>
      </c>
      <c r="F335" t="str">
        <v>G14 B Haantjes CERTIFISC Oudenaarde</v>
      </c>
      <c r="G335" t="str">
        <v>Speler</v>
      </c>
      <c r="J335" t="str">
        <f>Worksheet!C335&amp;" "&amp;Worksheet!B335</f>
        <v>Victor Geiregat</v>
      </c>
      <c r="K335" t="str">
        <f>IF(Worksheet!P335&lt;&gt;"",Worksheet!P335,IF(Worksheet!R335&lt;&gt;"",Worksheet!R335,IF(Worksheet!T335&lt;&gt;"",Worksheet!T335,"")))</f>
        <v>jurgengeiregat@gmail.com</v>
      </c>
      <c r="L335" t="str">
        <f>IF(AND(Worksheet!V335&lt;&gt;"",Worksheet!V335&lt;&gt;0),Worksheet!V335&amp;"",IF(AND(Worksheet!X335&lt;&gt;"",Worksheet!X335&lt;&gt;0),Worksheet!X335&amp;"",IF(AND(Worksheet!Z335&lt;&gt;"",Worksheet!Z335&lt;&gt;0),Worksheet!Z335&amp;"","")))</f>
        <v>0485242755</v>
      </c>
      <c r="M335" t="str">
        <f>IF(Worksheet!AE335="","",Worksheet!AE335)</f>
        <v/>
      </c>
      <c r="N335" t="str">
        <f>IF(Worksheet!AG335="","",Worksheet!AG335)</f>
        <v/>
      </c>
      <c r="O335" t="str">
        <f>IF(Worksheet!AJ335="","",Worksheet!AJ335)</f>
        <v>Zomerstage 2026 (Blankenberge)</v>
      </c>
      <c r="P335" t="str">
        <f>IF(Worksheet!AK335="","",Worksheet!AK335)</f>
        <v>Speler</v>
      </c>
    </row>
    <row r="336" spans="1:16" x14ac:dyDescent="0.25">
      <c r="A336" t="str">
        <v>Miro Van Schoorisse</v>
      </c>
      <c r="B336" t="str">
        <v>mirovanschoorisse@gmail.com</v>
      </c>
      <c r="C336" t="str">
        <v>32496771030</v>
      </c>
      <c r="D336" t="str">
        <v/>
      </c>
      <c r="E336" s="2">
        <v>709427</v>
      </c>
      <c r="F336" t="str">
        <v>J18 A Haantjes CERTIFISC Oudenaarde</v>
      </c>
      <c r="G336" t="str">
        <v>Speler</v>
      </c>
      <c r="J336" t="str">
        <f>Worksheet!C336&amp;" "&amp;Worksheet!B336</f>
        <v>Basiel Genbrugge</v>
      </c>
      <c r="K336" t="str">
        <f>IF(Worksheet!P336&lt;&gt;"",Worksheet!P336,IF(Worksheet!R336&lt;&gt;"",Worksheet!R336,IF(Worksheet!T336&lt;&gt;"",Worksheet!T336,"")))</f>
        <v>basiel.genbrugge@gmail.com</v>
      </c>
      <c r="L336" t="str">
        <f>IF(AND(Worksheet!V336&lt;&gt;"",Worksheet!V336&lt;&gt;0),Worksheet!V336&amp;"",IF(AND(Worksheet!X336&lt;&gt;"",Worksheet!X336&lt;&gt;0),Worksheet!X336&amp;"",IF(AND(Worksheet!Z336&lt;&gt;"",Worksheet!Z336&lt;&gt;0),Worksheet!Z336&amp;"","")))</f>
        <v>0486314030</v>
      </c>
      <c r="M336" t="str">
        <f>IF(Worksheet!AE336="","",Worksheet!AE336)</f>
        <v>https://app.twizzit.com/public/photos/8579142/s/db8d4000b96831e0c69a1f9ee9bb0955ce673dba.png</v>
      </c>
      <c r="N336" t="str">
        <f>IF(Worksheet!AG336="","",Worksheet!AG336)</f>
        <v/>
      </c>
      <c r="O336" t="str">
        <f>IF(Worksheet!AJ336="","",Worksheet!AJ336)</f>
        <v>J16 A Haantjes CERTIFISC Oudenaarde</v>
      </c>
      <c r="P336" t="str">
        <f>IF(Worksheet!AK336="","",Worksheet!AK336)</f>
        <v>Speler</v>
      </c>
    </row>
    <row r="337" spans="1:16" x14ac:dyDescent="0.25">
      <c r="A337" t="str">
        <v>Bram Van Wyngene</v>
      </c>
      <c r="B337" t="str">
        <v/>
      </c>
      <c r="C337" t="str">
        <v>0477349575</v>
      </c>
      <c r="D337" t="str">
        <v/>
      </c>
      <c r="E337" s="2" t="str">
        <v/>
      </c>
      <c r="F337" t="str">
        <v>HSE A Haantjes Certifisc Oudenaarde</v>
      </c>
      <c r="G337" t="str">
        <v>Coach</v>
      </c>
      <c r="J337" t="str">
        <f>Worksheet!C337&amp;" "&amp;Worksheet!B337</f>
        <v>Basiel Genbrugge</v>
      </c>
      <c r="K337" t="str">
        <f>IF(Worksheet!P337&lt;&gt;"",Worksheet!P337,IF(Worksheet!R337&lt;&gt;"",Worksheet!R337,IF(Worksheet!T337&lt;&gt;"",Worksheet!T337,"")))</f>
        <v>basiel.genbrugge@gmail.com</v>
      </c>
      <c r="L337" t="str">
        <f>IF(AND(Worksheet!V337&lt;&gt;"",Worksheet!V337&lt;&gt;0),Worksheet!V337&amp;"",IF(AND(Worksheet!X337&lt;&gt;"",Worksheet!X337&lt;&gt;0),Worksheet!X337&amp;"",IF(AND(Worksheet!Z337&lt;&gt;"",Worksheet!Z337&lt;&gt;0),Worksheet!Z337&amp;"","")))</f>
        <v>0486314030</v>
      </c>
      <c r="M337" t="str">
        <f>IF(Worksheet!AE337="","",Worksheet!AE337)</f>
        <v>https://app.twizzit.com/public/photos/8579142/s/db8d4000b96831e0c69a1f9ee9bb0955ce673dba.png</v>
      </c>
      <c r="N337" t="str">
        <f>IF(Worksheet!AG337="","",Worksheet!AG337)</f>
        <v/>
      </c>
      <c r="O337" t="str">
        <f>IF(Worksheet!AJ337="","",Worksheet!AJ337)</f>
        <v>Zomerstage 2026 (Blankenberge)</v>
      </c>
      <c r="P337" t="str">
        <f>IF(Worksheet!AK337="","",Worksheet!AK337)</f>
        <v>Speler</v>
      </c>
    </row>
    <row r="338" spans="1:16" x14ac:dyDescent="0.25">
      <c r="A338" t="str">
        <v>Bram Van Wyngene</v>
      </c>
      <c r="B338" t="str">
        <v/>
      </c>
      <c r="C338" t="str">
        <v>0477349575</v>
      </c>
      <c r="D338" t="str">
        <v/>
      </c>
      <c r="E338" s="2" t="str">
        <v/>
      </c>
      <c r="F338" t="str">
        <v>J18 A Haantjes CERTIFISC Oudenaarde</v>
      </c>
      <c r="G338" t="str">
        <v>Coach</v>
      </c>
      <c r="J338" t="str">
        <f>Worksheet!C338&amp;" "&amp;Worksheet!B338</f>
        <v>Tuur Genbrugge</v>
      </c>
      <c r="K338" t="str">
        <f>IF(Worksheet!P338&lt;&gt;"",Worksheet!P338,IF(Worksheet!R338&lt;&gt;"",Worksheet!R338,IF(Worksheet!T338&lt;&gt;"",Worksheet!T338,"")))</f>
        <v/>
      </c>
      <c r="L338" t="str">
        <f>IF(AND(Worksheet!V338&lt;&gt;"",Worksheet!V338&lt;&gt;0),Worksheet!V338&amp;"",IF(AND(Worksheet!X338&lt;&gt;"",Worksheet!X338&lt;&gt;0),Worksheet!X338&amp;"",IF(AND(Worksheet!Z338&lt;&gt;"",Worksheet!Z338&lt;&gt;0),Worksheet!Z338&amp;"","")))</f>
        <v>0486314030</v>
      </c>
      <c r="M338" t="str">
        <f>IF(Worksheet!AE338="","",Worksheet!AE338)</f>
        <v/>
      </c>
      <c r="N338" t="str">
        <f>IF(Worksheet!AG338="","",Worksheet!AG338)</f>
        <v/>
      </c>
      <c r="O338" t="str">
        <f>IF(Worksheet!AJ338="","",Worksheet!AJ338)</f>
        <v xml:space="preserve">Trainerspoule </v>
      </c>
      <c r="P338" t="str">
        <f>IF(Worksheet!AK338="","",Worksheet!AK338)</f>
        <v>Coach</v>
      </c>
    </row>
    <row r="339" spans="1:16" x14ac:dyDescent="0.25">
      <c r="A339" t="str">
        <v>Olivia Vanbutsele</v>
      </c>
      <c r="B339" t="str">
        <v>Mike.vb@telenet.be</v>
      </c>
      <c r="C339" t="str">
        <v>0479484158</v>
      </c>
      <c r="D339" t="str">
        <v>https://app.twizzit.com/public/photos/4292310/s/063d2ce017539cf8df316f28e3a639739d1c1148.jpeg</v>
      </c>
      <c r="E339" s="2" t="str">
        <v/>
      </c>
      <c r="F339" t="str">
        <v>Zomerstage 2026 (Blankenberge)</v>
      </c>
      <c r="G339" t="str">
        <v>Speler</v>
      </c>
      <c r="J339" t="str">
        <f>Worksheet!C339&amp;" "&amp;Worksheet!B339</f>
        <v>Amber Gheysen</v>
      </c>
      <c r="K339" t="str">
        <f>IF(Worksheet!P339&lt;&gt;"",Worksheet!P339,IF(Worksheet!R339&lt;&gt;"",Worksheet!R339,IF(Worksheet!T339&lt;&gt;"",Worksheet!T339,"")))</f>
        <v>amber.gheysen@gmail.com</v>
      </c>
      <c r="L339" t="str">
        <f>IF(AND(Worksheet!V339&lt;&gt;"",Worksheet!V339&lt;&gt;0),Worksheet!V339&amp;"",IF(AND(Worksheet!X339&lt;&gt;"",Worksheet!X339&lt;&gt;0),Worksheet!X339&amp;"",IF(AND(Worksheet!Z339&lt;&gt;"",Worksheet!Z339&lt;&gt;0),Worksheet!Z339&amp;"","")))</f>
        <v>32497236008</v>
      </c>
      <c r="M339" t="str">
        <f>IF(Worksheet!AE339="","",Worksheet!AE339)</f>
        <v>https://app.twizzit.com/public/photos/2182901/s/a2498335971019f322ad895555337e0117e5cb4b.png</v>
      </c>
      <c r="N339" t="str">
        <f>IF(Worksheet!AG339="","",Worksheet!AG339)</f>
        <v/>
      </c>
      <c r="O339" t="str">
        <f>IF(Worksheet!AJ339="","",Worksheet!AJ339)</f>
        <v/>
      </c>
      <c r="P339" t="str">
        <f>IF(Worksheet!AK339="","",Worksheet!AK339)</f>
        <v/>
      </c>
    </row>
    <row r="340" spans="1:16" x14ac:dyDescent="0.25">
      <c r="A340" t="str">
        <v>Olivia Vanbutsele</v>
      </c>
      <c r="B340" t="str">
        <v>Mike.vb@telenet.be</v>
      </c>
      <c r="C340" t="str">
        <v>0479484158</v>
      </c>
      <c r="D340" t="str">
        <v>https://app.twizzit.com/public/photos/4292310/s/063d2ce017539cf8df316f28e3a639739d1c1148.jpeg</v>
      </c>
      <c r="E340" s="2" t="str">
        <v/>
      </c>
      <c r="F340" t="str">
        <v>M14 A Haantjes CERTIFISC  Oudenaarde</v>
      </c>
      <c r="G340" t="str">
        <v>Speler</v>
      </c>
      <c r="J340" t="str">
        <f>Worksheet!C340&amp;" "&amp;Worksheet!B340</f>
        <v>Brent Gheysen</v>
      </c>
      <c r="K340" t="str">
        <f>IF(Worksheet!P340&lt;&gt;"",Worksheet!P340,IF(Worksheet!R340&lt;&gt;"",Worksheet!R340,IF(Worksheet!T340&lt;&gt;"",Worksheet!T340,"")))</f>
        <v/>
      </c>
      <c r="L340" t="str">
        <f>IF(AND(Worksheet!V340&lt;&gt;"",Worksheet!V340&lt;&gt;0),Worksheet!V340&amp;"",IF(AND(Worksheet!X340&lt;&gt;"",Worksheet!X340&lt;&gt;0),Worksheet!X340&amp;"",IF(AND(Worksheet!Z340&lt;&gt;"",Worksheet!Z340&lt;&gt;0),Worksheet!Z340&amp;"","")))</f>
        <v>320493192487</v>
      </c>
      <c r="M340" t="str">
        <f>IF(Worksheet!AE340="","",Worksheet!AE340)</f>
        <v/>
      </c>
      <c r="N340">
        <f>IF(Worksheet!AG340="","",Worksheet!AG340)</f>
        <v>619160</v>
      </c>
      <c r="O340" t="str">
        <f>IF(Worksheet!AJ340="","",Worksheet!AJ340)</f>
        <v/>
      </c>
      <c r="P340" t="str">
        <f>IF(Worksheet!AK340="","",Worksheet!AK340)</f>
        <v/>
      </c>
    </row>
    <row r="341" spans="1:16" x14ac:dyDescent="0.25">
      <c r="A341" t="str">
        <v>Kobe Vandaele</v>
      </c>
      <c r="B341" t="str">
        <v/>
      </c>
      <c r="C341" t="str">
        <v>478439213</v>
      </c>
      <c r="D341" t="str">
        <v/>
      </c>
      <c r="E341" s="2">
        <v>739424</v>
      </c>
      <c r="F341" t="str">
        <v>J16 B Haantjes CERTIFISC Oudenaarde</v>
      </c>
      <c r="G341" t="str">
        <v>Speler</v>
      </c>
      <c r="J341" t="str">
        <f>Worksheet!C341&amp;" "&amp;Worksheet!B341</f>
        <v>Lobke Gheysen</v>
      </c>
      <c r="K341" t="str">
        <f>IF(Worksheet!P341&lt;&gt;"",Worksheet!P341,IF(Worksheet!R341&lt;&gt;"",Worksheet!R341,IF(Worksheet!T341&lt;&gt;"",Worksheet!T341,"")))</f>
        <v/>
      </c>
      <c r="L341" t="str">
        <f>IF(AND(Worksheet!V341&lt;&gt;"",Worksheet!V341&lt;&gt;0),Worksheet!V341&amp;"",IF(AND(Worksheet!X341&lt;&gt;"",Worksheet!X341&lt;&gt;0),Worksheet!X341&amp;"",IF(AND(Worksheet!Z341&lt;&gt;"",Worksheet!Z341&lt;&gt;0),Worksheet!Z341&amp;"","")))</f>
        <v/>
      </c>
      <c r="M341" t="str">
        <f>IF(Worksheet!AE341="","",Worksheet!AE341)</f>
        <v/>
      </c>
      <c r="N341" t="str">
        <f>IF(Worksheet!AG341="","",Worksheet!AG341)</f>
        <v/>
      </c>
      <c r="O341" t="str">
        <f>IF(Worksheet!AJ341="","",Worksheet!AJ341)</f>
        <v/>
      </c>
      <c r="P341" t="str">
        <f>IF(Worksheet!AK341="","",Worksheet!AK341)</f>
        <v/>
      </c>
    </row>
    <row r="342" spans="1:16" x14ac:dyDescent="0.25">
      <c r="A342" t="str">
        <v>Lowie Vande Kerckhove</v>
      </c>
      <c r="B342" t="str">
        <v/>
      </c>
      <c r="C342" t="str">
        <v>0498621224</v>
      </c>
      <c r="D342" t="str">
        <v/>
      </c>
      <c r="E342" s="2">
        <v>705824</v>
      </c>
      <c r="F342" t="str">
        <v>J18 A Haantjes CERTIFISC Oudenaarde</v>
      </c>
      <c r="G342" t="str">
        <v>Speler</v>
      </c>
      <c r="J342" t="str">
        <f>Worksheet!C342&amp;" "&amp;Worksheet!B342</f>
        <v>Hervé Ghyselinck</v>
      </c>
      <c r="K342" t="str">
        <f>IF(Worksheet!P342&lt;&gt;"",Worksheet!P342,IF(Worksheet!R342&lt;&gt;"",Worksheet!R342,IF(Worksheet!T342&lt;&gt;"",Worksheet!T342,"")))</f>
        <v>jonifoucart@hotmail.com</v>
      </c>
      <c r="L342" t="str">
        <f>IF(AND(Worksheet!V342&lt;&gt;"",Worksheet!V342&lt;&gt;0),Worksheet!V342&amp;"",IF(AND(Worksheet!X342&lt;&gt;"",Worksheet!X342&lt;&gt;0),Worksheet!X342&amp;"",IF(AND(Worksheet!Z342&lt;&gt;"",Worksheet!Z342&lt;&gt;0),Worksheet!Z342&amp;"","")))</f>
        <v>0485336563</v>
      </c>
      <c r="M342" t="str">
        <f>IF(Worksheet!AE342="","",Worksheet!AE342)</f>
        <v/>
      </c>
      <c r="N342" t="str">
        <f>IF(Worksheet!AG342="","",Worksheet!AG342)</f>
        <v/>
      </c>
      <c r="O342" t="str">
        <f>IF(Worksheet!AJ342="","",Worksheet!AJ342)</f>
        <v/>
      </c>
      <c r="P342" t="str">
        <f>IF(Worksheet!AK342="","",Worksheet!AK342)</f>
        <v/>
      </c>
    </row>
    <row r="343" spans="1:16" x14ac:dyDescent="0.25">
      <c r="A343" t="str">
        <v>Lowie Vande Kerckhove</v>
      </c>
      <c r="B343" t="str">
        <v/>
      </c>
      <c r="C343" t="str">
        <v>0498621224</v>
      </c>
      <c r="D343" t="str">
        <v/>
      </c>
      <c r="E343" s="2">
        <v>705824</v>
      </c>
      <c r="F343" t="str">
        <v>Zomerstage 2026 (Blankenberge)</v>
      </c>
      <c r="G343" t="str">
        <v>Speler</v>
      </c>
      <c r="J343" t="str">
        <f>Worksheet!C343&amp;" "&amp;Worksheet!B343</f>
        <v>Kathelyn Ghyselinck</v>
      </c>
      <c r="K343" t="str">
        <f>IF(Worksheet!P343&lt;&gt;"",Worksheet!P343,IF(Worksheet!R343&lt;&gt;"",Worksheet!R343,IF(Worksheet!T343&lt;&gt;"",Worksheet!T343,"")))</f>
        <v/>
      </c>
      <c r="L343" t="str">
        <f>IF(AND(Worksheet!V343&lt;&gt;"",Worksheet!V343&lt;&gt;0),Worksheet!V343&amp;"",IF(AND(Worksheet!X343&lt;&gt;"",Worksheet!X343&lt;&gt;0),Worksheet!X343&amp;"",IF(AND(Worksheet!Z343&lt;&gt;"",Worksheet!Z343&lt;&gt;0),Worksheet!Z343&amp;"","")))</f>
        <v/>
      </c>
      <c r="M343" t="str">
        <f>IF(Worksheet!AE343="","",Worksheet!AE343)</f>
        <v/>
      </c>
      <c r="N343" t="str">
        <f>IF(Worksheet!AG343="","",Worksheet!AG343)</f>
        <v/>
      </c>
      <c r="O343" t="str">
        <f>IF(Worksheet!AJ343="","",Worksheet!AJ343)</f>
        <v/>
      </c>
      <c r="P343" t="str">
        <f>IF(Worksheet!AK343="","",Worksheet!AK343)</f>
        <v/>
      </c>
    </row>
    <row r="344" spans="1:16" x14ac:dyDescent="0.25">
      <c r="A344" t="str">
        <v>Lukas Vandemaele</v>
      </c>
      <c r="B344" t="str">
        <v>Wimvandemaele@hotmail.com</v>
      </c>
      <c r="C344" t="str">
        <v>3247849513</v>
      </c>
      <c r="D344" t="str">
        <v/>
      </c>
      <c r="E344" s="2">
        <v>735083</v>
      </c>
      <c r="F344" t="str">
        <v>J16 B Haantjes CERTIFISC Oudenaarde</v>
      </c>
      <c r="G344" t="str">
        <v>Speler</v>
      </c>
      <c r="J344" t="str">
        <f>Worksheet!C344&amp;" "&amp;Worksheet!B344</f>
        <v>Yves Bellard Giriteka</v>
      </c>
      <c r="K344" t="str">
        <f>IF(Worksheet!P344&lt;&gt;"",Worksheet!P344,IF(Worksheet!R344&lt;&gt;"",Worksheet!R344,IF(Worksheet!T344&lt;&gt;"",Worksheet!T344,"")))</f>
        <v/>
      </c>
      <c r="L344" t="str">
        <f>IF(AND(Worksheet!V344&lt;&gt;"",Worksheet!V344&lt;&gt;0),Worksheet!V344&amp;"",IF(AND(Worksheet!X344&lt;&gt;"",Worksheet!X344&lt;&gt;0),Worksheet!X344&amp;"",IF(AND(Worksheet!Z344&lt;&gt;"",Worksheet!Z344&lt;&gt;0),Worksheet!Z344&amp;"","")))</f>
        <v>0466419783</v>
      </c>
      <c r="M344" t="str">
        <f>IF(Worksheet!AE344="","",Worksheet!AE344)</f>
        <v/>
      </c>
      <c r="N344" t="str">
        <f>IF(Worksheet!AG344="","",Worksheet!AG344)</f>
        <v/>
      </c>
      <c r="O344" t="str">
        <f>IF(Worksheet!AJ344="","",Worksheet!AJ344)</f>
        <v>HSE B Haantjes Certifisc Oudenaarde</v>
      </c>
      <c r="P344" t="str">
        <f>IF(Worksheet!AK344="","",Worksheet!AK344)</f>
        <v>Speler</v>
      </c>
    </row>
    <row r="345" spans="1:16" x14ac:dyDescent="0.25">
      <c r="A345" t="str">
        <v>Vic Vanden Hautte</v>
      </c>
      <c r="B345" t="str">
        <v>Kevin.vdh@gmail.com</v>
      </c>
      <c r="C345" t="str">
        <v>0473448896</v>
      </c>
      <c r="D345" t="str">
        <v>https://app.twizzit.com/public/photos/10733442/s/de71a0feaf3ea4a6afe343b706af319962bb20c0.jpeg</v>
      </c>
      <c r="E345" s="2" t="str">
        <v/>
      </c>
      <c r="F345" t="str">
        <v>G10 Blauw HAANTJES CERTIFISC OUDENAARDE</v>
      </c>
      <c r="G345" t="str">
        <v>Speler</v>
      </c>
      <c r="J345" t="str">
        <f>Worksheet!C345&amp;" "&amp;Worksheet!B345</f>
        <v>Valerie Glorieux</v>
      </c>
      <c r="K345" t="str">
        <f>IF(Worksheet!P345&lt;&gt;"",Worksheet!P345,IF(Worksheet!R345&lt;&gt;"",Worksheet!R345,IF(Worksheet!T345&lt;&gt;"",Worksheet!T345,"")))</f>
        <v>Nico.demaertelaere@live.be</v>
      </c>
      <c r="L345" t="str">
        <f>IF(AND(Worksheet!V345&lt;&gt;"",Worksheet!V345&lt;&gt;0),Worksheet!V345&amp;"",IF(AND(Worksheet!X345&lt;&gt;"",Worksheet!X345&lt;&gt;0),Worksheet!X345&amp;"",IF(AND(Worksheet!Z345&lt;&gt;"",Worksheet!Z345&lt;&gt;0),Worksheet!Z345&amp;"","")))</f>
        <v>4721630933</v>
      </c>
      <c r="M345" t="str">
        <f>IF(Worksheet!AE345="","",Worksheet!AE345)</f>
        <v/>
      </c>
      <c r="N345" t="str">
        <f>IF(Worksheet!AG345="","",Worksheet!AG345)</f>
        <v/>
      </c>
      <c r="O345" t="str">
        <f>IF(Worksheet!AJ345="","",Worksheet!AJ345)</f>
        <v/>
      </c>
      <c r="P345" t="str">
        <f>IF(Worksheet!AK345="","",Worksheet!AK345)</f>
        <v/>
      </c>
    </row>
    <row r="346" spans="1:16" x14ac:dyDescent="0.25">
      <c r="A346" t="str">
        <v>Ilias Vander Beken</v>
      </c>
      <c r="B346" t="str">
        <v>tine_de_smet90@hotmail.com</v>
      </c>
      <c r="C346" t="str">
        <v>0468142508</v>
      </c>
      <c r="D346" t="str">
        <v>https://app.twizzit.com/public/photos/9469457/s/eb40348dfb8a2c0c9b13e74dd04369019dbd2f32.jpeg</v>
      </c>
      <c r="E346" s="2" t="str">
        <v/>
      </c>
      <c r="F346" t="str">
        <v>Zomerstage 2026 (Blankenberge)</v>
      </c>
      <c r="G346" t="str">
        <v>Speler</v>
      </c>
      <c r="J346" t="str">
        <f>Worksheet!C346&amp;" "&amp;Worksheet!B346</f>
        <v>Dea Gocaj</v>
      </c>
      <c r="K346" t="str">
        <f>IF(Worksheet!P346&lt;&gt;"",Worksheet!P346,IF(Worksheet!R346&lt;&gt;"",Worksheet!R346,IF(Worksheet!T346&lt;&gt;"",Worksheet!T346,"")))</f>
        <v/>
      </c>
      <c r="L346" t="str">
        <f>IF(AND(Worksheet!V346&lt;&gt;"",Worksheet!V346&lt;&gt;0),Worksheet!V346&amp;"",IF(AND(Worksheet!X346&lt;&gt;"",Worksheet!X346&lt;&gt;0),Worksheet!X346&amp;"",IF(AND(Worksheet!Z346&lt;&gt;"",Worksheet!Z346&lt;&gt;0),Worksheet!Z346&amp;"","")))</f>
        <v>00465136417</v>
      </c>
      <c r="M346" t="str">
        <f>IF(Worksheet!AE346="","",Worksheet!AE346)</f>
        <v/>
      </c>
      <c r="N346" t="str">
        <f>IF(Worksheet!AG346="","",Worksheet!AG346)</f>
        <v/>
      </c>
      <c r="O346" t="str">
        <f>IF(Worksheet!AJ346="","",Worksheet!AJ346)</f>
        <v>M10 HAANTJES CERTIFISC OUDENAARDE</v>
      </c>
      <c r="P346" t="str">
        <f>IF(Worksheet!AK346="","",Worksheet!AK346)</f>
        <v>Speler</v>
      </c>
    </row>
    <row r="347" spans="1:16" x14ac:dyDescent="0.25">
      <c r="A347" t="str">
        <v>Ilias Vander Beken</v>
      </c>
      <c r="B347" t="str">
        <v>tine_de_smet90@hotmail.com</v>
      </c>
      <c r="C347" t="str">
        <v>0468142508</v>
      </c>
      <c r="D347" t="str">
        <v>https://app.twizzit.com/public/photos/9469457/s/eb40348dfb8a2c0c9b13e74dd04369019dbd2f32.jpeg</v>
      </c>
      <c r="E347" s="2" t="str">
        <v/>
      </c>
      <c r="F347" t="str">
        <v>G12 Geel HAANTJES CERTIFISC OUDENAARDE</v>
      </c>
      <c r="G347" t="str">
        <v>Speler</v>
      </c>
      <c r="J347" t="str">
        <f>Worksheet!C347&amp;" "&amp;Worksheet!B347</f>
        <v>Jules Godefroot</v>
      </c>
      <c r="K347" t="str">
        <f>IF(Worksheet!P347&lt;&gt;"",Worksheet!P347,IF(Worksheet!R347&lt;&gt;"",Worksheet!R347,IF(Worksheet!T347&lt;&gt;"",Worksheet!T347,"")))</f>
        <v/>
      </c>
      <c r="L347" t="str">
        <f>IF(AND(Worksheet!V347&lt;&gt;"",Worksheet!V347&lt;&gt;0),Worksheet!V347&amp;"",IF(AND(Worksheet!X347&lt;&gt;"",Worksheet!X347&lt;&gt;0),Worksheet!X347&amp;"",IF(AND(Worksheet!Z347&lt;&gt;"",Worksheet!Z347&lt;&gt;0),Worksheet!Z347&amp;"","")))</f>
        <v>0473683008</v>
      </c>
      <c r="M347" t="str">
        <f>IF(Worksheet!AE347="","",Worksheet!AE347)</f>
        <v/>
      </c>
      <c r="N347">
        <f>IF(Worksheet!AG347="","",Worksheet!AG347)</f>
        <v>747253</v>
      </c>
      <c r="O347" t="str">
        <f>IF(Worksheet!AJ347="","",Worksheet!AJ347)</f>
        <v/>
      </c>
      <c r="P347" t="str">
        <f>IF(Worksheet!AK347="","",Worksheet!AK347)</f>
        <v/>
      </c>
    </row>
    <row r="348" spans="1:16" x14ac:dyDescent="0.25">
      <c r="A348" t="str">
        <v>Emiel Vanderhelstraeten</v>
      </c>
      <c r="B348" t="str">
        <v>anneleendesmet1978@outlook.com</v>
      </c>
      <c r="C348" t="str">
        <v/>
      </c>
      <c r="D348" t="str">
        <v/>
      </c>
      <c r="E348" s="2">
        <v>666306</v>
      </c>
      <c r="F348" t="str">
        <v>J21 A HAANTJES CERTIFISC OUDENAARDE</v>
      </c>
      <c r="G348" t="str">
        <v>Speler</v>
      </c>
      <c r="J348" t="str">
        <f>Worksheet!C348&amp;" "&amp;Worksheet!B348</f>
        <v>Wolf Godefroot</v>
      </c>
      <c r="K348" t="str">
        <f>IF(Worksheet!P348&lt;&gt;"",Worksheet!P348,IF(Worksheet!R348&lt;&gt;"",Worksheet!R348,IF(Worksheet!T348&lt;&gt;"",Worksheet!T348,"")))</f>
        <v/>
      </c>
      <c r="L348" t="str">
        <f>IF(AND(Worksheet!V348&lt;&gt;"",Worksheet!V348&lt;&gt;0),Worksheet!V348&amp;"",IF(AND(Worksheet!X348&lt;&gt;"",Worksheet!X348&lt;&gt;0),Worksheet!X348&amp;"",IF(AND(Worksheet!Z348&lt;&gt;"",Worksheet!Z348&lt;&gt;0),Worksheet!Z348&amp;"","")))</f>
        <v>320473683008</v>
      </c>
      <c r="M348" t="str">
        <f>IF(Worksheet!AE348="","",Worksheet!AE348)</f>
        <v/>
      </c>
      <c r="N348" t="str">
        <f>IF(Worksheet!AG348="","",Worksheet!AG348)</f>
        <v/>
      </c>
      <c r="O348" t="str">
        <f>IF(Worksheet!AJ348="","",Worksheet!AJ348)</f>
        <v/>
      </c>
      <c r="P348" t="str">
        <f>IF(Worksheet!AK348="","",Worksheet!AK348)</f>
        <v/>
      </c>
    </row>
    <row r="349" spans="1:16" x14ac:dyDescent="0.25">
      <c r="A349" t="str">
        <v>Auguste Vanderschueren</v>
      </c>
      <c r="B349" t="str">
        <v>olivier.vanderschueren@safetyjogger.com</v>
      </c>
      <c r="C349" t="str">
        <v/>
      </c>
      <c r="D349" t="str">
        <v/>
      </c>
      <c r="E349" s="2" t="str">
        <v/>
      </c>
      <c r="F349" t="str">
        <v>G08 Geel HAANTJES CERTIFISC OUDENAARDE</v>
      </c>
      <c r="G349" t="str">
        <v>Speler</v>
      </c>
      <c r="J349" t="str">
        <f>Worksheet!C349&amp;" "&amp;Worksheet!B349</f>
        <v>Oben Godpower</v>
      </c>
      <c r="K349" t="str">
        <f>IF(Worksheet!P349&lt;&gt;"",Worksheet!P349,IF(Worksheet!R349&lt;&gt;"",Worksheet!R349,IF(Worksheet!T349&lt;&gt;"",Worksheet!T349,"")))</f>
        <v/>
      </c>
      <c r="L349" t="str">
        <f>IF(AND(Worksheet!V349&lt;&gt;"",Worksheet!V349&lt;&gt;0),Worksheet!V349&amp;"",IF(AND(Worksheet!X349&lt;&gt;"",Worksheet!X349&lt;&gt;0),Worksheet!X349&amp;"",IF(AND(Worksheet!Z349&lt;&gt;"",Worksheet!Z349&lt;&gt;0),Worksheet!Z349&amp;"","")))</f>
        <v>0497885450</v>
      </c>
      <c r="M349" t="str">
        <f>IF(Worksheet!AE349="","",Worksheet!AE349)</f>
        <v/>
      </c>
      <c r="N349" t="str">
        <f>IF(Worksheet!AG349="","",Worksheet!AG349)</f>
        <v/>
      </c>
      <c r="O349" t="str">
        <f>IF(Worksheet!AJ349="","",Worksheet!AJ349)</f>
        <v>G14 B Haantjes CERTIFISC Oudenaarde</v>
      </c>
      <c r="P349" t="str">
        <f>IF(Worksheet!AK349="","",Worksheet!AK349)</f>
        <v>Speler</v>
      </c>
    </row>
    <row r="350" spans="1:16" x14ac:dyDescent="0.25">
      <c r="A350" t="str">
        <v>Lucas Vanderstraeten</v>
      </c>
      <c r="B350" t="str">
        <v/>
      </c>
      <c r="C350" t="str">
        <v>0496654860</v>
      </c>
      <c r="D350" t="str">
        <v>https://app.twizzit.com/public/photos/3447788/s/a21b510884c5e068d9fd07894f967e10ecef7568.png</v>
      </c>
      <c r="E350" s="2" t="str">
        <v/>
      </c>
      <c r="F350" t="str">
        <v>G12 Blauw HAANTJES CERTIFISC OUDENAARDE</v>
      </c>
      <c r="G350" t="str">
        <v>Speler</v>
      </c>
      <c r="J350" t="str">
        <f>Worksheet!C350&amp;" "&amp;Worksheet!B350</f>
        <v>Briek Goossens</v>
      </c>
      <c r="K350" t="str">
        <f>IF(Worksheet!P350&lt;&gt;"",Worksheet!P350,IF(Worksheet!R350&lt;&gt;"",Worksheet!R350,IF(Worksheet!T350&lt;&gt;"",Worksheet!T350,"")))</f>
        <v>dries.goossens@gmail.com</v>
      </c>
      <c r="L350" t="str">
        <f>IF(AND(Worksheet!V350&lt;&gt;"",Worksheet!V350&lt;&gt;0),Worksheet!V350&amp;"",IF(AND(Worksheet!X350&lt;&gt;"",Worksheet!X350&lt;&gt;0),Worksheet!X350&amp;"",IF(AND(Worksheet!Z350&lt;&gt;"",Worksheet!Z350&lt;&gt;0),Worksheet!Z350&amp;"","")))</f>
        <v>320497948892</v>
      </c>
      <c r="M350" t="str">
        <f>IF(Worksheet!AE350="","",Worksheet!AE350)</f>
        <v/>
      </c>
      <c r="N350">
        <f>IF(Worksheet!AG350="","",Worksheet!AG350)</f>
        <v>735147</v>
      </c>
      <c r="O350" t="str">
        <f>IF(Worksheet!AJ350="","",Worksheet!AJ350)</f>
        <v>J16 A Haantjes CERTIFISC Oudenaarde</v>
      </c>
      <c r="P350" t="str">
        <f>IF(Worksheet!AK350="","",Worksheet!AK350)</f>
        <v>Speler</v>
      </c>
    </row>
    <row r="351" spans="1:16" x14ac:dyDescent="0.25">
      <c r="A351" t="str">
        <v>Lucas Vanderstraeten</v>
      </c>
      <c r="B351" t="str">
        <v/>
      </c>
      <c r="C351" t="str">
        <v>0496654860</v>
      </c>
      <c r="D351" t="str">
        <v>https://app.twizzit.com/public/photos/3447788/s/a21b510884c5e068d9fd07894f967e10ecef7568.png</v>
      </c>
      <c r="E351" s="2" t="str">
        <v/>
      </c>
      <c r="F351" t="str">
        <v>Zomerstage 2026 (Blankenberge)</v>
      </c>
      <c r="G351" t="str">
        <v>Speler</v>
      </c>
      <c r="J351" t="str">
        <f>Worksheet!C351&amp;" "&amp;Worksheet!B351</f>
        <v>Briek Goossens</v>
      </c>
      <c r="K351" t="str">
        <f>IF(Worksheet!P351&lt;&gt;"",Worksheet!P351,IF(Worksheet!R351&lt;&gt;"",Worksheet!R351,IF(Worksheet!T351&lt;&gt;"",Worksheet!T351,"")))</f>
        <v>dries.goossens@gmail.com</v>
      </c>
      <c r="L351" t="str">
        <f>IF(AND(Worksheet!V351&lt;&gt;"",Worksheet!V351&lt;&gt;0),Worksheet!V351&amp;"",IF(AND(Worksheet!X351&lt;&gt;"",Worksheet!X351&lt;&gt;0),Worksheet!X351&amp;"",IF(AND(Worksheet!Z351&lt;&gt;"",Worksheet!Z351&lt;&gt;0),Worksheet!Z351&amp;"","")))</f>
        <v>320497948892</v>
      </c>
      <c r="M351" t="str">
        <f>IF(Worksheet!AE351="","",Worksheet!AE351)</f>
        <v/>
      </c>
      <c r="N351">
        <f>IF(Worksheet!AG351="","",Worksheet!AG351)</f>
        <v>735147</v>
      </c>
      <c r="O351" t="str">
        <f>IF(Worksheet!AJ351="","",Worksheet!AJ351)</f>
        <v>Zomerstage 2026 (Blankenberge)</v>
      </c>
      <c r="P351" t="str">
        <f>IF(Worksheet!AK351="","",Worksheet!AK351)</f>
        <v>Speler</v>
      </c>
    </row>
    <row r="352" spans="1:16" x14ac:dyDescent="0.25">
      <c r="A352" t="str">
        <v>Lucas Vanderstraeten</v>
      </c>
      <c r="B352" t="str">
        <v/>
      </c>
      <c r="C352" t="str">
        <v>0496654860</v>
      </c>
      <c r="D352" t="str">
        <v>https://app.twizzit.com/public/photos/3447788/s/a21b510884c5e068d9fd07894f967e10ecef7568.png</v>
      </c>
      <c r="E352" s="2" t="str">
        <v/>
      </c>
      <c r="F352" t="str">
        <v>Zomerstage 2026 U10 &amp; U12 (Oudenaarde)</v>
      </c>
      <c r="G352" t="str">
        <v>Speler</v>
      </c>
      <c r="J352" t="str">
        <f>Worksheet!C352&amp;" "&amp;Worksheet!B352</f>
        <v>Dries Goossens</v>
      </c>
      <c r="K352" t="str">
        <f>IF(Worksheet!P352&lt;&gt;"",Worksheet!P352,IF(Worksheet!R352&lt;&gt;"",Worksheet!R352,IF(Worksheet!T352&lt;&gt;"",Worksheet!T352,"")))</f>
        <v/>
      </c>
      <c r="L352" t="str">
        <f>IF(AND(Worksheet!V352&lt;&gt;"",Worksheet!V352&lt;&gt;0),Worksheet!V352&amp;"",IF(AND(Worksheet!X352&lt;&gt;"",Worksheet!X352&lt;&gt;0),Worksheet!X352&amp;"",IF(AND(Worksheet!Z352&lt;&gt;"",Worksheet!Z352&lt;&gt;0),Worksheet!Z352&amp;"","")))</f>
        <v/>
      </c>
      <c r="M352" t="str">
        <f>IF(Worksheet!AE352="","",Worksheet!AE352)</f>
        <v/>
      </c>
      <c r="N352">
        <f>IF(Worksheet!AG352="","",Worksheet!AG352)</f>
        <v>727876</v>
      </c>
      <c r="O352" t="str">
        <f>IF(Worksheet!AJ352="","",Worksheet!AJ352)</f>
        <v/>
      </c>
      <c r="P352" t="str">
        <f>IF(Worksheet!AK352="","",Worksheet!AK352)</f>
        <v/>
      </c>
    </row>
    <row r="353" spans="1:16" x14ac:dyDescent="0.25">
      <c r="A353" t="str">
        <v>Flo Vandewege</v>
      </c>
      <c r="B353" t="str">
        <v>diedev@hotmail.com</v>
      </c>
      <c r="C353" t="str">
        <v>0496432106</v>
      </c>
      <c r="D353" t="str">
        <v>https://app.twizzit.com/public/photos/10452584/s/5f2777167147a40d5e0cdf16d10044b2680e0e8c.png</v>
      </c>
      <c r="E353" s="2" t="str">
        <v/>
      </c>
      <c r="F353" t="str">
        <v>G08 Groen HAANTJES CERTIFISC OUDENAARDE</v>
      </c>
      <c r="G353" t="str">
        <v>Speler</v>
      </c>
      <c r="J353" t="str">
        <f>Worksheet!C353&amp;" "&amp;Worksheet!B353</f>
        <v>Olivier Goossens</v>
      </c>
      <c r="K353" t="str">
        <f>IF(Worksheet!P353&lt;&gt;"",Worksheet!P353,IF(Worksheet!R353&lt;&gt;"",Worksheet!R353,IF(Worksheet!T353&lt;&gt;"",Worksheet!T353,"")))</f>
        <v/>
      </c>
      <c r="L353" t="str">
        <f>IF(AND(Worksheet!V353&lt;&gt;"",Worksheet!V353&lt;&gt;0),Worksheet!V353&amp;"",IF(AND(Worksheet!X353&lt;&gt;"",Worksheet!X353&lt;&gt;0),Worksheet!X353&amp;"",IF(AND(Worksheet!Z353&lt;&gt;"",Worksheet!Z353&lt;&gt;0),Worksheet!Z353&amp;"","")))</f>
        <v/>
      </c>
      <c r="M353" t="str">
        <f>IF(Worksheet!AE353="","",Worksheet!AE353)</f>
        <v>https://app.twizzit.com/public/photos/2934245/s/03a766ee1e50ca3bad05d69030cd7b4aca9e67ff.png</v>
      </c>
      <c r="N353">
        <f>IF(Worksheet!AG353="","",Worksheet!AG353)</f>
        <v>711026</v>
      </c>
      <c r="O353" t="str">
        <f>IF(Worksheet!AJ353="","",Worksheet!AJ353)</f>
        <v/>
      </c>
      <c r="P353" t="str">
        <f>IF(Worksheet!AK353="","",Worksheet!AK353)</f>
        <v/>
      </c>
    </row>
    <row r="354" spans="1:16" x14ac:dyDescent="0.25">
      <c r="A354" t="str">
        <v>Janne Vandriessche</v>
      </c>
      <c r="B354" t="str">
        <v>wout.vandriessche@telenet.be</v>
      </c>
      <c r="C354" t="str">
        <v>0474875556</v>
      </c>
      <c r="D354" t="str">
        <v/>
      </c>
      <c r="E354" s="2">
        <v>703875</v>
      </c>
      <c r="F354" t="str">
        <v>M19 A Haantjes CERTIFISC Oudenaarde</v>
      </c>
      <c r="G354" t="str">
        <v>Speler</v>
      </c>
      <c r="J354" t="str">
        <f>Worksheet!C354&amp;" "&amp;Worksheet!B354</f>
        <v>Thomas Goossens</v>
      </c>
      <c r="K354" t="str">
        <f>IF(Worksheet!P354&lt;&gt;"",Worksheet!P354,IF(Worksheet!R354&lt;&gt;"",Worksheet!R354,IF(Worksheet!T354&lt;&gt;"",Worksheet!T354,"")))</f>
        <v/>
      </c>
      <c r="L354" t="str">
        <f>IF(AND(Worksheet!V354&lt;&gt;"",Worksheet!V354&lt;&gt;0),Worksheet!V354&amp;"",IF(AND(Worksheet!X354&lt;&gt;"",Worksheet!X354&lt;&gt;0),Worksheet!X354&amp;"",IF(AND(Worksheet!Z354&lt;&gt;"",Worksheet!Z354&lt;&gt;0),Worksheet!Z354&amp;"","")))</f>
        <v>0477281468</v>
      </c>
      <c r="M354" t="str">
        <f>IF(Worksheet!AE354="","",Worksheet!AE354)</f>
        <v>https://app.twizzit.com/public/photos/2182921/s/d5ec4bbccbaf575bfa3a597df60827a1e6809d4b.png</v>
      </c>
      <c r="N354">
        <f>IF(Worksheet!AG354="","",Worksheet!AG354)</f>
        <v>708299</v>
      </c>
      <c r="O354" t="str">
        <f>IF(Worksheet!AJ354="","",Worksheet!AJ354)</f>
        <v>J21 A HAANTJES CERTIFISC OUDENAARDE</v>
      </c>
      <c r="P354" t="str">
        <f>IF(Worksheet!AK354="","",Worksheet!AK354)</f>
        <v>Speler</v>
      </c>
    </row>
    <row r="355" spans="1:16" x14ac:dyDescent="0.25">
      <c r="A355" t="str">
        <v>Anaïs Vanhessche</v>
      </c>
      <c r="B355" t="str">
        <v>miekevanderhaeghen@gmail.com</v>
      </c>
      <c r="C355" t="str">
        <v>0477741955</v>
      </c>
      <c r="D355" t="str">
        <v>https://app.twizzit.com/public/photos/2183392/s/3035381a43296f702255c02c3c99c4303bd9ab17.png</v>
      </c>
      <c r="E355" s="2">
        <v>730033</v>
      </c>
      <c r="F355" t="str">
        <v>M16 A Haantjes CERTIFISC  Oudenaarde</v>
      </c>
      <c r="G355" t="str">
        <v>Speler</v>
      </c>
      <c r="J355" t="str">
        <f>Worksheet!C355&amp;" "&amp;Worksheet!B355</f>
        <v>Thomas Goossens</v>
      </c>
      <c r="K355" t="str">
        <f>IF(Worksheet!P355&lt;&gt;"",Worksheet!P355,IF(Worksheet!R355&lt;&gt;"",Worksheet!R355,IF(Worksheet!T355&lt;&gt;"",Worksheet!T355,"")))</f>
        <v/>
      </c>
      <c r="L355" t="str">
        <f>IF(AND(Worksheet!V355&lt;&gt;"",Worksheet!V355&lt;&gt;0),Worksheet!V355&amp;"",IF(AND(Worksheet!X355&lt;&gt;"",Worksheet!X355&lt;&gt;0),Worksheet!X355&amp;"",IF(AND(Worksheet!Z355&lt;&gt;"",Worksheet!Z355&lt;&gt;0),Worksheet!Z355&amp;"","")))</f>
        <v>0477281468</v>
      </c>
      <c r="M355" t="str">
        <f>IF(Worksheet!AE355="","",Worksheet!AE355)</f>
        <v>https://app.twizzit.com/public/photos/2182921/s/d5ec4bbccbaf575bfa3a597df60827a1e6809d4b.png</v>
      </c>
      <c r="N355">
        <f>IF(Worksheet!AG355="","",Worksheet!AG355)</f>
        <v>708299</v>
      </c>
      <c r="O355" t="str">
        <f>IF(Worksheet!AJ355="","",Worksheet!AJ355)</f>
        <v>HSE B Haantjes Certifisc Oudenaarde</v>
      </c>
      <c r="P355" t="str">
        <f>IF(Worksheet!AK355="","",Worksheet!AK355)</f>
        <v>Speler</v>
      </c>
    </row>
    <row r="356" spans="1:16" x14ac:dyDescent="0.25">
      <c r="A356" t="str">
        <v>Anaïs Vanhessche</v>
      </c>
      <c r="B356" t="str">
        <v>miekevanderhaeghen@gmail.com</v>
      </c>
      <c r="C356" t="str">
        <v>0477741955</v>
      </c>
      <c r="D356" t="str">
        <v>https://app.twizzit.com/public/photos/2183392/s/3035381a43296f702255c02c3c99c4303bd9ab17.png</v>
      </c>
      <c r="E356" s="2">
        <v>730033</v>
      </c>
      <c r="F356" t="str">
        <v>Zomerstage 2026 (Blankenberge)</v>
      </c>
      <c r="G356" t="str">
        <v>Speler</v>
      </c>
      <c r="J356" t="str">
        <f>Worksheet!C356&amp;" "&amp;Worksheet!B356</f>
        <v>Tuur Goossens</v>
      </c>
      <c r="K356" t="str">
        <f>IF(Worksheet!P356&lt;&gt;"",Worksheet!P356,IF(Worksheet!R356&lt;&gt;"",Worksheet!R356,IF(Worksheet!T356&lt;&gt;"",Worksheet!T356,"")))</f>
        <v>dries.goossens@gmail.com</v>
      </c>
      <c r="L356" t="str">
        <f>IF(AND(Worksheet!V356&lt;&gt;"",Worksheet!V356&lt;&gt;0),Worksheet!V356&amp;"",IF(AND(Worksheet!X356&lt;&gt;"",Worksheet!X356&lt;&gt;0),Worksheet!X356&amp;"",IF(AND(Worksheet!Z356&lt;&gt;"",Worksheet!Z356&lt;&gt;0),Worksheet!Z356&amp;"","")))</f>
        <v>320497948892</v>
      </c>
      <c r="M356" t="str">
        <f>IF(Worksheet!AE356="","",Worksheet!AE356)</f>
        <v/>
      </c>
      <c r="N356">
        <f>IF(Worksheet!AG356="","",Worksheet!AG356)</f>
        <v>735148</v>
      </c>
      <c r="O356" t="str">
        <f>IF(Worksheet!AJ356="","",Worksheet!AJ356)</f>
        <v>G14 B Haantjes CERTIFISC Oudenaarde</v>
      </c>
      <c r="P356" t="str">
        <f>IF(Worksheet!AK356="","",Worksheet!AK356)</f>
        <v>Speler</v>
      </c>
    </row>
    <row r="357" spans="1:16" x14ac:dyDescent="0.25">
      <c r="A357" t="str">
        <v>Ronan Vanneste</v>
      </c>
      <c r="B357" t="str">
        <v>Koen.vanneste.k@gmail.com</v>
      </c>
      <c r="C357" t="str">
        <v>0476974657</v>
      </c>
      <c r="D357" t="str">
        <v>https://app.twizzit.com/public/photos/7992424/s/7741759047d554aed7aaac84a694a4ea4a62b085.jpeg</v>
      </c>
      <c r="E357" s="2" t="str">
        <v/>
      </c>
      <c r="F357" t="str">
        <v>G08 Blauw HAANTJES CERTIFISC OUDENAARDE</v>
      </c>
      <c r="G357" t="str">
        <v>Speler</v>
      </c>
      <c r="J357" t="str">
        <f>Worksheet!C357&amp;" "&amp;Worksheet!B357</f>
        <v>Heike Guenter</v>
      </c>
      <c r="K357" t="str">
        <f>IF(Worksheet!P357&lt;&gt;"",Worksheet!P357,IF(Worksheet!R357&lt;&gt;"",Worksheet!R357,IF(Worksheet!T357&lt;&gt;"",Worksheet!T357,"")))</f>
        <v>Heike.guenter@telenet.be</v>
      </c>
      <c r="L357" t="str">
        <f>IF(AND(Worksheet!V357&lt;&gt;"",Worksheet!V357&lt;&gt;0),Worksheet!V357&amp;"",IF(AND(Worksheet!X357&lt;&gt;"",Worksheet!X357&lt;&gt;0),Worksheet!X357&amp;"",IF(AND(Worksheet!Z357&lt;&gt;"",Worksheet!Z357&lt;&gt;0),Worksheet!Z357&amp;"","")))</f>
        <v>0474664394</v>
      </c>
      <c r="M357" t="str">
        <f>IF(Worksheet!AE357="","",Worksheet!AE357)</f>
        <v/>
      </c>
      <c r="N357">
        <f>IF(Worksheet!AG357="","",Worksheet!AG357)</f>
        <v>727038</v>
      </c>
      <c r="O357" t="str">
        <f>IF(Worksheet!AJ357="","",Worksheet!AJ357)</f>
        <v>DSE A Haantjes Certifisc Oudenaarde</v>
      </c>
      <c r="P357" t="str">
        <f>IF(Worksheet!AK357="","",Worksheet!AK357)</f>
        <v>Speler</v>
      </c>
    </row>
    <row r="358" spans="1:16" x14ac:dyDescent="0.25">
      <c r="A358" t="str">
        <v>Ronan Vanneste</v>
      </c>
      <c r="B358" t="str">
        <v>Koen.vanneste.k@gmail.com</v>
      </c>
      <c r="C358" t="str">
        <v>0476974657</v>
      </c>
      <c r="D358" t="str">
        <v>https://app.twizzit.com/public/photos/7992424/s/7741759047d554aed7aaac84a694a4ea4a62b085.jpeg</v>
      </c>
      <c r="E358" s="2" t="str">
        <v/>
      </c>
      <c r="F358" t="str">
        <v>Zomerstage 2026 U8 (Oudenaarde)</v>
      </c>
      <c r="G358" t="str">
        <v>Speler</v>
      </c>
      <c r="J358" t="str">
        <f>Worksheet!C358&amp;" "&amp;Worksheet!B358</f>
        <v>Heike Guenter</v>
      </c>
      <c r="K358" t="str">
        <f>IF(Worksheet!P358&lt;&gt;"",Worksheet!P358,IF(Worksheet!R358&lt;&gt;"",Worksheet!R358,IF(Worksheet!T358&lt;&gt;"",Worksheet!T358,"")))</f>
        <v>Heike.guenter@telenet.be</v>
      </c>
      <c r="L358" t="str">
        <f>IF(AND(Worksheet!V358&lt;&gt;"",Worksheet!V358&lt;&gt;0),Worksheet!V358&amp;"",IF(AND(Worksheet!X358&lt;&gt;"",Worksheet!X358&lt;&gt;0),Worksheet!X358&amp;"",IF(AND(Worksheet!Z358&lt;&gt;"",Worksheet!Z358&lt;&gt;0),Worksheet!Z358&amp;"","")))</f>
        <v>0474664394</v>
      </c>
      <c r="M358" t="str">
        <f>IF(Worksheet!AE358="","",Worksheet!AE358)</f>
        <v/>
      </c>
      <c r="N358">
        <f>IF(Worksheet!AG358="","",Worksheet!AG358)</f>
        <v>727038</v>
      </c>
      <c r="O358" t="str">
        <f>IF(Worksheet!AJ358="","",Worksheet!AJ358)</f>
        <v>Zomerstage 2026 (Blankenberge)</v>
      </c>
      <c r="P358" t="str">
        <f>IF(Worksheet!AK358="","",Worksheet!AK358)</f>
        <v>Speler</v>
      </c>
    </row>
    <row r="359" spans="1:16" x14ac:dyDescent="0.25">
      <c r="A359" t="str">
        <v>Joselien Vannieuwenhuyze</v>
      </c>
      <c r="B359" t="str">
        <v>elisabeth.vercammen@outlook.com</v>
      </c>
      <c r="C359" t="str">
        <v>32494645568</v>
      </c>
      <c r="D359" t="str">
        <v>https://app.twizzit.com/public/photos/7500726/s/2eff7ed0f6739149e998067c7d82dda70894fc63.png</v>
      </c>
      <c r="E359" s="2" t="str">
        <v/>
      </c>
      <c r="F359" t="str">
        <v>M12 A HAANTJES CERTIFISC OUDENAARDE</v>
      </c>
      <c r="G359" t="str">
        <v>Speler</v>
      </c>
      <c r="J359" t="str">
        <f>Worksheet!C359&amp;" "&amp;Worksheet!B359</f>
        <v>Heike Guenter</v>
      </c>
      <c r="K359" t="str">
        <f>IF(Worksheet!P359&lt;&gt;"",Worksheet!P359,IF(Worksheet!R359&lt;&gt;"",Worksheet!R359,IF(Worksheet!T359&lt;&gt;"",Worksheet!T359,"")))</f>
        <v>Heike.guenter@telenet.be</v>
      </c>
      <c r="L359" t="str">
        <f>IF(AND(Worksheet!V359&lt;&gt;"",Worksheet!V359&lt;&gt;0),Worksheet!V359&amp;"",IF(AND(Worksheet!X359&lt;&gt;"",Worksheet!X359&lt;&gt;0),Worksheet!X359&amp;"",IF(AND(Worksheet!Z359&lt;&gt;"",Worksheet!Z359&lt;&gt;0),Worksheet!Z359&amp;"","")))</f>
        <v>0474664394</v>
      </c>
      <c r="M359" t="str">
        <f>IF(Worksheet!AE359="","",Worksheet!AE359)</f>
        <v/>
      </c>
      <c r="N359">
        <f>IF(Worksheet!AG359="","",Worksheet!AG359)</f>
        <v>727038</v>
      </c>
      <c r="O359" t="str">
        <f>IF(Worksheet!AJ359="","",Worksheet!AJ359)</f>
        <v>M19 A Haantjes CERTIFISC Oudenaarde</v>
      </c>
      <c r="P359" t="str">
        <f>IF(Worksheet!AK359="","",Worksheet!AK359)</f>
        <v>Speler</v>
      </c>
    </row>
    <row r="360" spans="1:16" x14ac:dyDescent="0.25">
      <c r="A360" t="str">
        <v>Lias Velghe</v>
      </c>
      <c r="B360" t="str">
        <v>natacham_davidv@hotmail.be</v>
      </c>
      <c r="C360" t="str">
        <v>0498593233</v>
      </c>
      <c r="D360" t="str">
        <v>https://app.twizzit.com/public/photos/3445768/s/4c884b157432a6deaaa18542df061bd432646fa3.png</v>
      </c>
      <c r="E360" s="2" t="str">
        <v/>
      </c>
      <c r="F360" t="str">
        <v>G10 Geel HAANTJES CERTIFISC OUDENAARDE</v>
      </c>
      <c r="G360" t="str">
        <v>Speler</v>
      </c>
      <c r="J360" t="str">
        <f>Worksheet!C360&amp;" "&amp;Worksheet!B360</f>
        <v>Viktor Guillaume</v>
      </c>
      <c r="K360" t="str">
        <f>IF(Worksheet!P360&lt;&gt;"",Worksheet!P360,IF(Worksheet!R360&lt;&gt;"",Worksheet!R360,IF(Worksheet!T360&lt;&gt;"",Worksheet!T360,"")))</f>
        <v>Dieter.Guillaume@gmail.com</v>
      </c>
      <c r="L360" t="str">
        <f>IF(AND(Worksheet!V360&lt;&gt;"",Worksheet!V360&lt;&gt;0),Worksheet!V360&amp;"",IF(AND(Worksheet!X360&lt;&gt;"",Worksheet!X360&lt;&gt;0),Worksheet!X360&amp;"",IF(AND(Worksheet!Z360&lt;&gt;"",Worksheet!Z360&lt;&gt;0),Worksheet!Z360&amp;"","")))</f>
        <v>0489100744</v>
      </c>
      <c r="M360" t="str">
        <f>IF(Worksheet!AE360="","",Worksheet!AE360)</f>
        <v/>
      </c>
      <c r="N360" t="str">
        <f>IF(Worksheet!AG360="","",Worksheet!AG360)</f>
        <v/>
      </c>
      <c r="O360" t="str">
        <f>IF(Worksheet!AJ360="","",Worksheet!AJ360)</f>
        <v>G10 Blauw HAANTJES CERTIFISC OUDENAARDE</v>
      </c>
      <c r="P360" t="str">
        <f>IF(Worksheet!AK360="","",Worksheet!AK360)</f>
        <v>Speler</v>
      </c>
    </row>
    <row r="361" spans="1:16" x14ac:dyDescent="0.25">
      <c r="A361" t="str">
        <v>Basile Verbrugghe</v>
      </c>
      <c r="B361" t="str">
        <v>Chrisverbrugghe@hotmail.com</v>
      </c>
      <c r="C361" t="str">
        <v>32479311550</v>
      </c>
      <c r="D361" t="str">
        <v/>
      </c>
      <c r="E361" s="2" t="str">
        <v/>
      </c>
      <c r="F361" t="str">
        <v>G10 Geel HAANTJES CERTIFISC OUDENAARDE</v>
      </c>
      <c r="G361" t="str">
        <v>Speler</v>
      </c>
      <c r="J361" t="str">
        <f>Worksheet!C361&amp;" "&amp;Worksheet!B361</f>
        <v>Eva Haffner</v>
      </c>
      <c r="K361" t="str">
        <f>IF(Worksheet!P361&lt;&gt;"",Worksheet!P361,IF(Worksheet!R361&lt;&gt;"",Worksheet!R361,IF(Worksheet!T361&lt;&gt;"",Worksheet!T361,"")))</f>
        <v>haffner.r@hotmail.com</v>
      </c>
      <c r="L361" t="str">
        <f>IF(AND(Worksheet!V361&lt;&gt;"",Worksheet!V361&lt;&gt;0),Worksheet!V361&amp;"",IF(AND(Worksheet!X361&lt;&gt;"",Worksheet!X361&lt;&gt;0),Worksheet!X361&amp;"",IF(AND(Worksheet!Z361&lt;&gt;"",Worksheet!Z361&lt;&gt;0),Worksheet!Z361&amp;"","")))</f>
        <v>0470654159</v>
      </c>
      <c r="M361" t="str">
        <f>IF(Worksheet!AE361="","",Worksheet!AE361)</f>
        <v/>
      </c>
      <c r="N361" t="str">
        <f>IF(Worksheet!AG361="","",Worksheet!AG361)</f>
        <v/>
      </c>
      <c r="O361" t="str">
        <f>IF(Worksheet!AJ361="","",Worksheet!AJ361)</f>
        <v/>
      </c>
      <c r="P361" t="str">
        <f>IF(Worksheet!AK361="","",Worksheet!AK361)</f>
        <v/>
      </c>
    </row>
    <row r="362" spans="1:16" x14ac:dyDescent="0.25">
      <c r="A362" t="str">
        <v>Lente Verhaeghe</v>
      </c>
      <c r="B362" t="str">
        <v>achiel.en.hector@hotmail.com</v>
      </c>
      <c r="C362" t="str">
        <v/>
      </c>
      <c r="D362" t="str">
        <v>https://app.twizzit.com/public/photos/3706826/s/7283d518f82547e0fb530790cddedb0edf0a5785.jpeg</v>
      </c>
      <c r="E362" s="2" t="str">
        <v/>
      </c>
      <c r="F362" t="str">
        <v>DSE A Haantjes Certifisc Oudenaarde</v>
      </c>
      <c r="G362" t="str">
        <v>Speler</v>
      </c>
      <c r="J362" t="str">
        <f>Worksheet!C362&amp;" "&amp;Worksheet!B362</f>
        <v>Laura Hakuzimana</v>
      </c>
      <c r="K362" t="str">
        <f>IF(Worksheet!P362&lt;&gt;"",Worksheet!P362,IF(Worksheet!R362&lt;&gt;"",Worksheet!R362,IF(Worksheet!T362&lt;&gt;"",Worksheet!T362,"")))</f>
        <v/>
      </c>
      <c r="L362" t="str">
        <f>IF(AND(Worksheet!V362&lt;&gt;"",Worksheet!V362&lt;&gt;0),Worksheet!V362&amp;"",IF(AND(Worksheet!X362&lt;&gt;"",Worksheet!X362&lt;&gt;0),Worksheet!X362&amp;"",IF(AND(Worksheet!Z362&lt;&gt;"",Worksheet!Z362&lt;&gt;0),Worksheet!Z362&amp;"","")))</f>
        <v>0496950967</v>
      </c>
      <c r="M362" t="str">
        <f>IF(Worksheet!AE362="","",Worksheet!AE362)</f>
        <v/>
      </c>
      <c r="N362">
        <f>IF(Worksheet!AG362="","",Worksheet!AG362)</f>
        <v>721092</v>
      </c>
      <c r="O362" t="str">
        <f>IF(Worksheet!AJ362="","",Worksheet!AJ362)</f>
        <v>M16 A Haantjes CERTIFISC  Oudenaarde</v>
      </c>
      <c r="P362" t="str">
        <f>IF(Worksheet!AK362="","",Worksheet!AK362)</f>
        <v>Speler</v>
      </c>
    </row>
    <row r="363" spans="1:16" x14ac:dyDescent="0.25">
      <c r="A363" t="str">
        <v>Lente Verhaeghe</v>
      </c>
      <c r="B363" t="str">
        <v>achiel.en.hector@hotmail.com</v>
      </c>
      <c r="C363" t="str">
        <v/>
      </c>
      <c r="D363" t="str">
        <v>https://app.twizzit.com/public/photos/3706826/s/7283d518f82547e0fb530790cddedb0edf0a5785.jpeg</v>
      </c>
      <c r="E363" s="2" t="str">
        <v/>
      </c>
      <c r="F363" t="str">
        <v>Zomerstage 2026 (Blankenberge)</v>
      </c>
      <c r="G363" t="str">
        <v>Speler</v>
      </c>
      <c r="J363" t="str">
        <f>Worksheet!C363&amp;" "&amp;Worksheet!B363</f>
        <v>Laura Hakuzimana</v>
      </c>
      <c r="K363" t="str">
        <f>IF(Worksheet!P363&lt;&gt;"",Worksheet!P363,IF(Worksheet!R363&lt;&gt;"",Worksheet!R363,IF(Worksheet!T363&lt;&gt;"",Worksheet!T363,"")))</f>
        <v/>
      </c>
      <c r="L363" t="str">
        <f>IF(AND(Worksheet!V363&lt;&gt;"",Worksheet!V363&lt;&gt;0),Worksheet!V363&amp;"",IF(AND(Worksheet!X363&lt;&gt;"",Worksheet!X363&lt;&gt;0),Worksheet!X363&amp;"",IF(AND(Worksheet!Z363&lt;&gt;"",Worksheet!Z363&lt;&gt;0),Worksheet!Z363&amp;"","")))</f>
        <v>0496950967</v>
      </c>
      <c r="M363" t="str">
        <f>IF(Worksheet!AE363="","",Worksheet!AE363)</f>
        <v/>
      </c>
      <c r="N363">
        <f>IF(Worksheet!AG363="","",Worksheet!AG363)</f>
        <v>721092</v>
      </c>
      <c r="O363" t="str">
        <f>IF(Worksheet!AJ363="","",Worksheet!AJ363)</f>
        <v>Zomerstage 2026 (Blankenberge)</v>
      </c>
      <c r="P363" t="str">
        <f>IF(Worksheet!AK363="","",Worksheet!AK363)</f>
        <v>Speler</v>
      </c>
    </row>
    <row r="364" spans="1:16" x14ac:dyDescent="0.25">
      <c r="A364" t="str">
        <v>Lente Verhaeghe</v>
      </c>
      <c r="B364" t="str">
        <v>achiel.en.hector@hotmail.com</v>
      </c>
      <c r="C364" t="str">
        <v/>
      </c>
      <c r="D364" t="str">
        <v>https://app.twizzit.com/public/photos/3706826/s/7283d518f82547e0fb530790cddedb0edf0a5785.jpeg</v>
      </c>
      <c r="E364" s="2" t="str">
        <v/>
      </c>
      <c r="F364" t="str">
        <v>M19 A Haantjes CERTIFISC Oudenaarde</v>
      </c>
      <c r="G364" t="str">
        <v>Speler</v>
      </c>
      <c r="J364" t="str">
        <f>Worksheet!C364&amp;" "&amp;Worksheet!B364</f>
        <v>Sander Hakuzimana</v>
      </c>
      <c r="K364" t="str">
        <f>IF(Worksheet!P364&lt;&gt;"",Worksheet!P364,IF(Worksheet!R364&lt;&gt;"",Worksheet!R364,IF(Worksheet!T364&lt;&gt;"",Worksheet!T364,"")))</f>
        <v/>
      </c>
      <c r="L364" t="str">
        <f>IF(AND(Worksheet!V364&lt;&gt;"",Worksheet!V364&lt;&gt;0),Worksheet!V364&amp;"",IF(AND(Worksheet!X364&lt;&gt;"",Worksheet!X364&lt;&gt;0),Worksheet!X364&amp;"",IF(AND(Worksheet!Z364&lt;&gt;"",Worksheet!Z364&lt;&gt;0),Worksheet!Z364&amp;"","")))</f>
        <v>0496950967</v>
      </c>
      <c r="M364" t="str">
        <f>IF(Worksheet!AE364="","",Worksheet!AE364)</f>
        <v/>
      </c>
      <c r="N364" t="str">
        <f>IF(Worksheet!AG364="","",Worksheet!AG364)</f>
        <v/>
      </c>
      <c r="O364" t="str">
        <f>IF(Worksheet!AJ364="","",Worksheet!AJ364)</f>
        <v>J21 A HAANTJES CERTIFISC OUDENAARDE</v>
      </c>
      <c r="P364" t="str">
        <f>IF(Worksheet!AK364="","",Worksheet!AK364)</f>
        <v>Speler</v>
      </c>
    </row>
    <row r="365" spans="1:16" x14ac:dyDescent="0.25">
      <c r="A365" t="str">
        <v>Debbie Verhelst</v>
      </c>
      <c r="B365" t="str">
        <v/>
      </c>
      <c r="C365" t="str">
        <v/>
      </c>
      <c r="D365" t="str">
        <v/>
      </c>
      <c r="E365" s="2">
        <v>181550</v>
      </c>
      <c r="F365" t="str">
        <v>G08 Geel HAANTJES CERTIFISC OUDENAARDE</v>
      </c>
      <c r="G365" t="str">
        <v>Coach</v>
      </c>
      <c r="J365" t="str">
        <f>Worksheet!C365&amp;" "&amp;Worksheet!B365</f>
        <v>Sander Hakuzimana</v>
      </c>
      <c r="K365" t="str">
        <f>IF(Worksheet!P365&lt;&gt;"",Worksheet!P365,IF(Worksheet!R365&lt;&gt;"",Worksheet!R365,IF(Worksheet!T365&lt;&gt;"",Worksheet!T365,"")))</f>
        <v/>
      </c>
      <c r="L365" t="str">
        <f>IF(AND(Worksheet!V365&lt;&gt;"",Worksheet!V365&lt;&gt;0),Worksheet!V365&amp;"",IF(AND(Worksheet!X365&lt;&gt;"",Worksheet!X365&lt;&gt;0),Worksheet!X365&amp;"",IF(AND(Worksheet!Z365&lt;&gt;"",Worksheet!Z365&lt;&gt;0),Worksheet!Z365&amp;"","")))</f>
        <v>0496950967</v>
      </c>
      <c r="M365" t="str">
        <f>IF(Worksheet!AE365="","",Worksheet!AE365)</f>
        <v/>
      </c>
      <c r="N365" t="str">
        <f>IF(Worksheet!AG365="","",Worksheet!AG365)</f>
        <v/>
      </c>
      <c r="O365" t="str">
        <f>IF(Worksheet!AJ365="","",Worksheet!AJ365)</f>
        <v>HSE B Haantjes Certifisc Oudenaarde</v>
      </c>
      <c r="P365" t="str">
        <f>IF(Worksheet!AK365="","",Worksheet!AK365)</f>
        <v>Speler</v>
      </c>
    </row>
    <row r="366" spans="1:16" x14ac:dyDescent="0.25">
      <c r="A366" t="str">
        <v>Viek Verhoeyen</v>
      </c>
      <c r="B366" t="str">
        <v/>
      </c>
      <c r="C366" t="str">
        <v>0470229908</v>
      </c>
      <c r="D366" t="str">
        <v/>
      </c>
      <c r="E366" s="2" t="str">
        <v/>
      </c>
      <c r="F366" t="str">
        <v>G14 B Haantjes CERTIFISC Oudenaarde</v>
      </c>
      <c r="G366" t="str">
        <v>Speler</v>
      </c>
      <c r="J366" t="str">
        <f>Worksheet!C366&amp;" "&amp;Worksheet!B366</f>
        <v>Guillaume Hardeel</v>
      </c>
      <c r="K366" t="str">
        <f>IF(Worksheet!P366&lt;&gt;"",Worksheet!P366,IF(Worksheet!R366&lt;&gt;"",Worksheet!R366,IF(Worksheet!T366&lt;&gt;"",Worksheet!T366,"")))</f>
        <v>guillaume.hardeel@outlook.be</v>
      </c>
      <c r="L366" t="str">
        <f>IF(AND(Worksheet!V366&lt;&gt;"",Worksheet!V366&lt;&gt;0),Worksheet!V366&amp;"",IF(AND(Worksheet!X366&lt;&gt;"",Worksheet!X366&lt;&gt;0),Worksheet!X366&amp;"",IF(AND(Worksheet!Z366&lt;&gt;"",Worksheet!Z366&lt;&gt;0),Worksheet!Z366&amp;"","")))</f>
        <v/>
      </c>
      <c r="M366" t="str">
        <f>IF(Worksheet!AE366="","",Worksheet!AE366)</f>
        <v/>
      </c>
      <c r="N366">
        <f>IF(Worksheet!AG366="","",Worksheet!AG366)</f>
        <v>630471</v>
      </c>
      <c r="O366" t="str">
        <f>IF(Worksheet!AJ366="","",Worksheet!AJ366)</f>
        <v/>
      </c>
      <c r="P366" t="str">
        <f>IF(Worksheet!AK366="","",Worksheet!AK366)</f>
        <v/>
      </c>
    </row>
    <row r="367" spans="1:16" x14ac:dyDescent="0.25">
      <c r="A367" t="str">
        <v>Emma Verleyen</v>
      </c>
      <c r="B367" t="str">
        <v>emma.verleyen094@gmail.com</v>
      </c>
      <c r="C367" t="str">
        <v>0479607716</v>
      </c>
      <c r="D367" t="str">
        <v/>
      </c>
      <c r="E367" s="2" t="str">
        <v/>
      </c>
      <c r="F367" t="str">
        <v>M16 A Haantjes CERTIFISC  Oudenaarde</v>
      </c>
      <c r="G367" t="str">
        <v>Speler</v>
      </c>
      <c r="J367" t="str">
        <f>Worksheet!C367&amp;" "&amp;Worksheet!B367</f>
        <v>Mathijs Hebbelynck</v>
      </c>
      <c r="K367" t="str">
        <f>IF(Worksheet!P367&lt;&gt;"",Worksheet!P367,IF(Worksheet!R367&lt;&gt;"",Worksheet!R367,IF(Worksheet!T367&lt;&gt;"",Worksheet!T367,"")))</f>
        <v>bhebbelynck@gmail.com</v>
      </c>
      <c r="L367" t="str">
        <f>IF(AND(Worksheet!V367&lt;&gt;"",Worksheet!V367&lt;&gt;0),Worksheet!V367&amp;"",IF(AND(Worksheet!X367&lt;&gt;"",Worksheet!X367&lt;&gt;0),Worksheet!X367&amp;"",IF(AND(Worksheet!Z367&lt;&gt;"",Worksheet!Z367&lt;&gt;0),Worksheet!Z367&amp;"","")))</f>
        <v>048610527</v>
      </c>
      <c r="M367" t="str">
        <f>IF(Worksheet!AE367="","",Worksheet!AE367)</f>
        <v/>
      </c>
      <c r="N367" t="str">
        <f>IF(Worksheet!AG367="","",Worksheet!AG367)</f>
        <v/>
      </c>
      <c r="O367" t="str">
        <f>IF(Worksheet!AJ367="","",Worksheet!AJ367)</f>
        <v/>
      </c>
      <c r="P367" t="str">
        <f>IF(Worksheet!AK367="","",Worksheet!AK367)</f>
        <v/>
      </c>
    </row>
    <row r="368" spans="1:16" x14ac:dyDescent="0.25">
      <c r="A368" t="str">
        <v>Emma Verleyen</v>
      </c>
      <c r="B368" t="str">
        <v>emma.verleyen094@gmail.com</v>
      </c>
      <c r="C368" t="str">
        <v>0479607716</v>
      </c>
      <c r="D368" t="str">
        <v/>
      </c>
      <c r="E368" s="2" t="str">
        <v/>
      </c>
      <c r="F368" t="str">
        <v>Zomerstage 2026 (Blankenberge)</v>
      </c>
      <c r="G368" t="str">
        <v>Speler</v>
      </c>
      <c r="J368" t="str">
        <f>Worksheet!C368&amp;" "&amp;Worksheet!B368</f>
        <v>Ali Heerman</v>
      </c>
      <c r="K368" t="str">
        <f>IF(Worksheet!P368&lt;&gt;"",Worksheet!P368,IF(Worksheet!R368&lt;&gt;"",Worksheet!R368,IF(Worksheet!T368&lt;&gt;"",Worksheet!T368,"")))</f>
        <v/>
      </c>
      <c r="L368" t="str">
        <f>IF(AND(Worksheet!V368&lt;&gt;"",Worksheet!V368&lt;&gt;0),Worksheet!V368&amp;"",IF(AND(Worksheet!X368&lt;&gt;"",Worksheet!X368&lt;&gt;0),Worksheet!X368&amp;"",IF(AND(Worksheet!Z368&lt;&gt;"",Worksheet!Z368&lt;&gt;0),Worksheet!Z368&amp;"","")))</f>
        <v/>
      </c>
      <c r="M368" t="str">
        <f>IF(Worksheet!AE368="","",Worksheet!AE368)</f>
        <v/>
      </c>
      <c r="N368" t="str">
        <f>IF(Worksheet!AG368="","",Worksheet!AG368)</f>
        <v/>
      </c>
      <c r="O368" t="str">
        <f>IF(Worksheet!AJ368="","",Worksheet!AJ368)</f>
        <v/>
      </c>
      <c r="P368" t="str">
        <f>IF(Worksheet!AK368="","",Worksheet!AK368)</f>
        <v/>
      </c>
    </row>
    <row r="369" spans="1:16" x14ac:dyDescent="0.25">
      <c r="A369" t="str">
        <v>Emiel Verlinden</v>
      </c>
      <c r="B369" t="str">
        <v/>
      </c>
      <c r="C369" t="str">
        <v>0478376691</v>
      </c>
      <c r="D369" t="str">
        <v/>
      </c>
      <c r="E369" s="2">
        <v>733989</v>
      </c>
      <c r="F369" t="str">
        <v>J18 B Haantjes CERTIFISC Oudenaarde</v>
      </c>
      <c r="G369" t="str">
        <v>Speler</v>
      </c>
      <c r="J369" t="str">
        <f>Worksheet!C369&amp;" "&amp;Worksheet!B369</f>
        <v>Babette Heerman</v>
      </c>
      <c r="K369" t="str">
        <f>IF(Worksheet!P369&lt;&gt;"",Worksheet!P369,IF(Worksheet!R369&lt;&gt;"",Worksheet!R369,IF(Worksheet!T369&lt;&gt;"",Worksheet!T369,"")))</f>
        <v/>
      </c>
      <c r="L369" t="str">
        <f>IF(AND(Worksheet!V369&lt;&gt;"",Worksheet!V369&lt;&gt;0),Worksheet!V369&amp;"",IF(AND(Worksheet!X369&lt;&gt;"",Worksheet!X369&lt;&gt;0),Worksheet!X369&amp;"",IF(AND(Worksheet!Z369&lt;&gt;"",Worksheet!Z369&lt;&gt;0),Worksheet!Z369&amp;"","")))</f>
        <v>0494139188</v>
      </c>
      <c r="M369" t="str">
        <f>IF(Worksheet!AE369="","",Worksheet!AE369)</f>
        <v>https://app.twizzit.com/public/photos/2182962/s/678de8b1828bb3edb726733948e3f8b1d0b8d6f4.png</v>
      </c>
      <c r="N369">
        <f>IF(Worksheet!AG369="","",Worksheet!AG369)</f>
        <v>668596</v>
      </c>
      <c r="O369" t="str">
        <f>IF(Worksheet!AJ369="","",Worksheet!AJ369)</f>
        <v/>
      </c>
      <c r="P369" t="str">
        <f>IF(Worksheet!AK369="","",Worksheet!AK369)</f>
        <v/>
      </c>
    </row>
    <row r="370" spans="1:16" x14ac:dyDescent="0.25">
      <c r="A370" t="str">
        <v>Lucas Verlinden</v>
      </c>
      <c r="B370" t="str">
        <v/>
      </c>
      <c r="C370" t="str">
        <v>32486682066</v>
      </c>
      <c r="D370" t="str">
        <v/>
      </c>
      <c r="E370" s="2" t="str">
        <v/>
      </c>
      <c r="F370" t="str">
        <v>Zomerstage 2026 (Blankenberge)</v>
      </c>
      <c r="G370" t="str">
        <v>Speler</v>
      </c>
      <c r="J370" t="str">
        <f>Worksheet!C370&amp;" "&amp;Worksheet!B370</f>
        <v>Marcel Heerman</v>
      </c>
      <c r="K370" t="str">
        <f>IF(Worksheet!P370&lt;&gt;"",Worksheet!P370,IF(Worksheet!R370&lt;&gt;"",Worksheet!R370,IF(Worksheet!T370&lt;&gt;"",Worksheet!T370,"")))</f>
        <v/>
      </c>
      <c r="L370" t="str">
        <f>IF(AND(Worksheet!V370&lt;&gt;"",Worksheet!V370&lt;&gt;0),Worksheet!V370&amp;"",IF(AND(Worksheet!X370&lt;&gt;"",Worksheet!X370&lt;&gt;0),Worksheet!X370&amp;"",IF(AND(Worksheet!Z370&lt;&gt;"",Worksheet!Z370&lt;&gt;0),Worksheet!Z370&amp;"","")))</f>
        <v>0494139188</v>
      </c>
      <c r="M370" t="str">
        <f>IF(Worksheet!AE370="","",Worksheet!AE370)</f>
        <v>https://app.twizzit.com/public/photos/2182967/s/54b7da2d9b89a11ac01b0e47a5e1459ba7405e68.png</v>
      </c>
      <c r="N370">
        <f>IF(Worksheet!AG370="","",Worksheet!AG370)</f>
        <v>668593</v>
      </c>
      <c r="O370" t="str">
        <f>IF(Worksheet!AJ370="","",Worksheet!AJ370)</f>
        <v/>
      </c>
      <c r="P370" t="str">
        <f>IF(Worksheet!AK370="","",Worksheet!AK370)</f>
        <v/>
      </c>
    </row>
    <row r="371" spans="1:16" x14ac:dyDescent="0.25">
      <c r="A371" t="str">
        <v>Lucas Verlinden</v>
      </c>
      <c r="B371" t="str">
        <v/>
      </c>
      <c r="C371" t="str">
        <v>32486682066</v>
      </c>
      <c r="D371" t="str">
        <v/>
      </c>
      <c r="E371" s="2" t="str">
        <v/>
      </c>
      <c r="F371" t="str">
        <v>G12 Geel HAANTJES CERTIFISC OUDENAARDE</v>
      </c>
      <c r="G371" t="str">
        <v>Speler</v>
      </c>
      <c r="J371" t="str">
        <f>Worksheet!C371&amp;" "&amp;Worksheet!B371</f>
        <v>Ron Heestermans</v>
      </c>
      <c r="K371" t="str">
        <f>IF(Worksheet!P371&lt;&gt;"",Worksheet!P371,IF(Worksheet!R371&lt;&gt;"",Worksheet!R371,IF(Worksheet!T371&lt;&gt;"",Worksheet!T371,"")))</f>
        <v/>
      </c>
      <c r="L371" t="str">
        <f>IF(AND(Worksheet!V371&lt;&gt;"",Worksheet!V371&lt;&gt;0),Worksheet!V371&amp;"",IF(AND(Worksheet!X371&lt;&gt;"",Worksheet!X371&lt;&gt;0),Worksheet!X371&amp;"",IF(AND(Worksheet!Z371&lt;&gt;"",Worksheet!Z371&lt;&gt;0),Worksheet!Z371&amp;"","")))</f>
        <v>0468152536</v>
      </c>
      <c r="M371" t="str">
        <f>IF(Worksheet!AE371="","",Worksheet!AE371)</f>
        <v/>
      </c>
      <c r="N371" t="str">
        <f>IF(Worksheet!AG371="","",Worksheet!AG371)</f>
        <v/>
      </c>
      <c r="O371" t="str">
        <f>IF(Worksheet!AJ371="","",Worksheet!AJ371)</f>
        <v>M16 A Haantjes CERTIFISC  Oudenaarde</v>
      </c>
      <c r="P371" t="str">
        <f>IF(Worksheet!AK371="","",Worksheet!AK371)</f>
        <v>Coach</v>
      </c>
    </row>
    <row r="372" spans="1:16" x14ac:dyDescent="0.25">
      <c r="A372" t="str">
        <v>Mauro Vermassen</v>
      </c>
      <c r="B372" t="str">
        <v>twizzit@kevinvermassen.be</v>
      </c>
      <c r="C372" t="str">
        <v>0485424067</v>
      </c>
      <c r="D372" t="str">
        <v/>
      </c>
      <c r="E372" s="2" t="str">
        <v/>
      </c>
      <c r="F372" t="str">
        <v>G14 B Haantjes CERTIFISC Oudenaarde</v>
      </c>
      <c r="G372" t="str">
        <v>Speler</v>
      </c>
      <c r="J372" t="str">
        <f>Worksheet!C372&amp;" "&amp;Worksheet!B372</f>
        <v>Elise Heijse</v>
      </c>
      <c r="K372" t="str">
        <f>IF(Worksheet!P372&lt;&gt;"",Worksheet!P372,IF(Worksheet!R372&lt;&gt;"",Worksheet!R372,IF(Worksheet!T372&lt;&gt;"",Worksheet!T372,"")))</f>
        <v/>
      </c>
      <c r="L372" t="str">
        <f>IF(AND(Worksheet!V372&lt;&gt;"",Worksheet!V372&lt;&gt;0),Worksheet!V372&amp;"",IF(AND(Worksheet!X372&lt;&gt;"",Worksheet!X372&lt;&gt;0),Worksheet!X372&amp;"",IF(AND(Worksheet!Z372&lt;&gt;"",Worksheet!Z372&lt;&gt;0),Worksheet!Z372&amp;"","")))</f>
        <v/>
      </c>
      <c r="M372" t="str">
        <f>IF(Worksheet!AE372="","",Worksheet!AE372)</f>
        <v/>
      </c>
      <c r="N372" t="str">
        <f>IF(Worksheet!AG372="","",Worksheet!AG372)</f>
        <v/>
      </c>
      <c r="O372" t="str">
        <f>IF(Worksheet!AJ372="","",Worksheet!AJ372)</f>
        <v/>
      </c>
      <c r="P372" t="str">
        <f>IF(Worksheet!AK372="","",Worksheet!AK372)</f>
        <v/>
      </c>
    </row>
    <row r="373" spans="1:16" x14ac:dyDescent="0.25">
      <c r="A373" t="str">
        <v>Nathan Vermassen</v>
      </c>
      <c r="B373" t="str">
        <v/>
      </c>
      <c r="C373" t="str">
        <v>0498493330</v>
      </c>
      <c r="D373" t="str">
        <v/>
      </c>
      <c r="E373" s="2" t="str">
        <v/>
      </c>
      <c r="F373" t="str">
        <v>Zomerstage 2026 (Blankenberge)</v>
      </c>
      <c r="G373" t="str">
        <v>Speler</v>
      </c>
      <c r="J373" t="str">
        <f>Worksheet!C373&amp;" "&amp;Worksheet!B373</f>
        <v>Senne Heirbaut</v>
      </c>
      <c r="K373" t="str">
        <f>IF(Worksheet!P373&lt;&gt;"",Worksheet!P373,IF(Worksheet!R373&lt;&gt;"",Worksheet!R373,IF(Worksheet!T373&lt;&gt;"",Worksheet!T373,"")))</f>
        <v/>
      </c>
      <c r="L373" t="str">
        <f>IF(AND(Worksheet!V373&lt;&gt;"",Worksheet!V373&lt;&gt;0),Worksheet!V373&amp;"",IF(AND(Worksheet!X373&lt;&gt;"",Worksheet!X373&lt;&gt;0),Worksheet!X373&amp;"",IF(AND(Worksheet!Z373&lt;&gt;"",Worksheet!Z373&lt;&gt;0),Worksheet!Z373&amp;"","")))</f>
        <v/>
      </c>
      <c r="M373" t="str">
        <f>IF(Worksheet!AE373="","",Worksheet!AE373)</f>
        <v/>
      </c>
      <c r="N373" t="str">
        <f>IF(Worksheet!AG373="","",Worksheet!AG373)</f>
        <v/>
      </c>
      <c r="O373" t="str">
        <f>IF(Worksheet!AJ373="","",Worksheet!AJ373)</f>
        <v/>
      </c>
      <c r="P373" t="str">
        <f>IF(Worksheet!AK373="","",Worksheet!AK373)</f>
        <v/>
      </c>
    </row>
    <row r="374" spans="1:16" x14ac:dyDescent="0.25">
      <c r="A374" t="str">
        <v>Nathan Vermassen</v>
      </c>
      <c r="B374" t="str">
        <v/>
      </c>
      <c r="C374" t="str">
        <v>0498493330</v>
      </c>
      <c r="D374" t="str">
        <v/>
      </c>
      <c r="E374" s="2" t="str">
        <v/>
      </c>
      <c r="F374" t="str">
        <v>G12 Blauw HAANTJES CERTIFISC OUDENAARDE</v>
      </c>
      <c r="G374" t="str">
        <v>Speler</v>
      </c>
      <c r="J374" t="str">
        <f>Worksheet!C374&amp;" "&amp;Worksheet!B374</f>
        <v>Paulien Herman</v>
      </c>
      <c r="K374" t="str">
        <f>IF(Worksheet!P374&lt;&gt;"",Worksheet!P374,IF(Worksheet!R374&lt;&gt;"",Worksheet!R374,IF(Worksheet!T374&lt;&gt;"",Worksheet!T374,"")))</f>
        <v/>
      </c>
      <c r="L374" t="str">
        <f>IF(AND(Worksheet!V374&lt;&gt;"",Worksheet!V374&lt;&gt;0),Worksheet!V374&amp;"",IF(AND(Worksheet!X374&lt;&gt;"",Worksheet!X374&lt;&gt;0),Worksheet!X374&amp;"",IF(AND(Worksheet!Z374&lt;&gt;"",Worksheet!Z374&lt;&gt;0),Worksheet!Z374&amp;"","")))</f>
        <v/>
      </c>
      <c r="M374" t="str">
        <f>IF(Worksheet!AE374="","",Worksheet!AE374)</f>
        <v/>
      </c>
      <c r="N374" t="str">
        <f>IF(Worksheet!AG374="","",Worksheet!AG374)</f>
        <v/>
      </c>
      <c r="O374" t="str">
        <f>IF(Worksheet!AJ374="","",Worksheet!AJ374)</f>
        <v/>
      </c>
      <c r="P374" t="str">
        <f>IF(Worksheet!AK374="","",Worksheet!AK374)</f>
        <v/>
      </c>
    </row>
    <row r="375" spans="1:16" x14ac:dyDescent="0.25">
      <c r="A375" t="str">
        <v>Matz Vermeerschen</v>
      </c>
      <c r="B375" t="str">
        <v>charlotte.vanmoorleghem1@gmail.com</v>
      </c>
      <c r="C375" t="str">
        <v/>
      </c>
      <c r="D375" t="str">
        <v/>
      </c>
      <c r="E375" s="2">
        <v>729844</v>
      </c>
      <c r="F375" t="str">
        <v>G14 A Haantjes CERTIFISC Oudenaarde</v>
      </c>
      <c r="G375" t="str">
        <v>Speler</v>
      </c>
      <c r="J375" t="str">
        <f>Worksheet!C375&amp;" "&amp;Worksheet!B375</f>
        <v>Arno Heyerick</v>
      </c>
      <c r="K375" t="str">
        <f>IF(Worksheet!P375&lt;&gt;"",Worksheet!P375,IF(Worksheet!R375&lt;&gt;"",Worksheet!R375,IF(Worksheet!T375&lt;&gt;"",Worksheet!T375,"")))</f>
        <v/>
      </c>
      <c r="L375" t="str">
        <f>IF(AND(Worksheet!V375&lt;&gt;"",Worksheet!V375&lt;&gt;0),Worksheet!V375&amp;"",IF(AND(Worksheet!X375&lt;&gt;"",Worksheet!X375&lt;&gt;0),Worksheet!X375&amp;"",IF(AND(Worksheet!Z375&lt;&gt;"",Worksheet!Z375&lt;&gt;0),Worksheet!Z375&amp;"","")))</f>
        <v>0479480500</v>
      </c>
      <c r="M375" t="str">
        <f>IF(Worksheet!AE375="","",Worksheet!AE375)</f>
        <v/>
      </c>
      <c r="N375">
        <f>IF(Worksheet!AG375="","",Worksheet!AG375)</f>
        <v>665927</v>
      </c>
      <c r="O375" t="str">
        <f>IF(Worksheet!AJ375="","",Worksheet!AJ375)</f>
        <v>J21 A HAANTJES CERTIFISC OUDENAARDE</v>
      </c>
      <c r="P375" t="str">
        <f>IF(Worksheet!AK375="","",Worksheet!AK375)</f>
        <v>Speler</v>
      </c>
    </row>
    <row r="376" spans="1:16" x14ac:dyDescent="0.25">
      <c r="A376" t="str">
        <v>Matz Vermeerschen</v>
      </c>
      <c r="B376" t="str">
        <v>charlotte.vanmoorleghem1@gmail.com</v>
      </c>
      <c r="C376" t="str">
        <v/>
      </c>
      <c r="D376" t="str">
        <v/>
      </c>
      <c r="E376" s="2">
        <v>729844</v>
      </c>
      <c r="F376" t="str">
        <v>Zomerstage 2026 (Blankenberge)</v>
      </c>
      <c r="G376" t="str">
        <v>Speler</v>
      </c>
      <c r="J376" t="str">
        <f>Worksheet!C376&amp;" "&amp;Worksheet!B376</f>
        <v>Arno Heyerick</v>
      </c>
      <c r="K376" t="str">
        <f>IF(Worksheet!P376&lt;&gt;"",Worksheet!P376,IF(Worksheet!R376&lt;&gt;"",Worksheet!R376,IF(Worksheet!T376&lt;&gt;"",Worksheet!T376,"")))</f>
        <v/>
      </c>
      <c r="L376" t="str">
        <f>IF(AND(Worksheet!V376&lt;&gt;"",Worksheet!V376&lt;&gt;0),Worksheet!V376&amp;"",IF(AND(Worksheet!X376&lt;&gt;"",Worksheet!X376&lt;&gt;0),Worksheet!X376&amp;"",IF(AND(Worksheet!Z376&lt;&gt;"",Worksheet!Z376&lt;&gt;0),Worksheet!Z376&amp;"","")))</f>
        <v>0479480500</v>
      </c>
      <c r="M376" t="str">
        <f>IF(Worksheet!AE376="","",Worksheet!AE376)</f>
        <v/>
      </c>
      <c r="N376">
        <f>IF(Worksheet!AG376="","",Worksheet!AG376)</f>
        <v>665927</v>
      </c>
      <c r="O376" t="str">
        <f>IF(Worksheet!AJ376="","",Worksheet!AJ376)</f>
        <v>HSE B Haantjes Certifisc Oudenaarde</v>
      </c>
      <c r="P376" t="str">
        <f>IF(Worksheet!AK376="","",Worksheet!AK376)</f>
        <v>Speler</v>
      </c>
    </row>
    <row r="377" spans="1:16" x14ac:dyDescent="0.25">
      <c r="A377" t="str">
        <v>Lander Verschatse</v>
      </c>
      <c r="B377" t="str">
        <v/>
      </c>
      <c r="C377" t="str">
        <v>0468516883</v>
      </c>
      <c r="D377" t="str">
        <v>https://app.twizzit.com/public/photos/3557796/s/59f2bc8b383bb3e65d902c435f70a74103c4138d.png</v>
      </c>
      <c r="E377" s="2" t="str">
        <v/>
      </c>
      <c r="F377" t="str">
        <v>G12 Geel HAANTJES CERTIFISC OUDENAARDE</v>
      </c>
      <c r="G377" t="str">
        <v>Speler</v>
      </c>
      <c r="J377" t="str">
        <f>Worksheet!C377&amp;" "&amp;Worksheet!B377</f>
        <v>Lien Heyse</v>
      </c>
      <c r="K377" t="str">
        <f>IF(Worksheet!P377&lt;&gt;"",Worksheet!P377,IF(Worksheet!R377&lt;&gt;"",Worksheet!R377,IF(Worksheet!T377&lt;&gt;"",Worksheet!T377,"")))</f>
        <v/>
      </c>
      <c r="L377" t="str">
        <f>IF(AND(Worksheet!V377&lt;&gt;"",Worksheet!V377&lt;&gt;0),Worksheet!V377&amp;"",IF(AND(Worksheet!X377&lt;&gt;"",Worksheet!X377&lt;&gt;0),Worksheet!X377&amp;"",IF(AND(Worksheet!Z377&lt;&gt;"",Worksheet!Z377&lt;&gt;0),Worksheet!Z377&amp;"","")))</f>
        <v>320493707989</v>
      </c>
      <c r="M377" t="str">
        <f>IF(Worksheet!AE377="","",Worksheet!AE377)</f>
        <v/>
      </c>
      <c r="N377">
        <f>IF(Worksheet!AG377="","",Worksheet!AG377)</f>
        <v>633338</v>
      </c>
      <c r="O377" t="str">
        <f>IF(Worksheet!AJ377="","",Worksheet!AJ377)</f>
        <v/>
      </c>
      <c r="P377" t="str">
        <f>IF(Worksheet!AK377="","",Worksheet!AK377)</f>
        <v/>
      </c>
    </row>
    <row r="378" spans="1:16" x14ac:dyDescent="0.25">
      <c r="A378" t="str">
        <v>Lena Verschatse</v>
      </c>
      <c r="B378" t="str">
        <v/>
      </c>
      <c r="C378" t="str">
        <v>0468516883</v>
      </c>
      <c r="D378" t="str">
        <v/>
      </c>
      <c r="E378" s="2">
        <v>735282</v>
      </c>
      <c r="F378" t="str">
        <v>Zomerstage 2026 (Blankenberge)</v>
      </c>
      <c r="G378" t="str">
        <v>Speler</v>
      </c>
      <c r="J378" t="str">
        <f>Worksheet!C378&amp;" "&amp;Worksheet!B378</f>
        <v>Patrick Heyse</v>
      </c>
      <c r="K378" t="str">
        <f>IF(Worksheet!P378&lt;&gt;"",Worksheet!P378,IF(Worksheet!R378&lt;&gt;"",Worksheet!R378,IF(Worksheet!T378&lt;&gt;"",Worksheet!T378,"")))</f>
        <v/>
      </c>
      <c r="L378" t="str">
        <f>IF(AND(Worksheet!V378&lt;&gt;"",Worksheet!V378&lt;&gt;0),Worksheet!V378&amp;"",IF(AND(Worksheet!X378&lt;&gt;"",Worksheet!X378&lt;&gt;0),Worksheet!X378&amp;"",IF(AND(Worksheet!Z378&lt;&gt;"",Worksheet!Z378&lt;&gt;0),Worksheet!Z378&amp;"","")))</f>
        <v>476590142</v>
      </c>
      <c r="M378" t="str">
        <f>IF(Worksheet!AE378="","",Worksheet!AE378)</f>
        <v/>
      </c>
      <c r="N378" t="str">
        <f>IF(Worksheet!AG378="","",Worksheet!AG378)</f>
        <v/>
      </c>
      <c r="O378" t="str">
        <f>IF(Worksheet!AJ378="","",Worksheet!AJ378)</f>
        <v/>
      </c>
      <c r="P378" t="str">
        <f>IF(Worksheet!AK378="","",Worksheet!AK378)</f>
        <v/>
      </c>
    </row>
    <row r="379" spans="1:16" x14ac:dyDescent="0.25">
      <c r="A379" t="str">
        <v>Lena Verschatse</v>
      </c>
      <c r="B379" t="str">
        <v/>
      </c>
      <c r="C379" t="str">
        <v>0468516883</v>
      </c>
      <c r="D379" t="str">
        <v/>
      </c>
      <c r="E379" s="2">
        <v>735282</v>
      </c>
      <c r="F379" t="str">
        <v>M19 A Haantjes CERTIFISC Oudenaarde</v>
      </c>
      <c r="G379" t="str">
        <v>Speler</v>
      </c>
      <c r="J379" t="str">
        <f>Worksheet!C379&amp;" "&amp;Worksheet!B379</f>
        <v>Joeri Hoerée</v>
      </c>
      <c r="K379" t="str">
        <f>IF(Worksheet!P379&lt;&gt;"",Worksheet!P379,IF(Worksheet!R379&lt;&gt;"",Worksheet!R379,IF(Worksheet!T379&lt;&gt;"",Worksheet!T379,"")))</f>
        <v>katty.tallieu@pandora.be</v>
      </c>
      <c r="L379" t="str">
        <f>IF(AND(Worksheet!V379&lt;&gt;"",Worksheet!V379&lt;&gt;0),Worksheet!V379&amp;"",IF(AND(Worksheet!X379&lt;&gt;"",Worksheet!X379&lt;&gt;0),Worksheet!X379&amp;"",IF(AND(Worksheet!Z379&lt;&gt;"",Worksheet!Z379&lt;&gt;0),Worksheet!Z379&amp;"","")))</f>
        <v/>
      </c>
      <c r="M379" t="str">
        <f>IF(Worksheet!AE379="","",Worksheet!AE379)</f>
        <v/>
      </c>
      <c r="N379" t="str">
        <f>IF(Worksheet!AG379="","",Worksheet!AG379)</f>
        <v/>
      </c>
      <c r="O379" t="str">
        <f>IF(Worksheet!AJ379="","",Worksheet!AJ379)</f>
        <v/>
      </c>
      <c r="P379" t="str">
        <f>IF(Worksheet!AK379="","",Worksheet!AK379)</f>
        <v/>
      </c>
    </row>
    <row r="380" spans="1:16" x14ac:dyDescent="0.25">
      <c r="A380" t="str">
        <v>Charlotte Verschueren</v>
      </c>
      <c r="B380" t="str">
        <v/>
      </c>
      <c r="C380" t="str">
        <v>320474278078</v>
      </c>
      <c r="D380" t="str">
        <v>https://app.twizzit.com/public/photos/2183447/s/1f201bfdf86762e0642c70c1aa487baf5ab852bb.png</v>
      </c>
      <c r="E380" s="2">
        <v>241914</v>
      </c>
      <c r="F380" t="str">
        <v>G08 Groen HAANTJES CERTIFISC OUDENAARDE</v>
      </c>
      <c r="G380" t="str">
        <v>Coach</v>
      </c>
      <c r="J380" t="str">
        <f>Worksheet!C380&amp;" "&amp;Worksheet!B380</f>
        <v>Jonas Hollebar</v>
      </c>
      <c r="K380" t="str">
        <f>IF(Worksheet!P380&lt;&gt;"",Worksheet!P380,IF(Worksheet!R380&lt;&gt;"",Worksheet!R380,IF(Worksheet!T380&lt;&gt;"",Worksheet!T380,"")))</f>
        <v/>
      </c>
      <c r="L380" t="str">
        <f>IF(AND(Worksheet!V380&lt;&gt;"",Worksheet!V380&lt;&gt;0),Worksheet!V380&amp;"",IF(AND(Worksheet!X380&lt;&gt;"",Worksheet!X380&lt;&gt;0),Worksheet!X380&amp;"",IF(AND(Worksheet!Z380&lt;&gt;"",Worksheet!Z380&lt;&gt;0),Worksheet!Z380&amp;"","")))</f>
        <v>320472994952</v>
      </c>
      <c r="M380" t="str">
        <f>IF(Worksheet!AE380="","",Worksheet!AE380)</f>
        <v/>
      </c>
      <c r="N380">
        <f>IF(Worksheet!AG380="","",Worksheet!AG380)</f>
        <v>601162</v>
      </c>
      <c r="O380" t="str">
        <f>IF(Worksheet!AJ380="","",Worksheet!AJ380)</f>
        <v/>
      </c>
      <c r="P380" t="str">
        <f>IF(Worksheet!AK380="","",Worksheet!AK380)</f>
        <v/>
      </c>
    </row>
    <row r="381" spans="1:16" x14ac:dyDescent="0.25">
      <c r="A381" t="str">
        <v>Nand Versmessen</v>
      </c>
      <c r="B381" t="str">
        <v>veerle_coussement@hotmail.com</v>
      </c>
      <c r="C381" t="str">
        <v>32499030802</v>
      </c>
      <c r="D381" t="str">
        <v>https://app.twizzit.com/public/photos/3447367/s/f6e635bb7022dfc6607d762d0f4b7b25a59a85c4.png</v>
      </c>
      <c r="E381" s="2" t="str">
        <v/>
      </c>
      <c r="F381" t="str">
        <v>G10 Blauw HAANTJES CERTIFISC OUDENAARDE</v>
      </c>
      <c r="G381" t="str">
        <v>Speler</v>
      </c>
      <c r="J381" t="str">
        <f>Worksheet!C381&amp;" "&amp;Worksheet!B381</f>
        <v>Mihaèl Hoogervorst</v>
      </c>
      <c r="K381" t="str">
        <f>IF(Worksheet!P381&lt;&gt;"",Worksheet!P381,IF(Worksheet!R381&lt;&gt;"",Worksheet!R381,IF(Worksheet!T381&lt;&gt;"",Worksheet!T381,"")))</f>
        <v/>
      </c>
      <c r="L381" t="str">
        <f>IF(AND(Worksheet!V381&lt;&gt;"",Worksheet!V381&lt;&gt;0),Worksheet!V381&amp;"",IF(AND(Worksheet!X381&lt;&gt;"",Worksheet!X381&lt;&gt;0),Worksheet!X381&amp;"",IF(AND(Worksheet!Z381&lt;&gt;"",Worksheet!Z381&lt;&gt;0),Worksheet!Z381&amp;"","")))</f>
        <v>0465557955</v>
      </c>
      <c r="M381" t="str">
        <f>IF(Worksheet!AE381="","",Worksheet!AE381)</f>
        <v/>
      </c>
      <c r="N381" t="str">
        <f>IF(Worksheet!AG381="","",Worksheet!AG381)</f>
        <v/>
      </c>
      <c r="O381" t="str">
        <f>IF(Worksheet!AJ381="","",Worksheet!AJ381)</f>
        <v/>
      </c>
      <c r="P381" t="str">
        <f>IF(Worksheet!AK381="","",Worksheet!AK381)</f>
        <v/>
      </c>
    </row>
    <row r="382" spans="1:16" x14ac:dyDescent="0.25">
      <c r="A382" t="str">
        <v>Nand Versmessen</v>
      </c>
      <c r="B382" t="str">
        <v>veerle_coussement@hotmail.com</v>
      </c>
      <c r="C382" t="str">
        <v>32499030802</v>
      </c>
      <c r="D382" t="str">
        <v>https://app.twizzit.com/public/photos/3447367/s/f6e635bb7022dfc6607d762d0f4b7b25a59a85c4.png</v>
      </c>
      <c r="E382" s="2" t="str">
        <v/>
      </c>
      <c r="F382" t="str">
        <v>Zomerstage 2026 U10 &amp; U12 (Oudenaarde)</v>
      </c>
      <c r="G382" t="str">
        <v>Speler</v>
      </c>
      <c r="J382" t="str">
        <f>Worksheet!C382&amp;" "&amp;Worksheet!B382</f>
        <v>Liesbeth Hoste</v>
      </c>
      <c r="K382" t="str">
        <f>IF(Worksheet!P382&lt;&gt;"",Worksheet!P382,IF(Worksheet!R382&lt;&gt;"",Worksheet!R382,IF(Worksheet!T382&lt;&gt;"",Worksheet!T382,"")))</f>
        <v/>
      </c>
      <c r="L382" t="str">
        <f>IF(AND(Worksheet!V382&lt;&gt;"",Worksheet!V382&lt;&gt;0),Worksheet!V382&amp;"",IF(AND(Worksheet!X382&lt;&gt;"",Worksheet!X382&lt;&gt;0),Worksheet!X382&amp;"",IF(AND(Worksheet!Z382&lt;&gt;"",Worksheet!Z382&lt;&gt;0),Worksheet!Z382&amp;"","")))</f>
        <v>474721420</v>
      </c>
      <c r="M382" t="str">
        <f>IF(Worksheet!AE382="","",Worksheet!AE382)</f>
        <v/>
      </c>
      <c r="N382">
        <f>IF(Worksheet!AG382="","",Worksheet!AG382)</f>
        <v>742177</v>
      </c>
      <c r="O382" t="str">
        <f>IF(Worksheet!AJ382="","",Worksheet!AJ382)</f>
        <v/>
      </c>
      <c r="P382" t="str">
        <f>IF(Worksheet!AK382="","",Worksheet!AK382)</f>
        <v/>
      </c>
    </row>
    <row r="383" spans="1:16" x14ac:dyDescent="0.25">
      <c r="A383" t="str">
        <v>Bogdan Verstraete</v>
      </c>
      <c r="B383" t="str">
        <v>wtbi.verstraete@gmail.com</v>
      </c>
      <c r="C383" t="str">
        <v>0486983966</v>
      </c>
      <c r="D383" t="str">
        <v/>
      </c>
      <c r="E383" s="2">
        <v>705479</v>
      </c>
      <c r="F383" t="str">
        <v>J21 A HAANTJES CERTIFISC OUDENAARDE</v>
      </c>
      <c r="G383" t="str">
        <v>Speler</v>
      </c>
      <c r="J383" t="str">
        <f>Worksheet!C383&amp;" "&amp;Worksheet!B383</f>
        <v>Lennert Huys</v>
      </c>
      <c r="K383" t="str">
        <f>IF(Worksheet!P383&lt;&gt;"",Worksheet!P383,IF(Worksheet!R383&lt;&gt;"",Worksheet!R383,IF(Worksheet!T383&lt;&gt;"",Worksheet!T383,"")))</f>
        <v/>
      </c>
      <c r="L383" t="str">
        <f>IF(AND(Worksheet!V383&lt;&gt;"",Worksheet!V383&lt;&gt;0),Worksheet!V383&amp;"",IF(AND(Worksheet!X383&lt;&gt;"",Worksheet!X383&lt;&gt;0),Worksheet!X383&amp;"",IF(AND(Worksheet!Z383&lt;&gt;"",Worksheet!Z383&lt;&gt;0),Worksheet!Z383&amp;"","")))</f>
        <v>32498104852</v>
      </c>
      <c r="M383" t="str">
        <f>IF(Worksheet!AE383="","",Worksheet!AE383)</f>
        <v/>
      </c>
      <c r="N383">
        <f>IF(Worksheet!AG383="","",Worksheet!AG383)</f>
        <v>735041</v>
      </c>
      <c r="O383" t="str">
        <f>IF(Worksheet!AJ383="","",Worksheet!AJ383)</f>
        <v>G14 A Haantjes CERTIFISC Oudenaarde</v>
      </c>
      <c r="P383" t="str">
        <f>IF(Worksheet!AK383="","",Worksheet!AK383)</f>
        <v>Speler</v>
      </c>
    </row>
    <row r="384" spans="1:16" x14ac:dyDescent="0.25">
      <c r="A384" t="str">
        <v>Mats Verstraeten</v>
      </c>
      <c r="B384" t="str">
        <v/>
      </c>
      <c r="C384" t="str">
        <v>497152857</v>
      </c>
      <c r="D384" t="str">
        <v/>
      </c>
      <c r="E384" s="2" t="str">
        <v/>
      </c>
      <c r="F384" t="str">
        <v>J16 B Haantjes CERTIFISC Oudenaarde</v>
      </c>
      <c r="G384" t="str">
        <v>Speler</v>
      </c>
      <c r="J384" t="str">
        <f>Worksheet!C384&amp;" "&amp;Worksheet!B384</f>
        <v>Lennert Huys</v>
      </c>
      <c r="K384" t="str">
        <f>IF(Worksheet!P384&lt;&gt;"",Worksheet!P384,IF(Worksheet!R384&lt;&gt;"",Worksheet!R384,IF(Worksheet!T384&lt;&gt;"",Worksheet!T384,"")))</f>
        <v/>
      </c>
      <c r="L384" t="str">
        <f>IF(AND(Worksheet!V384&lt;&gt;"",Worksheet!V384&lt;&gt;0),Worksheet!V384&amp;"",IF(AND(Worksheet!X384&lt;&gt;"",Worksheet!X384&lt;&gt;0),Worksheet!X384&amp;"",IF(AND(Worksheet!Z384&lt;&gt;"",Worksheet!Z384&lt;&gt;0),Worksheet!Z384&amp;"","")))</f>
        <v>32498104852</v>
      </c>
      <c r="M384" t="str">
        <f>IF(Worksheet!AE384="","",Worksheet!AE384)</f>
        <v/>
      </c>
      <c r="N384">
        <f>IF(Worksheet!AG384="","",Worksheet!AG384)</f>
        <v>735041</v>
      </c>
      <c r="O384" t="str">
        <f>IF(Worksheet!AJ384="","",Worksheet!AJ384)</f>
        <v>Zomerstage 2026 (Blankenberge)</v>
      </c>
      <c r="P384" t="str">
        <f>IF(Worksheet!AK384="","",Worksheet!AK384)</f>
        <v>Speler</v>
      </c>
    </row>
    <row r="385" spans="1:16" x14ac:dyDescent="0.25">
      <c r="A385" t="str">
        <v>Thomas Viaene</v>
      </c>
      <c r="B385" t="str">
        <v/>
      </c>
      <c r="C385" t="str">
        <v>0497313727</v>
      </c>
      <c r="D385" t="str">
        <v/>
      </c>
      <c r="E385" s="2">
        <v>739602</v>
      </c>
      <c r="F385" t="str">
        <v>J18 A Haantjes CERTIFISC Oudenaarde</v>
      </c>
      <c r="G385" t="str">
        <v>Speler</v>
      </c>
      <c r="J385" t="str">
        <f>Worksheet!C385&amp;" "&amp;Worksheet!B385</f>
        <v>Felix Huysman</v>
      </c>
      <c r="K385" t="str">
        <f>IF(Worksheet!P385&lt;&gt;"",Worksheet!P385,IF(Worksheet!R385&lt;&gt;"",Worksheet!R385,IF(Worksheet!T385&lt;&gt;"",Worksheet!T385,"")))</f>
        <v>huysman_felix@gmail.com</v>
      </c>
      <c r="L385" t="str">
        <f>IF(AND(Worksheet!V385&lt;&gt;"",Worksheet!V385&lt;&gt;0),Worksheet!V385&amp;"",IF(AND(Worksheet!X385&lt;&gt;"",Worksheet!X385&lt;&gt;0),Worksheet!X385&amp;"",IF(AND(Worksheet!Z385&lt;&gt;"",Worksheet!Z385&lt;&gt;0),Worksheet!Z385&amp;"","")))</f>
        <v>0474884540</v>
      </c>
      <c r="M385" t="str">
        <f>IF(Worksheet!AE385="","",Worksheet!AE385)</f>
        <v/>
      </c>
      <c r="N385">
        <f>IF(Worksheet!AG385="","",Worksheet!AG385)</f>
        <v>741745</v>
      </c>
      <c r="O385" t="str">
        <f>IF(Worksheet!AJ385="","",Worksheet!AJ385)</f>
        <v/>
      </c>
      <c r="P385" t="str">
        <f>IF(Worksheet!AK385="","",Worksheet!AK385)</f>
        <v/>
      </c>
    </row>
    <row r="386" spans="1:16" x14ac:dyDescent="0.25">
      <c r="A386" t="str">
        <v>Thomas Viaene</v>
      </c>
      <c r="B386" t="str">
        <v/>
      </c>
      <c r="C386" t="str">
        <v>0497313727</v>
      </c>
      <c r="D386" t="str">
        <v/>
      </c>
      <c r="E386" s="2">
        <v>739602</v>
      </c>
      <c r="F386" t="str">
        <v>Zomerstage 2026 (Blankenberge)</v>
      </c>
      <c r="G386" t="str">
        <v>Speler</v>
      </c>
      <c r="J386" t="str">
        <f>Worksheet!C386&amp;" "&amp;Worksheet!B386</f>
        <v>Stijn Huysman</v>
      </c>
      <c r="K386" t="str">
        <f>IF(Worksheet!P386&lt;&gt;"",Worksheet!P386,IF(Worksheet!R386&lt;&gt;"",Worksheet!R386,IF(Worksheet!T386&lt;&gt;"",Worksheet!T386,"")))</f>
        <v>stijn.huysman@outlook.com</v>
      </c>
      <c r="L386" t="str">
        <f>IF(AND(Worksheet!V386&lt;&gt;"",Worksheet!V386&lt;&gt;0),Worksheet!V386&amp;"",IF(AND(Worksheet!X386&lt;&gt;"",Worksheet!X386&lt;&gt;0),Worksheet!X386&amp;"",IF(AND(Worksheet!Z386&lt;&gt;"",Worksheet!Z386&lt;&gt;0),Worksheet!Z386&amp;"","")))</f>
        <v>0474884540</v>
      </c>
      <c r="M386" t="str">
        <f>IF(Worksheet!AE386="","",Worksheet!AE386)</f>
        <v/>
      </c>
      <c r="N386" t="str">
        <f>IF(Worksheet!AG386="","",Worksheet!AG386)</f>
        <v/>
      </c>
      <c r="O386" t="str">
        <f>IF(Worksheet!AJ386="","",Worksheet!AJ386)</f>
        <v/>
      </c>
      <c r="P386" t="str">
        <f>IF(Worksheet!AK386="","",Worksheet!AK386)</f>
        <v/>
      </c>
    </row>
    <row r="387" spans="1:16" x14ac:dyDescent="0.25">
      <c r="A387" t="str">
        <v>Thomas Viaene</v>
      </c>
      <c r="B387" t="str">
        <v/>
      </c>
      <c r="C387" t="str">
        <v>0497313727</v>
      </c>
      <c r="D387" t="str">
        <v/>
      </c>
      <c r="E387" s="2">
        <v>739602</v>
      </c>
      <c r="F387" t="str">
        <v>HSE B Haantjes Certifisc Oudenaarde</v>
      </c>
      <c r="G387" t="str">
        <v>Speler</v>
      </c>
      <c r="J387" t="str">
        <f>Worksheet!C387&amp;" "&amp;Worksheet!B387</f>
        <v>Vic Huysman</v>
      </c>
      <c r="K387" t="str">
        <f>IF(Worksheet!P387&lt;&gt;"",Worksheet!P387,IF(Worksheet!R387&lt;&gt;"",Worksheet!R387,IF(Worksheet!T387&lt;&gt;"",Worksheet!T387,"")))</f>
        <v/>
      </c>
      <c r="L387" t="str">
        <f>IF(AND(Worksheet!V387&lt;&gt;"",Worksheet!V387&lt;&gt;0),Worksheet!V387&amp;"",IF(AND(Worksheet!X387&lt;&gt;"",Worksheet!X387&lt;&gt;0),Worksheet!X387&amp;"",IF(AND(Worksheet!Z387&lt;&gt;"",Worksheet!Z387&lt;&gt;0),Worksheet!Z387&amp;"","")))</f>
        <v>474884540</v>
      </c>
      <c r="M387" t="str">
        <f>IF(Worksheet!AE387="","",Worksheet!AE387)</f>
        <v>https://app.twizzit.com/public/photos/2936186/s/c4015a6cfb380c1e7090d66488ca6326fa9caa7a.png</v>
      </c>
      <c r="N387">
        <f>IF(Worksheet!AG387="","",Worksheet!AG387)</f>
        <v>744354</v>
      </c>
      <c r="O387" t="str">
        <f>IF(Worksheet!AJ387="","",Worksheet!AJ387)</f>
        <v>J18 A Haantjes CERTIFISC Oudenaarde</v>
      </c>
      <c r="P387" t="str">
        <f>IF(Worksheet!AK387="","",Worksheet!AK387)</f>
        <v>Speler</v>
      </c>
    </row>
    <row r="388" spans="1:16" x14ac:dyDescent="0.25">
      <c r="A388" t="str">
        <v>Kenny Volkaert</v>
      </c>
      <c r="B388" t="str">
        <v/>
      </c>
      <c r="C388" t="str">
        <v>32483038837</v>
      </c>
      <c r="D388" t="str">
        <v/>
      </c>
      <c r="E388" s="2">
        <v>644848</v>
      </c>
      <c r="F388" t="str">
        <v>HSE  C Haantjes Certifisc Oudenaarde</v>
      </c>
      <c r="G388" t="str">
        <v>Speler</v>
      </c>
      <c r="J388" t="str">
        <f>Worksheet!C388&amp;" "&amp;Worksheet!B388</f>
        <v>Vic Huysman</v>
      </c>
      <c r="K388" t="str">
        <f>IF(Worksheet!P388&lt;&gt;"",Worksheet!P388,IF(Worksheet!R388&lt;&gt;"",Worksheet!R388,IF(Worksheet!T388&lt;&gt;"",Worksheet!T388,"")))</f>
        <v/>
      </c>
      <c r="L388" t="str">
        <f>IF(AND(Worksheet!V388&lt;&gt;"",Worksheet!V388&lt;&gt;0),Worksheet!V388&amp;"",IF(AND(Worksheet!X388&lt;&gt;"",Worksheet!X388&lt;&gt;0),Worksheet!X388&amp;"",IF(AND(Worksheet!Z388&lt;&gt;"",Worksheet!Z388&lt;&gt;0),Worksheet!Z388&amp;"","")))</f>
        <v>474884540</v>
      </c>
      <c r="M388" t="str">
        <f>IF(Worksheet!AE388="","",Worksheet!AE388)</f>
        <v>https://app.twizzit.com/public/photos/2936186/s/c4015a6cfb380c1e7090d66488ca6326fa9caa7a.png</v>
      </c>
      <c r="N388">
        <f>IF(Worksheet!AG388="","",Worksheet!AG388)</f>
        <v>744354</v>
      </c>
      <c r="O388" t="str">
        <f>IF(Worksheet!AJ388="","",Worksheet!AJ388)</f>
        <v>Zomerstage 2026 (Blankenberge)</v>
      </c>
      <c r="P388" t="str">
        <f>IF(Worksheet!AK388="","",Worksheet!AK388)</f>
        <v>Speler</v>
      </c>
    </row>
    <row r="389" spans="1:16" x14ac:dyDescent="0.25">
      <c r="A389" t="str">
        <v>Basiel Vossen</v>
      </c>
      <c r="B389" t="str">
        <v>pieterpaulvossen@hotmail.com</v>
      </c>
      <c r="C389" t="str">
        <v>0474575676</v>
      </c>
      <c r="D389" t="str">
        <v/>
      </c>
      <c r="E389" s="2" t="str">
        <v/>
      </c>
      <c r="F389" t="str">
        <v>G08 Geel HAANTJES CERTIFISC OUDENAARDE</v>
      </c>
      <c r="G389" t="str">
        <v>Speler</v>
      </c>
      <c r="J389" t="str">
        <f>Worksheet!C389&amp;" "&amp;Worksheet!B389</f>
        <v>Vic Huysman</v>
      </c>
      <c r="K389" t="str">
        <f>IF(Worksheet!P389&lt;&gt;"",Worksheet!P389,IF(Worksheet!R389&lt;&gt;"",Worksheet!R389,IF(Worksheet!T389&lt;&gt;"",Worksheet!T389,"")))</f>
        <v/>
      </c>
      <c r="L389" t="str">
        <f>IF(AND(Worksheet!V389&lt;&gt;"",Worksheet!V389&lt;&gt;0),Worksheet!V389&amp;"",IF(AND(Worksheet!X389&lt;&gt;"",Worksheet!X389&lt;&gt;0),Worksheet!X389&amp;"",IF(AND(Worksheet!Z389&lt;&gt;"",Worksheet!Z389&lt;&gt;0),Worksheet!Z389&amp;"","")))</f>
        <v>474884540</v>
      </c>
      <c r="M389" t="str">
        <f>IF(Worksheet!AE389="","",Worksheet!AE389)</f>
        <v>https://app.twizzit.com/public/photos/2936186/s/c4015a6cfb380c1e7090d66488ca6326fa9caa7a.png</v>
      </c>
      <c r="N389">
        <f>IF(Worksheet!AG389="","",Worksheet!AG389)</f>
        <v>744354</v>
      </c>
      <c r="O389" t="str">
        <f>IF(Worksheet!AJ389="","",Worksheet!AJ389)</f>
        <v>HSE B Haantjes Certifisc Oudenaarde</v>
      </c>
      <c r="P389" t="str">
        <f>IF(Worksheet!AK389="","",Worksheet!AK389)</f>
        <v>Speler</v>
      </c>
    </row>
    <row r="390" spans="1:16" x14ac:dyDescent="0.25">
      <c r="A390" t="str">
        <v>Matteo Vunck</v>
      </c>
      <c r="B390" t="str">
        <v>fam.vunck.demoor@outlook.com</v>
      </c>
      <c r="C390" t="str">
        <v>320494304295</v>
      </c>
      <c r="D390" t="str">
        <v>https://app.twizzit.com/public/photos/8418462/s/4cd851c617ea9849ca7ba85a62a0807b8b769b48.jpeg</v>
      </c>
      <c r="E390" s="2" t="str">
        <v/>
      </c>
      <c r="F390" t="str">
        <v>G10 Blauw HAANTJES CERTIFISC OUDENAARDE</v>
      </c>
      <c r="G390" t="str">
        <v>Speler</v>
      </c>
      <c r="J390" t="str">
        <f>Worksheet!C390&amp;" "&amp;Worksheet!B390</f>
        <v>Noah Huyzentruyt</v>
      </c>
      <c r="K390" t="str">
        <f>IF(Worksheet!P390&lt;&gt;"",Worksheet!P390,IF(Worksheet!R390&lt;&gt;"",Worksheet!R390,IF(Worksheet!T390&lt;&gt;"",Worksheet!T390,"")))</f>
        <v/>
      </c>
      <c r="L390" t="str">
        <f>IF(AND(Worksheet!V390&lt;&gt;"",Worksheet!V390&lt;&gt;0),Worksheet!V390&amp;"",IF(AND(Worksheet!X390&lt;&gt;"",Worksheet!X390&lt;&gt;0),Worksheet!X390&amp;"",IF(AND(Worksheet!Z390&lt;&gt;"",Worksheet!Z390&lt;&gt;0),Worksheet!Z390&amp;"","")))</f>
        <v>320456548873</v>
      </c>
      <c r="M390" t="str">
        <f>IF(Worksheet!AE390="","",Worksheet!AE390)</f>
        <v/>
      </c>
      <c r="N390">
        <f>IF(Worksheet!AG390="","",Worksheet!AG390)</f>
        <v>631406</v>
      </c>
      <c r="O390" t="str">
        <f>IF(Worksheet!AJ390="","",Worksheet!AJ390)</f>
        <v/>
      </c>
      <c r="P390" t="str">
        <f>IF(Worksheet!AK390="","",Worksheet!AK390)</f>
        <v/>
      </c>
    </row>
    <row r="391" spans="1:16" x14ac:dyDescent="0.25">
      <c r="A391" t="str">
        <v>Gaston Waelkens</v>
      </c>
      <c r="B391" t="str">
        <v/>
      </c>
      <c r="C391" t="str">
        <v>32495460727</v>
      </c>
      <c r="D391" t="str">
        <v>https://app.twizzit.com/public/photos/3437289/s/570cbbb3ba40336fabf43491384c678cfbbf4db4.png</v>
      </c>
      <c r="E391" s="2" t="str">
        <v/>
      </c>
      <c r="F391" t="str">
        <v>G10 Geel HAANTJES CERTIFISC OUDENAARDE</v>
      </c>
      <c r="G391" t="str">
        <v>Speler</v>
      </c>
      <c r="J391" t="str">
        <f>Worksheet!C391&amp;" "&amp;Worksheet!B391</f>
        <v>Thibault Huyzentruyt</v>
      </c>
      <c r="K391" t="str">
        <f>IF(Worksheet!P391&lt;&gt;"",Worksheet!P391,IF(Worksheet!R391&lt;&gt;"",Worksheet!R391,IF(Worksheet!T391&lt;&gt;"",Worksheet!T391,"")))</f>
        <v/>
      </c>
      <c r="L391" t="str">
        <f>IF(AND(Worksheet!V391&lt;&gt;"",Worksheet!V391&lt;&gt;0),Worksheet!V391&amp;"",IF(AND(Worksheet!X391&lt;&gt;"",Worksheet!X391&lt;&gt;0),Worksheet!X391&amp;"",IF(AND(Worksheet!Z391&lt;&gt;"",Worksheet!Z391&lt;&gt;0),Worksheet!Z391&amp;"","")))</f>
        <v/>
      </c>
      <c r="M391" t="str">
        <f>IF(Worksheet!AE391="","",Worksheet!AE391)</f>
        <v/>
      </c>
      <c r="N391">
        <f>IF(Worksheet!AG391="","",Worksheet!AG391)</f>
        <v>612532</v>
      </c>
      <c r="O391" t="str">
        <f>IF(Worksheet!AJ391="","",Worksheet!AJ391)</f>
        <v/>
      </c>
      <c r="P391" t="str">
        <f>IF(Worksheet!AK391="","",Worksheet!AK391)</f>
        <v/>
      </c>
    </row>
    <row r="392" spans="1:16" x14ac:dyDescent="0.25">
      <c r="A392" t="str">
        <v>Jeanne Waelkens</v>
      </c>
      <c r="B392" t="str">
        <v/>
      </c>
      <c r="C392" t="str">
        <v>32495460727</v>
      </c>
      <c r="D392" t="str">
        <v>https://app.twizzit.com/public/photos/3437291/s/f3577d619164c0e4ca4ac15321e6e9e51e00ea9d.png</v>
      </c>
      <c r="E392" s="2" t="str">
        <v/>
      </c>
      <c r="F392" t="str">
        <v>M10 HAANTJES CERTIFISC OUDENAARDE</v>
      </c>
      <c r="G392" t="str">
        <v>Speler</v>
      </c>
      <c r="J392" t="str">
        <f>Worksheet!C392&amp;" "&amp;Worksheet!B392</f>
        <v>Ilona Ismajli Foulon</v>
      </c>
      <c r="K392" t="str">
        <f>IF(Worksheet!P392&lt;&gt;"",Worksheet!P392,IF(Worksheet!R392&lt;&gt;"",Worksheet!R392,IF(Worksheet!T392&lt;&gt;"",Worksheet!T392,"")))</f>
        <v>feritamg@gmail.com</v>
      </c>
      <c r="L392" t="str">
        <f>IF(AND(Worksheet!V392&lt;&gt;"",Worksheet!V392&lt;&gt;0),Worksheet!V392&amp;"",IF(AND(Worksheet!X392&lt;&gt;"",Worksheet!X392&lt;&gt;0),Worksheet!X392&amp;"",IF(AND(Worksheet!Z392&lt;&gt;"",Worksheet!Z392&lt;&gt;0),Worksheet!Z392&amp;"","")))</f>
        <v>0486670994</v>
      </c>
      <c r="M392" t="str">
        <f>IF(Worksheet!AE392="","",Worksheet!AE392)</f>
        <v/>
      </c>
      <c r="N392" t="str">
        <f>IF(Worksheet!AG392="","",Worksheet!AG392)</f>
        <v/>
      </c>
      <c r="O392" t="str">
        <f>IF(Worksheet!AJ392="","",Worksheet!AJ392)</f>
        <v/>
      </c>
      <c r="P392" t="str">
        <f>IF(Worksheet!AK392="","",Worksheet!AK392)</f>
        <v/>
      </c>
    </row>
    <row r="393" spans="1:16" x14ac:dyDescent="0.25">
      <c r="A393" t="str">
        <v>Cedric Watteyn</v>
      </c>
      <c r="B393" t="str">
        <v/>
      </c>
      <c r="C393" t="str">
        <v>0471244684</v>
      </c>
      <c r="D393" t="str">
        <v/>
      </c>
      <c r="E393" s="2">
        <v>644411</v>
      </c>
      <c r="F393" t="str">
        <v>HSE A Haantjes Certifisc Oudenaarde</v>
      </c>
      <c r="G393" t="str">
        <v>Speler</v>
      </c>
      <c r="J393" t="str">
        <f>Worksheet!C393&amp;" "&amp;Worksheet!B393</f>
        <v>Mirte Janssens</v>
      </c>
      <c r="K393" t="str">
        <f>IF(Worksheet!P393&lt;&gt;"",Worksheet!P393,IF(Worksheet!R393&lt;&gt;"",Worksheet!R393,IF(Worksheet!T393&lt;&gt;"",Worksheet!T393,"")))</f>
        <v>Lies.Vanlerberghe@gmaiil.com</v>
      </c>
      <c r="L393" t="str">
        <f>IF(AND(Worksheet!V393&lt;&gt;"",Worksheet!V393&lt;&gt;0),Worksheet!V393&amp;"",IF(AND(Worksheet!X393&lt;&gt;"",Worksheet!X393&lt;&gt;0),Worksheet!X393&amp;"",IF(AND(Worksheet!Z393&lt;&gt;"",Worksheet!Z393&lt;&gt;0),Worksheet!Z393&amp;"","")))</f>
        <v/>
      </c>
      <c r="M393" t="str">
        <f>IF(Worksheet!AE393="","",Worksheet!AE393)</f>
        <v>https://app.twizzit.com/public/photos/2669942/s/5f79e0ad9bcf611750cb283fbc9adebafe876bae.png</v>
      </c>
      <c r="N393">
        <f>IF(Worksheet!AG393="","",Worksheet!AG393)</f>
        <v>704269</v>
      </c>
      <c r="O393" t="str">
        <f>IF(Worksheet!AJ393="","",Worksheet!AJ393)</f>
        <v/>
      </c>
      <c r="P393" t="str">
        <f>IF(Worksheet!AK393="","",Worksheet!AK393)</f>
        <v/>
      </c>
    </row>
    <row r="394" spans="1:16" x14ac:dyDescent="0.25">
      <c r="A394" t="str">
        <v>Océane Wisbecq</v>
      </c>
      <c r="B394" t="str">
        <v>jasper.wisbecq@hotmail.com</v>
      </c>
      <c r="C394" t="str">
        <v>0472459757</v>
      </c>
      <c r="D394" t="str">
        <v/>
      </c>
      <c r="E394" s="2" t="str">
        <v/>
      </c>
      <c r="F394" t="str">
        <v>G08 Blauw HAANTJES CERTIFISC OUDENAARDE</v>
      </c>
      <c r="G394" t="str">
        <v>Speler</v>
      </c>
      <c r="J394" t="str">
        <f>Worksheet!C394&amp;" "&amp;Worksheet!B394</f>
        <v>Mirte Janssens</v>
      </c>
      <c r="K394" t="str">
        <f>IF(Worksheet!P394&lt;&gt;"",Worksheet!P394,IF(Worksheet!R394&lt;&gt;"",Worksheet!R394,IF(Worksheet!T394&lt;&gt;"",Worksheet!T394,"")))</f>
        <v>Lies.Vanlerberghe@gmaiil.com</v>
      </c>
      <c r="L394" t="str">
        <f>IF(AND(Worksheet!V394&lt;&gt;"",Worksheet!V394&lt;&gt;0),Worksheet!V394&amp;"",IF(AND(Worksheet!X394&lt;&gt;"",Worksheet!X394&lt;&gt;0),Worksheet!X394&amp;"",IF(AND(Worksheet!Z394&lt;&gt;"",Worksheet!Z394&lt;&gt;0),Worksheet!Z394&amp;"","")))</f>
        <v/>
      </c>
      <c r="M394" t="str">
        <f>IF(Worksheet!AE394="","",Worksheet!AE394)</f>
        <v>https://app.twizzit.com/public/photos/2669942/s/5f79e0ad9bcf611750cb283fbc9adebafe876bae.png</v>
      </c>
      <c r="N394">
        <f>IF(Worksheet!AG394="","",Worksheet!AG394)</f>
        <v>704269</v>
      </c>
      <c r="O394" t="str">
        <f>IF(Worksheet!AJ394="","",Worksheet!AJ394)</f>
        <v/>
      </c>
      <c r="P394" t="str">
        <f>IF(Worksheet!AK394="","",Worksheet!AK394)</f>
        <v/>
      </c>
    </row>
    <row r="395" spans="1:16" x14ac:dyDescent="0.25">
      <c r="E395" s="2"/>
      <c r="J395" t="str">
        <f>Worksheet!C395&amp;" "&amp;Worksheet!B395</f>
        <v>William Janssens</v>
      </c>
      <c r="K395" t="str">
        <f>IF(Worksheet!P395&lt;&gt;"",Worksheet!P395,IF(Worksheet!R395&lt;&gt;"",Worksheet!R395,IF(Worksheet!T395&lt;&gt;"",Worksheet!T395,"")))</f>
        <v/>
      </c>
      <c r="L395" t="str">
        <f>IF(AND(Worksheet!V395&lt;&gt;"",Worksheet!V395&lt;&gt;0),Worksheet!V395&amp;"",IF(AND(Worksheet!X395&lt;&gt;"",Worksheet!X395&lt;&gt;0),Worksheet!X395&amp;"",IF(AND(Worksheet!Z395&lt;&gt;"",Worksheet!Z395&lt;&gt;0),Worksheet!Z395&amp;"","")))</f>
        <v>0486756760</v>
      </c>
      <c r="M395" t="str">
        <f>IF(Worksheet!AE395="","",Worksheet!AE395)</f>
        <v/>
      </c>
      <c r="N395">
        <f>IF(Worksheet!AG395="","",Worksheet!AG395)</f>
        <v>80412</v>
      </c>
      <c r="O395" t="str">
        <f>IF(Worksheet!AJ395="","",Worksheet!AJ395)</f>
        <v/>
      </c>
      <c r="P395" t="str">
        <f>IF(Worksheet!AK395="","",Worksheet!AK395)</f>
        <v/>
      </c>
    </row>
    <row r="396" spans="1:16" x14ac:dyDescent="0.25">
      <c r="E396" s="2"/>
      <c r="J396" t="str">
        <f>Worksheet!C396&amp;" "&amp;Worksheet!B396</f>
        <v>Aleksandr Kazmenko</v>
      </c>
      <c r="K396" t="str">
        <f>IF(Worksheet!P396&lt;&gt;"",Worksheet!P396,IF(Worksheet!R396&lt;&gt;"",Worksheet!R396,IF(Worksheet!T396&lt;&gt;"",Worksheet!T396,"")))</f>
        <v>alex@inolel.com</v>
      </c>
      <c r="L396" t="str">
        <f>IF(AND(Worksheet!V396&lt;&gt;"",Worksheet!V396&lt;&gt;0),Worksheet!V396&amp;"",IF(AND(Worksheet!X396&lt;&gt;"",Worksheet!X396&lt;&gt;0),Worksheet!X396&amp;"",IF(AND(Worksheet!Z396&lt;&gt;"",Worksheet!Z396&lt;&gt;0),Worksheet!Z396&amp;"","")))</f>
        <v/>
      </c>
      <c r="M396" t="str">
        <f>IF(Worksheet!AE396="","",Worksheet!AE396)</f>
        <v/>
      </c>
      <c r="N396">
        <f>IF(Worksheet!AG396="","",Worksheet!AG396)</f>
        <v>280658</v>
      </c>
      <c r="O396" t="str">
        <f>IF(Worksheet!AJ396="","",Worksheet!AJ396)</f>
        <v>HSE B Haantjes Certifisc Oudenaarde</v>
      </c>
      <c r="P396" t="str">
        <f>IF(Worksheet!AK396="","",Worksheet!AK396)</f>
        <v>Speler</v>
      </c>
    </row>
    <row r="397" spans="1:16" x14ac:dyDescent="0.25">
      <c r="E397" s="2"/>
      <c r="J397" t="str">
        <f>Worksheet!C397&amp;" "&amp;Worksheet!B397</f>
        <v>Maarten Kesteloot</v>
      </c>
      <c r="K397" t="str">
        <f>IF(Worksheet!P397&lt;&gt;"",Worksheet!P397,IF(Worksheet!R397&lt;&gt;"",Worksheet!R397,IF(Worksheet!T397&lt;&gt;"",Worksheet!T397,"")))</f>
        <v/>
      </c>
      <c r="L397" t="str">
        <f>IF(AND(Worksheet!V397&lt;&gt;"",Worksheet!V397&lt;&gt;0),Worksheet!V397&amp;"",IF(AND(Worksheet!X397&lt;&gt;"",Worksheet!X397&lt;&gt;0),Worksheet!X397&amp;"",IF(AND(Worksheet!Z397&lt;&gt;"",Worksheet!Z397&lt;&gt;0),Worksheet!Z397&amp;"","")))</f>
        <v>0472298312</v>
      </c>
      <c r="M397" t="str">
        <f>IF(Worksheet!AE397="","",Worksheet!AE397)</f>
        <v>https://app.twizzit.com/public/photos/2183017/s/cab2a8ce50a8c2f200efa9bb74de43a6f9fbf6e7.png</v>
      </c>
      <c r="N397">
        <f>IF(Worksheet!AG397="","",Worksheet!AG397)</f>
        <v>233069</v>
      </c>
      <c r="O397" t="str">
        <f>IF(Worksheet!AJ397="","",Worksheet!AJ397)</f>
        <v/>
      </c>
      <c r="P397" t="str">
        <f>IF(Worksheet!AK397="","",Worksheet!AK397)</f>
        <v/>
      </c>
    </row>
    <row r="398" spans="1:16" x14ac:dyDescent="0.25">
      <c r="E398" s="2"/>
      <c r="J398" t="str">
        <f>Worksheet!C398&amp;" "&amp;Worksheet!B398</f>
        <v>Filip L'Hommelet</v>
      </c>
      <c r="K398" t="str">
        <f>IF(Worksheet!P398&lt;&gt;"",Worksheet!P398,IF(Worksheet!R398&lt;&gt;"",Worksheet!R398,IF(Worksheet!T398&lt;&gt;"",Worksheet!T398,"")))</f>
        <v>filip.lhommelet@myweb4u.be</v>
      </c>
      <c r="L398" t="str">
        <f>IF(AND(Worksheet!V398&lt;&gt;"",Worksheet!V398&lt;&gt;0),Worksheet!V398&amp;"",IF(AND(Worksheet!X398&lt;&gt;"",Worksheet!X398&lt;&gt;0),Worksheet!X398&amp;"",IF(AND(Worksheet!Z398&lt;&gt;"",Worksheet!Z398&lt;&gt;0),Worksheet!Z398&amp;"","")))</f>
        <v>32479376759</v>
      </c>
      <c r="M398" t="str">
        <f>IF(Worksheet!AE398="","",Worksheet!AE398)</f>
        <v/>
      </c>
      <c r="N398">
        <f>IF(Worksheet!AG398="","",Worksheet!AG398)</f>
        <v>92637</v>
      </c>
      <c r="O398" t="str">
        <f>IF(Worksheet!AJ398="","",Worksheet!AJ398)</f>
        <v>G14 A Haantjes CERTIFISC Oudenaarde</v>
      </c>
      <c r="P398" t="str">
        <f>IF(Worksheet!AK398="","",Worksheet!AK398)</f>
        <v>Coach</v>
      </c>
    </row>
    <row r="399" spans="1:16" x14ac:dyDescent="0.25">
      <c r="E399" s="2"/>
      <c r="J399" t="str">
        <f>Worksheet!C399&amp;" "&amp;Worksheet!B399</f>
        <v>Leon L'Hommelet</v>
      </c>
      <c r="K399" t="str">
        <f>IF(Worksheet!P399&lt;&gt;"",Worksheet!P399,IF(Worksheet!R399&lt;&gt;"",Worksheet!R399,IF(Worksheet!T399&lt;&gt;"",Worksheet!T399,"")))</f>
        <v>els.bourgois@gmail.com</v>
      </c>
      <c r="L399" t="str">
        <f>IF(AND(Worksheet!V399&lt;&gt;"",Worksheet!V399&lt;&gt;0),Worksheet!V399&amp;"",IF(AND(Worksheet!X399&lt;&gt;"",Worksheet!X399&lt;&gt;0),Worksheet!X399&amp;"",IF(AND(Worksheet!Z399&lt;&gt;"",Worksheet!Z399&lt;&gt;0),Worksheet!Z399&amp;"","")))</f>
        <v>479376759</v>
      </c>
      <c r="M399" t="str">
        <f>IF(Worksheet!AE399="","",Worksheet!AE399)</f>
        <v/>
      </c>
      <c r="N399">
        <f>IF(Worksheet!AG399="","",Worksheet!AG399)</f>
        <v>733228</v>
      </c>
      <c r="O399" t="str">
        <f>IF(Worksheet!AJ399="","",Worksheet!AJ399)</f>
        <v>G14 A Haantjes CERTIFISC Oudenaarde</v>
      </c>
      <c r="P399" t="str">
        <f>IF(Worksheet!AK399="","",Worksheet!AK399)</f>
        <v>Speler</v>
      </c>
    </row>
    <row r="400" spans="1:16" x14ac:dyDescent="0.25">
      <c r="E400" s="2"/>
      <c r="J400" t="str">
        <f>Worksheet!C400&amp;" "&amp;Worksheet!B400</f>
        <v>Leon L'Hommelet</v>
      </c>
      <c r="K400" t="str">
        <f>IF(Worksheet!P400&lt;&gt;"",Worksheet!P400,IF(Worksheet!R400&lt;&gt;"",Worksheet!R400,IF(Worksheet!T400&lt;&gt;"",Worksheet!T400,"")))</f>
        <v>els.bourgois@gmail.com</v>
      </c>
      <c r="L400" t="str">
        <f>IF(AND(Worksheet!V400&lt;&gt;"",Worksheet!V400&lt;&gt;0),Worksheet!V400&amp;"",IF(AND(Worksheet!X400&lt;&gt;"",Worksheet!X400&lt;&gt;0),Worksheet!X400&amp;"",IF(AND(Worksheet!Z400&lt;&gt;"",Worksheet!Z400&lt;&gt;0),Worksheet!Z400&amp;"","")))</f>
        <v>479376759</v>
      </c>
      <c r="M400" t="str">
        <f>IF(Worksheet!AE400="","",Worksheet!AE400)</f>
        <v/>
      </c>
      <c r="N400">
        <f>IF(Worksheet!AG400="","",Worksheet!AG400)</f>
        <v>733228</v>
      </c>
      <c r="O400" t="str">
        <f>IF(Worksheet!AJ400="","",Worksheet!AJ400)</f>
        <v>Zomerstage 2026 (Blankenberge)</v>
      </c>
      <c r="P400" t="str">
        <f>IF(Worksheet!AK400="","",Worksheet!AK400)</f>
        <v>Speler</v>
      </c>
    </row>
    <row r="401" spans="5:16" x14ac:dyDescent="0.25">
      <c r="E401" s="2"/>
      <c r="J401" t="str">
        <f>Worksheet!C401&amp;" "&amp;Worksheet!B401</f>
        <v>Maud Lacres</v>
      </c>
      <c r="K401" t="str">
        <f>IF(Worksheet!P401&lt;&gt;"",Worksheet!P401,IF(Worksheet!R401&lt;&gt;"",Worksheet!R401,IF(Worksheet!T401&lt;&gt;"",Worksheet!T401,"")))</f>
        <v>taelman.elke@gmail.com</v>
      </c>
      <c r="L401" t="str">
        <f>IF(AND(Worksheet!V401&lt;&gt;"",Worksheet!V401&lt;&gt;0),Worksheet!V401&amp;"",IF(AND(Worksheet!X401&lt;&gt;"",Worksheet!X401&lt;&gt;0),Worksheet!X401&amp;"",IF(AND(Worksheet!Z401&lt;&gt;"",Worksheet!Z401&lt;&gt;0),Worksheet!Z401&amp;"","")))</f>
        <v>0486264195</v>
      </c>
      <c r="M401" t="str">
        <f>IF(Worksheet!AE401="","",Worksheet!AE401)</f>
        <v>https://app.twizzit.com/public/photos/7284400/s/788dc5308deee743b8d2d9764e0824010b7633fe.png</v>
      </c>
      <c r="N401">
        <f>IF(Worksheet!AG401="","",Worksheet!AG401)</f>
        <v>764842</v>
      </c>
      <c r="O401" t="str">
        <f>IF(Worksheet!AJ401="","",Worksheet!AJ401)</f>
        <v>M12 A HAANTJES CERTIFISC OUDENAARDE</v>
      </c>
      <c r="P401" t="str">
        <f>IF(Worksheet!AK401="","",Worksheet!AK401)</f>
        <v>Speler</v>
      </c>
    </row>
    <row r="402" spans="5:16" x14ac:dyDescent="0.25">
      <c r="E402" s="2"/>
      <c r="J402" t="str">
        <f>Worksheet!C402&amp;" "&amp;Worksheet!B402</f>
        <v>Jannes Lagae</v>
      </c>
      <c r="K402" t="str">
        <f>IF(Worksheet!P402&lt;&gt;"",Worksheet!P402,IF(Worksheet!R402&lt;&gt;"",Worksheet!R402,IF(Worksheet!T402&lt;&gt;"",Worksheet!T402,"")))</f>
        <v>Ruubelagae@gmail.com</v>
      </c>
      <c r="L402" t="str">
        <f>IF(AND(Worksheet!V402&lt;&gt;"",Worksheet!V402&lt;&gt;0),Worksheet!V402&amp;"",IF(AND(Worksheet!X402&lt;&gt;"",Worksheet!X402&lt;&gt;0),Worksheet!X402&amp;"",IF(AND(Worksheet!Z402&lt;&gt;"",Worksheet!Z402&lt;&gt;0),Worksheet!Z402&amp;"","")))</f>
        <v>32486615053</v>
      </c>
      <c r="M402" t="str">
        <f>IF(Worksheet!AE402="","",Worksheet!AE402)</f>
        <v/>
      </c>
      <c r="N402" t="str">
        <f>IF(Worksheet!AG402="","",Worksheet!AG402)</f>
        <v/>
      </c>
      <c r="O402" t="str">
        <f>IF(Worksheet!AJ402="","",Worksheet!AJ402)</f>
        <v/>
      </c>
      <c r="P402" t="str">
        <f>IF(Worksheet!AK402="","",Worksheet!AK402)</f>
        <v/>
      </c>
    </row>
    <row r="403" spans="5:16" x14ac:dyDescent="0.25">
      <c r="E403" s="2"/>
      <c r="J403" t="str">
        <f>Worksheet!C403&amp;" "&amp;Worksheet!B403</f>
        <v>Ruube Lagae</v>
      </c>
      <c r="K403" t="str">
        <f>IF(Worksheet!P403&lt;&gt;"",Worksheet!P403,IF(Worksheet!R403&lt;&gt;"",Worksheet!R403,IF(Worksheet!T403&lt;&gt;"",Worksheet!T403,"")))</f>
        <v>Ruubelagae@gmail.com</v>
      </c>
      <c r="L403" t="str">
        <f>IF(AND(Worksheet!V403&lt;&gt;"",Worksheet!V403&lt;&gt;0),Worksheet!V403&amp;"",IF(AND(Worksheet!X403&lt;&gt;"",Worksheet!X403&lt;&gt;0),Worksheet!X403&amp;"",IF(AND(Worksheet!Z403&lt;&gt;"",Worksheet!Z403&lt;&gt;0),Worksheet!Z403&amp;"","")))</f>
        <v>32486615053</v>
      </c>
      <c r="M403" t="str">
        <f>IF(Worksheet!AE403="","",Worksheet!AE403)</f>
        <v/>
      </c>
      <c r="N403" t="str">
        <f>IF(Worksheet!AG403="","",Worksheet!AG403)</f>
        <v/>
      </c>
      <c r="O403" t="str">
        <f>IF(Worksheet!AJ403="","",Worksheet!AJ403)</f>
        <v>G14 A Haantjes CERTIFISC Oudenaarde</v>
      </c>
      <c r="P403" t="str">
        <f>IF(Worksheet!AK403="","",Worksheet!AK403)</f>
        <v>Speler</v>
      </c>
    </row>
    <row r="404" spans="5:16" x14ac:dyDescent="0.25">
      <c r="E404" s="2"/>
      <c r="J404" t="str">
        <f>Worksheet!C404&amp;" "&amp;Worksheet!B404</f>
        <v>Ruube Lagae</v>
      </c>
      <c r="K404" t="str">
        <f>IF(Worksheet!P404&lt;&gt;"",Worksheet!P404,IF(Worksheet!R404&lt;&gt;"",Worksheet!R404,IF(Worksheet!T404&lt;&gt;"",Worksheet!T404,"")))</f>
        <v>Ruubelagae@gmail.com</v>
      </c>
      <c r="L404" t="str">
        <f>IF(AND(Worksheet!V404&lt;&gt;"",Worksheet!V404&lt;&gt;0),Worksheet!V404&amp;"",IF(AND(Worksheet!X404&lt;&gt;"",Worksheet!X404&lt;&gt;0),Worksheet!X404&amp;"",IF(AND(Worksheet!Z404&lt;&gt;"",Worksheet!Z404&lt;&gt;0),Worksheet!Z404&amp;"","")))</f>
        <v>32486615053</v>
      </c>
      <c r="M404" t="str">
        <f>IF(Worksheet!AE404="","",Worksheet!AE404)</f>
        <v/>
      </c>
      <c r="N404" t="str">
        <f>IF(Worksheet!AG404="","",Worksheet!AG404)</f>
        <v/>
      </c>
      <c r="O404" t="str">
        <f>IF(Worksheet!AJ404="","",Worksheet!AJ404)</f>
        <v>Zomerstage 2026 (Blankenberge)</v>
      </c>
      <c r="P404" t="str">
        <f>IF(Worksheet!AK404="","",Worksheet!AK404)</f>
        <v>Speler</v>
      </c>
    </row>
    <row r="405" spans="5:16" x14ac:dyDescent="0.25">
      <c r="E405" s="2"/>
      <c r="J405" t="str">
        <f>Worksheet!C405&amp;" "&amp;Worksheet!B405</f>
        <v>Katrien Lambert</v>
      </c>
      <c r="K405" t="str">
        <f>IF(Worksheet!P405&lt;&gt;"",Worksheet!P405,IF(Worksheet!R405&lt;&gt;"",Worksheet!R405,IF(Worksheet!T405&lt;&gt;"",Worksheet!T405,"")))</f>
        <v/>
      </c>
      <c r="L405" t="str">
        <f>IF(AND(Worksheet!V405&lt;&gt;"",Worksheet!V405&lt;&gt;0),Worksheet!V405&amp;"",IF(AND(Worksheet!X405&lt;&gt;"",Worksheet!X405&lt;&gt;0),Worksheet!X405&amp;"",IF(AND(Worksheet!Z405&lt;&gt;"",Worksheet!Z405&lt;&gt;0),Worksheet!Z405&amp;"","")))</f>
        <v>474613344</v>
      </c>
      <c r="M405" t="str">
        <f>IF(Worksheet!AE405="","",Worksheet!AE405)</f>
        <v/>
      </c>
      <c r="N405" t="str">
        <f>IF(Worksheet!AG405="","",Worksheet!AG405)</f>
        <v/>
      </c>
      <c r="O405" t="str">
        <f>IF(Worksheet!AJ405="","",Worksheet!AJ405)</f>
        <v/>
      </c>
      <c r="P405" t="str">
        <f>IF(Worksheet!AK405="","",Worksheet!AK405)</f>
        <v/>
      </c>
    </row>
    <row r="406" spans="5:16" x14ac:dyDescent="0.25">
      <c r="E406" s="2"/>
      <c r="J406" t="str">
        <f>Worksheet!C406&amp;" "&amp;Worksheet!B406</f>
        <v>Wiebe Lampens</v>
      </c>
      <c r="K406" t="str">
        <f>IF(Worksheet!P406&lt;&gt;"",Worksheet!P406,IF(Worksheet!R406&lt;&gt;"",Worksheet!R406,IF(Worksheet!T406&lt;&gt;"",Worksheet!T406,"")))</f>
        <v>wouterlampens@gmail.com</v>
      </c>
      <c r="L406" t="str">
        <f>IF(AND(Worksheet!V406&lt;&gt;"",Worksheet!V406&lt;&gt;0),Worksheet!V406&amp;"",IF(AND(Worksheet!X406&lt;&gt;"",Worksheet!X406&lt;&gt;0),Worksheet!X406&amp;"",IF(AND(Worksheet!Z406&lt;&gt;"",Worksheet!Z406&lt;&gt;0),Worksheet!Z406&amp;"","")))</f>
        <v/>
      </c>
      <c r="M406" t="str">
        <f>IF(Worksheet!AE406="","",Worksheet!AE406)</f>
        <v/>
      </c>
      <c r="N406">
        <f>IF(Worksheet!AG406="","",Worksheet!AG406)</f>
        <v>717008</v>
      </c>
      <c r="O406" t="str">
        <f>IF(Worksheet!AJ406="","",Worksheet!AJ406)</f>
        <v/>
      </c>
      <c r="P406" t="str">
        <f>IF(Worksheet!AK406="","",Worksheet!AK406)</f>
        <v/>
      </c>
    </row>
    <row r="407" spans="5:16" x14ac:dyDescent="0.25">
      <c r="E407" s="2"/>
      <c r="J407" t="str">
        <f>Worksheet!C407&amp;" "&amp;Worksheet!B407</f>
        <v>Natasja Langaskens</v>
      </c>
      <c r="K407" t="str">
        <f>IF(Worksheet!P407&lt;&gt;"",Worksheet!P407,IF(Worksheet!R407&lt;&gt;"",Worksheet!R407,IF(Worksheet!T407&lt;&gt;"",Worksheet!T407,"")))</f>
        <v/>
      </c>
      <c r="L407" t="str">
        <f>IF(AND(Worksheet!V407&lt;&gt;"",Worksheet!V407&lt;&gt;0),Worksheet!V407&amp;"",IF(AND(Worksheet!X407&lt;&gt;"",Worksheet!X407&lt;&gt;0),Worksheet!X407&amp;"",IF(AND(Worksheet!Z407&lt;&gt;"",Worksheet!Z407&lt;&gt;0),Worksheet!Z407&amp;"","")))</f>
        <v/>
      </c>
      <c r="M407" t="str">
        <f>IF(Worksheet!AE407="","",Worksheet!AE407)</f>
        <v/>
      </c>
      <c r="N407">
        <f>IF(Worksheet!AG407="","",Worksheet!AG407)</f>
        <v>640293</v>
      </c>
      <c r="O407" t="str">
        <f>IF(Worksheet!AJ407="","",Worksheet!AJ407)</f>
        <v/>
      </c>
      <c r="P407" t="str">
        <f>IF(Worksheet!AK407="","",Worksheet!AK407)</f>
        <v/>
      </c>
    </row>
    <row r="408" spans="5:16" x14ac:dyDescent="0.25">
      <c r="E408" s="2"/>
      <c r="J408" t="str">
        <f>Worksheet!C408&amp;" "&amp;Worksheet!B408</f>
        <v>Lucas Lapiere</v>
      </c>
      <c r="K408" t="str">
        <f>IF(Worksheet!P408&lt;&gt;"",Worksheet!P408,IF(Worksheet!R408&lt;&gt;"",Worksheet!R408,IF(Worksheet!T408&lt;&gt;"",Worksheet!T408,"")))</f>
        <v/>
      </c>
      <c r="L408" t="str">
        <f>IF(AND(Worksheet!V408&lt;&gt;"",Worksheet!V408&lt;&gt;0),Worksheet!V408&amp;"",IF(AND(Worksheet!X408&lt;&gt;"",Worksheet!X408&lt;&gt;0),Worksheet!X408&amp;"",IF(AND(Worksheet!Z408&lt;&gt;"",Worksheet!Z408&lt;&gt;0),Worksheet!Z408&amp;"","")))</f>
        <v/>
      </c>
      <c r="M408" t="str">
        <f>IF(Worksheet!AE408="","",Worksheet!AE408)</f>
        <v/>
      </c>
      <c r="N408">
        <f>IF(Worksheet!AG408="","",Worksheet!AG408)</f>
        <v>638439</v>
      </c>
      <c r="O408" t="str">
        <f>IF(Worksheet!AJ408="","",Worksheet!AJ408)</f>
        <v/>
      </c>
      <c r="P408" t="str">
        <f>IF(Worksheet!AK408="","",Worksheet!AK408)</f>
        <v/>
      </c>
    </row>
    <row r="409" spans="5:16" x14ac:dyDescent="0.25">
      <c r="E409" s="2"/>
      <c r="J409" t="str">
        <f>Worksheet!C409&amp;" "&amp;Worksheet!B409</f>
        <v>Niko Lapiere</v>
      </c>
      <c r="K409" t="str">
        <f>IF(Worksheet!P409&lt;&gt;"",Worksheet!P409,IF(Worksheet!R409&lt;&gt;"",Worksheet!R409,IF(Worksheet!T409&lt;&gt;"",Worksheet!T409,"")))</f>
        <v/>
      </c>
      <c r="L409" t="str">
        <f>IF(AND(Worksheet!V409&lt;&gt;"",Worksheet!V409&lt;&gt;0),Worksheet!V409&amp;"",IF(AND(Worksheet!X409&lt;&gt;"",Worksheet!X409&lt;&gt;0),Worksheet!X409&amp;"",IF(AND(Worksheet!Z409&lt;&gt;"",Worksheet!Z409&lt;&gt;0),Worksheet!Z409&amp;"","")))</f>
        <v>32468406427</v>
      </c>
      <c r="M409" t="str">
        <f>IF(Worksheet!AE409="","",Worksheet!AE409)</f>
        <v/>
      </c>
      <c r="N409">
        <f>IF(Worksheet!AG409="","",Worksheet!AG409)</f>
        <v>661064</v>
      </c>
      <c r="O409" t="str">
        <f>IF(Worksheet!AJ409="","",Worksheet!AJ409)</f>
        <v/>
      </c>
      <c r="P409" t="str">
        <f>IF(Worksheet!AK409="","",Worksheet!AK409)</f>
        <v/>
      </c>
    </row>
    <row r="410" spans="5:16" x14ac:dyDescent="0.25">
      <c r="E410" s="2"/>
      <c r="J410" t="str">
        <f>Worksheet!C410&amp;" "&amp;Worksheet!B410</f>
        <v>Pieter Lapierre</v>
      </c>
      <c r="K410" t="str">
        <f>IF(Worksheet!P410&lt;&gt;"",Worksheet!P410,IF(Worksheet!R410&lt;&gt;"",Worksheet!R410,IF(Worksheet!T410&lt;&gt;"",Worksheet!T410,"")))</f>
        <v/>
      </c>
      <c r="L410" t="str">
        <f>IF(AND(Worksheet!V410&lt;&gt;"",Worksheet!V410&lt;&gt;0),Worksheet!V410&amp;"",IF(AND(Worksheet!X410&lt;&gt;"",Worksheet!X410&lt;&gt;0),Worksheet!X410&amp;"",IF(AND(Worksheet!Z410&lt;&gt;"",Worksheet!Z410&lt;&gt;0),Worksheet!Z410&amp;"","")))</f>
        <v>0477590960</v>
      </c>
      <c r="M410" t="str">
        <f>IF(Worksheet!AE410="","",Worksheet!AE410)</f>
        <v/>
      </c>
      <c r="N410">
        <f>IF(Worksheet!AG410="","",Worksheet!AG410)</f>
        <v>214428</v>
      </c>
      <c r="O410" t="str">
        <f>IF(Worksheet!AJ410="","",Worksheet!AJ410)</f>
        <v/>
      </c>
      <c r="P410" t="str">
        <f>IF(Worksheet!AK410="","",Worksheet!AK410)</f>
        <v/>
      </c>
    </row>
    <row r="411" spans="5:16" x14ac:dyDescent="0.25">
      <c r="E411" s="2"/>
      <c r="J411" t="str">
        <f>Worksheet!C411&amp;" "&amp;Worksheet!B411</f>
        <v>Georges Lasseel</v>
      </c>
      <c r="K411" t="str">
        <f>IF(Worksheet!P411&lt;&gt;"",Worksheet!P411,IF(Worksheet!R411&lt;&gt;"",Worksheet!R411,IF(Worksheet!T411&lt;&gt;"",Worksheet!T411,"")))</f>
        <v>lasseeltom@gmail.com</v>
      </c>
      <c r="L411" t="str">
        <f>IF(AND(Worksheet!V411&lt;&gt;"",Worksheet!V411&lt;&gt;0),Worksheet!V411&amp;"",IF(AND(Worksheet!X411&lt;&gt;"",Worksheet!X411&lt;&gt;0),Worksheet!X411&amp;"",IF(AND(Worksheet!Z411&lt;&gt;"",Worksheet!Z411&lt;&gt;0),Worksheet!Z411&amp;"","")))</f>
        <v>0470351060</v>
      </c>
      <c r="M411" t="str">
        <f>IF(Worksheet!AE411="","",Worksheet!AE411)</f>
        <v/>
      </c>
      <c r="N411" t="str">
        <f>IF(Worksheet!AG411="","",Worksheet!AG411)</f>
        <v/>
      </c>
      <c r="O411" t="str">
        <f>IF(Worksheet!AJ411="","",Worksheet!AJ411)</f>
        <v/>
      </c>
      <c r="P411" t="str">
        <f>IF(Worksheet!AK411="","",Worksheet!AK411)</f>
        <v/>
      </c>
    </row>
    <row r="412" spans="5:16" x14ac:dyDescent="0.25">
      <c r="E412" s="2"/>
      <c r="J412" t="str">
        <f>Worksheet!C412&amp;" "&amp;Worksheet!B412</f>
        <v>Babet Laurez</v>
      </c>
      <c r="K412" t="str">
        <f>IF(Worksheet!P412&lt;&gt;"",Worksheet!P412,IF(Worksheet!R412&lt;&gt;"",Worksheet!R412,IF(Worksheet!T412&lt;&gt;"",Worksheet!T412,"")))</f>
        <v/>
      </c>
      <c r="L412" t="str">
        <f>IF(AND(Worksheet!V412&lt;&gt;"",Worksheet!V412&lt;&gt;0),Worksheet!V412&amp;"",IF(AND(Worksheet!X412&lt;&gt;"",Worksheet!X412&lt;&gt;0),Worksheet!X412&amp;"",IF(AND(Worksheet!Z412&lt;&gt;"",Worksheet!Z412&lt;&gt;0),Worksheet!Z412&amp;"","")))</f>
        <v>0477501978</v>
      </c>
      <c r="M412" t="str">
        <f>IF(Worksheet!AE412="","",Worksheet!AE412)</f>
        <v/>
      </c>
      <c r="N412" t="str">
        <f>IF(Worksheet!AG412="","",Worksheet!AG412)</f>
        <v/>
      </c>
      <c r="O412" t="str">
        <f>IF(Worksheet!AJ412="","",Worksheet!AJ412)</f>
        <v>M12 A HAANTJES CERTIFISC OUDENAARDE</v>
      </c>
      <c r="P412" t="str">
        <f>IF(Worksheet!AK412="","",Worksheet!AK412)</f>
        <v>Speler</v>
      </c>
    </row>
    <row r="413" spans="5:16" x14ac:dyDescent="0.25">
      <c r="E413" s="2"/>
      <c r="J413" t="str">
        <f>Worksheet!C413&amp;" "&amp;Worksheet!B413</f>
        <v>Jef Lauwereins</v>
      </c>
      <c r="K413" t="str">
        <f>IF(Worksheet!P413&lt;&gt;"",Worksheet!P413,IF(Worksheet!R413&lt;&gt;"",Worksheet!R413,IF(Worksheet!T413&lt;&gt;"",Worksheet!T413,"")))</f>
        <v>lauwereins.steven@gmail.com</v>
      </c>
      <c r="L413" t="str">
        <f>IF(AND(Worksheet!V413&lt;&gt;"",Worksheet!V413&lt;&gt;0),Worksheet!V413&amp;"",IF(AND(Worksheet!X413&lt;&gt;"",Worksheet!X413&lt;&gt;0),Worksheet!X413&amp;"",IF(AND(Worksheet!Z413&lt;&gt;"",Worksheet!Z413&lt;&gt;0),Worksheet!Z413&amp;"","")))</f>
        <v>0474317844</v>
      </c>
      <c r="M413" t="str">
        <f>IF(Worksheet!AE413="","",Worksheet!AE413)</f>
        <v/>
      </c>
      <c r="N413" t="str">
        <f>IF(Worksheet!AG413="","",Worksheet!AG413)</f>
        <v/>
      </c>
      <c r="O413" t="str">
        <f>IF(Worksheet!AJ413="","",Worksheet!AJ413)</f>
        <v>G08 Blauw HAANTJES CERTIFISC OUDENAARDE</v>
      </c>
      <c r="P413" t="str">
        <f>IF(Worksheet!AK413="","",Worksheet!AK413)</f>
        <v>Speler</v>
      </c>
    </row>
    <row r="414" spans="5:16" x14ac:dyDescent="0.25">
      <c r="E414" s="2"/>
      <c r="J414" t="str">
        <f>Worksheet!C414&amp;" "&amp;Worksheet!B414</f>
        <v>Jef Lauwereins</v>
      </c>
      <c r="K414" t="str">
        <f>IF(Worksheet!P414&lt;&gt;"",Worksheet!P414,IF(Worksheet!R414&lt;&gt;"",Worksheet!R414,IF(Worksheet!T414&lt;&gt;"",Worksheet!T414,"")))</f>
        <v>lauwereins.steven@gmail.com</v>
      </c>
      <c r="L414" t="str">
        <f>IF(AND(Worksheet!V414&lt;&gt;"",Worksheet!V414&lt;&gt;0),Worksheet!V414&amp;"",IF(AND(Worksheet!X414&lt;&gt;"",Worksheet!X414&lt;&gt;0),Worksheet!X414&amp;"",IF(AND(Worksheet!Z414&lt;&gt;"",Worksheet!Z414&lt;&gt;0),Worksheet!Z414&amp;"","")))</f>
        <v>0474317844</v>
      </c>
      <c r="M414" t="str">
        <f>IF(Worksheet!AE414="","",Worksheet!AE414)</f>
        <v/>
      </c>
      <c r="N414" t="str">
        <f>IF(Worksheet!AG414="","",Worksheet!AG414)</f>
        <v/>
      </c>
      <c r="O414" t="str">
        <f>IF(Worksheet!AJ414="","",Worksheet!AJ414)</f>
        <v>Zomerstage 2026 U8 (Oudenaarde)</v>
      </c>
      <c r="P414" t="str">
        <f>IF(Worksheet!AK414="","",Worksheet!AK414)</f>
        <v>Speler</v>
      </c>
    </row>
    <row r="415" spans="5:16" x14ac:dyDescent="0.25">
      <c r="E415" s="2"/>
      <c r="J415" t="str">
        <f>Worksheet!C415&amp;" "&amp;Worksheet!B415</f>
        <v>Ramon Lauwers</v>
      </c>
      <c r="K415" t="str">
        <f>IF(Worksheet!P415&lt;&gt;"",Worksheet!P415,IF(Worksheet!R415&lt;&gt;"",Worksheet!R415,IF(Worksheet!T415&lt;&gt;"",Worksheet!T415,"")))</f>
        <v>lauwersvanzele@gmail.com</v>
      </c>
      <c r="L415" t="str">
        <f>IF(AND(Worksheet!V415&lt;&gt;"",Worksheet!V415&lt;&gt;0),Worksheet!V415&amp;"",IF(AND(Worksheet!X415&lt;&gt;"",Worksheet!X415&lt;&gt;0),Worksheet!X415&amp;"",IF(AND(Worksheet!Z415&lt;&gt;"",Worksheet!Z415&lt;&gt;0),Worksheet!Z415&amp;"","")))</f>
        <v>0473974827</v>
      </c>
      <c r="M415" t="str">
        <f>IF(Worksheet!AE415="","",Worksheet!AE415)</f>
        <v/>
      </c>
      <c r="N415">
        <f>IF(Worksheet!AG415="","",Worksheet!AG415)</f>
        <v>758359</v>
      </c>
      <c r="O415" t="str">
        <f>IF(Worksheet!AJ415="","",Worksheet!AJ415)</f>
        <v/>
      </c>
      <c r="P415" t="str">
        <f>IF(Worksheet!AK415="","",Worksheet!AK415)</f>
        <v/>
      </c>
    </row>
    <row r="416" spans="5:16" x14ac:dyDescent="0.25">
      <c r="E416" s="2"/>
      <c r="J416" t="str">
        <f>Worksheet!C416&amp;" "&amp;Worksheet!B416</f>
        <v>Rayan Lebrouchi Poddubnaya</v>
      </c>
      <c r="K416" t="str">
        <f>IF(Worksheet!P416&lt;&gt;"",Worksheet!P416,IF(Worksheet!R416&lt;&gt;"",Worksheet!R416,IF(Worksheet!T416&lt;&gt;"",Worksheet!T416,"")))</f>
        <v>marina.pd34@gmail</v>
      </c>
      <c r="L416" t="str">
        <f>IF(AND(Worksheet!V416&lt;&gt;"",Worksheet!V416&lt;&gt;0),Worksheet!V416&amp;"",IF(AND(Worksheet!X416&lt;&gt;"",Worksheet!X416&lt;&gt;0),Worksheet!X416&amp;"",IF(AND(Worksheet!Z416&lt;&gt;"",Worksheet!Z416&lt;&gt;0),Worksheet!Z416&amp;"","")))</f>
        <v>0492948427</v>
      </c>
      <c r="M416" t="str">
        <f>IF(Worksheet!AE416="","",Worksheet!AE416)</f>
        <v/>
      </c>
      <c r="N416" t="str">
        <f>IF(Worksheet!AG416="","",Worksheet!AG416)</f>
        <v/>
      </c>
      <c r="O416" t="str">
        <f>IF(Worksheet!AJ416="","",Worksheet!AJ416)</f>
        <v>J21 A HAANTJES CERTIFISC OUDENAARDE</v>
      </c>
      <c r="P416" t="str">
        <f>IF(Worksheet!AK416="","",Worksheet!AK416)</f>
        <v>Speler</v>
      </c>
    </row>
    <row r="417" spans="5:16" x14ac:dyDescent="0.25">
      <c r="E417" s="2"/>
      <c r="J417" t="str">
        <f>Worksheet!C417&amp;" "&amp;Worksheet!B417</f>
        <v>Rayan Lebrouchi Poddubnaya</v>
      </c>
      <c r="K417" t="str">
        <f>IF(Worksheet!P417&lt;&gt;"",Worksheet!P417,IF(Worksheet!R417&lt;&gt;"",Worksheet!R417,IF(Worksheet!T417&lt;&gt;"",Worksheet!T417,"")))</f>
        <v>marina.pd34@gmail</v>
      </c>
      <c r="L417" t="str">
        <f>IF(AND(Worksheet!V417&lt;&gt;"",Worksheet!V417&lt;&gt;0),Worksheet!V417&amp;"",IF(AND(Worksheet!X417&lt;&gt;"",Worksheet!X417&lt;&gt;0),Worksheet!X417&amp;"",IF(AND(Worksheet!Z417&lt;&gt;"",Worksheet!Z417&lt;&gt;0),Worksheet!Z417&amp;"","")))</f>
        <v>0492948427</v>
      </c>
      <c r="M417" t="str">
        <f>IF(Worksheet!AE417="","",Worksheet!AE417)</f>
        <v/>
      </c>
      <c r="N417" t="str">
        <f>IF(Worksheet!AG417="","",Worksheet!AG417)</f>
        <v/>
      </c>
      <c r="O417" t="str">
        <f>IF(Worksheet!AJ417="","",Worksheet!AJ417)</f>
        <v>J18 A Haantjes CERTIFISC Oudenaarde</v>
      </c>
      <c r="P417" t="str">
        <f>IF(Worksheet!AK417="","",Worksheet!AK417)</f>
        <v>Speler</v>
      </c>
    </row>
    <row r="418" spans="5:16" x14ac:dyDescent="0.25">
      <c r="E418" s="2"/>
      <c r="J418" t="str">
        <f>Worksheet!C418&amp;" "&amp;Worksheet!B418</f>
        <v>Sven Legein</v>
      </c>
      <c r="K418" t="str">
        <f>IF(Worksheet!P418&lt;&gt;"",Worksheet!P418,IF(Worksheet!R418&lt;&gt;"",Worksheet!R418,IF(Worksheet!T418&lt;&gt;"",Worksheet!T418,"")))</f>
        <v/>
      </c>
      <c r="L418" t="str">
        <f>IF(AND(Worksheet!V418&lt;&gt;"",Worksheet!V418&lt;&gt;0),Worksheet!V418&amp;"",IF(AND(Worksheet!X418&lt;&gt;"",Worksheet!X418&lt;&gt;0),Worksheet!X418&amp;"",IF(AND(Worksheet!Z418&lt;&gt;"",Worksheet!Z418&lt;&gt;0),Worksheet!Z418&amp;"","")))</f>
        <v>320479175859</v>
      </c>
      <c r="M418" t="str">
        <f>IF(Worksheet!AE418="","",Worksheet!AE418)</f>
        <v/>
      </c>
      <c r="N418">
        <f>IF(Worksheet!AG418="","",Worksheet!AG418)</f>
        <v>620445</v>
      </c>
      <c r="O418" t="str">
        <f>IF(Worksheet!AJ418="","",Worksheet!AJ418)</f>
        <v/>
      </c>
      <c r="P418" t="str">
        <f>IF(Worksheet!AK418="","",Worksheet!AK418)</f>
        <v/>
      </c>
    </row>
    <row r="419" spans="5:16" x14ac:dyDescent="0.25">
      <c r="E419" s="2"/>
      <c r="J419" t="str">
        <f>Worksheet!C419&amp;" "&amp;Worksheet!B419</f>
        <v>Lothar Lemaire</v>
      </c>
      <c r="K419" t="str">
        <f>IF(Worksheet!P419&lt;&gt;"",Worksheet!P419,IF(Worksheet!R419&lt;&gt;"",Worksheet!R419,IF(Worksheet!T419&lt;&gt;"",Worksheet!T419,"")))</f>
        <v>huglemaire@hotmail.com</v>
      </c>
      <c r="L419" t="str">
        <f>IF(AND(Worksheet!V419&lt;&gt;"",Worksheet!V419&lt;&gt;0),Worksheet!V419&amp;"",IF(AND(Worksheet!X419&lt;&gt;"",Worksheet!X419&lt;&gt;0),Worksheet!X419&amp;"",IF(AND(Worksheet!Z419&lt;&gt;"",Worksheet!Z419&lt;&gt;0),Worksheet!Z419&amp;"","")))</f>
        <v>0485677282</v>
      </c>
      <c r="M419" t="str">
        <f>IF(Worksheet!AE419="","",Worksheet!AE419)</f>
        <v>https://app.twizzit.com/public/photos/9680220/s/630006e9802fd7af81a6784302b397c8d31a519e.jpeg</v>
      </c>
      <c r="N419" t="str">
        <f>IF(Worksheet!AG419="","",Worksheet!AG419)</f>
        <v/>
      </c>
      <c r="O419" t="str">
        <f>IF(Worksheet!AJ419="","",Worksheet!AJ419)</f>
        <v>G10 Blauw HAANTJES CERTIFISC OUDENAARDE</v>
      </c>
      <c r="P419" t="str">
        <f>IF(Worksheet!AK419="","",Worksheet!AK419)</f>
        <v>Speler</v>
      </c>
    </row>
    <row r="420" spans="5:16" x14ac:dyDescent="0.25">
      <c r="E420" s="2"/>
      <c r="J420" t="str">
        <f>Worksheet!C420&amp;" "&amp;Worksheet!B420</f>
        <v>Céleste Lepez</v>
      </c>
      <c r="K420" t="str">
        <f>IF(Worksheet!P420&lt;&gt;"",Worksheet!P420,IF(Worksheet!R420&lt;&gt;"",Worksheet!R420,IF(Worksheet!T420&lt;&gt;"",Worksheet!T420,"")))</f>
        <v>timo.lepez@gmail.com</v>
      </c>
      <c r="L420" t="str">
        <f>IF(AND(Worksheet!V420&lt;&gt;"",Worksheet!V420&lt;&gt;0),Worksheet!V420&amp;"",IF(AND(Worksheet!X420&lt;&gt;"",Worksheet!X420&lt;&gt;0),Worksheet!X420&amp;"",IF(AND(Worksheet!Z420&lt;&gt;"",Worksheet!Z420&lt;&gt;0),Worksheet!Z420&amp;"","")))</f>
        <v>320478636087</v>
      </c>
      <c r="M420" t="str">
        <f>IF(Worksheet!AE420="","",Worksheet!AE420)</f>
        <v>https://app.twizzit.com/public/photos/10452680/s/43631296673a3f6a5260a0eddda463059079fbf8.jpeg</v>
      </c>
      <c r="N420" t="str">
        <f>IF(Worksheet!AG420="","",Worksheet!AG420)</f>
        <v/>
      </c>
      <c r="O420" t="str">
        <f>IF(Worksheet!AJ420="","",Worksheet!AJ420)</f>
        <v/>
      </c>
      <c r="P420" t="str">
        <f>IF(Worksheet!AK420="","",Worksheet!AK420)</f>
        <v/>
      </c>
    </row>
    <row r="421" spans="5:16" x14ac:dyDescent="0.25">
      <c r="E421" s="2"/>
      <c r="J421" t="str">
        <f>Worksheet!C421&amp;" "&amp;Worksheet!B421</f>
        <v>Thor Lessenne</v>
      </c>
      <c r="K421" t="str">
        <f>IF(Worksheet!P421&lt;&gt;"",Worksheet!P421,IF(Worksheet!R421&lt;&gt;"",Worksheet!R421,IF(Worksheet!T421&lt;&gt;"",Worksheet!T421,"")))</f>
        <v>lessenne_frederic@yahoo.com</v>
      </c>
      <c r="L421" t="str">
        <f>IF(AND(Worksheet!V421&lt;&gt;"",Worksheet!V421&lt;&gt;0),Worksheet!V421&amp;"",IF(AND(Worksheet!X421&lt;&gt;"",Worksheet!X421&lt;&gt;0),Worksheet!X421&amp;"",IF(AND(Worksheet!Z421&lt;&gt;"",Worksheet!Z421&lt;&gt;0),Worksheet!Z421&amp;"","")))</f>
        <v>0494240195</v>
      </c>
      <c r="M421" t="str">
        <f>IF(Worksheet!AE421="","",Worksheet!AE421)</f>
        <v>https://app.twizzit.com/public/photos/4393791/s/f227f8ddb169feb6dded4f508fa8f0a8d6bc3bc4.jpeg</v>
      </c>
      <c r="N421">
        <f>IF(Worksheet!AG421="","",Worksheet!AG421)</f>
        <v>758517</v>
      </c>
      <c r="O421" t="str">
        <f>IF(Worksheet!AJ421="","",Worksheet!AJ421)</f>
        <v>Zomerstage 2026 (Blankenberge)</v>
      </c>
      <c r="P421" t="str">
        <f>IF(Worksheet!AK421="","",Worksheet!AK421)</f>
        <v>Speler</v>
      </c>
    </row>
    <row r="422" spans="5:16" x14ac:dyDescent="0.25">
      <c r="E422" s="2"/>
      <c r="J422" t="str">
        <f>Worksheet!C422&amp;" "&amp;Worksheet!B422</f>
        <v>Thor Lessenne</v>
      </c>
      <c r="K422" t="str">
        <f>IF(Worksheet!P422&lt;&gt;"",Worksheet!P422,IF(Worksheet!R422&lt;&gt;"",Worksheet!R422,IF(Worksheet!T422&lt;&gt;"",Worksheet!T422,"")))</f>
        <v>lessenne_frederic@yahoo.com</v>
      </c>
      <c r="L422" t="str">
        <f>IF(AND(Worksheet!V422&lt;&gt;"",Worksheet!V422&lt;&gt;0),Worksheet!V422&amp;"",IF(AND(Worksheet!X422&lt;&gt;"",Worksheet!X422&lt;&gt;0),Worksheet!X422&amp;"",IF(AND(Worksheet!Z422&lt;&gt;"",Worksheet!Z422&lt;&gt;0),Worksheet!Z422&amp;"","")))</f>
        <v>0494240195</v>
      </c>
      <c r="M422" t="str">
        <f>IF(Worksheet!AE422="","",Worksheet!AE422)</f>
        <v>https://app.twizzit.com/public/photos/4393791/s/f227f8ddb169feb6dded4f508fa8f0a8d6bc3bc4.jpeg</v>
      </c>
      <c r="N422">
        <f>IF(Worksheet!AG422="","",Worksheet!AG422)</f>
        <v>758517</v>
      </c>
      <c r="O422" t="str">
        <f>IF(Worksheet!AJ422="","",Worksheet!AJ422)</f>
        <v>G12 Geel HAANTJES CERTIFISC OUDENAARDE</v>
      </c>
      <c r="P422" t="str">
        <f>IF(Worksheet!AK422="","",Worksheet!AK422)</f>
        <v>Speler</v>
      </c>
    </row>
    <row r="423" spans="5:16" x14ac:dyDescent="0.25">
      <c r="E423" s="2"/>
      <c r="J423" t="str">
        <f>Worksheet!C423&amp;" "&amp;Worksheet!B423</f>
        <v>Wolf Lessenne</v>
      </c>
      <c r="K423" t="str">
        <f>IF(Worksheet!P423&lt;&gt;"",Worksheet!P423,IF(Worksheet!R423&lt;&gt;"",Worksheet!R423,IF(Worksheet!T423&lt;&gt;"",Worksheet!T423,"")))</f>
        <v/>
      </c>
      <c r="L423" t="str">
        <f>IF(AND(Worksheet!V423&lt;&gt;"",Worksheet!V423&lt;&gt;0),Worksheet!V423&amp;"",IF(AND(Worksheet!X423&lt;&gt;"",Worksheet!X423&lt;&gt;0),Worksheet!X423&amp;"",IF(AND(Worksheet!Z423&lt;&gt;"",Worksheet!Z423&lt;&gt;0),Worksheet!Z423&amp;"","")))</f>
        <v>32494240195</v>
      </c>
      <c r="M423" t="str">
        <f>IF(Worksheet!AE423="","",Worksheet!AE423)</f>
        <v>https://app.twizzit.com/public/photos/3580747/s/157853967ede68629434e8db7d36b6d860f7ea97.jpeg</v>
      </c>
      <c r="N423" t="str">
        <f>IF(Worksheet!AG423="","",Worksheet!AG423)</f>
        <v/>
      </c>
      <c r="O423" t="str">
        <f>IF(Worksheet!AJ423="","",Worksheet!AJ423)</f>
        <v>G10 Geel HAANTJES CERTIFISC OUDENAARDE</v>
      </c>
      <c r="P423" t="str">
        <f>IF(Worksheet!AK423="","",Worksheet!AK423)</f>
        <v>Speler</v>
      </c>
    </row>
    <row r="424" spans="5:16" x14ac:dyDescent="0.25">
      <c r="E424" s="2"/>
      <c r="J424" t="str">
        <f>Worksheet!C424&amp;" "&amp;Worksheet!B424</f>
        <v>Anouk Libbrecht</v>
      </c>
      <c r="K424" t="str">
        <f>IF(Worksheet!P424&lt;&gt;"",Worksheet!P424,IF(Worksheet!R424&lt;&gt;"",Worksheet!R424,IF(Worksheet!T424&lt;&gt;"",Worksheet!T424,"")))</f>
        <v/>
      </c>
      <c r="L424" t="str">
        <f>IF(AND(Worksheet!V424&lt;&gt;"",Worksheet!V424&lt;&gt;0),Worksheet!V424&amp;"",IF(AND(Worksheet!X424&lt;&gt;"",Worksheet!X424&lt;&gt;0),Worksheet!X424&amp;"",IF(AND(Worksheet!Z424&lt;&gt;"",Worksheet!Z424&lt;&gt;0),Worksheet!Z424&amp;"","")))</f>
        <v/>
      </c>
      <c r="M424" t="str">
        <f>IF(Worksheet!AE424="","",Worksheet!AE424)</f>
        <v/>
      </c>
      <c r="N424" t="str">
        <f>IF(Worksheet!AG424="","",Worksheet!AG424)</f>
        <v/>
      </c>
      <c r="O424" t="str">
        <f>IF(Worksheet!AJ424="","",Worksheet!AJ424)</f>
        <v/>
      </c>
      <c r="P424" t="str">
        <f>IF(Worksheet!AK424="","",Worksheet!AK424)</f>
        <v/>
      </c>
    </row>
    <row r="425" spans="5:16" x14ac:dyDescent="0.25">
      <c r="E425" s="2"/>
      <c r="J425" t="str">
        <f>Worksheet!C425&amp;" "&amp;Worksheet!B425</f>
        <v>Alexander Libert</v>
      </c>
      <c r="K425" t="str">
        <f>IF(Worksheet!P425&lt;&gt;"",Worksheet!P425,IF(Worksheet!R425&lt;&gt;"",Worksheet!R425,IF(Worksheet!T425&lt;&gt;"",Worksheet!T425,"")))</f>
        <v>s_ardenois@hotmail.com</v>
      </c>
      <c r="L425" t="str">
        <f>IF(AND(Worksheet!V425&lt;&gt;"",Worksheet!V425&lt;&gt;0),Worksheet!V425&amp;"",IF(AND(Worksheet!X425&lt;&gt;"",Worksheet!X425&lt;&gt;0),Worksheet!X425&amp;"",IF(AND(Worksheet!Z425&lt;&gt;"",Worksheet!Z425&lt;&gt;0),Worksheet!Z425&amp;"","")))</f>
        <v>0479788543</v>
      </c>
      <c r="M425" t="str">
        <f>IF(Worksheet!AE425="","",Worksheet!AE425)</f>
        <v/>
      </c>
      <c r="N425">
        <f>IF(Worksheet!AG425="","",Worksheet!AG425)</f>
        <v>723668</v>
      </c>
      <c r="O425" t="str">
        <f>IF(Worksheet!AJ425="","",Worksheet!AJ425)</f>
        <v>J16 B Haantjes CERTIFISC Oudenaarde</v>
      </c>
      <c r="P425" t="str">
        <f>IF(Worksheet!AK425="","",Worksheet!AK425)</f>
        <v>Speler</v>
      </c>
    </row>
    <row r="426" spans="5:16" x14ac:dyDescent="0.25">
      <c r="E426" s="2"/>
      <c r="J426" t="str">
        <f>Worksheet!C426&amp;" "&amp;Worksheet!B426</f>
        <v>Alexander Libert</v>
      </c>
      <c r="K426" t="str">
        <f>IF(Worksheet!P426&lt;&gt;"",Worksheet!P426,IF(Worksheet!R426&lt;&gt;"",Worksheet!R426,IF(Worksheet!T426&lt;&gt;"",Worksheet!T426,"")))</f>
        <v>s_ardenois@hotmail.com</v>
      </c>
      <c r="L426" t="str">
        <f>IF(AND(Worksheet!V426&lt;&gt;"",Worksheet!V426&lt;&gt;0),Worksheet!V426&amp;"",IF(AND(Worksheet!X426&lt;&gt;"",Worksheet!X426&lt;&gt;0),Worksheet!X426&amp;"",IF(AND(Worksheet!Z426&lt;&gt;"",Worksheet!Z426&lt;&gt;0),Worksheet!Z426&amp;"","")))</f>
        <v>0479788543</v>
      </c>
      <c r="M426" t="str">
        <f>IF(Worksheet!AE426="","",Worksheet!AE426)</f>
        <v/>
      </c>
      <c r="N426">
        <f>IF(Worksheet!AG426="","",Worksheet!AG426)</f>
        <v>723668</v>
      </c>
      <c r="O426" t="str">
        <f>IF(Worksheet!AJ426="","",Worksheet!AJ426)</f>
        <v>Zomerstage 2026 (Blankenberge)</v>
      </c>
      <c r="P426" t="str">
        <f>IF(Worksheet!AK426="","",Worksheet!AK426)</f>
        <v>Speler</v>
      </c>
    </row>
    <row r="427" spans="5:16" x14ac:dyDescent="0.25">
      <c r="E427" s="2"/>
      <c r="J427" t="str">
        <f>Worksheet!C427&amp;" "&amp;Worksheet!B427</f>
        <v>Alexander Libert</v>
      </c>
      <c r="K427" t="str">
        <f>IF(Worksheet!P427&lt;&gt;"",Worksheet!P427,IF(Worksheet!R427&lt;&gt;"",Worksheet!R427,IF(Worksheet!T427&lt;&gt;"",Worksheet!T427,"")))</f>
        <v>s_ardenois@hotmail.com</v>
      </c>
      <c r="L427" t="str">
        <f>IF(AND(Worksheet!V427&lt;&gt;"",Worksheet!V427&lt;&gt;0),Worksheet!V427&amp;"",IF(AND(Worksheet!X427&lt;&gt;"",Worksheet!X427&lt;&gt;0),Worksheet!X427&amp;"",IF(AND(Worksheet!Z427&lt;&gt;"",Worksheet!Z427&lt;&gt;0),Worksheet!Z427&amp;"","")))</f>
        <v>0479788543</v>
      </c>
      <c r="M427" t="str">
        <f>IF(Worksheet!AE427="","",Worksheet!AE427)</f>
        <v/>
      </c>
      <c r="N427">
        <f>IF(Worksheet!AG427="","",Worksheet!AG427)</f>
        <v>723668</v>
      </c>
      <c r="O427" t="str">
        <f>IF(Worksheet!AJ427="","",Worksheet!AJ427)</f>
        <v/>
      </c>
      <c r="P427" t="str">
        <f>IF(Worksheet!AK427="","",Worksheet!AK427)</f>
        <v/>
      </c>
    </row>
    <row r="428" spans="5:16" x14ac:dyDescent="0.25">
      <c r="E428" s="2"/>
      <c r="J428" t="str">
        <f>Worksheet!C428&amp;" "&amp;Worksheet!B428</f>
        <v>Bart Libert</v>
      </c>
      <c r="K428" t="str">
        <f>IF(Worksheet!P428&lt;&gt;"",Worksheet!P428,IF(Worksheet!R428&lt;&gt;"",Worksheet!R428,IF(Worksheet!T428&lt;&gt;"",Worksheet!T428,"")))</f>
        <v/>
      </c>
      <c r="L428" t="str">
        <f>IF(AND(Worksheet!V428&lt;&gt;"",Worksheet!V428&lt;&gt;0),Worksheet!V428&amp;"",IF(AND(Worksheet!X428&lt;&gt;"",Worksheet!X428&lt;&gt;0),Worksheet!X428&amp;"",IF(AND(Worksheet!Z428&lt;&gt;"",Worksheet!Z428&lt;&gt;0),Worksheet!Z428&amp;"","")))</f>
        <v/>
      </c>
      <c r="M428" t="str">
        <f>IF(Worksheet!AE428="","",Worksheet!AE428)</f>
        <v/>
      </c>
      <c r="N428" t="str">
        <f>IF(Worksheet!AG428="","",Worksheet!AG428)</f>
        <v/>
      </c>
      <c r="O428" t="str">
        <f>IF(Worksheet!AJ428="","",Worksheet!AJ428)</f>
        <v/>
      </c>
      <c r="P428" t="str">
        <f>IF(Worksheet!AK428="","",Worksheet!AK428)</f>
        <v/>
      </c>
    </row>
    <row r="429" spans="5:16" x14ac:dyDescent="0.25">
      <c r="E429" s="2"/>
      <c r="J429" t="str">
        <f>Worksheet!C429&amp;" "&amp;Worksheet!B429</f>
        <v>Felice Libert</v>
      </c>
      <c r="K429" t="str">
        <f>IF(Worksheet!P429&lt;&gt;"",Worksheet!P429,IF(Worksheet!R429&lt;&gt;"",Worksheet!R429,IF(Worksheet!T429&lt;&gt;"",Worksheet!T429,"")))</f>
        <v/>
      </c>
      <c r="L429" t="str">
        <f>IF(AND(Worksheet!V429&lt;&gt;"",Worksheet!V429&lt;&gt;0),Worksheet!V429&amp;"",IF(AND(Worksheet!X429&lt;&gt;"",Worksheet!X429&lt;&gt;0),Worksheet!X429&amp;"",IF(AND(Worksheet!Z429&lt;&gt;"",Worksheet!Z429&lt;&gt;0),Worksheet!Z429&amp;"","")))</f>
        <v>0473780275</v>
      </c>
      <c r="M429" t="str">
        <f>IF(Worksheet!AE429="","",Worksheet!AE429)</f>
        <v>https://app.twizzit.com/public/photos/7279180/s/1c5d9fda02031baa486ebec940b4c251ec4b6762.png</v>
      </c>
      <c r="N429">
        <f>IF(Worksheet!AG429="","",Worksheet!AG429)</f>
        <v>762633</v>
      </c>
      <c r="O429" t="str">
        <f>IF(Worksheet!AJ429="","",Worksheet!AJ429)</f>
        <v>M12 A HAANTJES CERTIFISC OUDENAARDE</v>
      </c>
      <c r="P429" t="str">
        <f>IF(Worksheet!AK429="","",Worksheet!AK429)</f>
        <v>Speler</v>
      </c>
    </row>
    <row r="430" spans="5:16" x14ac:dyDescent="0.25">
      <c r="E430" s="2"/>
      <c r="J430" t="str">
        <f>Worksheet!C430&amp;" "&amp;Worksheet!B430</f>
        <v>Mathieu Libert</v>
      </c>
      <c r="K430" t="str">
        <f>IF(Worksheet!P430&lt;&gt;"",Worksheet!P430,IF(Worksheet!R430&lt;&gt;"",Worksheet!R430,IF(Worksheet!T430&lt;&gt;"",Worksheet!T430,"")))</f>
        <v>s_ardenois@hotmail.com</v>
      </c>
      <c r="L430" t="str">
        <f>IF(AND(Worksheet!V430&lt;&gt;"",Worksheet!V430&lt;&gt;0),Worksheet!V430&amp;"",IF(AND(Worksheet!X430&lt;&gt;"",Worksheet!X430&lt;&gt;0),Worksheet!X430&amp;"",IF(AND(Worksheet!Z430&lt;&gt;"",Worksheet!Z430&lt;&gt;0),Worksheet!Z430&amp;"","")))</f>
        <v>32474397512</v>
      </c>
      <c r="M430" t="str">
        <f>IF(Worksheet!AE430="","",Worksheet!AE430)</f>
        <v/>
      </c>
      <c r="N430" t="str">
        <f>IF(Worksheet!AG430="","",Worksheet!AG430)</f>
        <v/>
      </c>
      <c r="O430" t="str">
        <f>IF(Worksheet!AJ430="","",Worksheet!AJ430)</f>
        <v>Zomerstage 2026 (Blankenberge)</v>
      </c>
      <c r="P430" t="str">
        <f>IF(Worksheet!AK430="","",Worksheet!AK430)</f>
        <v>Speler</v>
      </c>
    </row>
    <row r="431" spans="5:16" x14ac:dyDescent="0.25">
      <c r="E431" s="2"/>
      <c r="J431" t="str">
        <f>Worksheet!C431&amp;" "&amp;Worksheet!B431</f>
        <v>Mathieu Libert</v>
      </c>
      <c r="K431" t="str">
        <f>IF(Worksheet!P431&lt;&gt;"",Worksheet!P431,IF(Worksheet!R431&lt;&gt;"",Worksheet!R431,IF(Worksheet!T431&lt;&gt;"",Worksheet!T431,"")))</f>
        <v>s_ardenois@hotmail.com</v>
      </c>
      <c r="L431" t="str">
        <f>IF(AND(Worksheet!V431&lt;&gt;"",Worksheet!V431&lt;&gt;0),Worksheet!V431&amp;"",IF(AND(Worksheet!X431&lt;&gt;"",Worksheet!X431&lt;&gt;0),Worksheet!X431&amp;"",IF(AND(Worksheet!Z431&lt;&gt;"",Worksheet!Z431&lt;&gt;0),Worksheet!Z431&amp;"","")))</f>
        <v>32474397512</v>
      </c>
      <c r="M431" t="str">
        <f>IF(Worksheet!AE431="","",Worksheet!AE431)</f>
        <v/>
      </c>
      <c r="N431" t="str">
        <f>IF(Worksheet!AG431="","",Worksheet!AG431)</f>
        <v/>
      </c>
      <c r="O431" t="str">
        <f>IF(Worksheet!AJ431="","",Worksheet!AJ431)</f>
        <v>G12 Geel HAANTJES CERTIFISC OUDENAARDE</v>
      </c>
      <c r="P431" t="str">
        <f>IF(Worksheet!AK431="","",Worksheet!AK431)</f>
        <v>Speler</v>
      </c>
    </row>
    <row r="432" spans="5:16" x14ac:dyDescent="0.25">
      <c r="E432" s="2"/>
      <c r="J432" t="str">
        <f>Worksheet!C432&amp;" "&amp;Worksheet!B432</f>
        <v>Victor Libert</v>
      </c>
      <c r="K432" t="str">
        <f>IF(Worksheet!P432&lt;&gt;"",Worksheet!P432,IF(Worksheet!R432&lt;&gt;"",Worksheet!R432,IF(Worksheet!T432&lt;&gt;"",Worksheet!T432,"")))</f>
        <v/>
      </c>
      <c r="L432" t="str">
        <f>IF(AND(Worksheet!V432&lt;&gt;"",Worksheet!V432&lt;&gt;0),Worksheet!V432&amp;"",IF(AND(Worksheet!X432&lt;&gt;"",Worksheet!X432&lt;&gt;0),Worksheet!X432&amp;"",IF(AND(Worksheet!Z432&lt;&gt;"",Worksheet!Z432&lt;&gt;0),Worksheet!Z432&amp;"","")))</f>
        <v>0473780275</v>
      </c>
      <c r="M432" t="str">
        <f>IF(Worksheet!AE432="","",Worksheet!AE432)</f>
        <v>https://app.twizzit.com/public/photos/7493172/s/6235261693b78c2a6b1d4ecbb92a61770437eca9.jpeg</v>
      </c>
      <c r="N432" t="str">
        <f>IF(Worksheet!AG432="","",Worksheet!AG432)</f>
        <v/>
      </c>
      <c r="O432" t="str">
        <f>IF(Worksheet!AJ432="","",Worksheet!AJ432)</f>
        <v>G10 Blauw HAANTJES CERTIFISC OUDENAARDE</v>
      </c>
      <c r="P432" t="str">
        <f>IF(Worksheet!AK432="","",Worksheet!AK432)</f>
        <v>Speler</v>
      </c>
    </row>
    <row r="433" spans="5:16" x14ac:dyDescent="0.25">
      <c r="E433" s="2"/>
      <c r="J433" t="str">
        <f>Worksheet!C433&amp;" "&amp;Worksheet!B433</f>
        <v>Sam Liekens</v>
      </c>
      <c r="K433" t="str">
        <f>IF(Worksheet!P433&lt;&gt;"",Worksheet!P433,IF(Worksheet!R433&lt;&gt;"",Worksheet!R433,IF(Worksheet!T433&lt;&gt;"",Worksheet!T433,"")))</f>
        <v/>
      </c>
      <c r="L433" t="str">
        <f>IF(AND(Worksheet!V433&lt;&gt;"",Worksheet!V433&lt;&gt;0),Worksheet!V433&amp;"",IF(AND(Worksheet!X433&lt;&gt;"",Worksheet!X433&lt;&gt;0),Worksheet!X433&amp;"",IF(AND(Worksheet!Z433&lt;&gt;"",Worksheet!Z433&lt;&gt;0),Worksheet!Z433&amp;"","")))</f>
        <v>0478888243</v>
      </c>
      <c r="M433" t="str">
        <f>IF(Worksheet!AE433="","",Worksheet!AE433)</f>
        <v>https://app.twizzit.com/public/photos/3475283/s/e532263ea43cddb59650656f3777387ca04d2de4.jpeg</v>
      </c>
      <c r="N433">
        <f>IF(Worksheet!AG433="","",Worksheet!AG433)</f>
        <v>749236</v>
      </c>
      <c r="O433" t="str">
        <f>IF(Worksheet!AJ433="","",Worksheet!AJ433)</f>
        <v>J18 B Haantjes CERTIFISC Oudenaarde</v>
      </c>
      <c r="P433" t="str">
        <f>IF(Worksheet!AK433="","",Worksheet!AK433)</f>
        <v>Speler</v>
      </c>
    </row>
    <row r="434" spans="5:16" x14ac:dyDescent="0.25">
      <c r="E434" s="2"/>
      <c r="J434" t="str">
        <f>Worksheet!C434&amp;" "&amp;Worksheet!B434</f>
        <v>Sam Liekens</v>
      </c>
      <c r="K434" t="str">
        <f>IF(Worksheet!P434&lt;&gt;"",Worksheet!P434,IF(Worksheet!R434&lt;&gt;"",Worksheet!R434,IF(Worksheet!T434&lt;&gt;"",Worksheet!T434,"")))</f>
        <v/>
      </c>
      <c r="L434" t="str">
        <f>IF(AND(Worksheet!V434&lt;&gt;"",Worksheet!V434&lt;&gt;0),Worksheet!V434&amp;"",IF(AND(Worksheet!X434&lt;&gt;"",Worksheet!X434&lt;&gt;0),Worksheet!X434&amp;"",IF(AND(Worksheet!Z434&lt;&gt;"",Worksheet!Z434&lt;&gt;0),Worksheet!Z434&amp;"","")))</f>
        <v>0478888243</v>
      </c>
      <c r="M434" t="str">
        <f>IF(Worksheet!AE434="","",Worksheet!AE434)</f>
        <v>https://app.twizzit.com/public/photos/3475283/s/e532263ea43cddb59650656f3777387ca04d2de4.jpeg</v>
      </c>
      <c r="N434">
        <f>IF(Worksheet!AG434="","",Worksheet!AG434)</f>
        <v>749236</v>
      </c>
      <c r="O434" t="str">
        <f>IF(Worksheet!AJ434="","",Worksheet!AJ434)</f>
        <v>Zomerstage 2026 (Blankenberge)</v>
      </c>
      <c r="P434" t="str">
        <f>IF(Worksheet!AK434="","",Worksheet!AK434)</f>
        <v>Speler</v>
      </c>
    </row>
    <row r="435" spans="5:16" x14ac:dyDescent="0.25">
      <c r="E435" s="2"/>
      <c r="J435" t="str">
        <f>Worksheet!C435&amp;" "&amp;Worksheet!B435</f>
        <v>Sofie Lievyns</v>
      </c>
      <c r="K435" t="str">
        <f>IF(Worksheet!P435&lt;&gt;"",Worksheet!P435,IF(Worksheet!R435&lt;&gt;"",Worksheet!R435,IF(Worksheet!T435&lt;&gt;"",Worksheet!T435,"")))</f>
        <v/>
      </c>
      <c r="L435" t="str">
        <f>IF(AND(Worksheet!V435&lt;&gt;"",Worksheet!V435&lt;&gt;0),Worksheet!V435&amp;"",IF(AND(Worksheet!X435&lt;&gt;"",Worksheet!X435&lt;&gt;0),Worksheet!X435&amp;"",IF(AND(Worksheet!Z435&lt;&gt;"",Worksheet!Z435&lt;&gt;0),Worksheet!Z435&amp;"","")))</f>
        <v>00478331198</v>
      </c>
      <c r="M435" t="str">
        <f>IF(Worksheet!AE435="","",Worksheet!AE435)</f>
        <v/>
      </c>
      <c r="N435" t="str">
        <f>IF(Worksheet!AG435="","",Worksheet!AG435)</f>
        <v/>
      </c>
      <c r="O435" t="str">
        <f>IF(Worksheet!AJ435="","",Worksheet!AJ435)</f>
        <v/>
      </c>
      <c r="P435" t="str">
        <f>IF(Worksheet!AK435="","",Worksheet!AK435)</f>
        <v/>
      </c>
    </row>
    <row r="436" spans="5:16" x14ac:dyDescent="0.25">
      <c r="E436" s="2"/>
      <c r="J436" t="str">
        <f>Worksheet!C436&amp;" "&amp;Worksheet!B436</f>
        <v>Andreas Lippens</v>
      </c>
      <c r="K436" t="str">
        <f>IF(Worksheet!P436&lt;&gt;"",Worksheet!P436,IF(Worksheet!R436&lt;&gt;"",Worksheet!R436,IF(Worksheet!T436&lt;&gt;"",Worksheet!T436,"")))</f>
        <v/>
      </c>
      <c r="L436" t="str">
        <f>IF(AND(Worksheet!V436&lt;&gt;"",Worksheet!V436&lt;&gt;0),Worksheet!V436&amp;"",IF(AND(Worksheet!X436&lt;&gt;"",Worksheet!X436&lt;&gt;0),Worksheet!X436&amp;"",IF(AND(Worksheet!Z436&lt;&gt;"",Worksheet!Z436&lt;&gt;0),Worksheet!Z436&amp;"","")))</f>
        <v>032492223206</v>
      </c>
      <c r="M436" t="str">
        <f>IF(Worksheet!AE436="","",Worksheet!AE436)</f>
        <v/>
      </c>
      <c r="N436">
        <f>IF(Worksheet!AG436="","",Worksheet!AG436)</f>
        <v>287179</v>
      </c>
      <c r="O436" t="str">
        <f>IF(Worksheet!AJ436="","",Worksheet!AJ436)</f>
        <v>HSE A Haantjes Certifisc Oudenaarde</v>
      </c>
      <c r="P436" t="str">
        <f>IF(Worksheet!AK436="","",Worksheet!AK436)</f>
        <v>Speler</v>
      </c>
    </row>
    <row r="437" spans="5:16" x14ac:dyDescent="0.25">
      <c r="E437" s="2"/>
      <c r="J437" t="str">
        <f>Worksheet!C437&amp;" "&amp;Worksheet!B437</f>
        <v>Lars Lodewyckx</v>
      </c>
      <c r="K437" t="str">
        <f>IF(Worksheet!P437&lt;&gt;"",Worksheet!P437,IF(Worksheet!R437&lt;&gt;"",Worksheet!R437,IF(Worksheet!T437&lt;&gt;"",Worksheet!T437,"")))</f>
        <v/>
      </c>
      <c r="L437" t="str">
        <f>IF(AND(Worksheet!V437&lt;&gt;"",Worksheet!V437&lt;&gt;0),Worksheet!V437&amp;"",IF(AND(Worksheet!X437&lt;&gt;"",Worksheet!X437&lt;&gt;0),Worksheet!X437&amp;"",IF(AND(Worksheet!Z437&lt;&gt;"",Worksheet!Z437&lt;&gt;0),Worksheet!Z437&amp;"","")))</f>
        <v>495242000</v>
      </c>
      <c r="M437" t="str">
        <f>IF(Worksheet!AE437="","",Worksheet!AE437)</f>
        <v/>
      </c>
      <c r="N437" t="str">
        <f>IF(Worksheet!AG437="","",Worksheet!AG437)</f>
        <v/>
      </c>
      <c r="O437" t="str">
        <f>IF(Worksheet!AJ437="","",Worksheet!AJ437)</f>
        <v/>
      </c>
      <c r="P437" t="str">
        <f>IF(Worksheet!AK437="","",Worksheet!AK437)</f>
        <v/>
      </c>
    </row>
    <row r="438" spans="5:16" x14ac:dyDescent="0.25">
      <c r="E438" s="2"/>
      <c r="J438" t="str">
        <f>Worksheet!C438&amp;" "&amp;Worksheet!B438</f>
        <v>Lucas Lodewyckx</v>
      </c>
      <c r="K438" t="str">
        <f>IF(Worksheet!P438&lt;&gt;"",Worksheet!P438,IF(Worksheet!R438&lt;&gt;"",Worksheet!R438,IF(Worksheet!T438&lt;&gt;"",Worksheet!T438,"")))</f>
        <v/>
      </c>
      <c r="L438" t="str">
        <f>IF(AND(Worksheet!V438&lt;&gt;"",Worksheet!V438&lt;&gt;0),Worksheet!V438&amp;"",IF(AND(Worksheet!X438&lt;&gt;"",Worksheet!X438&lt;&gt;0),Worksheet!X438&amp;"",IF(AND(Worksheet!Z438&lt;&gt;"",Worksheet!Z438&lt;&gt;0),Worksheet!Z438&amp;"","")))</f>
        <v>495242000</v>
      </c>
      <c r="M438" t="str">
        <f>IF(Worksheet!AE438="","",Worksheet!AE438)</f>
        <v/>
      </c>
      <c r="N438" t="str">
        <f>IF(Worksheet!AG438="","",Worksheet!AG438)</f>
        <v/>
      </c>
      <c r="O438" t="str">
        <f>IF(Worksheet!AJ438="","",Worksheet!AJ438)</f>
        <v/>
      </c>
      <c r="P438" t="str">
        <f>IF(Worksheet!AK438="","",Worksheet!AK438)</f>
        <v/>
      </c>
    </row>
    <row r="439" spans="5:16" x14ac:dyDescent="0.25">
      <c r="E439" s="2"/>
      <c r="J439" t="str">
        <f>Worksheet!C439&amp;" "&amp;Worksheet!B439</f>
        <v>Senne Lossie</v>
      </c>
      <c r="K439" t="str">
        <f>IF(Worksheet!P439&lt;&gt;"",Worksheet!P439,IF(Worksheet!R439&lt;&gt;"",Worksheet!R439,IF(Worksheet!T439&lt;&gt;"",Worksheet!T439,"")))</f>
        <v/>
      </c>
      <c r="L439" t="str">
        <f>IF(AND(Worksheet!V439&lt;&gt;"",Worksheet!V439&lt;&gt;0),Worksheet!V439&amp;"",IF(AND(Worksheet!X439&lt;&gt;"",Worksheet!X439&lt;&gt;0),Worksheet!X439&amp;"",IF(AND(Worksheet!Z439&lt;&gt;"",Worksheet!Z439&lt;&gt;0),Worksheet!Z439&amp;"","")))</f>
        <v>497030064</v>
      </c>
      <c r="M439" t="str">
        <f>IF(Worksheet!AE439="","",Worksheet!AE439)</f>
        <v/>
      </c>
      <c r="N439">
        <f>IF(Worksheet!AG439="","",Worksheet!AG439)</f>
        <v>740400</v>
      </c>
      <c r="O439" t="str">
        <f>IF(Worksheet!AJ439="","",Worksheet!AJ439)</f>
        <v/>
      </c>
      <c r="P439" t="str">
        <f>IF(Worksheet!AK439="","",Worksheet!AK439)</f>
        <v/>
      </c>
    </row>
    <row r="440" spans="5:16" x14ac:dyDescent="0.25">
      <c r="E440" s="2"/>
      <c r="J440" t="str">
        <f>Worksheet!C440&amp;" "&amp;Worksheet!B440</f>
        <v>Boris Luyten</v>
      </c>
      <c r="K440" t="str">
        <f>IF(Worksheet!P440&lt;&gt;"",Worksheet!P440,IF(Worksheet!R440&lt;&gt;"",Worksheet!R440,IF(Worksheet!T440&lt;&gt;"",Worksheet!T440,"")))</f>
        <v>liesbeth_boudrez@hotmail.be</v>
      </c>
      <c r="L440" t="str">
        <f>IF(AND(Worksheet!V440&lt;&gt;"",Worksheet!V440&lt;&gt;0),Worksheet!V440&amp;"",IF(AND(Worksheet!X440&lt;&gt;"",Worksheet!X440&lt;&gt;0),Worksheet!X440&amp;"",IF(AND(Worksheet!Z440&lt;&gt;"",Worksheet!Z440&lt;&gt;0),Worksheet!Z440&amp;"","")))</f>
        <v>32499650150</v>
      </c>
      <c r="M440" t="str">
        <f>IF(Worksheet!AE440="","",Worksheet!AE440)</f>
        <v>https://app.twizzit.com/public/photos/3437308/s/ee02af9294d7823dae37d6eb7126b435ef764909.png</v>
      </c>
      <c r="N440" t="str">
        <f>IF(Worksheet!AG440="","",Worksheet!AG440)</f>
        <v/>
      </c>
      <c r="O440" t="str">
        <f>IF(Worksheet!AJ440="","",Worksheet!AJ440)</f>
        <v>G10 Geel HAANTJES CERTIFISC OUDENAARDE</v>
      </c>
      <c r="P440" t="str">
        <f>IF(Worksheet!AK440="","",Worksheet!AK440)</f>
        <v>Speler</v>
      </c>
    </row>
    <row r="441" spans="5:16" x14ac:dyDescent="0.25">
      <c r="E441" s="2"/>
      <c r="J441" t="str">
        <f>Worksheet!C441&amp;" "&amp;Worksheet!B441</f>
        <v>Max Luyten</v>
      </c>
      <c r="K441" t="str">
        <f>IF(Worksheet!P441&lt;&gt;"",Worksheet!P441,IF(Worksheet!R441&lt;&gt;"",Worksheet!R441,IF(Worksheet!T441&lt;&gt;"",Worksheet!T441,"")))</f>
        <v/>
      </c>
      <c r="L441" t="str">
        <f>IF(AND(Worksheet!V441&lt;&gt;"",Worksheet!V441&lt;&gt;0),Worksheet!V441&amp;"",IF(AND(Worksheet!X441&lt;&gt;"",Worksheet!X441&lt;&gt;0),Worksheet!X441&amp;"",IF(AND(Worksheet!Z441&lt;&gt;"",Worksheet!Z441&lt;&gt;0),Worksheet!Z441&amp;"","")))</f>
        <v/>
      </c>
      <c r="M441" t="str">
        <f>IF(Worksheet!AE441="","",Worksheet!AE441)</f>
        <v/>
      </c>
      <c r="N441">
        <f>IF(Worksheet!AG441="","",Worksheet!AG441)</f>
        <v>738763</v>
      </c>
      <c r="O441" t="str">
        <f>IF(Worksheet!AJ441="","",Worksheet!AJ441)</f>
        <v/>
      </c>
      <c r="P441" t="str">
        <f>IF(Worksheet!AK441="","",Worksheet!AK441)</f>
        <v/>
      </c>
    </row>
    <row r="442" spans="5:16" x14ac:dyDescent="0.25">
      <c r="E442" s="2"/>
      <c r="J442" t="str">
        <f>Worksheet!C442&amp;" "&amp;Worksheet!B442</f>
        <v>Oskar Luyten</v>
      </c>
      <c r="K442" t="str">
        <f>IF(Worksheet!P442&lt;&gt;"",Worksheet!P442,IF(Worksheet!R442&lt;&gt;"",Worksheet!R442,IF(Worksheet!T442&lt;&gt;"",Worksheet!T442,"")))</f>
        <v>liesbeth_boudrez@hotmail.be</v>
      </c>
      <c r="L442" t="str">
        <f>IF(AND(Worksheet!V442&lt;&gt;"",Worksheet!V442&lt;&gt;0),Worksheet!V442&amp;"",IF(AND(Worksheet!X442&lt;&gt;"",Worksheet!X442&lt;&gt;0),Worksheet!X442&amp;"",IF(AND(Worksheet!Z442&lt;&gt;"",Worksheet!Z442&lt;&gt;0),Worksheet!Z442&amp;"","")))</f>
        <v>32499650150</v>
      </c>
      <c r="M442" t="str">
        <f>IF(Worksheet!AE442="","",Worksheet!AE442)</f>
        <v>https://app.twizzit.com/public/photos/6067218/s/05d3b6d34153ded2c11249ae66f232311ce5df9d.jpeg</v>
      </c>
      <c r="N442" t="str">
        <f>IF(Worksheet!AG442="","",Worksheet!AG442)</f>
        <v/>
      </c>
      <c r="O442" t="str">
        <f>IF(Worksheet!AJ442="","",Worksheet!AJ442)</f>
        <v>G08 Geel HAANTJES CERTIFISC OUDENAARDE</v>
      </c>
      <c r="P442" t="str">
        <f>IF(Worksheet!AK442="","",Worksheet!AK442)</f>
        <v>Speler</v>
      </c>
    </row>
    <row r="443" spans="5:16" x14ac:dyDescent="0.25">
      <c r="E443" s="2"/>
      <c r="J443" t="str">
        <f>Worksheet!C443&amp;" "&amp;Worksheet!B443</f>
        <v>Steven Luyten</v>
      </c>
      <c r="K443" t="str">
        <f>IF(Worksheet!P443&lt;&gt;"",Worksheet!P443,IF(Worksheet!R443&lt;&gt;"",Worksheet!R443,IF(Worksheet!T443&lt;&gt;"",Worksheet!T443,"")))</f>
        <v/>
      </c>
      <c r="L443" t="str">
        <f>IF(AND(Worksheet!V443&lt;&gt;"",Worksheet!V443&lt;&gt;0),Worksheet!V443&amp;"",IF(AND(Worksheet!X443&lt;&gt;"",Worksheet!X443&lt;&gt;0),Worksheet!X443&amp;"",IF(AND(Worksheet!Z443&lt;&gt;"",Worksheet!Z443&lt;&gt;0),Worksheet!Z443&amp;"","")))</f>
        <v/>
      </c>
      <c r="M443" t="str">
        <f>IF(Worksheet!AE443="","",Worksheet!AE443)</f>
        <v/>
      </c>
      <c r="N443" t="str">
        <f>IF(Worksheet!AG443="","",Worksheet!AG443)</f>
        <v/>
      </c>
      <c r="O443" t="str">
        <f>IF(Worksheet!AJ443="","",Worksheet!AJ443)</f>
        <v/>
      </c>
      <c r="P443" t="str">
        <f>IF(Worksheet!AK443="","",Worksheet!AK443)</f>
        <v/>
      </c>
    </row>
    <row r="444" spans="5:16" x14ac:dyDescent="0.25">
      <c r="E444" s="2"/>
      <c r="J444" t="str">
        <f>Worksheet!C444&amp;" "&amp;Worksheet!B444</f>
        <v>Viktor L’Hommelet</v>
      </c>
      <c r="K444" t="str">
        <f>IF(Worksheet!P444&lt;&gt;"",Worksheet!P444,IF(Worksheet!R444&lt;&gt;"",Worksheet!R444,IF(Worksheet!T444&lt;&gt;"",Worksheet!T444,"")))</f>
        <v>els.bourgois@gmail.com</v>
      </c>
      <c r="L444" t="str">
        <f>IF(AND(Worksheet!V444&lt;&gt;"",Worksheet!V444&lt;&gt;0),Worksheet!V444&amp;"",IF(AND(Worksheet!X444&lt;&gt;"",Worksheet!X444&lt;&gt;0),Worksheet!X444&amp;"",IF(AND(Worksheet!Z444&lt;&gt;"",Worksheet!Z444&lt;&gt;0),Worksheet!Z444&amp;"","")))</f>
        <v>479376759</v>
      </c>
      <c r="M444" t="str">
        <f>IF(Worksheet!AE444="","",Worksheet!AE444)</f>
        <v/>
      </c>
      <c r="N444">
        <f>IF(Worksheet!AG444="","",Worksheet!AG444)</f>
        <v>714059</v>
      </c>
      <c r="O444" t="str">
        <f>IF(Worksheet!AJ444="","",Worksheet!AJ444)</f>
        <v>J16 A Haantjes CERTIFISC Oudenaarde</v>
      </c>
      <c r="P444" t="str">
        <f>IF(Worksheet!AK444="","",Worksheet!AK444)</f>
        <v>Speler</v>
      </c>
    </row>
    <row r="445" spans="5:16" x14ac:dyDescent="0.25">
      <c r="E445" s="2"/>
      <c r="J445" t="str">
        <f>Worksheet!C445&amp;" "&amp;Worksheet!B445</f>
        <v>Viktor L’Hommelet</v>
      </c>
      <c r="K445" t="str">
        <f>IF(Worksheet!P445&lt;&gt;"",Worksheet!P445,IF(Worksheet!R445&lt;&gt;"",Worksheet!R445,IF(Worksheet!T445&lt;&gt;"",Worksheet!T445,"")))</f>
        <v>els.bourgois@gmail.com</v>
      </c>
      <c r="L445" t="str">
        <f>IF(AND(Worksheet!V445&lt;&gt;"",Worksheet!V445&lt;&gt;0),Worksheet!V445&amp;"",IF(AND(Worksheet!X445&lt;&gt;"",Worksheet!X445&lt;&gt;0),Worksheet!X445&amp;"",IF(AND(Worksheet!Z445&lt;&gt;"",Worksheet!Z445&lt;&gt;0),Worksheet!Z445&amp;"","")))</f>
        <v>479376759</v>
      </c>
      <c r="M445" t="str">
        <f>IF(Worksheet!AE445="","",Worksheet!AE445)</f>
        <v/>
      </c>
      <c r="N445">
        <f>IF(Worksheet!AG445="","",Worksheet!AG445)</f>
        <v>714059</v>
      </c>
      <c r="O445" t="str">
        <f>IF(Worksheet!AJ445="","",Worksheet!AJ445)</f>
        <v>Zomerstage 2026 (Blankenberge)</v>
      </c>
      <c r="P445" t="str">
        <f>IF(Worksheet!AK445="","",Worksheet!AK445)</f>
        <v>Speler</v>
      </c>
    </row>
    <row r="446" spans="5:16" x14ac:dyDescent="0.25">
      <c r="E446" s="2"/>
      <c r="J446" t="str">
        <f>Worksheet!C446&amp;" "&amp;Worksheet!B446</f>
        <v>Fenne Maebe</v>
      </c>
      <c r="K446" t="str">
        <f>IF(Worksheet!P446&lt;&gt;"",Worksheet!P446,IF(Worksheet!R446&lt;&gt;"",Worksheet!R446,IF(Worksheet!T446&lt;&gt;"",Worksheet!T446,"")))</f>
        <v/>
      </c>
      <c r="L446" t="str">
        <f>IF(AND(Worksheet!V446&lt;&gt;"",Worksheet!V446&lt;&gt;0),Worksheet!V446&amp;"",IF(AND(Worksheet!X446&lt;&gt;"",Worksheet!X446&lt;&gt;0),Worksheet!X446&amp;"",IF(AND(Worksheet!Z446&lt;&gt;"",Worksheet!Z446&lt;&gt;0),Worksheet!Z446&amp;"","")))</f>
        <v>496392771</v>
      </c>
      <c r="M446" t="str">
        <f>IF(Worksheet!AE446="","",Worksheet!AE446)</f>
        <v/>
      </c>
      <c r="N446" t="str">
        <f>IF(Worksheet!AG446="","",Worksheet!AG446)</f>
        <v/>
      </c>
      <c r="O446" t="str">
        <f>IF(Worksheet!AJ446="","",Worksheet!AJ446)</f>
        <v/>
      </c>
      <c r="P446" t="str">
        <f>IF(Worksheet!AK446="","",Worksheet!AK446)</f>
        <v/>
      </c>
    </row>
    <row r="447" spans="5:16" x14ac:dyDescent="0.25">
      <c r="E447" s="2"/>
      <c r="J447" t="str">
        <f>Worksheet!C447&amp;" "&amp;Worksheet!B447</f>
        <v>Nathan Maenhout</v>
      </c>
      <c r="K447" t="str">
        <f>IF(Worksheet!P447&lt;&gt;"",Worksheet!P447,IF(Worksheet!R447&lt;&gt;"",Worksheet!R447,IF(Worksheet!T447&lt;&gt;"",Worksheet!T447,"")))</f>
        <v>jokespies@hotmail.com</v>
      </c>
      <c r="L447" t="str">
        <f>IF(AND(Worksheet!V447&lt;&gt;"",Worksheet!V447&lt;&gt;0),Worksheet!V447&amp;"",IF(AND(Worksheet!X447&lt;&gt;"",Worksheet!X447&lt;&gt;0),Worksheet!X447&amp;"",IF(AND(Worksheet!Z447&lt;&gt;"",Worksheet!Z447&lt;&gt;0),Worksheet!Z447&amp;"","")))</f>
        <v>0489178706</v>
      </c>
      <c r="M447" t="str">
        <f>IF(Worksheet!AE447="","",Worksheet!AE447)</f>
        <v>https://app.twizzit.com/public/photos/9359547/s/0986374ba59a462685344af411da25079641e82d.jpeg</v>
      </c>
      <c r="N447" t="str">
        <f>IF(Worksheet!AG447="","",Worksheet!AG447)</f>
        <v/>
      </c>
      <c r="O447" t="str">
        <f>IF(Worksheet!AJ447="","",Worksheet!AJ447)</f>
        <v>G14 A Haantjes CERTIFISC Oudenaarde</v>
      </c>
      <c r="P447" t="str">
        <f>IF(Worksheet!AK447="","",Worksheet!AK447)</f>
        <v>Speler</v>
      </c>
    </row>
    <row r="448" spans="5:16" x14ac:dyDescent="0.25">
      <c r="E448" s="2"/>
      <c r="J448" t="str">
        <f>Worksheet!C448&amp;" "&amp;Worksheet!B448</f>
        <v>Nathan Maenhout</v>
      </c>
      <c r="K448" t="str">
        <f>IF(Worksheet!P448&lt;&gt;"",Worksheet!P448,IF(Worksheet!R448&lt;&gt;"",Worksheet!R448,IF(Worksheet!T448&lt;&gt;"",Worksheet!T448,"")))</f>
        <v>jokespies@hotmail.com</v>
      </c>
      <c r="L448" t="str">
        <f>IF(AND(Worksheet!V448&lt;&gt;"",Worksheet!V448&lt;&gt;0),Worksheet!V448&amp;"",IF(AND(Worksheet!X448&lt;&gt;"",Worksheet!X448&lt;&gt;0),Worksheet!X448&amp;"",IF(AND(Worksheet!Z448&lt;&gt;"",Worksheet!Z448&lt;&gt;0),Worksheet!Z448&amp;"","")))</f>
        <v>0489178706</v>
      </c>
      <c r="M448" t="str">
        <f>IF(Worksheet!AE448="","",Worksheet!AE448)</f>
        <v>https://app.twizzit.com/public/photos/9359547/s/0986374ba59a462685344af411da25079641e82d.jpeg</v>
      </c>
      <c r="N448" t="str">
        <f>IF(Worksheet!AG448="","",Worksheet!AG448)</f>
        <v/>
      </c>
      <c r="O448" t="str">
        <f>IF(Worksheet!AJ448="","",Worksheet!AJ448)</f>
        <v>Zomerstage 2026 (Blankenberge)</v>
      </c>
      <c r="P448" t="str">
        <f>IF(Worksheet!AK448="","",Worksheet!AK448)</f>
        <v>Speler</v>
      </c>
    </row>
    <row r="449" spans="5:16" x14ac:dyDescent="0.25">
      <c r="E449" s="2"/>
      <c r="J449" t="str">
        <f>Worksheet!C449&amp;" "&amp;Worksheet!B449</f>
        <v>Jonas Maertens</v>
      </c>
      <c r="K449" t="str">
        <f>IF(Worksheet!P449&lt;&gt;"",Worksheet!P449,IF(Worksheet!R449&lt;&gt;"",Worksheet!R449,IF(Worksheet!T449&lt;&gt;"",Worksheet!T449,"")))</f>
        <v/>
      </c>
      <c r="L449" t="str">
        <f>IF(AND(Worksheet!V449&lt;&gt;"",Worksheet!V449&lt;&gt;0),Worksheet!V449&amp;"",IF(AND(Worksheet!X449&lt;&gt;"",Worksheet!X449&lt;&gt;0),Worksheet!X449&amp;"",IF(AND(Worksheet!Z449&lt;&gt;"",Worksheet!Z449&lt;&gt;0),Worksheet!Z449&amp;"","")))</f>
        <v>477970937</v>
      </c>
      <c r="M449" t="str">
        <f>IF(Worksheet!AE449="","",Worksheet!AE449)</f>
        <v/>
      </c>
      <c r="N449">
        <f>IF(Worksheet!AG449="","",Worksheet!AG449)</f>
        <v>95935</v>
      </c>
      <c r="O449" t="str">
        <f>IF(Worksheet!AJ449="","",Worksheet!AJ449)</f>
        <v/>
      </c>
      <c r="P449" t="str">
        <f>IF(Worksheet!AK449="","",Worksheet!AK449)</f>
        <v/>
      </c>
    </row>
    <row r="450" spans="5:16" x14ac:dyDescent="0.25">
      <c r="E450" s="2"/>
      <c r="J450" t="str">
        <f>Worksheet!C450&amp;" "&amp;Worksheet!B450</f>
        <v>Dréa Maes</v>
      </c>
      <c r="K450" t="str">
        <f>IF(Worksheet!P450&lt;&gt;"",Worksheet!P450,IF(Worksheet!R450&lt;&gt;"",Worksheet!R450,IF(Worksheet!T450&lt;&gt;"",Worksheet!T450,"")))</f>
        <v>Joke.merlaen@gmail.com</v>
      </c>
      <c r="L450" t="str">
        <f>IF(AND(Worksheet!V450&lt;&gt;"",Worksheet!V450&lt;&gt;0),Worksheet!V450&amp;"",IF(AND(Worksheet!X450&lt;&gt;"",Worksheet!X450&lt;&gt;0),Worksheet!X450&amp;"",IF(AND(Worksheet!Z450&lt;&gt;"",Worksheet!Z450&lt;&gt;0),Worksheet!Z450&amp;"","")))</f>
        <v/>
      </c>
      <c r="M450" t="str">
        <f>IF(Worksheet!AE450="","",Worksheet!AE450)</f>
        <v>https://app.twizzit.com/public/photos/3412861/s/5d2322ba0de7264fd5ba0170cc29e82844de05d5.png</v>
      </c>
      <c r="N450" t="str">
        <f>IF(Worksheet!AG450="","",Worksheet!AG450)</f>
        <v/>
      </c>
      <c r="O450" t="str">
        <f>IF(Worksheet!AJ450="","",Worksheet!AJ450)</f>
        <v>M16 A Haantjes CERTIFISC  Oudenaarde</v>
      </c>
      <c r="P450" t="str">
        <f>IF(Worksheet!AK450="","",Worksheet!AK450)</f>
        <v>Speler</v>
      </c>
    </row>
    <row r="451" spans="5:16" x14ac:dyDescent="0.25">
      <c r="E451" s="2"/>
      <c r="J451" t="str">
        <f>Worksheet!C451&amp;" "&amp;Worksheet!B451</f>
        <v>Dréa Maes</v>
      </c>
      <c r="K451" t="str">
        <f>IF(Worksheet!P451&lt;&gt;"",Worksheet!P451,IF(Worksheet!R451&lt;&gt;"",Worksheet!R451,IF(Worksheet!T451&lt;&gt;"",Worksheet!T451,"")))</f>
        <v>Joke.merlaen@gmail.com</v>
      </c>
      <c r="L451" t="str">
        <f>IF(AND(Worksheet!V451&lt;&gt;"",Worksheet!V451&lt;&gt;0),Worksheet!V451&amp;"",IF(AND(Worksheet!X451&lt;&gt;"",Worksheet!X451&lt;&gt;0),Worksheet!X451&amp;"",IF(AND(Worksheet!Z451&lt;&gt;"",Worksheet!Z451&lt;&gt;0),Worksheet!Z451&amp;"","")))</f>
        <v/>
      </c>
      <c r="M451" t="str">
        <f>IF(Worksheet!AE451="","",Worksheet!AE451)</f>
        <v>https://app.twizzit.com/public/photos/3412861/s/5d2322ba0de7264fd5ba0170cc29e82844de05d5.png</v>
      </c>
      <c r="N451" t="str">
        <f>IF(Worksheet!AG451="","",Worksheet!AG451)</f>
        <v/>
      </c>
      <c r="O451" t="str">
        <f>IF(Worksheet!AJ451="","",Worksheet!AJ451)</f>
        <v>Zomerstage 2026 (Blankenberge)</v>
      </c>
      <c r="P451" t="str">
        <f>IF(Worksheet!AK451="","",Worksheet!AK451)</f>
        <v>Speler</v>
      </c>
    </row>
    <row r="452" spans="5:16" x14ac:dyDescent="0.25">
      <c r="E452" s="2"/>
      <c r="J452" t="str">
        <f>Worksheet!C452&amp;" "&amp;Worksheet!B452</f>
        <v>Kamiel Mahieu</v>
      </c>
      <c r="K452" t="str">
        <f>IF(Worksheet!P452&lt;&gt;"",Worksheet!P452,IF(Worksheet!R452&lt;&gt;"",Worksheet!R452,IF(Worksheet!T452&lt;&gt;"",Worksheet!T452,"")))</f>
        <v/>
      </c>
      <c r="L452" t="str">
        <f>IF(AND(Worksheet!V452&lt;&gt;"",Worksheet!V452&lt;&gt;0),Worksheet!V452&amp;"",IF(AND(Worksheet!X452&lt;&gt;"",Worksheet!X452&lt;&gt;0),Worksheet!X452&amp;"",IF(AND(Worksheet!Z452&lt;&gt;"",Worksheet!Z452&lt;&gt;0),Worksheet!Z452&amp;"","")))</f>
        <v>0473745981</v>
      </c>
      <c r="M452" t="str">
        <f>IF(Worksheet!AE452="","",Worksheet!AE452)</f>
        <v/>
      </c>
      <c r="N452" t="str">
        <f>IF(Worksheet!AG452="","",Worksheet!AG452)</f>
        <v/>
      </c>
      <c r="O452" t="str">
        <f>IF(Worksheet!AJ452="","",Worksheet!AJ452)</f>
        <v>J18 B Haantjes CERTIFISC Oudenaarde</v>
      </c>
      <c r="P452" t="str">
        <f>IF(Worksheet!AK452="","",Worksheet!AK452)</f>
        <v>Speler</v>
      </c>
    </row>
    <row r="453" spans="5:16" x14ac:dyDescent="0.25">
      <c r="E453" s="2"/>
      <c r="J453" t="str">
        <f>Worksheet!C453&amp;" "&amp;Worksheet!B453</f>
        <v>Senne Mahieu</v>
      </c>
      <c r="K453" t="str">
        <f>IF(Worksheet!P453&lt;&gt;"",Worksheet!P453,IF(Worksheet!R453&lt;&gt;"",Worksheet!R453,IF(Worksheet!T453&lt;&gt;"",Worksheet!T453,"")))</f>
        <v/>
      </c>
      <c r="L453" t="str">
        <f>IF(AND(Worksheet!V453&lt;&gt;"",Worksheet!V453&lt;&gt;0),Worksheet!V453&amp;"",IF(AND(Worksheet!X453&lt;&gt;"",Worksheet!X453&lt;&gt;0),Worksheet!X453&amp;"",IF(AND(Worksheet!Z453&lt;&gt;"",Worksheet!Z453&lt;&gt;0),Worksheet!Z453&amp;"","")))</f>
        <v/>
      </c>
      <c r="M453" t="str">
        <f>IF(Worksheet!AE453="","",Worksheet!AE453)</f>
        <v/>
      </c>
      <c r="N453">
        <f>IF(Worksheet!AG453="","",Worksheet!AG453)</f>
        <v>662953</v>
      </c>
      <c r="O453" t="str">
        <f>IF(Worksheet!AJ453="","",Worksheet!AJ453)</f>
        <v/>
      </c>
      <c r="P453" t="str">
        <f>IF(Worksheet!AK453="","",Worksheet!AK453)</f>
        <v/>
      </c>
    </row>
    <row r="454" spans="5:16" x14ac:dyDescent="0.25">
      <c r="E454" s="2"/>
      <c r="J454" t="str">
        <f>Worksheet!C454&amp;" "&amp;Worksheet!B454</f>
        <v>John Malbrant</v>
      </c>
      <c r="K454" t="str">
        <f>IF(Worksheet!P454&lt;&gt;"",Worksheet!P454,IF(Worksheet!R454&lt;&gt;"",Worksheet!R454,IF(Worksheet!T454&lt;&gt;"",Worksheet!T454,"")))</f>
        <v/>
      </c>
      <c r="L454" t="str">
        <f>IF(AND(Worksheet!V454&lt;&gt;"",Worksheet!V454&lt;&gt;0),Worksheet!V454&amp;"",IF(AND(Worksheet!X454&lt;&gt;"",Worksheet!X454&lt;&gt;0),Worksheet!X454&amp;"",IF(AND(Worksheet!Z454&lt;&gt;"",Worksheet!Z454&lt;&gt;0),Worksheet!Z454&amp;"","")))</f>
        <v>0478314265</v>
      </c>
      <c r="M454" t="str">
        <f>IF(Worksheet!AE454="","",Worksheet!AE454)</f>
        <v/>
      </c>
      <c r="N454">
        <f>IF(Worksheet!AG454="","",Worksheet!AG454)</f>
        <v>612102</v>
      </c>
      <c r="O454" t="str">
        <f>IF(Worksheet!AJ454="","",Worksheet!AJ454)</f>
        <v/>
      </c>
      <c r="P454" t="str">
        <f>IF(Worksheet!AK454="","",Worksheet!AK454)</f>
        <v/>
      </c>
    </row>
    <row r="455" spans="5:16" x14ac:dyDescent="0.25">
      <c r="E455" s="2"/>
      <c r="J455" t="str">
        <f>Worksheet!C455&amp;" "&amp;Worksheet!B455</f>
        <v>Lowie Malfait</v>
      </c>
      <c r="K455" t="str">
        <f>IF(Worksheet!P455&lt;&gt;"",Worksheet!P455,IF(Worksheet!R455&lt;&gt;"",Worksheet!R455,IF(Worksheet!T455&lt;&gt;"",Worksheet!T455,"")))</f>
        <v>Hoekman.annelies1@gmail.com</v>
      </c>
      <c r="L455" t="str">
        <f>IF(AND(Worksheet!V455&lt;&gt;"",Worksheet!V455&lt;&gt;0),Worksheet!V455&amp;"",IF(AND(Worksheet!X455&lt;&gt;"",Worksheet!X455&lt;&gt;0),Worksheet!X455&amp;"",IF(AND(Worksheet!Z455&lt;&gt;"",Worksheet!Z455&lt;&gt;0),Worksheet!Z455&amp;"","")))</f>
        <v>0478836273</v>
      </c>
      <c r="M455" t="str">
        <f>IF(Worksheet!AE455="","",Worksheet!AE455)</f>
        <v/>
      </c>
      <c r="N455" t="str">
        <f>IF(Worksheet!AG455="","",Worksheet!AG455)</f>
        <v/>
      </c>
      <c r="O455" t="str">
        <f>IF(Worksheet!AJ455="","",Worksheet!AJ455)</f>
        <v>G12 Blauw HAANTJES CERTIFISC OUDENAARDE</v>
      </c>
      <c r="P455" t="str">
        <f>IF(Worksheet!AK455="","",Worksheet!AK455)</f>
        <v>Speler</v>
      </c>
    </row>
    <row r="456" spans="5:16" x14ac:dyDescent="0.25">
      <c r="E456" s="2"/>
      <c r="J456" t="str">
        <f>Worksheet!C456&amp;" "&amp;Worksheet!B456</f>
        <v>Jakob Marcou</v>
      </c>
      <c r="K456" t="str">
        <f>IF(Worksheet!P456&lt;&gt;"",Worksheet!P456,IF(Worksheet!R456&lt;&gt;"",Worksheet!R456,IF(Worksheet!T456&lt;&gt;"",Worksheet!T456,"")))</f>
        <v/>
      </c>
      <c r="L456" t="str">
        <f>IF(AND(Worksheet!V456&lt;&gt;"",Worksheet!V456&lt;&gt;0),Worksheet!V456&amp;"",IF(AND(Worksheet!X456&lt;&gt;"",Worksheet!X456&lt;&gt;0),Worksheet!X456&amp;"",IF(AND(Worksheet!Z456&lt;&gt;"",Worksheet!Z456&lt;&gt;0),Worksheet!Z456&amp;"","")))</f>
        <v>0474234134</v>
      </c>
      <c r="M456" t="str">
        <f>IF(Worksheet!AE456="","",Worksheet!AE456)</f>
        <v/>
      </c>
      <c r="N456">
        <f>IF(Worksheet!AG456="","",Worksheet!AG456)</f>
        <v>608268</v>
      </c>
      <c r="O456" t="str">
        <f>IF(Worksheet!AJ456="","",Worksheet!AJ456)</f>
        <v>HSE A Haantjes Certifisc Oudenaarde</v>
      </c>
      <c r="P456" t="str">
        <f>IF(Worksheet!AK456="","",Worksheet!AK456)</f>
        <v>Speler</v>
      </c>
    </row>
    <row r="457" spans="5:16" x14ac:dyDescent="0.25">
      <c r="E457" s="2"/>
      <c r="J457" t="str">
        <f>Worksheet!C457&amp;" "&amp;Worksheet!B457</f>
        <v>Gilles Martens</v>
      </c>
      <c r="K457" t="str">
        <f>IF(Worksheet!P457&lt;&gt;"",Worksheet!P457,IF(Worksheet!R457&lt;&gt;"",Worksheet!R457,IF(Worksheet!T457&lt;&gt;"",Worksheet!T457,"")))</f>
        <v/>
      </c>
      <c r="L457" t="str">
        <f>IF(AND(Worksheet!V457&lt;&gt;"",Worksheet!V457&lt;&gt;0),Worksheet!V457&amp;"",IF(AND(Worksheet!X457&lt;&gt;"",Worksheet!X457&lt;&gt;0),Worksheet!X457&amp;"",IF(AND(Worksheet!Z457&lt;&gt;"",Worksheet!Z457&lt;&gt;0),Worksheet!Z457&amp;"","")))</f>
        <v>473420843</v>
      </c>
      <c r="M457" t="str">
        <f>IF(Worksheet!AE457="","",Worksheet!AE457)</f>
        <v/>
      </c>
      <c r="N457" t="str">
        <f>IF(Worksheet!AG457="","",Worksheet!AG457)</f>
        <v/>
      </c>
      <c r="O457" t="str">
        <f>IF(Worksheet!AJ457="","",Worksheet!AJ457)</f>
        <v/>
      </c>
      <c r="P457" t="str">
        <f>IF(Worksheet!AK457="","",Worksheet!AK457)</f>
        <v/>
      </c>
    </row>
    <row r="458" spans="5:16" x14ac:dyDescent="0.25">
      <c r="E458" s="2"/>
      <c r="J458" t="str">
        <f>Worksheet!C458&amp;" "&amp;Worksheet!B458</f>
        <v>Mieke Martyn</v>
      </c>
      <c r="K458" t="str">
        <f>IF(Worksheet!P458&lt;&gt;"",Worksheet!P458,IF(Worksheet!R458&lt;&gt;"",Worksheet!R458,IF(Worksheet!T458&lt;&gt;"",Worksheet!T458,"")))</f>
        <v/>
      </c>
      <c r="L458" t="str">
        <f>IF(AND(Worksheet!V458&lt;&gt;"",Worksheet!V458&lt;&gt;0),Worksheet!V458&amp;"",IF(AND(Worksheet!X458&lt;&gt;"",Worksheet!X458&lt;&gt;0),Worksheet!X458&amp;"",IF(AND(Worksheet!Z458&lt;&gt;"",Worksheet!Z458&lt;&gt;0),Worksheet!Z458&amp;"","")))</f>
        <v/>
      </c>
      <c r="M458" t="str">
        <f>IF(Worksheet!AE458="","",Worksheet!AE458)</f>
        <v/>
      </c>
      <c r="N458" t="str">
        <f>IF(Worksheet!AG458="","",Worksheet!AG458)</f>
        <v/>
      </c>
      <c r="O458" t="str">
        <f>IF(Worksheet!AJ458="","",Worksheet!AJ458)</f>
        <v/>
      </c>
      <c r="P458" t="str">
        <f>IF(Worksheet!AK458="","",Worksheet!AK458)</f>
        <v/>
      </c>
    </row>
    <row r="459" spans="5:16" x14ac:dyDescent="0.25">
      <c r="E459" s="2"/>
      <c r="J459" t="str">
        <f>Worksheet!C459&amp;" "&amp;Worksheet!B459</f>
        <v>Patrick Matthys</v>
      </c>
      <c r="K459" t="str">
        <f>IF(Worksheet!P459&lt;&gt;"",Worksheet!P459,IF(Worksheet!R459&lt;&gt;"",Worksheet!R459,IF(Worksheet!T459&lt;&gt;"",Worksheet!T459,"")))</f>
        <v/>
      </c>
      <c r="L459" t="str">
        <f>IF(AND(Worksheet!V459&lt;&gt;"",Worksheet!V459&lt;&gt;0),Worksheet!V459&amp;"",IF(AND(Worksheet!X459&lt;&gt;"",Worksheet!X459&lt;&gt;0),Worksheet!X459&amp;"",IF(AND(Worksheet!Z459&lt;&gt;"",Worksheet!Z459&lt;&gt;0),Worksheet!Z459&amp;"","")))</f>
        <v>320475330345</v>
      </c>
      <c r="M459" t="str">
        <f>IF(Worksheet!AE459="","",Worksheet!AE459)</f>
        <v/>
      </c>
      <c r="N459">
        <f>IF(Worksheet!AG459="","",Worksheet!AG459)</f>
        <v>100834</v>
      </c>
      <c r="O459" t="str">
        <f>IF(Worksheet!AJ459="","",Worksheet!AJ459)</f>
        <v>HSE A Haantjes Certifisc Oudenaarde</v>
      </c>
      <c r="P459" t="str">
        <f>IF(Worksheet!AK459="","",Worksheet!AK459)</f>
        <v>Ploegverantwoordelijke</v>
      </c>
    </row>
    <row r="460" spans="5:16" x14ac:dyDescent="0.25">
      <c r="E460" s="2"/>
      <c r="J460" t="str">
        <f>Worksheet!C460&amp;" "&amp;Worksheet!B460</f>
        <v>Steppe Matthys</v>
      </c>
      <c r="K460" t="str">
        <f>IF(Worksheet!P460&lt;&gt;"",Worksheet!P460,IF(Worksheet!R460&lt;&gt;"",Worksheet!R460,IF(Worksheet!T460&lt;&gt;"",Worksheet!T460,"")))</f>
        <v/>
      </c>
      <c r="L460" t="str">
        <f>IF(AND(Worksheet!V460&lt;&gt;"",Worksheet!V460&lt;&gt;0),Worksheet!V460&amp;"",IF(AND(Worksheet!X460&lt;&gt;"",Worksheet!X460&lt;&gt;0),Worksheet!X460&amp;"",IF(AND(Worksheet!Z460&lt;&gt;"",Worksheet!Z460&lt;&gt;0),Worksheet!Z460&amp;"","")))</f>
        <v>0468429871</v>
      </c>
      <c r="M460" t="str">
        <f>IF(Worksheet!AE460="","",Worksheet!AE460)</f>
        <v>https://app.twizzit.com/public/photos/10488364/s/177c95b9932dcdda23e09eda7b0298c34ca94551.jpeg</v>
      </c>
      <c r="N460" t="str">
        <f>IF(Worksheet!AG460="","",Worksheet!AG460)</f>
        <v/>
      </c>
      <c r="O460" t="str">
        <f>IF(Worksheet!AJ460="","",Worksheet!AJ460)</f>
        <v>G14 B Haantjes CERTIFISC Oudenaarde</v>
      </c>
      <c r="P460" t="str">
        <f>IF(Worksheet!AK460="","",Worksheet!AK460)</f>
        <v>Speler</v>
      </c>
    </row>
    <row r="461" spans="5:16" x14ac:dyDescent="0.25">
      <c r="E461" s="2"/>
      <c r="J461" t="str">
        <f>Worksheet!C461&amp;" "&amp;Worksheet!B461</f>
        <v>Steppe Matthys</v>
      </c>
      <c r="K461" t="str">
        <f>IF(Worksheet!P461&lt;&gt;"",Worksheet!P461,IF(Worksheet!R461&lt;&gt;"",Worksheet!R461,IF(Worksheet!T461&lt;&gt;"",Worksheet!T461,"")))</f>
        <v/>
      </c>
      <c r="L461" t="str">
        <f>IF(AND(Worksheet!V461&lt;&gt;"",Worksheet!V461&lt;&gt;0),Worksheet!V461&amp;"",IF(AND(Worksheet!X461&lt;&gt;"",Worksheet!X461&lt;&gt;0),Worksheet!X461&amp;"",IF(AND(Worksheet!Z461&lt;&gt;"",Worksheet!Z461&lt;&gt;0),Worksheet!Z461&amp;"","")))</f>
        <v>0468429871</v>
      </c>
      <c r="M461" t="str">
        <f>IF(Worksheet!AE461="","",Worksheet!AE461)</f>
        <v>https://app.twizzit.com/public/photos/10488364/s/177c95b9932dcdda23e09eda7b0298c34ca94551.jpeg</v>
      </c>
      <c r="N461" t="str">
        <f>IF(Worksheet!AG461="","",Worksheet!AG461)</f>
        <v/>
      </c>
      <c r="O461" t="str">
        <f>IF(Worksheet!AJ461="","",Worksheet!AJ461)</f>
        <v>Zomerstage 2026 (Blankenberge)</v>
      </c>
      <c r="P461" t="str">
        <f>IF(Worksheet!AK461="","",Worksheet!AK461)</f>
        <v>Speler</v>
      </c>
    </row>
    <row r="462" spans="5:16" x14ac:dyDescent="0.25">
      <c r="E462" s="2"/>
      <c r="J462" t="str">
        <f>Worksheet!C462&amp;" "&amp;Worksheet!B462</f>
        <v>Bleys Maxime</v>
      </c>
      <c r="K462" t="str">
        <f>IF(Worksheet!P462&lt;&gt;"",Worksheet!P462,IF(Worksheet!R462&lt;&gt;"",Worksheet!R462,IF(Worksheet!T462&lt;&gt;"",Worksheet!T462,"")))</f>
        <v/>
      </c>
      <c r="L462" t="str">
        <f>IF(AND(Worksheet!V462&lt;&gt;"",Worksheet!V462&lt;&gt;0),Worksheet!V462&amp;"",IF(AND(Worksheet!X462&lt;&gt;"",Worksheet!X462&lt;&gt;0),Worksheet!X462&amp;"",IF(AND(Worksheet!Z462&lt;&gt;"",Worksheet!Z462&lt;&gt;0),Worksheet!Z462&amp;"","")))</f>
        <v>0495940240</v>
      </c>
      <c r="M462" t="str">
        <f>IF(Worksheet!AE462="","",Worksheet!AE462)</f>
        <v/>
      </c>
      <c r="N462">
        <f>IF(Worksheet!AG462="","",Worksheet!AG462)</f>
        <v>661314</v>
      </c>
      <c r="O462" t="str">
        <f>IF(Worksheet!AJ462="","",Worksheet!AJ462)</f>
        <v>HSE A Haantjes Certifisc Oudenaarde</v>
      </c>
      <c r="P462" t="str">
        <f>IF(Worksheet!AK462="","",Worksheet!AK462)</f>
        <v>Speler</v>
      </c>
    </row>
    <row r="463" spans="5:16" x14ac:dyDescent="0.25">
      <c r="E463" s="2"/>
      <c r="J463" t="str">
        <f>Worksheet!C463&amp;" "&amp;Worksheet!B463</f>
        <v>Joris Mechant</v>
      </c>
      <c r="K463" t="str">
        <f>IF(Worksheet!P463&lt;&gt;"",Worksheet!P463,IF(Worksheet!R463&lt;&gt;"",Worksheet!R463,IF(Worksheet!T463&lt;&gt;"",Worksheet!T463,"")))</f>
        <v>jme@cretes.be</v>
      </c>
      <c r="L463" t="str">
        <f>IF(AND(Worksheet!V463&lt;&gt;"",Worksheet!V463&lt;&gt;0),Worksheet!V463&amp;"",IF(AND(Worksheet!X463&lt;&gt;"",Worksheet!X463&lt;&gt;0),Worksheet!X463&amp;"",IF(AND(Worksheet!Z463&lt;&gt;"",Worksheet!Z463&lt;&gt;0),Worksheet!Z463&amp;"","")))</f>
        <v/>
      </c>
      <c r="M463" t="str">
        <f>IF(Worksheet!AE463="","",Worksheet!AE463)</f>
        <v/>
      </c>
      <c r="N463">
        <f>IF(Worksheet!AG463="","",Worksheet!AG463)</f>
        <v>671215</v>
      </c>
      <c r="O463" t="str">
        <f>IF(Worksheet!AJ463="","",Worksheet!AJ463)</f>
        <v/>
      </c>
      <c r="P463" t="str">
        <f>IF(Worksheet!AK463="","",Worksheet!AK463)</f>
        <v/>
      </c>
    </row>
    <row r="464" spans="5:16" x14ac:dyDescent="0.25">
      <c r="E464" s="2"/>
      <c r="J464" t="str">
        <f>Worksheet!C464&amp;" "&amp;Worksheet!B464</f>
        <v>Joris Mechant</v>
      </c>
      <c r="K464" t="str">
        <f>IF(Worksheet!P464&lt;&gt;"",Worksheet!P464,IF(Worksheet!R464&lt;&gt;"",Worksheet!R464,IF(Worksheet!T464&lt;&gt;"",Worksheet!T464,"")))</f>
        <v>jme@cretes.be</v>
      </c>
      <c r="L464" t="str">
        <f>IF(AND(Worksheet!V464&lt;&gt;"",Worksheet!V464&lt;&gt;0),Worksheet!V464&amp;"",IF(AND(Worksheet!X464&lt;&gt;"",Worksheet!X464&lt;&gt;0),Worksheet!X464&amp;"",IF(AND(Worksheet!Z464&lt;&gt;"",Worksheet!Z464&lt;&gt;0),Worksheet!Z464&amp;"","")))</f>
        <v/>
      </c>
      <c r="M464" t="str">
        <f>IF(Worksheet!AE464="","",Worksheet!AE464)</f>
        <v/>
      </c>
      <c r="N464">
        <f>IF(Worksheet!AG464="","",Worksheet!AG464)</f>
        <v>671215</v>
      </c>
      <c r="O464" t="str">
        <f>IF(Worksheet!AJ464="","",Worksheet!AJ464)</f>
        <v/>
      </c>
      <c r="P464" t="str">
        <f>IF(Worksheet!AK464="","",Worksheet!AK464)</f>
        <v/>
      </c>
    </row>
    <row r="465" spans="5:16" x14ac:dyDescent="0.25">
      <c r="E465" s="2"/>
      <c r="J465" t="str">
        <f>Worksheet!C465&amp;" "&amp;Worksheet!B465</f>
        <v>Joris Mechant</v>
      </c>
      <c r="K465" t="str">
        <f>IF(Worksheet!P465&lt;&gt;"",Worksheet!P465,IF(Worksheet!R465&lt;&gt;"",Worksheet!R465,IF(Worksheet!T465&lt;&gt;"",Worksheet!T465,"")))</f>
        <v>jme@cretes.be</v>
      </c>
      <c r="L465" t="str">
        <f>IF(AND(Worksheet!V465&lt;&gt;"",Worksheet!V465&lt;&gt;0),Worksheet!V465&amp;"",IF(AND(Worksheet!X465&lt;&gt;"",Worksheet!X465&lt;&gt;0),Worksheet!X465&amp;"",IF(AND(Worksheet!Z465&lt;&gt;"",Worksheet!Z465&lt;&gt;0),Worksheet!Z465&amp;"","")))</f>
        <v/>
      </c>
      <c r="M465" t="str">
        <f>IF(Worksheet!AE465="","",Worksheet!AE465)</f>
        <v/>
      </c>
      <c r="N465">
        <f>IF(Worksheet!AG465="","",Worksheet!AG465)</f>
        <v>671215</v>
      </c>
      <c r="O465" t="str">
        <f>IF(Worksheet!AJ465="","",Worksheet!AJ465)</f>
        <v/>
      </c>
      <c r="P465" t="str">
        <f>IF(Worksheet!AK465="","",Worksheet!AK465)</f>
        <v/>
      </c>
    </row>
    <row r="466" spans="5:16" x14ac:dyDescent="0.25">
      <c r="E466" s="2"/>
      <c r="J466" t="str">
        <f>Worksheet!C466&amp;" "&amp;Worksheet!B466</f>
        <v>Marte Mechant</v>
      </c>
      <c r="K466" t="str">
        <f>IF(Worksheet!P466&lt;&gt;"",Worksheet!P466,IF(Worksheet!R466&lt;&gt;"",Worksheet!R466,IF(Worksheet!T466&lt;&gt;"",Worksheet!T466,"")))</f>
        <v>jme.basket@telenet.be</v>
      </c>
      <c r="L466" t="str">
        <f>IF(AND(Worksheet!V466&lt;&gt;"",Worksheet!V466&lt;&gt;0),Worksheet!V466&amp;"",IF(AND(Worksheet!X466&lt;&gt;"",Worksheet!X466&lt;&gt;0),Worksheet!X466&amp;"",IF(AND(Worksheet!Z466&lt;&gt;"",Worksheet!Z466&lt;&gt;0),Worksheet!Z466&amp;"","")))</f>
        <v>32470449365</v>
      </c>
      <c r="M466" t="str">
        <f>IF(Worksheet!AE466="","",Worksheet!AE466)</f>
        <v/>
      </c>
      <c r="N466">
        <f>IF(Worksheet!AG466="","",Worksheet!AG466)</f>
        <v>665060</v>
      </c>
      <c r="O466" t="str">
        <f>IF(Worksheet!AJ466="","",Worksheet!AJ466)</f>
        <v>G10 Blauw HAANTJES CERTIFISC OUDENAARDE</v>
      </c>
      <c r="P466" t="str">
        <f>IF(Worksheet!AK466="","",Worksheet!AK466)</f>
        <v>Coach</v>
      </c>
    </row>
    <row r="467" spans="5:16" x14ac:dyDescent="0.25">
      <c r="E467" s="2"/>
      <c r="J467" t="str">
        <f>Worksheet!C467&amp;" "&amp;Worksheet!B467</f>
        <v>Simon Meerpoel</v>
      </c>
      <c r="K467" t="str">
        <f>IF(Worksheet!P467&lt;&gt;"",Worksheet!P467,IF(Worksheet!R467&lt;&gt;"",Worksheet!R467,IF(Worksheet!T467&lt;&gt;"",Worksheet!T467,"")))</f>
        <v>eric.meerpoel@telenet.be</v>
      </c>
      <c r="L467" t="str">
        <f>IF(AND(Worksheet!V467&lt;&gt;"",Worksheet!V467&lt;&gt;0),Worksheet!V467&amp;"",IF(AND(Worksheet!X467&lt;&gt;"",Worksheet!X467&lt;&gt;0),Worksheet!X467&amp;"",IF(AND(Worksheet!Z467&lt;&gt;"",Worksheet!Z467&lt;&gt;0),Worksheet!Z467&amp;"","")))</f>
        <v/>
      </c>
      <c r="M467" t="str">
        <f>IF(Worksheet!AE467="","",Worksheet!AE467)</f>
        <v/>
      </c>
      <c r="N467">
        <f>IF(Worksheet!AG467="","",Worksheet!AG467)</f>
        <v>644105</v>
      </c>
      <c r="O467" t="str">
        <f>IF(Worksheet!AJ467="","",Worksheet!AJ467)</f>
        <v/>
      </c>
      <c r="P467" t="str">
        <f>IF(Worksheet!AK467="","",Worksheet!AK467)</f>
        <v/>
      </c>
    </row>
    <row r="468" spans="5:16" x14ac:dyDescent="0.25">
      <c r="E468" s="2"/>
      <c r="J468" t="str">
        <f>Worksheet!C468&amp;" "&amp;Worksheet!B468</f>
        <v>Cezar Mees</v>
      </c>
      <c r="K468" t="str">
        <f>IF(Worksheet!P468&lt;&gt;"",Worksheet!P468,IF(Worksheet!R468&lt;&gt;"",Worksheet!R468,IF(Worksheet!T468&lt;&gt;"",Worksheet!T468,"")))</f>
        <v/>
      </c>
      <c r="L468" t="str">
        <f>IF(AND(Worksheet!V468&lt;&gt;"",Worksheet!V468&lt;&gt;0),Worksheet!V468&amp;"",IF(AND(Worksheet!X468&lt;&gt;"",Worksheet!X468&lt;&gt;0),Worksheet!X468&amp;"",IF(AND(Worksheet!Z468&lt;&gt;"",Worksheet!Z468&lt;&gt;0),Worksheet!Z468&amp;"","")))</f>
        <v>0474721420</v>
      </c>
      <c r="M468" t="str">
        <f>IF(Worksheet!AE468="","",Worksheet!AE468)</f>
        <v>https://app.twizzit.com/public/photos/3436128/s/3f658dce803d1d860ec8c7dcfee63c3e63f8aeae.png</v>
      </c>
      <c r="N468" t="str">
        <f>IF(Worksheet!AG468="","",Worksheet!AG468)</f>
        <v/>
      </c>
      <c r="O468" t="str">
        <f>IF(Worksheet!AJ468="","",Worksheet!AJ468)</f>
        <v/>
      </c>
      <c r="P468" t="str">
        <f>IF(Worksheet!AK468="","",Worksheet!AK468)</f>
        <v/>
      </c>
    </row>
    <row r="469" spans="5:16" x14ac:dyDescent="0.25">
      <c r="E469" s="2"/>
      <c r="J469" t="str">
        <f>Worksheet!C469&amp;" "&amp;Worksheet!B469</f>
        <v>Jakob Mees</v>
      </c>
      <c r="K469" t="str">
        <f>IF(Worksheet!P469&lt;&gt;"",Worksheet!P469,IF(Worksheet!R469&lt;&gt;"",Worksheet!R469,IF(Worksheet!T469&lt;&gt;"",Worksheet!T469,"")))</f>
        <v>gillesmees@hotmail.com</v>
      </c>
      <c r="L469" t="str">
        <f>IF(AND(Worksheet!V469&lt;&gt;"",Worksheet!V469&lt;&gt;0),Worksheet!V469&amp;"",IF(AND(Worksheet!X469&lt;&gt;"",Worksheet!X469&lt;&gt;0),Worksheet!X469&amp;"",IF(AND(Worksheet!Z469&lt;&gt;"",Worksheet!Z469&lt;&gt;0),Worksheet!Z469&amp;"","")))</f>
        <v>474721420</v>
      </c>
      <c r="M469" t="str">
        <f>IF(Worksheet!AE469="","",Worksheet!AE469)</f>
        <v/>
      </c>
      <c r="N469">
        <f>IF(Worksheet!AG469="","",Worksheet!AG469)</f>
        <v>742176</v>
      </c>
      <c r="O469" t="str">
        <f>IF(Worksheet!AJ469="","",Worksheet!AJ469)</f>
        <v/>
      </c>
      <c r="P469" t="str">
        <f>IF(Worksheet!AK469="","",Worksheet!AK469)</f>
        <v/>
      </c>
    </row>
    <row r="470" spans="5:16" x14ac:dyDescent="0.25">
      <c r="E470" s="2"/>
      <c r="J470" t="str">
        <f>Worksheet!C470&amp;" "&amp;Worksheet!B470</f>
        <v>Kasper Mees</v>
      </c>
      <c r="K470" t="str">
        <f>IF(Worksheet!P470&lt;&gt;"",Worksheet!P470,IF(Worksheet!R470&lt;&gt;"",Worksheet!R470,IF(Worksheet!T470&lt;&gt;"",Worksheet!T470,"")))</f>
        <v/>
      </c>
      <c r="L470" t="str">
        <f>IF(AND(Worksheet!V470&lt;&gt;"",Worksheet!V470&lt;&gt;0),Worksheet!V470&amp;"",IF(AND(Worksheet!X470&lt;&gt;"",Worksheet!X470&lt;&gt;0),Worksheet!X470&amp;"",IF(AND(Worksheet!Z470&lt;&gt;"",Worksheet!Z470&lt;&gt;0),Worksheet!Z470&amp;"","")))</f>
        <v>474721420</v>
      </c>
      <c r="M470" t="str">
        <f>IF(Worksheet!AE470="","",Worksheet!AE470)</f>
        <v>https://app.twizzit.com/public/photos/2183112/s/07942e4161d7a20864d1fbcf54b9a6dda331637e.png</v>
      </c>
      <c r="N470">
        <f>IF(Worksheet!AG470="","",Worksheet!AG470)</f>
        <v>732219</v>
      </c>
      <c r="O470" t="str">
        <f>IF(Worksheet!AJ470="","",Worksheet!AJ470)</f>
        <v>J16 A Haantjes CERTIFISC Oudenaarde</v>
      </c>
      <c r="P470" t="str">
        <f>IF(Worksheet!AK470="","",Worksheet!AK470)</f>
        <v>Speler</v>
      </c>
    </row>
    <row r="471" spans="5:16" x14ac:dyDescent="0.25">
      <c r="E471" s="2"/>
      <c r="J471" t="str">
        <f>Worksheet!C471&amp;" "&amp;Worksheet!B471</f>
        <v>Kasper Mees</v>
      </c>
      <c r="K471" t="str">
        <f>IF(Worksheet!P471&lt;&gt;"",Worksheet!P471,IF(Worksheet!R471&lt;&gt;"",Worksheet!R471,IF(Worksheet!T471&lt;&gt;"",Worksheet!T471,"")))</f>
        <v/>
      </c>
      <c r="L471" t="str">
        <f>IF(AND(Worksheet!V471&lt;&gt;"",Worksheet!V471&lt;&gt;0),Worksheet!V471&amp;"",IF(AND(Worksheet!X471&lt;&gt;"",Worksheet!X471&lt;&gt;0),Worksheet!X471&amp;"",IF(AND(Worksheet!Z471&lt;&gt;"",Worksheet!Z471&lt;&gt;0),Worksheet!Z471&amp;"","")))</f>
        <v>474721420</v>
      </c>
      <c r="M471" t="str">
        <f>IF(Worksheet!AE471="","",Worksheet!AE471)</f>
        <v>https://app.twizzit.com/public/photos/2183112/s/07942e4161d7a20864d1fbcf54b9a6dda331637e.png</v>
      </c>
      <c r="N471">
        <f>IF(Worksheet!AG471="","",Worksheet!AG471)</f>
        <v>732219</v>
      </c>
      <c r="O471" t="str">
        <f>IF(Worksheet!AJ471="","",Worksheet!AJ471)</f>
        <v>Zomerstage 2026 (Blankenberge)</v>
      </c>
      <c r="P471" t="str">
        <f>IF(Worksheet!AK471="","",Worksheet!AK471)</f>
        <v>Speler</v>
      </c>
    </row>
    <row r="472" spans="5:16" x14ac:dyDescent="0.25">
      <c r="E472" s="2"/>
      <c r="J472" t="str">
        <f>Worksheet!C472&amp;" "&amp;Worksheet!B472</f>
        <v>Jayson Melis</v>
      </c>
      <c r="K472" t="str">
        <f>IF(Worksheet!P472&lt;&gt;"",Worksheet!P472,IF(Worksheet!R472&lt;&gt;"",Worksheet!R472,IF(Worksheet!T472&lt;&gt;"",Worksheet!T472,"")))</f>
        <v/>
      </c>
      <c r="L472" t="str">
        <f>IF(AND(Worksheet!V472&lt;&gt;"",Worksheet!V472&lt;&gt;0),Worksheet!V472&amp;"",IF(AND(Worksheet!X472&lt;&gt;"",Worksheet!X472&lt;&gt;0),Worksheet!X472&amp;"",IF(AND(Worksheet!Z472&lt;&gt;"",Worksheet!Z472&lt;&gt;0),Worksheet!Z472&amp;"","")))</f>
        <v>0495300478</v>
      </c>
      <c r="M472" t="str">
        <f>IF(Worksheet!AE472="","",Worksheet!AE472)</f>
        <v/>
      </c>
      <c r="N472">
        <f>IF(Worksheet!AG472="","",Worksheet!AG472)</f>
        <v>626275</v>
      </c>
      <c r="O472" t="str">
        <f>IF(Worksheet!AJ472="","",Worksheet!AJ472)</f>
        <v/>
      </c>
      <c r="P472" t="str">
        <f>IF(Worksheet!AK472="","",Worksheet!AK472)</f>
        <v/>
      </c>
    </row>
    <row r="473" spans="5:16" x14ac:dyDescent="0.25">
      <c r="E473" s="2"/>
      <c r="J473" t="str">
        <f>Worksheet!C473&amp;" "&amp;Worksheet!B473</f>
        <v>Aureel Melsens</v>
      </c>
      <c r="K473" t="str">
        <f>IF(Worksheet!P473&lt;&gt;"",Worksheet!P473,IF(Worksheet!R473&lt;&gt;"",Worksheet!R473,IF(Worksheet!T473&lt;&gt;"",Worksheet!T473,"")))</f>
        <v>lieven.melsens@gmail.com</v>
      </c>
      <c r="L473" t="str">
        <f>IF(AND(Worksheet!V473&lt;&gt;"",Worksheet!V473&lt;&gt;0),Worksheet!V473&amp;"",IF(AND(Worksheet!X473&lt;&gt;"",Worksheet!X473&lt;&gt;0),Worksheet!X473&amp;"",IF(AND(Worksheet!Z473&lt;&gt;"",Worksheet!Z473&lt;&gt;0),Worksheet!Z473&amp;"","")))</f>
        <v>0496392510</v>
      </c>
      <c r="M473" t="str">
        <f>IF(Worksheet!AE473="","",Worksheet!AE473)</f>
        <v/>
      </c>
      <c r="N473" t="str">
        <f>IF(Worksheet!AG473="","",Worksheet!AG473)</f>
        <v/>
      </c>
      <c r="O473" t="str">
        <f>IF(Worksheet!AJ473="","",Worksheet!AJ473)</f>
        <v/>
      </c>
      <c r="P473" t="str">
        <f>IF(Worksheet!AK473="","",Worksheet!AK473)</f>
        <v/>
      </c>
    </row>
    <row r="474" spans="5:16" x14ac:dyDescent="0.25">
      <c r="E474" s="2"/>
      <c r="J474" t="str">
        <f>Worksheet!C474&amp;" "&amp;Worksheet!B474</f>
        <v>Juul Messeeuw</v>
      </c>
      <c r="K474" t="str">
        <f>IF(Worksheet!P474&lt;&gt;"",Worksheet!P474,IF(Worksheet!R474&lt;&gt;"",Worksheet!R474,IF(Worksheet!T474&lt;&gt;"",Worksheet!T474,"")))</f>
        <v>lynnvdwiele@hotmail.com</v>
      </c>
      <c r="L474" t="str">
        <f>IF(AND(Worksheet!V474&lt;&gt;"",Worksheet!V474&lt;&gt;0),Worksheet!V474&amp;"",IF(AND(Worksheet!X474&lt;&gt;"",Worksheet!X474&lt;&gt;0),Worksheet!X474&amp;"",IF(AND(Worksheet!Z474&lt;&gt;"",Worksheet!Z474&lt;&gt;0),Worksheet!Z474&amp;"","")))</f>
        <v>0486610793</v>
      </c>
      <c r="M474" t="str">
        <f>IF(Worksheet!AE474="","",Worksheet!AE474)</f>
        <v/>
      </c>
      <c r="N474" t="str">
        <f>IF(Worksheet!AG474="","",Worksheet!AG474)</f>
        <v/>
      </c>
      <c r="O474" t="str">
        <f>IF(Worksheet!AJ474="","",Worksheet!AJ474)</f>
        <v>G08 Blauw HAANTJES CERTIFISC OUDENAARDE</v>
      </c>
      <c r="P474" t="str">
        <f>IF(Worksheet!AK474="","",Worksheet!AK474)</f>
        <v>Speler</v>
      </c>
    </row>
    <row r="475" spans="5:16" x14ac:dyDescent="0.25">
      <c r="E475" s="2"/>
      <c r="J475" t="str">
        <f>Worksheet!C475&amp;" "&amp;Worksheet!B475</f>
        <v>Julian Moerman</v>
      </c>
      <c r="K475" t="str">
        <f>IF(Worksheet!P475&lt;&gt;"",Worksheet!P475,IF(Worksheet!R475&lt;&gt;"",Worksheet!R475,IF(Worksheet!T475&lt;&gt;"",Worksheet!T475,"")))</f>
        <v>mirkomoerman@hotmail.com</v>
      </c>
      <c r="L475" t="str">
        <f>IF(AND(Worksheet!V475&lt;&gt;"",Worksheet!V475&lt;&gt;0),Worksheet!V475&amp;"",IF(AND(Worksheet!X475&lt;&gt;"",Worksheet!X475&lt;&gt;0),Worksheet!X475&amp;"",IF(AND(Worksheet!Z475&lt;&gt;"",Worksheet!Z475&lt;&gt;0),Worksheet!Z475&amp;"","")))</f>
        <v>0495423490</v>
      </c>
      <c r="M475" t="str">
        <f>IF(Worksheet!AE475="","",Worksheet!AE475)</f>
        <v/>
      </c>
      <c r="N475" t="str">
        <f>IF(Worksheet!AG475="","",Worksheet!AG475)</f>
        <v/>
      </c>
      <c r="O475" t="str">
        <f>IF(Worksheet!AJ475="","",Worksheet!AJ475)</f>
        <v>G08 Groen HAANTJES CERTIFISC OUDENAARDE</v>
      </c>
      <c r="P475" t="str">
        <f>IF(Worksheet!AK475="","",Worksheet!AK475)</f>
        <v>Speler</v>
      </c>
    </row>
    <row r="476" spans="5:16" x14ac:dyDescent="0.25">
      <c r="E476" s="2"/>
      <c r="J476" t="str">
        <f>Worksheet!C476&amp;" "&amp;Worksheet!B476</f>
        <v>Lucas Molly</v>
      </c>
      <c r="K476" t="str">
        <f>IF(Worksheet!P476&lt;&gt;"",Worksheet!P476,IF(Worksheet!R476&lt;&gt;"",Worksheet!R476,IF(Worksheet!T476&lt;&gt;"",Worksheet!T476,"")))</f>
        <v>Molly.diederick@gmail.com</v>
      </c>
      <c r="L476" t="str">
        <f>IF(AND(Worksheet!V476&lt;&gt;"",Worksheet!V476&lt;&gt;0),Worksheet!V476&amp;"",IF(AND(Worksheet!X476&lt;&gt;"",Worksheet!X476&lt;&gt;0),Worksheet!X476&amp;"",IF(AND(Worksheet!Z476&lt;&gt;"",Worksheet!Z476&lt;&gt;0),Worksheet!Z476&amp;"","")))</f>
        <v>0494605068</v>
      </c>
      <c r="M476" t="str">
        <f>IF(Worksheet!AE476="","",Worksheet!AE476)</f>
        <v>https://app.twizzit.com/public/photos/3485821/s/5f632eac97edae595ea1c86f4260b88c5b95d8cd.jpeg</v>
      </c>
      <c r="N476" t="str">
        <f>IF(Worksheet!AG476="","",Worksheet!AG476)</f>
        <v/>
      </c>
      <c r="O476" t="str">
        <f>IF(Worksheet!AJ476="","",Worksheet!AJ476)</f>
        <v>G10 Blauw HAANTJES CERTIFISC OUDENAARDE</v>
      </c>
      <c r="P476" t="str">
        <f>IF(Worksheet!AK476="","",Worksheet!AK476)</f>
        <v>Speler</v>
      </c>
    </row>
    <row r="477" spans="5:16" x14ac:dyDescent="0.25">
      <c r="E477" s="2"/>
      <c r="J477" t="str">
        <f>Worksheet!C477&amp;" "&amp;Worksheet!B477</f>
        <v>Tiaz Molly</v>
      </c>
      <c r="K477" t="str">
        <f>IF(Worksheet!P477&lt;&gt;"",Worksheet!P477,IF(Worksheet!R477&lt;&gt;"",Worksheet!R477,IF(Worksheet!T477&lt;&gt;"",Worksheet!T477,"")))</f>
        <v>Molly.diederick@gmail.com</v>
      </c>
      <c r="L477" t="str">
        <f>IF(AND(Worksheet!V477&lt;&gt;"",Worksheet!V477&lt;&gt;0),Worksheet!V477&amp;"",IF(AND(Worksheet!X477&lt;&gt;"",Worksheet!X477&lt;&gt;0),Worksheet!X477&amp;"",IF(AND(Worksheet!Z477&lt;&gt;"",Worksheet!Z477&lt;&gt;0),Worksheet!Z477&amp;"","")))</f>
        <v>0494605068</v>
      </c>
      <c r="M477" t="str">
        <f>IF(Worksheet!AE477="","",Worksheet!AE477)</f>
        <v/>
      </c>
      <c r="N477" t="str">
        <f>IF(Worksheet!AG477="","",Worksheet!AG477)</f>
        <v/>
      </c>
      <c r="O477" t="str">
        <f>IF(Worksheet!AJ477="","",Worksheet!AJ477)</f>
        <v>Balschool U6</v>
      </c>
      <c r="P477" t="str">
        <f>IF(Worksheet!AK477="","",Worksheet!AK477)</f>
        <v>Speler</v>
      </c>
    </row>
    <row r="478" spans="5:16" x14ac:dyDescent="0.25">
      <c r="E478" s="2"/>
      <c r="J478" t="str">
        <f>Worksheet!C478&amp;" "&amp;Worksheet!B478</f>
        <v>Stijn Monseart</v>
      </c>
      <c r="K478" t="str">
        <f>IF(Worksheet!P478&lt;&gt;"",Worksheet!P478,IF(Worksheet!R478&lt;&gt;"",Worksheet!R478,IF(Worksheet!T478&lt;&gt;"",Worksheet!T478,"")))</f>
        <v/>
      </c>
      <c r="L478" t="str">
        <f>IF(AND(Worksheet!V478&lt;&gt;"",Worksheet!V478&lt;&gt;0),Worksheet!V478&amp;"",IF(AND(Worksheet!X478&lt;&gt;"",Worksheet!X478&lt;&gt;0),Worksheet!X478&amp;"",IF(AND(Worksheet!Z478&lt;&gt;"",Worksheet!Z478&lt;&gt;0),Worksheet!Z478&amp;"","")))</f>
        <v/>
      </c>
      <c r="M478" t="str">
        <f>IF(Worksheet!AE478="","",Worksheet!AE478)</f>
        <v/>
      </c>
      <c r="N478" t="str">
        <f>IF(Worksheet!AG478="","",Worksheet!AG478)</f>
        <v/>
      </c>
      <c r="O478" t="str">
        <f>IF(Worksheet!AJ478="","",Worksheet!AJ478)</f>
        <v/>
      </c>
      <c r="P478" t="str">
        <f>IF(Worksheet!AK478="","",Worksheet!AK478)</f>
        <v/>
      </c>
    </row>
    <row r="479" spans="5:16" x14ac:dyDescent="0.25">
      <c r="E479" s="2"/>
      <c r="J479" t="str">
        <f>Worksheet!C479&amp;" "&amp;Worksheet!B479</f>
        <v>Lieve Moyaert</v>
      </c>
      <c r="K479" t="str">
        <f>IF(Worksheet!P479&lt;&gt;"",Worksheet!P479,IF(Worksheet!R479&lt;&gt;"",Worksheet!R479,IF(Worksheet!T479&lt;&gt;"",Worksheet!T479,"")))</f>
        <v/>
      </c>
      <c r="L479" t="str">
        <f>IF(AND(Worksheet!V479&lt;&gt;"",Worksheet!V479&lt;&gt;0),Worksheet!V479&amp;"",IF(AND(Worksheet!X479&lt;&gt;"",Worksheet!X479&lt;&gt;0),Worksheet!X479&amp;"",IF(AND(Worksheet!Z479&lt;&gt;"",Worksheet!Z479&lt;&gt;0),Worksheet!Z479&amp;"","")))</f>
        <v>32472509246</v>
      </c>
      <c r="M479" t="str">
        <f>IF(Worksheet!AE479="","",Worksheet!AE479)</f>
        <v>https://app.twizzit.com/public/photos/10350943/s/7e37f0181937dc97132770010b15ead720b4220a.png</v>
      </c>
      <c r="N479" t="str">
        <f>IF(Worksheet!AG479="","",Worksheet!AG479)</f>
        <v/>
      </c>
      <c r="O479" t="str">
        <f>IF(Worksheet!AJ479="","",Worksheet!AJ479)</f>
        <v/>
      </c>
      <c r="P479" t="str">
        <f>IF(Worksheet!AK479="","",Worksheet!AK479)</f>
        <v/>
      </c>
    </row>
    <row r="480" spans="5:16" x14ac:dyDescent="0.25">
      <c r="E480" s="2"/>
      <c r="J480" t="str">
        <f>Worksheet!C480&amp;" "&amp;Worksheet!B480</f>
        <v>Nohaila Msili</v>
      </c>
      <c r="K480" t="str">
        <f>IF(Worksheet!P480&lt;&gt;"",Worksheet!P480,IF(Worksheet!R480&lt;&gt;"",Worksheet!R480,IF(Worksheet!T480&lt;&gt;"",Worksheet!T480,"")))</f>
        <v/>
      </c>
      <c r="L480" t="str">
        <f>IF(AND(Worksheet!V480&lt;&gt;"",Worksheet!V480&lt;&gt;0),Worksheet!V480&amp;"",IF(AND(Worksheet!X480&lt;&gt;"",Worksheet!X480&lt;&gt;0),Worksheet!X480&amp;"",IF(AND(Worksheet!Z480&lt;&gt;"",Worksheet!Z480&lt;&gt;0),Worksheet!Z480&amp;"","")))</f>
        <v>0489384856</v>
      </c>
      <c r="M480" t="str">
        <f>IF(Worksheet!AE480="","",Worksheet!AE480)</f>
        <v/>
      </c>
      <c r="N480">
        <f>IF(Worksheet!AG480="","",Worksheet!AG480)</f>
        <v>646639</v>
      </c>
      <c r="O480" t="str">
        <f>IF(Worksheet!AJ480="","",Worksheet!AJ480)</f>
        <v/>
      </c>
      <c r="P480" t="str">
        <f>IF(Worksheet!AK480="","",Worksheet!AK480)</f>
        <v/>
      </c>
    </row>
    <row r="481" spans="5:16" x14ac:dyDescent="0.25">
      <c r="E481" s="2"/>
      <c r="J481" t="str">
        <f>Worksheet!C481&amp;" "&amp;Worksheet!B481</f>
        <v>Jeremie-Matthis Mukuna-Ngongo</v>
      </c>
      <c r="K481" t="str">
        <f>IF(Worksheet!P481&lt;&gt;"",Worksheet!P481,IF(Worksheet!R481&lt;&gt;"",Worksheet!R481,IF(Worksheet!T481&lt;&gt;"",Worksheet!T481,"")))</f>
        <v>jeremiemukuna43@gmail.com</v>
      </c>
      <c r="L481" t="str">
        <f>IF(AND(Worksheet!V481&lt;&gt;"",Worksheet!V481&lt;&gt;0),Worksheet!V481&amp;"",IF(AND(Worksheet!X481&lt;&gt;"",Worksheet!X481&lt;&gt;0),Worksheet!X481&amp;"",IF(AND(Worksheet!Z481&lt;&gt;"",Worksheet!Z481&lt;&gt;0),Worksheet!Z481&amp;"","")))</f>
        <v>0468153687</v>
      </c>
      <c r="M481" t="str">
        <f>IF(Worksheet!AE481="","",Worksheet!AE481)</f>
        <v/>
      </c>
      <c r="N481" t="str">
        <f>IF(Worksheet!AG481="","",Worksheet!AG481)</f>
        <v/>
      </c>
      <c r="O481" t="str">
        <f>IF(Worksheet!AJ481="","",Worksheet!AJ481)</f>
        <v/>
      </c>
      <c r="P481" t="str">
        <f>IF(Worksheet!AK481="","",Worksheet!AK481)</f>
        <v/>
      </c>
    </row>
    <row r="482" spans="5:16" x14ac:dyDescent="0.25">
      <c r="E482" s="2"/>
      <c r="J482" t="str">
        <f>Worksheet!C482&amp;" "&amp;Worksheet!B482</f>
        <v>Omer Nachtergaele</v>
      </c>
      <c r="K482" t="str">
        <f>IF(Worksheet!P482&lt;&gt;"",Worksheet!P482,IF(Worksheet!R482&lt;&gt;"",Worksheet!R482,IF(Worksheet!T482&lt;&gt;"",Worksheet!T482,"")))</f>
        <v/>
      </c>
      <c r="L482" t="str">
        <f>IF(AND(Worksheet!V482&lt;&gt;"",Worksheet!V482&lt;&gt;0),Worksheet!V482&amp;"",IF(AND(Worksheet!X482&lt;&gt;"",Worksheet!X482&lt;&gt;0),Worksheet!X482&amp;"",IF(AND(Worksheet!Z482&lt;&gt;"",Worksheet!Z482&lt;&gt;0),Worksheet!Z482&amp;"","")))</f>
        <v>486032155</v>
      </c>
      <c r="M482" t="str">
        <f>IF(Worksheet!AE482="","",Worksheet!AE482)</f>
        <v>https://app.twizzit.com/public/photos/3526587/s/d9cd2de281e5d48997de87a634d3e25b996ae478.png</v>
      </c>
      <c r="N482" t="str">
        <f>IF(Worksheet!AG482="","",Worksheet!AG482)</f>
        <v/>
      </c>
      <c r="O482" t="str">
        <f>IF(Worksheet!AJ482="","",Worksheet!AJ482)</f>
        <v>G12 Blauw HAANTJES CERTIFISC OUDENAARDE</v>
      </c>
      <c r="P482" t="str">
        <f>IF(Worksheet!AK482="","",Worksheet!AK482)</f>
        <v>Speler</v>
      </c>
    </row>
    <row r="483" spans="5:16" x14ac:dyDescent="0.25">
      <c r="E483" s="2"/>
      <c r="J483" t="str">
        <f>Worksheet!C483&amp;" "&amp;Worksheet!B483</f>
        <v>Rover Naessens</v>
      </c>
      <c r="K483" t="str">
        <f>IF(Worksheet!P483&lt;&gt;"",Worksheet!P483,IF(Worksheet!R483&lt;&gt;"",Worksheet!R483,IF(Worksheet!T483&lt;&gt;"",Worksheet!T483,"")))</f>
        <v>deesnaessens@hotmail.com</v>
      </c>
      <c r="L483" t="str">
        <f>IF(AND(Worksheet!V483&lt;&gt;"",Worksheet!V483&lt;&gt;0),Worksheet!V483&amp;"",IF(AND(Worksheet!X483&lt;&gt;"",Worksheet!X483&lt;&gt;0),Worksheet!X483&amp;"",IF(AND(Worksheet!Z483&lt;&gt;"",Worksheet!Z483&lt;&gt;0),Worksheet!Z483&amp;"","")))</f>
        <v>0495844733</v>
      </c>
      <c r="M483" t="str">
        <f>IF(Worksheet!AE483="","",Worksheet!AE483)</f>
        <v>https://app.twizzit.com/public/photos/7328405/s/a238a3bac0fa83cb173f769b5ce64dd7bdebab6d.jpeg</v>
      </c>
      <c r="N483" t="str">
        <f>IF(Worksheet!AG483="","",Worksheet!AG483)</f>
        <v/>
      </c>
      <c r="O483" t="str">
        <f>IF(Worksheet!AJ483="","",Worksheet!AJ483)</f>
        <v>G08 Blauw HAANTJES CERTIFISC OUDENAARDE</v>
      </c>
      <c r="P483" t="str">
        <f>IF(Worksheet!AK483="","",Worksheet!AK483)</f>
        <v>Speler</v>
      </c>
    </row>
    <row r="484" spans="5:16" x14ac:dyDescent="0.25">
      <c r="E484" s="2"/>
      <c r="J484" t="str">
        <f>Worksheet!C484&amp;" "&amp;Worksheet!B484</f>
        <v>Rover Naessens</v>
      </c>
      <c r="K484" t="str">
        <f>IF(Worksheet!P484&lt;&gt;"",Worksheet!P484,IF(Worksheet!R484&lt;&gt;"",Worksheet!R484,IF(Worksheet!T484&lt;&gt;"",Worksheet!T484,"")))</f>
        <v>deesnaessens@hotmail.com</v>
      </c>
      <c r="L484" t="str">
        <f>IF(AND(Worksheet!V484&lt;&gt;"",Worksheet!V484&lt;&gt;0),Worksheet!V484&amp;"",IF(AND(Worksheet!X484&lt;&gt;"",Worksheet!X484&lt;&gt;0),Worksheet!X484&amp;"",IF(AND(Worksheet!Z484&lt;&gt;"",Worksheet!Z484&lt;&gt;0),Worksheet!Z484&amp;"","")))</f>
        <v>0495844733</v>
      </c>
      <c r="M484" t="str">
        <f>IF(Worksheet!AE484="","",Worksheet!AE484)</f>
        <v>https://app.twizzit.com/public/photos/7328405/s/a238a3bac0fa83cb173f769b5ce64dd7bdebab6d.jpeg</v>
      </c>
      <c r="N484" t="str">
        <f>IF(Worksheet!AG484="","",Worksheet!AG484)</f>
        <v/>
      </c>
      <c r="O484" t="str">
        <f>IF(Worksheet!AJ484="","",Worksheet!AJ484)</f>
        <v>Zomerstage 2026 U8 (Oudenaarde)</v>
      </c>
      <c r="P484" t="str">
        <f>IF(Worksheet!AK484="","",Worksheet!AK484)</f>
        <v>Speler</v>
      </c>
    </row>
    <row r="485" spans="5:16" x14ac:dyDescent="0.25">
      <c r="E485" s="2"/>
      <c r="J485" t="str">
        <f>Worksheet!C485&amp;" "&amp;Worksheet!B485</f>
        <v>Jean-Reno Neyrinck</v>
      </c>
      <c r="K485" t="str">
        <f>IF(Worksheet!P485&lt;&gt;"",Worksheet!P485,IF(Worksheet!R485&lt;&gt;"",Worksheet!R485,IF(Worksheet!T485&lt;&gt;"",Worksheet!T485,"")))</f>
        <v/>
      </c>
      <c r="L485" t="str">
        <f>IF(AND(Worksheet!V485&lt;&gt;"",Worksheet!V485&lt;&gt;0),Worksheet!V485&amp;"",IF(AND(Worksheet!X485&lt;&gt;"",Worksheet!X485&lt;&gt;0),Worksheet!X485&amp;"",IF(AND(Worksheet!Z485&lt;&gt;"",Worksheet!Z485&lt;&gt;0),Worksheet!Z485&amp;"","")))</f>
        <v>474078109</v>
      </c>
      <c r="M485" t="str">
        <f>IF(Worksheet!AE485="","",Worksheet!AE485)</f>
        <v>https://app.twizzit.com/public/photos/3543437/s/4b4d34aba7c38171a5f39885d89d2a702bb4c5c8.jpeg</v>
      </c>
      <c r="N485" t="str">
        <f>IF(Worksheet!AG485="","",Worksheet!AG485)</f>
        <v/>
      </c>
      <c r="O485" t="str">
        <f>IF(Worksheet!AJ485="","",Worksheet!AJ485)</f>
        <v>J16 B Haantjes CERTIFISC Oudenaarde</v>
      </c>
      <c r="P485" t="str">
        <f>IF(Worksheet!AK485="","",Worksheet!AK485)</f>
        <v>Speler</v>
      </c>
    </row>
    <row r="486" spans="5:16" x14ac:dyDescent="0.25">
      <c r="E486" s="2"/>
      <c r="J486" t="str">
        <f>Worksheet!C486&amp;" "&amp;Worksheet!B486</f>
        <v>Sky Norman Broekaert</v>
      </c>
      <c r="K486" t="str">
        <f>IF(Worksheet!P486&lt;&gt;"",Worksheet!P486,IF(Worksheet!R486&lt;&gt;"",Worksheet!R486,IF(Worksheet!T486&lt;&gt;"",Worksheet!T486,"")))</f>
        <v>broekaert.geert@gmail.Com</v>
      </c>
      <c r="L486" t="str">
        <f>IF(AND(Worksheet!V486&lt;&gt;"",Worksheet!V486&lt;&gt;0),Worksheet!V486&amp;"",IF(AND(Worksheet!X486&lt;&gt;"",Worksheet!X486&lt;&gt;0),Worksheet!X486&amp;"",IF(AND(Worksheet!Z486&lt;&gt;"",Worksheet!Z486&lt;&gt;0),Worksheet!Z486&amp;"","")))</f>
        <v>0473217678</v>
      </c>
      <c r="M486" t="str">
        <f>IF(Worksheet!AE486="","",Worksheet!AE486)</f>
        <v>https://app.twizzit.com/public/photos/4496871/s/16aa6bee5abb15fe43b03f1b23b2f50719423069.png</v>
      </c>
      <c r="N486" t="str">
        <f>IF(Worksheet!AG486="","",Worksheet!AG486)</f>
        <v/>
      </c>
      <c r="O486" t="str">
        <f>IF(Worksheet!AJ486="","",Worksheet!AJ486)</f>
        <v/>
      </c>
      <c r="P486" t="str">
        <f>IF(Worksheet!AK486="","",Worksheet!AK486)</f>
        <v/>
      </c>
    </row>
    <row r="487" spans="5:16" x14ac:dyDescent="0.25">
      <c r="E487" s="2"/>
      <c r="J487" t="str">
        <f>Worksheet!C487&amp;" "&amp;Worksheet!B487</f>
        <v>George O'Reilly</v>
      </c>
      <c r="K487" t="str">
        <f>IF(Worksheet!P487&lt;&gt;"",Worksheet!P487,IF(Worksheet!R487&lt;&gt;"",Worksheet!R487,IF(Worksheet!T487&lt;&gt;"",Worksheet!T487,"")))</f>
        <v>danieloreilly22@yahoo.ie</v>
      </c>
      <c r="L487" t="str">
        <f>IF(AND(Worksheet!V487&lt;&gt;"",Worksheet!V487&lt;&gt;0),Worksheet!V487&amp;"",IF(AND(Worksheet!X487&lt;&gt;"",Worksheet!X487&lt;&gt;0),Worksheet!X487&amp;"",IF(AND(Worksheet!Z487&lt;&gt;"",Worksheet!Z487&lt;&gt;0),Worksheet!Z487&amp;"","")))</f>
        <v>0494886713</v>
      </c>
      <c r="M487" t="str">
        <f>IF(Worksheet!AE487="","",Worksheet!AE487)</f>
        <v/>
      </c>
      <c r="N487" t="str">
        <f>IF(Worksheet!AG487="","",Worksheet!AG487)</f>
        <v/>
      </c>
      <c r="O487" t="str">
        <f>IF(Worksheet!AJ487="","",Worksheet!AJ487)</f>
        <v>G08 Groen HAANTJES CERTIFISC OUDENAARDE</v>
      </c>
      <c r="P487" t="str">
        <f>IF(Worksheet!AK487="","",Worksheet!AK487)</f>
        <v>Speler</v>
      </c>
    </row>
    <row r="488" spans="5:16" x14ac:dyDescent="0.25">
      <c r="E488" s="2"/>
      <c r="J488" t="str">
        <f>Worksheet!C488&amp;" "&amp;Worksheet!B488</f>
        <v>Achilles Oosterlynck</v>
      </c>
      <c r="K488" t="str">
        <f>IF(Worksheet!P488&lt;&gt;"",Worksheet!P488,IF(Worksheet!R488&lt;&gt;"",Worksheet!R488,IF(Worksheet!T488&lt;&gt;"",Worksheet!T488,"")))</f>
        <v/>
      </c>
      <c r="L488" t="str">
        <f>IF(AND(Worksheet!V488&lt;&gt;"",Worksheet!V488&lt;&gt;0),Worksheet!V488&amp;"",IF(AND(Worksheet!X488&lt;&gt;"",Worksheet!X488&lt;&gt;0),Worksheet!X488&amp;"",IF(AND(Worksheet!Z488&lt;&gt;"",Worksheet!Z488&lt;&gt;0),Worksheet!Z488&amp;"","")))</f>
        <v>477290847</v>
      </c>
      <c r="M488" t="str">
        <f>IF(Worksheet!AE488="","",Worksheet!AE488)</f>
        <v/>
      </c>
      <c r="N488" t="str">
        <f>IF(Worksheet!AG488="","",Worksheet!AG488)</f>
        <v/>
      </c>
      <c r="O488" t="str">
        <f>IF(Worksheet!AJ488="","",Worksheet!AJ488)</f>
        <v/>
      </c>
      <c r="P488" t="str">
        <f>IF(Worksheet!AK488="","",Worksheet!AK488)</f>
        <v/>
      </c>
    </row>
    <row r="489" spans="5:16" x14ac:dyDescent="0.25">
      <c r="E489" s="2"/>
      <c r="J489" t="str">
        <f>Worksheet!C489&amp;" "&amp;Worksheet!B489</f>
        <v>Emiel Opsomer</v>
      </c>
      <c r="K489" t="str">
        <f>IF(Worksheet!P489&lt;&gt;"",Worksheet!P489,IF(Worksheet!R489&lt;&gt;"",Worksheet!R489,IF(Worksheet!T489&lt;&gt;"",Worksheet!T489,"")))</f>
        <v>meirlaen.evelien@gmail.com</v>
      </c>
      <c r="L489" t="str">
        <f>IF(AND(Worksheet!V489&lt;&gt;"",Worksheet!V489&lt;&gt;0),Worksheet!V489&amp;"",IF(AND(Worksheet!X489&lt;&gt;"",Worksheet!X489&lt;&gt;0),Worksheet!X489&amp;"",IF(AND(Worksheet!Z489&lt;&gt;"",Worksheet!Z489&lt;&gt;0),Worksheet!Z489&amp;"","")))</f>
        <v>0478767261</v>
      </c>
      <c r="M489" t="str">
        <f>IF(Worksheet!AE489="","",Worksheet!AE489)</f>
        <v/>
      </c>
      <c r="N489">
        <f>IF(Worksheet!AG489="","",Worksheet!AG489)</f>
        <v>757869</v>
      </c>
      <c r="O489" t="str">
        <f>IF(Worksheet!AJ489="","",Worksheet!AJ489)</f>
        <v>G12 Geel HAANTJES CERTIFISC OUDENAARDE</v>
      </c>
      <c r="P489" t="str">
        <f>IF(Worksheet!AK489="","",Worksheet!AK489)</f>
        <v>Speler</v>
      </c>
    </row>
    <row r="490" spans="5:16" x14ac:dyDescent="0.25">
      <c r="E490" s="2"/>
      <c r="J490" t="str">
        <f>Worksheet!C490&amp;" "&amp;Worksheet!B490</f>
        <v>Emiel Opsomer</v>
      </c>
      <c r="K490" t="str">
        <f>IF(Worksheet!P490&lt;&gt;"",Worksheet!P490,IF(Worksheet!R490&lt;&gt;"",Worksheet!R490,IF(Worksheet!T490&lt;&gt;"",Worksheet!T490,"")))</f>
        <v>meirlaen.evelien@gmail.com</v>
      </c>
      <c r="L490" t="str">
        <f>IF(AND(Worksheet!V490&lt;&gt;"",Worksheet!V490&lt;&gt;0),Worksheet!V490&amp;"",IF(AND(Worksheet!X490&lt;&gt;"",Worksheet!X490&lt;&gt;0),Worksheet!X490&amp;"",IF(AND(Worksheet!Z490&lt;&gt;"",Worksheet!Z490&lt;&gt;0),Worksheet!Z490&amp;"","")))</f>
        <v>0478767261</v>
      </c>
      <c r="M490" t="str">
        <f>IF(Worksheet!AE490="","",Worksheet!AE490)</f>
        <v/>
      </c>
      <c r="N490">
        <f>IF(Worksheet!AG490="","",Worksheet!AG490)</f>
        <v>757869</v>
      </c>
      <c r="O490" t="str">
        <f>IF(Worksheet!AJ490="","",Worksheet!AJ490)</f>
        <v>Zomerstage 2026 U10 &amp; U12 (Oudenaarde)</v>
      </c>
      <c r="P490" t="str">
        <f>IF(Worksheet!AK490="","",Worksheet!AK490)</f>
        <v>Speler</v>
      </c>
    </row>
    <row r="491" spans="5:16" x14ac:dyDescent="0.25">
      <c r="E491" s="2"/>
      <c r="J491" t="str">
        <f>Worksheet!C491&amp;" "&amp;Worksheet!B491</f>
        <v>Jorne Opsomer</v>
      </c>
      <c r="K491" t="str">
        <f>IF(Worksheet!P491&lt;&gt;"",Worksheet!P491,IF(Worksheet!R491&lt;&gt;"",Worksheet!R491,IF(Worksheet!T491&lt;&gt;"",Worksheet!T491,"")))</f>
        <v/>
      </c>
      <c r="L491" t="str">
        <f>IF(AND(Worksheet!V491&lt;&gt;"",Worksheet!V491&lt;&gt;0),Worksheet!V491&amp;"",IF(AND(Worksheet!X491&lt;&gt;"",Worksheet!X491&lt;&gt;0),Worksheet!X491&amp;"",IF(AND(Worksheet!Z491&lt;&gt;"",Worksheet!Z491&lt;&gt;0),Worksheet!Z491&amp;"","")))</f>
        <v/>
      </c>
      <c r="M491" t="str">
        <f>IF(Worksheet!AE491="","",Worksheet!AE491)</f>
        <v/>
      </c>
      <c r="N491" t="str">
        <f>IF(Worksheet!AG491="","",Worksheet!AG491)</f>
        <v/>
      </c>
      <c r="O491" t="str">
        <f>IF(Worksheet!AJ491="","",Worksheet!AJ491)</f>
        <v/>
      </c>
      <c r="P491" t="str">
        <f>IF(Worksheet!AK491="","",Worksheet!AK491)</f>
        <v/>
      </c>
    </row>
    <row r="492" spans="5:16" x14ac:dyDescent="0.25">
      <c r="E492" s="2"/>
      <c r="J492" t="str">
        <f>Worksheet!C492&amp;" "&amp;Worksheet!B492</f>
        <v>Felix Orbie</v>
      </c>
      <c r="K492" t="str">
        <f>IF(Worksheet!P492&lt;&gt;"",Worksheet!P492,IF(Worksheet!R492&lt;&gt;"",Worksheet!R492,IF(Worksheet!T492&lt;&gt;"",Worksheet!T492,"")))</f>
        <v/>
      </c>
      <c r="L492" t="str">
        <f>IF(AND(Worksheet!V492&lt;&gt;"",Worksheet!V492&lt;&gt;0),Worksheet!V492&amp;"",IF(AND(Worksheet!X492&lt;&gt;"",Worksheet!X492&lt;&gt;0),Worksheet!X492&amp;"",IF(AND(Worksheet!Z492&lt;&gt;"",Worksheet!Z492&lt;&gt;0),Worksheet!Z492&amp;"","")))</f>
        <v>472656820</v>
      </c>
      <c r="M492" t="str">
        <f>IF(Worksheet!AE492="","",Worksheet!AE492)</f>
        <v/>
      </c>
      <c r="N492" t="str">
        <f>IF(Worksheet!AG492="","",Worksheet!AG492)</f>
        <v/>
      </c>
      <c r="O492" t="str">
        <f>IF(Worksheet!AJ492="","",Worksheet!AJ492)</f>
        <v/>
      </c>
      <c r="P492" t="str">
        <f>IF(Worksheet!AK492="","",Worksheet!AK492)</f>
        <v/>
      </c>
    </row>
    <row r="493" spans="5:16" x14ac:dyDescent="0.25">
      <c r="E493" s="2"/>
      <c r="J493" t="str">
        <f>Worksheet!C493&amp;" "&amp;Worksheet!B493</f>
        <v>Julie Orbie</v>
      </c>
      <c r="K493" t="str">
        <f>IF(Worksheet!P493&lt;&gt;"",Worksheet!P493,IF(Worksheet!R493&lt;&gt;"",Worksheet!R493,IF(Worksheet!T493&lt;&gt;"",Worksheet!T493,"")))</f>
        <v/>
      </c>
      <c r="L493" t="str">
        <f>IF(AND(Worksheet!V493&lt;&gt;"",Worksheet!V493&lt;&gt;0),Worksheet!V493&amp;"",IF(AND(Worksheet!X493&lt;&gt;"",Worksheet!X493&lt;&gt;0),Worksheet!X493&amp;"",IF(AND(Worksheet!Z493&lt;&gt;"",Worksheet!Z493&lt;&gt;0),Worksheet!Z493&amp;"","")))</f>
        <v>472656820</v>
      </c>
      <c r="M493" t="str">
        <f>IF(Worksheet!AE493="","",Worksheet!AE493)</f>
        <v/>
      </c>
      <c r="N493">
        <f>IF(Worksheet!AG493="","",Worksheet!AG493)</f>
        <v>746004</v>
      </c>
      <c r="O493" t="str">
        <f>IF(Worksheet!AJ493="","",Worksheet!AJ493)</f>
        <v>Zomerstage 2026 (Blankenberge)</v>
      </c>
      <c r="P493" t="str">
        <f>IF(Worksheet!AK493="","",Worksheet!AK493)</f>
        <v>Speler</v>
      </c>
    </row>
    <row r="494" spans="5:16" x14ac:dyDescent="0.25">
      <c r="E494" s="2"/>
      <c r="J494" t="str">
        <f>Worksheet!C494&amp;" "&amp;Worksheet!B494</f>
        <v>Julie Orbie</v>
      </c>
      <c r="K494" t="str">
        <f>IF(Worksheet!P494&lt;&gt;"",Worksheet!P494,IF(Worksheet!R494&lt;&gt;"",Worksheet!R494,IF(Worksheet!T494&lt;&gt;"",Worksheet!T494,"")))</f>
        <v/>
      </c>
      <c r="L494" t="str">
        <f>IF(AND(Worksheet!V494&lt;&gt;"",Worksheet!V494&lt;&gt;0),Worksheet!V494&amp;"",IF(AND(Worksheet!X494&lt;&gt;"",Worksheet!X494&lt;&gt;0),Worksheet!X494&amp;"",IF(AND(Worksheet!Z494&lt;&gt;"",Worksheet!Z494&lt;&gt;0),Worksheet!Z494&amp;"","")))</f>
        <v>472656820</v>
      </c>
      <c r="M494" t="str">
        <f>IF(Worksheet!AE494="","",Worksheet!AE494)</f>
        <v/>
      </c>
      <c r="N494">
        <f>IF(Worksheet!AG494="","",Worksheet!AG494)</f>
        <v>746004</v>
      </c>
      <c r="O494" t="str">
        <f>IF(Worksheet!AJ494="","",Worksheet!AJ494)</f>
        <v>M14 A Haantjes CERTIFISC  Oudenaarde</v>
      </c>
      <c r="P494" t="str">
        <f>IF(Worksheet!AK494="","",Worksheet!AK494)</f>
        <v>Speler</v>
      </c>
    </row>
    <row r="495" spans="5:16" x14ac:dyDescent="0.25">
      <c r="E495" s="2"/>
      <c r="J495" t="str">
        <f>Worksheet!C495&amp;" "&amp;Worksheet!B495</f>
        <v>Pieter Orbie</v>
      </c>
      <c r="K495" t="str">
        <f>IF(Worksheet!P495&lt;&gt;"",Worksheet!P495,IF(Worksheet!R495&lt;&gt;"",Worksheet!R495,IF(Worksheet!T495&lt;&gt;"",Worksheet!T495,"")))</f>
        <v/>
      </c>
      <c r="L495" t="str">
        <f>IF(AND(Worksheet!V495&lt;&gt;"",Worksheet!V495&lt;&gt;0),Worksheet!V495&amp;"",IF(AND(Worksheet!X495&lt;&gt;"",Worksheet!X495&lt;&gt;0),Worksheet!X495&amp;"",IF(AND(Worksheet!Z495&lt;&gt;"",Worksheet!Z495&lt;&gt;0),Worksheet!Z495&amp;"","")))</f>
        <v>320473713325</v>
      </c>
      <c r="M495" t="str">
        <f>IF(Worksheet!AE495="","",Worksheet!AE495)</f>
        <v/>
      </c>
      <c r="N495" t="str">
        <f>IF(Worksheet!AG495="","",Worksheet!AG495)</f>
        <v/>
      </c>
      <c r="O495" t="str">
        <f>IF(Worksheet!AJ495="","",Worksheet!AJ495)</f>
        <v/>
      </c>
      <c r="P495" t="str">
        <f>IF(Worksheet!AK495="","",Worksheet!AK495)</f>
        <v/>
      </c>
    </row>
    <row r="496" spans="5:16" x14ac:dyDescent="0.25">
      <c r="E496" s="2"/>
      <c r="J496" t="str">
        <f>Worksheet!C496&amp;" "&amp;Worksheet!B496</f>
        <v>Gust Ottevaere</v>
      </c>
      <c r="K496" t="str">
        <f>IF(Worksheet!P496&lt;&gt;"",Worksheet!P496,IF(Worksheet!R496&lt;&gt;"",Worksheet!R496,IF(Worksheet!T496&lt;&gt;"",Worksheet!T496,"")))</f>
        <v>maaike.teirlinck@telenet.be</v>
      </c>
      <c r="L496" t="str">
        <f>IF(AND(Worksheet!V496&lt;&gt;"",Worksheet!V496&lt;&gt;0),Worksheet!V496&amp;"",IF(AND(Worksheet!X496&lt;&gt;"",Worksheet!X496&lt;&gt;0),Worksheet!X496&amp;"",IF(AND(Worksheet!Z496&lt;&gt;"",Worksheet!Z496&lt;&gt;0),Worksheet!Z496&amp;"","")))</f>
        <v>320476260862</v>
      </c>
      <c r="M496" t="str">
        <f>IF(Worksheet!AE496="","",Worksheet!AE496)</f>
        <v/>
      </c>
      <c r="N496" t="str">
        <f>IF(Worksheet!AG496="","",Worksheet!AG496)</f>
        <v/>
      </c>
      <c r="O496" t="str">
        <f>IF(Worksheet!AJ496="","",Worksheet!AJ496)</f>
        <v>J16 A Haantjes CERTIFISC Oudenaarde</v>
      </c>
      <c r="P496" t="str">
        <f>IF(Worksheet!AK496="","",Worksheet!AK496)</f>
        <v>Speler</v>
      </c>
    </row>
    <row r="497" spans="5:16" x14ac:dyDescent="0.25">
      <c r="E497" s="2"/>
      <c r="J497" t="str">
        <f>Worksheet!C497&amp;" "&amp;Worksheet!B497</f>
        <v>Gust Ottevaere</v>
      </c>
      <c r="K497" t="str">
        <f>IF(Worksheet!P497&lt;&gt;"",Worksheet!P497,IF(Worksheet!R497&lt;&gt;"",Worksheet!R497,IF(Worksheet!T497&lt;&gt;"",Worksheet!T497,"")))</f>
        <v>maaike.teirlinck@telenet.be</v>
      </c>
      <c r="L497" t="str">
        <f>IF(AND(Worksheet!V497&lt;&gt;"",Worksheet!V497&lt;&gt;0),Worksheet!V497&amp;"",IF(AND(Worksheet!X497&lt;&gt;"",Worksheet!X497&lt;&gt;0),Worksheet!X497&amp;"",IF(AND(Worksheet!Z497&lt;&gt;"",Worksheet!Z497&lt;&gt;0),Worksheet!Z497&amp;"","")))</f>
        <v>320476260862</v>
      </c>
      <c r="M497" t="str">
        <f>IF(Worksheet!AE497="","",Worksheet!AE497)</f>
        <v/>
      </c>
      <c r="N497" t="str">
        <f>IF(Worksheet!AG497="","",Worksheet!AG497)</f>
        <v/>
      </c>
      <c r="O497" t="str">
        <f>IF(Worksheet!AJ497="","",Worksheet!AJ497)</f>
        <v>Zomerstage 2026 (Blankenberge)</v>
      </c>
      <c r="P497" t="str">
        <f>IF(Worksheet!AK497="","",Worksheet!AK497)</f>
        <v>Speler</v>
      </c>
    </row>
    <row r="498" spans="5:16" x14ac:dyDescent="0.25">
      <c r="E498" s="2"/>
      <c r="J498" t="str">
        <f>Worksheet!C498&amp;" "&amp;Worksheet!B498</f>
        <v>Fabienne Paindavin</v>
      </c>
      <c r="K498" t="str">
        <f>IF(Worksheet!P498&lt;&gt;"",Worksheet!P498,IF(Worksheet!R498&lt;&gt;"",Worksheet!R498,IF(Worksheet!T498&lt;&gt;"",Worksheet!T498,"")))</f>
        <v>jarno.mathis@gmail.com</v>
      </c>
      <c r="L498" t="str">
        <f>IF(AND(Worksheet!V498&lt;&gt;"",Worksheet!V498&lt;&gt;0),Worksheet!V498&amp;"",IF(AND(Worksheet!X498&lt;&gt;"",Worksheet!X498&lt;&gt;0),Worksheet!X498&amp;"",IF(AND(Worksheet!Z498&lt;&gt;"",Worksheet!Z498&lt;&gt;0),Worksheet!Z498&amp;"","")))</f>
        <v/>
      </c>
      <c r="M498" t="str">
        <f>IF(Worksheet!AE498="","",Worksheet!AE498)</f>
        <v>https://app.twizzit.com/public/photos/2183137/s/3b1e368023103c92cad2292d92c8235ee2af4994.png</v>
      </c>
      <c r="N498">
        <f>IF(Worksheet!AG498="","",Worksheet!AG498)</f>
        <v>702227</v>
      </c>
      <c r="O498" t="str">
        <f>IF(Worksheet!AJ498="","",Worksheet!AJ498)</f>
        <v/>
      </c>
      <c r="P498" t="str">
        <f>IF(Worksheet!AK498="","",Worksheet!AK498)</f>
        <v/>
      </c>
    </row>
    <row r="499" spans="5:16" x14ac:dyDescent="0.25">
      <c r="E499" s="2"/>
      <c r="J499" t="str">
        <f>Worksheet!C499&amp;" "&amp;Worksheet!B499</f>
        <v>Théo Parmentier</v>
      </c>
      <c r="K499" t="str">
        <f>IF(Worksheet!P499&lt;&gt;"",Worksheet!P499,IF(Worksheet!R499&lt;&gt;"",Worksheet!R499,IF(Worksheet!T499&lt;&gt;"",Worksheet!T499,"")))</f>
        <v>jensparmentier@gmail.com</v>
      </c>
      <c r="L499" t="str">
        <f>IF(AND(Worksheet!V499&lt;&gt;"",Worksheet!V499&lt;&gt;0),Worksheet!V499&amp;"",IF(AND(Worksheet!X499&lt;&gt;"",Worksheet!X499&lt;&gt;0),Worksheet!X499&amp;"",IF(AND(Worksheet!Z499&lt;&gt;"",Worksheet!Z499&lt;&gt;0),Worksheet!Z499&amp;"","")))</f>
        <v>0498076133</v>
      </c>
      <c r="M499" t="str">
        <f>IF(Worksheet!AE499="","",Worksheet!AE499)</f>
        <v/>
      </c>
      <c r="N499" t="str">
        <f>IF(Worksheet!AG499="","",Worksheet!AG499)</f>
        <v/>
      </c>
      <c r="O499" t="str">
        <f>IF(Worksheet!AJ499="","",Worksheet!AJ499)</f>
        <v>G08 Blauw HAANTJES CERTIFISC OUDENAARDE</v>
      </c>
      <c r="P499" t="str">
        <f>IF(Worksheet!AK499="","",Worksheet!AK499)</f>
        <v>Speler</v>
      </c>
    </row>
    <row r="500" spans="5:16" x14ac:dyDescent="0.25">
      <c r="E500" s="2"/>
      <c r="J500" t="str">
        <f>Worksheet!C500&amp;" "&amp;Worksheet!B500</f>
        <v>Théo Parmentier</v>
      </c>
      <c r="K500" t="str">
        <f>IF(Worksheet!P500&lt;&gt;"",Worksheet!P500,IF(Worksheet!R500&lt;&gt;"",Worksheet!R500,IF(Worksheet!T500&lt;&gt;"",Worksheet!T500,"")))</f>
        <v>jensparmentier@gmail.com</v>
      </c>
      <c r="L500" t="str">
        <f>IF(AND(Worksheet!V500&lt;&gt;"",Worksheet!V500&lt;&gt;0),Worksheet!V500&amp;"",IF(AND(Worksheet!X500&lt;&gt;"",Worksheet!X500&lt;&gt;0),Worksheet!X500&amp;"",IF(AND(Worksheet!Z500&lt;&gt;"",Worksheet!Z500&lt;&gt;0),Worksheet!Z500&amp;"","")))</f>
        <v>0498076133</v>
      </c>
      <c r="M500" t="str">
        <f>IF(Worksheet!AE500="","",Worksheet!AE500)</f>
        <v/>
      </c>
      <c r="N500" t="str">
        <f>IF(Worksheet!AG500="","",Worksheet!AG500)</f>
        <v/>
      </c>
      <c r="O500" t="str">
        <f>IF(Worksheet!AJ500="","",Worksheet!AJ500)</f>
        <v>Zomerstage 2026 U8 (Oudenaarde)</v>
      </c>
      <c r="P500" t="str">
        <f>IF(Worksheet!AK500="","",Worksheet!AK500)</f>
        <v>Speler</v>
      </c>
    </row>
    <row r="501" spans="5:16" x14ac:dyDescent="0.25">
      <c r="E501" s="2"/>
      <c r="J501" t="str">
        <f>Worksheet!C501&amp;" "&amp;Worksheet!B501</f>
        <v>Sofie Pattyn</v>
      </c>
      <c r="K501" t="str">
        <f>IF(Worksheet!P501&lt;&gt;"",Worksheet!P501,IF(Worksheet!R501&lt;&gt;"",Worksheet!R501,IF(Worksheet!T501&lt;&gt;"",Worksheet!T501,"")))</f>
        <v/>
      </c>
      <c r="L501" t="str">
        <f>IF(AND(Worksheet!V501&lt;&gt;"",Worksheet!V501&lt;&gt;0),Worksheet!V501&amp;"",IF(AND(Worksheet!X501&lt;&gt;"",Worksheet!X501&lt;&gt;0),Worksheet!X501&amp;"",IF(AND(Worksheet!Z501&lt;&gt;"",Worksheet!Z501&lt;&gt;0),Worksheet!Z501&amp;"","")))</f>
        <v/>
      </c>
      <c r="M501" t="str">
        <f>IF(Worksheet!AE501="","",Worksheet!AE501)</f>
        <v/>
      </c>
      <c r="N501">
        <f>IF(Worksheet!AG501="","",Worksheet!AG501)</f>
        <v>669073</v>
      </c>
      <c r="O501" t="str">
        <f>IF(Worksheet!AJ501="","",Worksheet!AJ501)</f>
        <v/>
      </c>
      <c r="P501" t="str">
        <f>IF(Worksheet!AK501="","",Worksheet!AK501)</f>
        <v/>
      </c>
    </row>
    <row r="502" spans="5:16" x14ac:dyDescent="0.25">
      <c r="E502" s="2"/>
      <c r="J502" t="str">
        <f>Worksheet!C502&amp;" "&amp;Worksheet!B502</f>
        <v>Leonie Pauwels</v>
      </c>
      <c r="K502" t="str">
        <f>IF(Worksheet!P502&lt;&gt;"",Worksheet!P502,IF(Worksheet!R502&lt;&gt;"",Worksheet!R502,IF(Worksheet!T502&lt;&gt;"",Worksheet!T502,"")))</f>
        <v/>
      </c>
      <c r="L502" t="str">
        <f>IF(AND(Worksheet!V502&lt;&gt;"",Worksheet!V502&lt;&gt;0),Worksheet!V502&amp;"",IF(AND(Worksheet!X502&lt;&gt;"",Worksheet!X502&lt;&gt;0),Worksheet!X502&amp;"",IF(AND(Worksheet!Z502&lt;&gt;"",Worksheet!Z502&lt;&gt;0),Worksheet!Z502&amp;"","")))</f>
        <v/>
      </c>
      <c r="M502" t="str">
        <f>IF(Worksheet!AE502="","",Worksheet!AE502)</f>
        <v/>
      </c>
      <c r="N502">
        <f>IF(Worksheet!AG502="","",Worksheet!AG502)</f>
        <v>610168</v>
      </c>
      <c r="O502" t="str">
        <f>IF(Worksheet!AJ502="","",Worksheet!AJ502)</f>
        <v/>
      </c>
      <c r="P502" t="str">
        <f>IF(Worksheet!AK502="","",Worksheet!AK502)</f>
        <v/>
      </c>
    </row>
    <row r="503" spans="5:16" x14ac:dyDescent="0.25">
      <c r="E503" s="2"/>
      <c r="J503" t="str">
        <f>Worksheet!C503&amp;" "&amp;Worksheet!B503</f>
        <v>Joël Peeters</v>
      </c>
      <c r="K503" t="str">
        <f>IF(Worksheet!P503&lt;&gt;"",Worksheet!P503,IF(Worksheet!R503&lt;&gt;"",Worksheet!R503,IF(Worksheet!T503&lt;&gt;"",Worksheet!T503,"")))</f>
        <v/>
      </c>
      <c r="L503" t="str">
        <f>IF(AND(Worksheet!V503&lt;&gt;"",Worksheet!V503&lt;&gt;0),Worksheet!V503&amp;"",IF(AND(Worksheet!X503&lt;&gt;"",Worksheet!X503&lt;&gt;0),Worksheet!X503&amp;"",IF(AND(Worksheet!Z503&lt;&gt;"",Worksheet!Z503&lt;&gt;0),Worksheet!Z503&amp;"","")))</f>
        <v/>
      </c>
      <c r="M503" t="str">
        <f>IF(Worksheet!AE503="","",Worksheet!AE503)</f>
        <v/>
      </c>
      <c r="N503" t="str">
        <f>IF(Worksheet!AG503="","",Worksheet!AG503)</f>
        <v/>
      </c>
      <c r="O503" t="str">
        <f>IF(Worksheet!AJ503="","",Worksheet!AJ503)</f>
        <v>HSE  C Haantjes Certifisc Oudenaarde</v>
      </c>
      <c r="P503" t="str">
        <f>IF(Worksheet!AK503="","",Worksheet!AK503)</f>
        <v>Speler</v>
      </c>
    </row>
    <row r="504" spans="5:16" x14ac:dyDescent="0.25">
      <c r="E504" s="2"/>
      <c r="J504" t="str">
        <f>Worksheet!C504&amp;" "&amp;Worksheet!B504</f>
        <v>Maarten Peeters</v>
      </c>
      <c r="K504" t="str">
        <f>IF(Worksheet!P504&lt;&gt;"",Worksheet!P504,IF(Worksheet!R504&lt;&gt;"",Worksheet!R504,IF(Worksheet!T504&lt;&gt;"",Worksheet!T504,"")))</f>
        <v>Maarten.peeters1@hotmail.com</v>
      </c>
      <c r="L504" t="str">
        <f>IF(AND(Worksheet!V504&lt;&gt;"",Worksheet!V504&lt;&gt;0),Worksheet!V504&amp;"",IF(AND(Worksheet!X504&lt;&gt;"",Worksheet!X504&lt;&gt;0),Worksheet!X504&amp;"",IF(AND(Worksheet!Z504&lt;&gt;"",Worksheet!Z504&lt;&gt;0),Worksheet!Z504&amp;"","")))</f>
        <v/>
      </c>
      <c r="M504" t="str">
        <f>IF(Worksheet!AE504="","",Worksheet!AE504)</f>
        <v/>
      </c>
      <c r="N504">
        <f>IF(Worksheet!AG504="","",Worksheet!AG504)</f>
        <v>669286</v>
      </c>
      <c r="O504" t="str">
        <f>IF(Worksheet!AJ504="","",Worksheet!AJ504)</f>
        <v/>
      </c>
      <c r="P504" t="str">
        <f>IF(Worksheet!AK504="","",Worksheet!AK504)</f>
        <v/>
      </c>
    </row>
    <row r="505" spans="5:16" x14ac:dyDescent="0.25">
      <c r="E505" s="2"/>
      <c r="J505" t="str">
        <f>Worksheet!C505&amp;" "&amp;Worksheet!B505</f>
        <v>Arthur Penninck</v>
      </c>
      <c r="K505" t="str">
        <f>IF(Worksheet!P505&lt;&gt;"",Worksheet!P505,IF(Worksheet!R505&lt;&gt;"",Worksheet!R505,IF(Worksheet!T505&lt;&gt;"",Worksheet!T505,"")))</f>
        <v/>
      </c>
      <c r="L505" t="str">
        <f>IF(AND(Worksheet!V505&lt;&gt;"",Worksheet!V505&lt;&gt;0),Worksheet!V505&amp;"",IF(AND(Worksheet!X505&lt;&gt;"",Worksheet!X505&lt;&gt;0),Worksheet!X505&amp;"",IF(AND(Worksheet!Z505&lt;&gt;"",Worksheet!Z505&lt;&gt;0),Worksheet!Z505&amp;"","")))</f>
        <v>477480963</v>
      </c>
      <c r="M505" t="str">
        <f>IF(Worksheet!AE505="","",Worksheet!AE505)</f>
        <v/>
      </c>
      <c r="N505">
        <f>IF(Worksheet!AG505="","",Worksheet!AG505)</f>
        <v>744403</v>
      </c>
      <c r="O505" t="str">
        <f>IF(Worksheet!AJ505="","",Worksheet!AJ505)</f>
        <v/>
      </c>
      <c r="P505" t="str">
        <f>IF(Worksheet!AK505="","",Worksheet!AK505)</f>
        <v/>
      </c>
    </row>
    <row r="506" spans="5:16" x14ac:dyDescent="0.25">
      <c r="E506" s="2"/>
      <c r="J506" t="str">
        <f>Worksheet!C506&amp;" "&amp;Worksheet!B506</f>
        <v>Guillaume Penninck</v>
      </c>
      <c r="K506" t="str">
        <f>IF(Worksheet!P506&lt;&gt;"",Worksheet!P506,IF(Worksheet!R506&lt;&gt;"",Worksheet!R506,IF(Worksheet!T506&lt;&gt;"",Worksheet!T506,"")))</f>
        <v/>
      </c>
      <c r="L506" t="str">
        <f>IF(AND(Worksheet!V506&lt;&gt;"",Worksheet!V506&lt;&gt;0),Worksheet!V506&amp;"",IF(AND(Worksheet!X506&lt;&gt;"",Worksheet!X506&lt;&gt;0),Worksheet!X506&amp;"",IF(AND(Worksheet!Z506&lt;&gt;"",Worksheet!Z506&lt;&gt;0),Worksheet!Z506&amp;"","")))</f>
        <v>0469360650</v>
      </c>
      <c r="M506" t="str">
        <f>IF(Worksheet!AE506="","",Worksheet!AE506)</f>
        <v/>
      </c>
      <c r="N506" t="str">
        <f>IF(Worksheet!AG506="","",Worksheet!AG506)</f>
        <v/>
      </c>
      <c r="O506" t="str">
        <f>IF(Worksheet!AJ506="","",Worksheet!AJ506)</f>
        <v/>
      </c>
      <c r="P506" t="str">
        <f>IF(Worksheet!AK506="","",Worksheet!AK506)</f>
        <v/>
      </c>
    </row>
    <row r="507" spans="5:16" x14ac:dyDescent="0.25">
      <c r="E507" s="2"/>
      <c r="J507" t="str">
        <f>Worksheet!C507&amp;" "&amp;Worksheet!B507</f>
        <v>An Picard</v>
      </c>
      <c r="K507" t="str">
        <f>IF(Worksheet!P507&lt;&gt;"",Worksheet!P507,IF(Worksheet!R507&lt;&gt;"",Worksheet!R507,IF(Worksheet!T507&lt;&gt;"",Worksheet!T507,"")))</f>
        <v/>
      </c>
      <c r="L507" t="str">
        <f>IF(AND(Worksheet!V507&lt;&gt;"",Worksheet!V507&lt;&gt;0),Worksheet!V507&amp;"",IF(AND(Worksheet!X507&lt;&gt;"",Worksheet!X507&lt;&gt;0),Worksheet!X507&amp;"",IF(AND(Worksheet!Z507&lt;&gt;"",Worksheet!Z507&lt;&gt;0),Worksheet!Z507&amp;"","")))</f>
        <v/>
      </c>
      <c r="M507" t="str">
        <f>IF(Worksheet!AE507="","",Worksheet!AE507)</f>
        <v/>
      </c>
      <c r="N507" t="str">
        <f>IF(Worksheet!AG507="","",Worksheet!AG507)</f>
        <v/>
      </c>
      <c r="O507" t="str">
        <f>IF(Worksheet!AJ507="","",Worksheet!AJ507)</f>
        <v/>
      </c>
      <c r="P507" t="str">
        <f>IF(Worksheet!AK507="","",Worksheet!AK507)</f>
        <v/>
      </c>
    </row>
    <row r="508" spans="5:16" x14ac:dyDescent="0.25">
      <c r="E508" s="2"/>
      <c r="J508" t="str">
        <f>Worksheet!C508&amp;" "&amp;Worksheet!B508</f>
        <v>Marie-Laure Piens</v>
      </c>
      <c r="K508" t="str">
        <f>IF(Worksheet!P508&lt;&gt;"",Worksheet!P508,IF(Worksheet!R508&lt;&gt;"",Worksheet!R508,IF(Worksheet!T508&lt;&gt;"",Worksheet!T508,"")))</f>
        <v/>
      </c>
      <c r="L508" t="str">
        <f>IF(AND(Worksheet!V508&lt;&gt;"",Worksheet!V508&lt;&gt;0),Worksheet!V508&amp;"",IF(AND(Worksheet!X508&lt;&gt;"",Worksheet!X508&lt;&gt;0),Worksheet!X508&amp;"",IF(AND(Worksheet!Z508&lt;&gt;"",Worksheet!Z508&lt;&gt;0),Worksheet!Z508&amp;"","")))</f>
        <v>0479984186</v>
      </c>
      <c r="M508" t="str">
        <f>IF(Worksheet!AE508="","",Worksheet!AE508)</f>
        <v/>
      </c>
      <c r="N508">
        <f>IF(Worksheet!AG508="","",Worksheet!AG508)</f>
        <v>704482</v>
      </c>
      <c r="O508" t="str">
        <f>IF(Worksheet!AJ508="","",Worksheet!AJ508)</f>
        <v/>
      </c>
      <c r="P508" t="str">
        <f>IF(Worksheet!AK508="","",Worksheet!AK508)</f>
        <v/>
      </c>
    </row>
    <row r="509" spans="5:16" x14ac:dyDescent="0.25">
      <c r="E509" s="2"/>
      <c r="J509" t="str">
        <f>Worksheet!C509&amp;" "&amp;Worksheet!B509</f>
        <v>Sebastiaan Piens</v>
      </c>
      <c r="K509" t="str">
        <f>IF(Worksheet!P509&lt;&gt;"",Worksheet!P509,IF(Worksheet!R509&lt;&gt;"",Worksheet!R509,IF(Worksheet!T509&lt;&gt;"",Worksheet!T509,"")))</f>
        <v/>
      </c>
      <c r="L509" t="str">
        <f>IF(AND(Worksheet!V509&lt;&gt;"",Worksheet!V509&lt;&gt;0),Worksheet!V509&amp;"",IF(AND(Worksheet!X509&lt;&gt;"",Worksheet!X509&lt;&gt;0),Worksheet!X509&amp;"",IF(AND(Worksheet!Z509&lt;&gt;"",Worksheet!Z509&lt;&gt;0),Worksheet!Z509&amp;"","")))</f>
        <v>0479984186</v>
      </c>
      <c r="M509" t="str">
        <f>IF(Worksheet!AE509="","",Worksheet!AE509)</f>
        <v/>
      </c>
      <c r="N509">
        <f>IF(Worksheet!AG509="","",Worksheet!AG509)</f>
        <v>704481</v>
      </c>
      <c r="O509" t="str">
        <f>IF(Worksheet!AJ509="","",Worksheet!AJ509)</f>
        <v/>
      </c>
      <c r="P509" t="str">
        <f>IF(Worksheet!AK509="","",Worksheet!AK509)</f>
        <v/>
      </c>
    </row>
    <row r="510" spans="5:16" x14ac:dyDescent="0.25">
      <c r="E510" s="2"/>
      <c r="J510" t="str">
        <f>Worksheet!C510&amp;" "&amp;Worksheet!B510</f>
        <v>Elien Poffyn</v>
      </c>
      <c r="K510" t="str">
        <f>IF(Worksheet!P510&lt;&gt;"",Worksheet!P510,IF(Worksheet!R510&lt;&gt;"",Worksheet!R510,IF(Worksheet!T510&lt;&gt;"",Worksheet!T510,"")))</f>
        <v/>
      </c>
      <c r="L510" t="str">
        <f>IF(AND(Worksheet!V510&lt;&gt;"",Worksheet!V510&lt;&gt;0),Worksheet!V510&amp;"",IF(AND(Worksheet!X510&lt;&gt;"",Worksheet!X510&lt;&gt;0),Worksheet!X510&amp;"",IF(AND(Worksheet!Z510&lt;&gt;"",Worksheet!Z510&lt;&gt;0),Worksheet!Z510&amp;"","")))</f>
        <v/>
      </c>
      <c r="M510" t="str">
        <f>IF(Worksheet!AE510="","",Worksheet!AE510)</f>
        <v/>
      </c>
      <c r="N510">
        <f>IF(Worksheet!AG510="","",Worksheet!AG510)</f>
        <v>606672</v>
      </c>
      <c r="O510" t="str">
        <f>IF(Worksheet!AJ510="","",Worksheet!AJ510)</f>
        <v/>
      </c>
      <c r="P510" t="str">
        <f>IF(Worksheet!AK510="","",Worksheet!AK510)</f>
        <v/>
      </c>
    </row>
    <row r="511" spans="5:16" x14ac:dyDescent="0.25">
      <c r="E511" s="2"/>
      <c r="J511" t="str">
        <f>Worksheet!C511&amp;" "&amp;Worksheet!B511</f>
        <v>Pieter Poitiez</v>
      </c>
      <c r="K511" t="str">
        <f>IF(Worksheet!P511&lt;&gt;"",Worksheet!P511,IF(Worksheet!R511&lt;&gt;"",Worksheet!R511,IF(Worksheet!T511&lt;&gt;"",Worksheet!T511,"")))</f>
        <v/>
      </c>
      <c r="L511" t="str">
        <f>IF(AND(Worksheet!V511&lt;&gt;"",Worksheet!V511&lt;&gt;0),Worksheet!V511&amp;"",IF(AND(Worksheet!X511&lt;&gt;"",Worksheet!X511&lt;&gt;0),Worksheet!X511&amp;"",IF(AND(Worksheet!Z511&lt;&gt;"",Worksheet!Z511&lt;&gt;0),Worksheet!Z511&amp;"","")))</f>
        <v>0472508299</v>
      </c>
      <c r="M511" t="str">
        <f>IF(Worksheet!AE511="","",Worksheet!AE511)</f>
        <v/>
      </c>
      <c r="N511" t="str">
        <f>IF(Worksheet!AG511="","",Worksheet!AG511)</f>
        <v/>
      </c>
      <c r="O511" t="str">
        <f>IF(Worksheet!AJ511="","",Worksheet!AJ511)</f>
        <v/>
      </c>
      <c r="P511" t="str">
        <f>IF(Worksheet!AK511="","",Worksheet!AK511)</f>
        <v/>
      </c>
    </row>
    <row r="512" spans="5:16" x14ac:dyDescent="0.25">
      <c r="E512" s="2"/>
      <c r="J512" t="str">
        <f>Worksheet!C512&amp;" "&amp;Worksheet!B512</f>
        <v>Fons Polfliet</v>
      </c>
      <c r="K512" t="str">
        <f>IF(Worksheet!P512&lt;&gt;"",Worksheet!P512,IF(Worksheet!R512&lt;&gt;"",Worksheet!R512,IF(Worksheet!T512&lt;&gt;"",Worksheet!T512,"")))</f>
        <v/>
      </c>
      <c r="L512" t="str">
        <f>IF(AND(Worksheet!V512&lt;&gt;"",Worksheet!V512&lt;&gt;0),Worksheet!V512&amp;"",IF(AND(Worksheet!X512&lt;&gt;"",Worksheet!X512&lt;&gt;0),Worksheet!X512&amp;"",IF(AND(Worksheet!Z512&lt;&gt;"",Worksheet!Z512&lt;&gt;0),Worksheet!Z512&amp;"","")))</f>
        <v>474940674</v>
      </c>
      <c r="M512" t="str">
        <f>IF(Worksheet!AE512="","",Worksheet!AE512)</f>
        <v/>
      </c>
      <c r="N512">
        <f>IF(Worksheet!AG512="","",Worksheet!AG512)</f>
        <v>739969</v>
      </c>
      <c r="O512" t="str">
        <f>IF(Worksheet!AJ512="","",Worksheet!AJ512)</f>
        <v/>
      </c>
      <c r="P512" t="str">
        <f>IF(Worksheet!AK512="","",Worksheet!AK512)</f>
        <v/>
      </c>
    </row>
    <row r="513" spans="5:16" x14ac:dyDescent="0.25">
      <c r="E513" s="2"/>
      <c r="J513" t="str">
        <f>Worksheet!C513&amp;" "&amp;Worksheet!B513</f>
        <v>Brent Pollet</v>
      </c>
      <c r="K513" t="str">
        <f>IF(Worksheet!P513&lt;&gt;"",Worksheet!P513,IF(Worksheet!R513&lt;&gt;"",Worksheet!R513,IF(Worksheet!T513&lt;&gt;"",Worksheet!T513,"")))</f>
        <v>pollet.jelle@gmail.com</v>
      </c>
      <c r="L513" t="str">
        <f>IF(AND(Worksheet!V513&lt;&gt;"",Worksheet!V513&lt;&gt;0),Worksheet!V513&amp;"",IF(AND(Worksheet!X513&lt;&gt;"",Worksheet!X513&lt;&gt;0),Worksheet!X513&amp;"",IF(AND(Worksheet!Z513&lt;&gt;"",Worksheet!Z513&lt;&gt;0),Worksheet!Z513&amp;"","")))</f>
        <v>0497503207</v>
      </c>
      <c r="M513" t="str">
        <f>IF(Worksheet!AE513="","",Worksheet!AE513)</f>
        <v>https://app.twizzit.com/public/photos/3454870/s/e7fdcf5140d5e910d15662f873e9aafb78eb7d4f.jpeg</v>
      </c>
      <c r="N513">
        <f>IF(Worksheet!AG513="","",Worksheet!AG513)</f>
        <v>756320</v>
      </c>
      <c r="O513" t="str">
        <f>IF(Worksheet!AJ513="","",Worksheet!AJ513)</f>
        <v>Zomerstage 2026 (Blankenberge)</v>
      </c>
      <c r="P513" t="str">
        <f>IF(Worksheet!AK513="","",Worksheet!AK513)</f>
        <v>Speler</v>
      </c>
    </row>
    <row r="514" spans="5:16" x14ac:dyDescent="0.25">
      <c r="E514" s="2"/>
      <c r="J514" t="str">
        <f>Worksheet!C514&amp;" "&amp;Worksheet!B514</f>
        <v>Brent Pollet</v>
      </c>
      <c r="K514" t="str">
        <f>IF(Worksheet!P514&lt;&gt;"",Worksheet!P514,IF(Worksheet!R514&lt;&gt;"",Worksheet!R514,IF(Worksheet!T514&lt;&gt;"",Worksheet!T514,"")))</f>
        <v>pollet.jelle@gmail.com</v>
      </c>
      <c r="L514" t="str">
        <f>IF(AND(Worksheet!V514&lt;&gt;"",Worksheet!V514&lt;&gt;0),Worksheet!V514&amp;"",IF(AND(Worksheet!X514&lt;&gt;"",Worksheet!X514&lt;&gt;0),Worksheet!X514&amp;"",IF(AND(Worksheet!Z514&lt;&gt;"",Worksheet!Z514&lt;&gt;0),Worksheet!Z514&amp;"","")))</f>
        <v>0497503207</v>
      </c>
      <c r="M514" t="str">
        <f>IF(Worksheet!AE514="","",Worksheet!AE514)</f>
        <v>https://app.twizzit.com/public/photos/3454870/s/e7fdcf5140d5e910d15662f873e9aafb78eb7d4f.jpeg</v>
      </c>
      <c r="N514">
        <f>IF(Worksheet!AG514="","",Worksheet!AG514)</f>
        <v>756320</v>
      </c>
      <c r="O514" t="str">
        <f>IF(Worksheet!AJ514="","",Worksheet!AJ514)</f>
        <v>Zomerstage 2026 U10 &amp; U12 (Oudenaarde)</v>
      </c>
      <c r="P514" t="str">
        <f>IF(Worksheet!AK514="","",Worksheet!AK514)</f>
        <v>Speler</v>
      </c>
    </row>
    <row r="515" spans="5:16" x14ac:dyDescent="0.25">
      <c r="E515" s="2"/>
      <c r="J515" t="str">
        <f>Worksheet!C515&amp;" "&amp;Worksheet!B515</f>
        <v>Brent Pollet</v>
      </c>
      <c r="K515" t="str">
        <f>IF(Worksheet!P515&lt;&gt;"",Worksheet!P515,IF(Worksheet!R515&lt;&gt;"",Worksheet!R515,IF(Worksheet!T515&lt;&gt;"",Worksheet!T515,"")))</f>
        <v>pollet.jelle@gmail.com</v>
      </c>
      <c r="L515" t="str">
        <f>IF(AND(Worksheet!V515&lt;&gt;"",Worksheet!V515&lt;&gt;0),Worksheet!V515&amp;"",IF(AND(Worksheet!X515&lt;&gt;"",Worksheet!X515&lt;&gt;0),Worksheet!X515&amp;"",IF(AND(Worksheet!Z515&lt;&gt;"",Worksheet!Z515&lt;&gt;0),Worksheet!Z515&amp;"","")))</f>
        <v>0497503207</v>
      </c>
      <c r="M515" t="str">
        <f>IF(Worksheet!AE515="","",Worksheet!AE515)</f>
        <v>https://app.twizzit.com/public/photos/3454870/s/e7fdcf5140d5e910d15662f873e9aafb78eb7d4f.jpeg</v>
      </c>
      <c r="N515">
        <f>IF(Worksheet!AG515="","",Worksheet!AG515)</f>
        <v>756320</v>
      </c>
      <c r="O515" t="str">
        <f>IF(Worksheet!AJ515="","",Worksheet!AJ515)</f>
        <v>G12 Geel HAANTJES CERTIFISC OUDENAARDE</v>
      </c>
      <c r="P515" t="str">
        <f>IF(Worksheet!AK515="","",Worksheet!AK515)</f>
        <v>Speler</v>
      </c>
    </row>
    <row r="516" spans="5:16" x14ac:dyDescent="0.25">
      <c r="E516" s="2"/>
      <c r="J516" t="str">
        <f>Worksheet!C516&amp;" "&amp;Worksheet!B516</f>
        <v>Hovhanisyan Ralph</v>
      </c>
      <c r="K516" t="str">
        <f>IF(Worksheet!P516&lt;&gt;"",Worksheet!P516,IF(Worksheet!R516&lt;&gt;"",Worksheet!R516,IF(Worksheet!T516&lt;&gt;"",Worksheet!T516,"")))</f>
        <v>Flora.poghosyan@gmail.com</v>
      </c>
      <c r="L516" t="str">
        <f>IF(AND(Worksheet!V516&lt;&gt;"",Worksheet!V516&lt;&gt;0),Worksheet!V516&amp;"",IF(AND(Worksheet!X516&lt;&gt;"",Worksheet!X516&lt;&gt;0),Worksheet!X516&amp;"",IF(AND(Worksheet!Z516&lt;&gt;"",Worksheet!Z516&lt;&gt;0),Worksheet!Z516&amp;"","")))</f>
        <v>0492779773</v>
      </c>
      <c r="M516" t="str">
        <f>IF(Worksheet!AE516="","",Worksheet!AE516)</f>
        <v>https://app.twizzit.com/public/photos/7790357/s/f283982c8d5add43df5648e925715a1d11e504c3.png</v>
      </c>
      <c r="N516" t="str">
        <f>IF(Worksheet!AG516="","",Worksheet!AG516)</f>
        <v/>
      </c>
      <c r="O516" t="str">
        <f>IF(Worksheet!AJ516="","",Worksheet!AJ516)</f>
        <v/>
      </c>
      <c r="P516" t="str">
        <f>IF(Worksheet!AK516="","",Worksheet!AK516)</f>
        <v/>
      </c>
    </row>
    <row r="517" spans="5:16" x14ac:dyDescent="0.25">
      <c r="E517" s="2"/>
      <c r="J517" t="str">
        <f>Worksheet!C517&amp;" "&amp;Worksheet!B517</f>
        <v>Mats Renard</v>
      </c>
      <c r="K517" t="str">
        <f>IF(Worksheet!P517&lt;&gt;"",Worksheet!P517,IF(Worksheet!R517&lt;&gt;"",Worksheet!R517,IF(Worksheet!T517&lt;&gt;"",Worksheet!T517,"")))</f>
        <v/>
      </c>
      <c r="L517" t="str">
        <f>IF(AND(Worksheet!V517&lt;&gt;"",Worksheet!V517&lt;&gt;0),Worksheet!V517&amp;"",IF(AND(Worksheet!X517&lt;&gt;"",Worksheet!X517&lt;&gt;0),Worksheet!X517&amp;"",IF(AND(Worksheet!Z517&lt;&gt;"",Worksheet!Z517&lt;&gt;0),Worksheet!Z517&amp;"","")))</f>
        <v>0476752923</v>
      </c>
      <c r="M517" t="str">
        <f>IF(Worksheet!AE517="","",Worksheet!AE517)</f>
        <v>https://app.twizzit.com/public/photos/2183172/s/365feecf0a3ae5a9392582a322a55ff1fee56899.png</v>
      </c>
      <c r="N517">
        <f>IF(Worksheet!AG517="","",Worksheet!AG517)</f>
        <v>714465</v>
      </c>
      <c r="O517" t="str">
        <f>IF(Worksheet!AJ517="","",Worksheet!AJ517)</f>
        <v>Zomerstage 2026 (Blankenberge)</v>
      </c>
      <c r="P517" t="str">
        <f>IF(Worksheet!AK517="","",Worksheet!AK517)</f>
        <v>Speler</v>
      </c>
    </row>
    <row r="518" spans="5:16" x14ac:dyDescent="0.25">
      <c r="E518" s="2"/>
      <c r="J518" t="str">
        <f>Worksheet!C518&amp;" "&amp;Worksheet!B518</f>
        <v>Tim Reybroeck</v>
      </c>
      <c r="K518" t="str">
        <f>IF(Worksheet!P518&lt;&gt;"",Worksheet!P518,IF(Worksheet!R518&lt;&gt;"",Worksheet!R518,IF(Worksheet!T518&lt;&gt;"",Worksheet!T518,"")))</f>
        <v/>
      </c>
      <c r="L518" t="str">
        <f>IF(AND(Worksheet!V518&lt;&gt;"",Worksheet!V518&lt;&gt;0),Worksheet!V518&amp;"",IF(AND(Worksheet!X518&lt;&gt;"",Worksheet!X518&lt;&gt;0),Worksheet!X518&amp;"",IF(AND(Worksheet!Z518&lt;&gt;"",Worksheet!Z518&lt;&gt;0),Worksheet!Z518&amp;"","")))</f>
        <v>0476257150</v>
      </c>
      <c r="M518" t="str">
        <f>IF(Worksheet!AE518="","",Worksheet!AE518)</f>
        <v/>
      </c>
      <c r="N518">
        <f>IF(Worksheet!AG518="","",Worksheet!AG518)</f>
        <v>712029</v>
      </c>
      <c r="O518" t="str">
        <f>IF(Worksheet!AJ518="","",Worksheet!AJ518)</f>
        <v/>
      </c>
      <c r="P518" t="str">
        <f>IF(Worksheet!AK518="","",Worksheet!AK518)</f>
        <v/>
      </c>
    </row>
    <row r="519" spans="5:16" x14ac:dyDescent="0.25">
      <c r="E519" s="2"/>
      <c r="J519" t="str">
        <f>Worksheet!C519&amp;" "&amp;Worksheet!B519</f>
        <v>Max Reynaert</v>
      </c>
      <c r="K519" t="str">
        <f>IF(Worksheet!P519&lt;&gt;"",Worksheet!P519,IF(Worksheet!R519&lt;&gt;"",Worksheet!R519,IF(Worksheet!T519&lt;&gt;"",Worksheet!T519,"")))</f>
        <v/>
      </c>
      <c r="L519" t="str">
        <f>IF(AND(Worksheet!V519&lt;&gt;"",Worksheet!V519&lt;&gt;0),Worksheet!V519&amp;"",IF(AND(Worksheet!X519&lt;&gt;"",Worksheet!X519&lt;&gt;0),Worksheet!X519&amp;"",IF(AND(Worksheet!Z519&lt;&gt;"",Worksheet!Z519&lt;&gt;0),Worksheet!Z519&amp;"","")))</f>
        <v>478122419</v>
      </c>
      <c r="M519" t="str">
        <f>IF(Worksheet!AE519="","",Worksheet!AE519)</f>
        <v>https://app.twizzit.com/public/photos/3501048/s/7764c3c4b704e9e0387292c076f32524df1d7d36.png</v>
      </c>
      <c r="N519" t="str">
        <f>IF(Worksheet!AG519="","",Worksheet!AG519)</f>
        <v/>
      </c>
      <c r="O519" t="str">
        <f>IF(Worksheet!AJ519="","",Worksheet!AJ519)</f>
        <v/>
      </c>
      <c r="P519" t="str">
        <f>IF(Worksheet!AK519="","",Worksheet!AK519)</f>
        <v/>
      </c>
    </row>
    <row r="520" spans="5:16" x14ac:dyDescent="0.25">
      <c r="E520" s="2"/>
      <c r="J520" t="str">
        <f>Worksheet!C520&amp;" "&amp;Worksheet!B520</f>
        <v>Dorinne Reynen</v>
      </c>
      <c r="K520" t="str">
        <f>IF(Worksheet!P520&lt;&gt;"",Worksheet!P520,IF(Worksheet!R520&lt;&gt;"",Worksheet!R520,IF(Worksheet!T520&lt;&gt;"",Worksheet!T520,"")))</f>
        <v/>
      </c>
      <c r="L520" t="str">
        <f>IF(AND(Worksheet!V520&lt;&gt;"",Worksheet!V520&lt;&gt;0),Worksheet!V520&amp;"",IF(AND(Worksheet!X520&lt;&gt;"",Worksheet!X520&lt;&gt;0),Worksheet!X520&amp;"",IF(AND(Worksheet!Z520&lt;&gt;"",Worksheet!Z520&lt;&gt;0),Worksheet!Z520&amp;"","")))</f>
        <v/>
      </c>
      <c r="M520" t="str">
        <f>IF(Worksheet!AE520="","",Worksheet!AE520)</f>
        <v>https://app.twizzit.com/public/photos/2183177/s/3f7f7784b29eb06e1132e92e793103356a6bf592.jpeg</v>
      </c>
      <c r="N520" t="str">
        <f>IF(Worksheet!AG520="","",Worksheet!AG520)</f>
        <v/>
      </c>
      <c r="O520" t="str">
        <f>IF(Worksheet!AJ520="","",Worksheet!AJ520)</f>
        <v/>
      </c>
      <c r="P520" t="str">
        <f>IF(Worksheet!AK520="","",Worksheet!AK520)</f>
        <v/>
      </c>
    </row>
    <row r="521" spans="5:16" x14ac:dyDescent="0.25">
      <c r="E521" s="2"/>
      <c r="J521" t="str">
        <f>Worksheet!C521&amp;" "&amp;Worksheet!B521</f>
        <v>Axel Rombaut</v>
      </c>
      <c r="K521" t="str">
        <f>IF(Worksheet!P521&lt;&gt;"",Worksheet!P521,IF(Worksheet!R521&lt;&gt;"",Worksheet!R521,IF(Worksheet!T521&lt;&gt;"",Worksheet!T521,"")))</f>
        <v/>
      </c>
      <c r="L521" t="str">
        <f>IF(AND(Worksheet!V521&lt;&gt;"",Worksheet!V521&lt;&gt;0),Worksheet!V521&amp;"",IF(AND(Worksheet!X521&lt;&gt;"",Worksheet!X521&lt;&gt;0),Worksheet!X521&amp;"",IF(AND(Worksheet!Z521&lt;&gt;"",Worksheet!Z521&lt;&gt;0),Worksheet!Z521&amp;"","")))</f>
        <v/>
      </c>
      <c r="M521" t="str">
        <f>IF(Worksheet!AE521="","",Worksheet!AE521)</f>
        <v/>
      </c>
      <c r="N521">
        <f>IF(Worksheet!AG521="","",Worksheet!AG521)</f>
        <v>622975</v>
      </c>
      <c r="O521" t="str">
        <f>IF(Worksheet!AJ521="","",Worksheet!AJ521)</f>
        <v/>
      </c>
      <c r="P521" t="str">
        <f>IF(Worksheet!AK521="","",Worksheet!AK521)</f>
        <v/>
      </c>
    </row>
    <row r="522" spans="5:16" x14ac:dyDescent="0.25">
      <c r="E522" s="2"/>
      <c r="J522" t="str">
        <f>Worksheet!C522&amp;" "&amp;Worksheet!B522</f>
        <v>Emlin Rommens</v>
      </c>
      <c r="K522" t="str">
        <f>IF(Worksheet!P522&lt;&gt;"",Worksheet!P522,IF(Worksheet!R522&lt;&gt;"",Worksheet!R522,IF(Worksheet!T522&lt;&gt;"",Worksheet!T522,"")))</f>
        <v>pieterrommens@hotmail.be</v>
      </c>
      <c r="L522" t="str">
        <f>IF(AND(Worksheet!V522&lt;&gt;"",Worksheet!V522&lt;&gt;0),Worksheet!V522&amp;"",IF(AND(Worksheet!X522&lt;&gt;"",Worksheet!X522&lt;&gt;0),Worksheet!X522&amp;"",IF(AND(Worksheet!Z522&lt;&gt;"",Worksheet!Z522&lt;&gt;0),Worksheet!Z522&amp;"","")))</f>
        <v>32470513652</v>
      </c>
      <c r="M522" t="str">
        <f>IF(Worksheet!AE522="","",Worksheet!AE522)</f>
        <v>https://app.twizzit.com/public/photos/2650641/s/248b205ecc69fd455c13ac7cc9deb76d11e361a0.png</v>
      </c>
      <c r="N522">
        <f>IF(Worksheet!AG522="","",Worksheet!AG522)</f>
        <v>742358</v>
      </c>
      <c r="O522" t="str">
        <f>IF(Worksheet!AJ522="","",Worksheet!AJ522)</f>
        <v>Zomerstage 2026 (Blankenberge)</v>
      </c>
      <c r="P522" t="str">
        <f>IF(Worksheet!AK522="","",Worksheet!AK522)</f>
        <v>Speler</v>
      </c>
    </row>
    <row r="523" spans="5:16" x14ac:dyDescent="0.25">
      <c r="E523" s="2"/>
      <c r="J523" t="str">
        <f>Worksheet!C523&amp;" "&amp;Worksheet!B523</f>
        <v>Emlin Rommens</v>
      </c>
      <c r="K523" t="str">
        <f>IF(Worksheet!P523&lt;&gt;"",Worksheet!P523,IF(Worksheet!R523&lt;&gt;"",Worksheet!R523,IF(Worksheet!T523&lt;&gt;"",Worksheet!T523,"")))</f>
        <v>pieterrommens@hotmail.be</v>
      </c>
      <c r="L523" t="str">
        <f>IF(AND(Worksheet!V523&lt;&gt;"",Worksheet!V523&lt;&gt;0),Worksheet!V523&amp;"",IF(AND(Worksheet!X523&lt;&gt;"",Worksheet!X523&lt;&gt;0),Worksheet!X523&amp;"",IF(AND(Worksheet!Z523&lt;&gt;"",Worksheet!Z523&lt;&gt;0),Worksheet!Z523&amp;"","")))</f>
        <v>32470513652</v>
      </c>
      <c r="M523" t="str">
        <f>IF(Worksheet!AE523="","",Worksheet!AE523)</f>
        <v>https://app.twizzit.com/public/photos/2650641/s/248b205ecc69fd455c13ac7cc9deb76d11e361a0.png</v>
      </c>
      <c r="N523">
        <f>IF(Worksheet!AG523="","",Worksheet!AG523)</f>
        <v>742358</v>
      </c>
      <c r="O523" t="str">
        <f>IF(Worksheet!AJ523="","",Worksheet!AJ523)</f>
        <v>M14 A Haantjes CERTIFISC  Oudenaarde</v>
      </c>
      <c r="P523" t="str">
        <f>IF(Worksheet!AK523="","",Worksheet!AK523)</f>
        <v>Speler</v>
      </c>
    </row>
    <row r="524" spans="5:16" x14ac:dyDescent="0.25">
      <c r="E524" s="2"/>
      <c r="J524" t="str">
        <f>Worksheet!C524&amp;" "&amp;Worksheet!B524</f>
        <v>Pieter Rommens</v>
      </c>
      <c r="K524" t="str">
        <f>IF(Worksheet!P524&lt;&gt;"",Worksheet!P524,IF(Worksheet!R524&lt;&gt;"",Worksheet!R524,IF(Worksheet!T524&lt;&gt;"",Worksheet!T524,"")))</f>
        <v/>
      </c>
      <c r="L524" t="str">
        <f>IF(AND(Worksheet!V524&lt;&gt;"",Worksheet!V524&lt;&gt;0),Worksheet!V524&amp;"",IF(AND(Worksheet!X524&lt;&gt;"",Worksheet!X524&lt;&gt;0),Worksheet!X524&amp;"",IF(AND(Worksheet!Z524&lt;&gt;"",Worksheet!Z524&lt;&gt;0),Worksheet!Z524&amp;"","")))</f>
        <v>498840277</v>
      </c>
      <c r="M524" t="str">
        <f>IF(Worksheet!AE524="","",Worksheet!AE524)</f>
        <v/>
      </c>
      <c r="N524" t="str">
        <f>IF(Worksheet!AG524="","",Worksheet!AG524)</f>
        <v/>
      </c>
      <c r="O524" t="str">
        <f>IF(Worksheet!AJ524="","",Worksheet!AJ524)</f>
        <v/>
      </c>
      <c r="P524" t="str">
        <f>IF(Worksheet!AK524="","",Worksheet!AK524)</f>
        <v/>
      </c>
    </row>
    <row r="525" spans="5:16" x14ac:dyDescent="0.25">
      <c r="E525" s="2"/>
      <c r="J525" t="str">
        <f>Worksheet!C525&amp;" "&amp;Worksheet!B525</f>
        <v>Thibaut Sadaune</v>
      </c>
      <c r="K525" t="str">
        <f>IF(Worksheet!P525&lt;&gt;"",Worksheet!P525,IF(Worksheet!R525&lt;&gt;"",Worksheet!R525,IF(Worksheet!T525&lt;&gt;"",Worksheet!T525,"")))</f>
        <v>bartsadaune@hotmail.com</v>
      </c>
      <c r="L525" t="str">
        <f>IF(AND(Worksheet!V525&lt;&gt;"",Worksheet!V525&lt;&gt;0),Worksheet!V525&amp;"",IF(AND(Worksheet!X525&lt;&gt;"",Worksheet!X525&lt;&gt;0),Worksheet!X525&amp;"",IF(AND(Worksheet!Z525&lt;&gt;"",Worksheet!Z525&lt;&gt;0),Worksheet!Z525&amp;"","")))</f>
        <v>32494904656</v>
      </c>
      <c r="M525" t="str">
        <f>IF(Worksheet!AE525="","",Worksheet!AE525)</f>
        <v>https://app.twizzit.com/public/photos/8418475/s/c44854e7fe4ecdd14617bb0fe2e99a30f0cedc15.jpeg</v>
      </c>
      <c r="N525" t="str">
        <f>IF(Worksheet!AG525="","",Worksheet!AG525)</f>
        <v/>
      </c>
      <c r="O525" t="str">
        <f>IF(Worksheet!AJ525="","",Worksheet!AJ525)</f>
        <v>G08 Blauw HAANTJES CERTIFISC OUDENAARDE</v>
      </c>
      <c r="P525" t="str">
        <f>IF(Worksheet!AK525="","",Worksheet!AK525)</f>
        <v>Speler</v>
      </c>
    </row>
    <row r="526" spans="5:16" x14ac:dyDescent="0.25">
      <c r="E526" s="2"/>
      <c r="J526" t="str">
        <f>Worksheet!C526&amp;" "&amp;Worksheet!B526</f>
        <v>Jack Saerens</v>
      </c>
      <c r="K526" t="str">
        <f>IF(Worksheet!P526&lt;&gt;"",Worksheet!P526,IF(Worksheet!R526&lt;&gt;"",Worksheet!R526,IF(Worksheet!T526&lt;&gt;"",Worksheet!T526,"")))</f>
        <v/>
      </c>
      <c r="L526" t="str">
        <f>IF(AND(Worksheet!V526&lt;&gt;"",Worksheet!V526&lt;&gt;0),Worksheet!V526&amp;"",IF(AND(Worksheet!X526&lt;&gt;"",Worksheet!X526&lt;&gt;0),Worksheet!X526&amp;"",IF(AND(Worksheet!Z526&lt;&gt;"",Worksheet!Z526&lt;&gt;0),Worksheet!Z526&amp;"","")))</f>
        <v>0472659326</v>
      </c>
      <c r="M526" t="str">
        <f>IF(Worksheet!AE526="","",Worksheet!AE526)</f>
        <v>https://app.twizzit.com/public/photos/3475134/s/78bd944a9e8b36fe65d592312d1522f18bbf3e32.png</v>
      </c>
      <c r="N526" t="str">
        <f>IF(Worksheet!AG526="","",Worksheet!AG526)</f>
        <v/>
      </c>
      <c r="O526" t="str">
        <f>IF(Worksheet!AJ526="","",Worksheet!AJ526)</f>
        <v>G10 Geel HAANTJES CERTIFISC OUDENAARDE</v>
      </c>
      <c r="P526" t="str">
        <f>IF(Worksheet!AK526="","",Worksheet!AK526)</f>
        <v>Speler</v>
      </c>
    </row>
    <row r="527" spans="5:16" x14ac:dyDescent="0.25">
      <c r="E527" s="2"/>
      <c r="J527" t="str">
        <f>Worksheet!C527&amp;" "&amp;Worksheet!B527</f>
        <v>Mathis Salembier</v>
      </c>
      <c r="K527" t="str">
        <f>IF(Worksheet!P527&lt;&gt;"",Worksheet!P527,IF(Worksheet!R527&lt;&gt;"",Worksheet!R527,IF(Worksheet!T527&lt;&gt;"",Worksheet!T527,"")))</f>
        <v/>
      </c>
      <c r="L527" t="str">
        <f>IF(AND(Worksheet!V527&lt;&gt;"",Worksheet!V527&lt;&gt;0),Worksheet!V527&amp;"",IF(AND(Worksheet!X527&lt;&gt;"",Worksheet!X527&lt;&gt;0),Worksheet!X527&amp;"",IF(AND(Worksheet!Z527&lt;&gt;"",Worksheet!Z527&lt;&gt;0),Worksheet!Z527&amp;"","")))</f>
        <v>0476700611</v>
      </c>
      <c r="M527" t="str">
        <f>IF(Worksheet!AE527="","",Worksheet!AE527)</f>
        <v/>
      </c>
      <c r="N527" t="str">
        <f>IF(Worksheet!AG527="","",Worksheet!AG527)</f>
        <v/>
      </c>
      <c r="O527" t="str">
        <f>IF(Worksheet!AJ527="","",Worksheet!AJ527)</f>
        <v/>
      </c>
      <c r="P527" t="str">
        <f>IF(Worksheet!AK527="","",Worksheet!AK527)</f>
        <v/>
      </c>
    </row>
    <row r="528" spans="5:16" x14ac:dyDescent="0.25">
      <c r="E528" s="2"/>
      <c r="J528" t="str">
        <f>Worksheet!C528&amp;" "&amp;Worksheet!B528</f>
        <v>Elisabeth Saveyn</v>
      </c>
      <c r="K528" t="str">
        <f>IF(Worksheet!P528&lt;&gt;"",Worksheet!P528,IF(Worksheet!R528&lt;&gt;"",Worksheet!R528,IF(Worksheet!T528&lt;&gt;"",Worksheet!T528,"")))</f>
        <v>moonvanneste@hotmail.com</v>
      </c>
      <c r="L528" t="str">
        <f>IF(AND(Worksheet!V528&lt;&gt;"",Worksheet!V528&lt;&gt;0),Worksheet!V528&amp;"",IF(AND(Worksheet!X528&lt;&gt;"",Worksheet!X528&lt;&gt;0),Worksheet!X528&amp;"",IF(AND(Worksheet!Z528&lt;&gt;"",Worksheet!Z528&lt;&gt;0),Worksheet!Z528&amp;"","")))</f>
        <v>0496392369</v>
      </c>
      <c r="M528" t="str">
        <f>IF(Worksheet!AE528="","",Worksheet!AE528)</f>
        <v/>
      </c>
      <c r="N528" t="str">
        <f>IF(Worksheet!AG528="","",Worksheet!AG528)</f>
        <v/>
      </c>
      <c r="O528" t="str">
        <f>IF(Worksheet!AJ528="","",Worksheet!AJ528)</f>
        <v>M16 A Haantjes CERTIFISC  Oudenaarde</v>
      </c>
      <c r="P528" t="str">
        <f>IF(Worksheet!AK528="","",Worksheet!AK528)</f>
        <v>Speler</v>
      </c>
    </row>
    <row r="529" spans="5:16" x14ac:dyDescent="0.25">
      <c r="E529" s="2"/>
      <c r="J529" t="str">
        <f>Worksheet!C529&amp;" "&amp;Worksheet!B529</f>
        <v>Elisabeth Saveyn</v>
      </c>
      <c r="K529" t="str">
        <f>IF(Worksheet!P529&lt;&gt;"",Worksheet!P529,IF(Worksheet!R529&lt;&gt;"",Worksheet!R529,IF(Worksheet!T529&lt;&gt;"",Worksheet!T529,"")))</f>
        <v>moonvanneste@hotmail.com</v>
      </c>
      <c r="L529" t="str">
        <f>IF(AND(Worksheet!V529&lt;&gt;"",Worksheet!V529&lt;&gt;0),Worksheet!V529&amp;"",IF(AND(Worksheet!X529&lt;&gt;"",Worksheet!X529&lt;&gt;0),Worksheet!X529&amp;"",IF(AND(Worksheet!Z529&lt;&gt;"",Worksheet!Z529&lt;&gt;0),Worksheet!Z529&amp;"","")))</f>
        <v>0496392369</v>
      </c>
      <c r="M529" t="str">
        <f>IF(Worksheet!AE529="","",Worksheet!AE529)</f>
        <v/>
      </c>
      <c r="N529" t="str">
        <f>IF(Worksheet!AG529="","",Worksheet!AG529)</f>
        <v/>
      </c>
      <c r="O529" t="str">
        <f>IF(Worksheet!AJ529="","",Worksheet!AJ529)</f>
        <v>Zomerstage 2026 (Blankenberge)</v>
      </c>
      <c r="P529" t="str">
        <f>IF(Worksheet!AK529="","",Worksheet!AK529)</f>
        <v>Speler</v>
      </c>
    </row>
    <row r="530" spans="5:16" x14ac:dyDescent="0.25">
      <c r="E530" s="2"/>
      <c r="J530" t="str">
        <f>Worksheet!C530&amp;" "&amp;Worksheet!B530</f>
        <v>Alexander Schmitt</v>
      </c>
      <c r="K530" t="str">
        <f>IF(Worksheet!P530&lt;&gt;"",Worksheet!P530,IF(Worksheet!R530&lt;&gt;"",Worksheet!R530,IF(Worksheet!T530&lt;&gt;"",Worksheet!T530,"")))</f>
        <v/>
      </c>
      <c r="L530" t="str">
        <f>IF(AND(Worksheet!V530&lt;&gt;"",Worksheet!V530&lt;&gt;0),Worksheet!V530&amp;"",IF(AND(Worksheet!X530&lt;&gt;"",Worksheet!X530&lt;&gt;0),Worksheet!X530&amp;"",IF(AND(Worksheet!Z530&lt;&gt;"",Worksheet!Z530&lt;&gt;0),Worksheet!Z530&amp;"","")))</f>
        <v/>
      </c>
      <c r="M530" t="str">
        <f>IF(Worksheet!AE530="","",Worksheet!AE530)</f>
        <v/>
      </c>
      <c r="N530" t="str">
        <f>IF(Worksheet!AG530="","",Worksheet!AG530)</f>
        <v/>
      </c>
      <c r="O530" t="str">
        <f>IF(Worksheet!AJ530="","",Worksheet!AJ530)</f>
        <v/>
      </c>
      <c r="P530" t="str">
        <f>IF(Worksheet!AK530="","",Worksheet!AK530)</f>
        <v/>
      </c>
    </row>
    <row r="531" spans="5:16" x14ac:dyDescent="0.25">
      <c r="E531" s="2"/>
      <c r="J531" t="str">
        <f>Worksheet!C531&amp;" "&amp;Worksheet!B531</f>
        <v>Nona Schmitt</v>
      </c>
      <c r="K531" t="str">
        <f>IF(Worksheet!P531&lt;&gt;"",Worksheet!P531,IF(Worksheet!R531&lt;&gt;"",Worksheet!R531,IF(Worksheet!T531&lt;&gt;"",Worksheet!T531,"")))</f>
        <v>marie.boullart@hotmail.com</v>
      </c>
      <c r="L531" t="str">
        <f>IF(AND(Worksheet!V531&lt;&gt;"",Worksheet!V531&lt;&gt;0),Worksheet!V531&amp;"",IF(AND(Worksheet!X531&lt;&gt;"",Worksheet!X531&lt;&gt;0),Worksheet!X531&amp;"",IF(AND(Worksheet!Z531&lt;&gt;"",Worksheet!Z531&lt;&gt;0),Worksheet!Z531&amp;"","")))</f>
        <v>0473761554</v>
      </c>
      <c r="M531" t="str">
        <f>IF(Worksheet!AE531="","",Worksheet!AE531)</f>
        <v/>
      </c>
      <c r="N531" t="str">
        <f>IF(Worksheet!AG531="","",Worksheet!AG531)</f>
        <v/>
      </c>
      <c r="O531" t="str">
        <f>IF(Worksheet!AJ531="","",Worksheet!AJ531)</f>
        <v>M16 A Haantjes CERTIFISC  Oudenaarde</v>
      </c>
      <c r="P531" t="str">
        <f>IF(Worksheet!AK531="","",Worksheet!AK531)</f>
        <v>Speler</v>
      </c>
    </row>
    <row r="532" spans="5:16" x14ac:dyDescent="0.25">
      <c r="E532" s="2"/>
      <c r="J532" t="str">
        <f>Worksheet!C532&amp;" "&amp;Worksheet!B532</f>
        <v>Nona Schmitt</v>
      </c>
      <c r="K532" t="str">
        <f>IF(Worksheet!P532&lt;&gt;"",Worksheet!P532,IF(Worksheet!R532&lt;&gt;"",Worksheet!R532,IF(Worksheet!T532&lt;&gt;"",Worksheet!T532,"")))</f>
        <v>marie.boullart@hotmail.com</v>
      </c>
      <c r="L532" t="str">
        <f>IF(AND(Worksheet!V532&lt;&gt;"",Worksheet!V532&lt;&gt;0),Worksheet!V532&amp;"",IF(AND(Worksheet!X532&lt;&gt;"",Worksheet!X532&lt;&gt;0),Worksheet!X532&amp;"",IF(AND(Worksheet!Z532&lt;&gt;"",Worksheet!Z532&lt;&gt;0),Worksheet!Z532&amp;"","")))</f>
        <v>0473761554</v>
      </c>
      <c r="M532" t="str">
        <f>IF(Worksheet!AE532="","",Worksheet!AE532)</f>
        <v/>
      </c>
      <c r="N532" t="str">
        <f>IF(Worksheet!AG532="","",Worksheet!AG532)</f>
        <v/>
      </c>
      <c r="O532" t="str">
        <f>IF(Worksheet!AJ532="","",Worksheet!AJ532)</f>
        <v>Zomerstage 2026 (Blankenberge)</v>
      </c>
      <c r="P532" t="str">
        <f>IF(Worksheet!AK532="","",Worksheet!AK532)</f>
        <v>Speler</v>
      </c>
    </row>
    <row r="533" spans="5:16" x14ac:dyDescent="0.25">
      <c r="E533" s="2"/>
      <c r="J533" t="str">
        <f>Worksheet!C533&amp;" "&amp;Worksheet!B533</f>
        <v>Ziano Schoenmaekers</v>
      </c>
      <c r="K533" t="str">
        <f>IF(Worksheet!P533&lt;&gt;"",Worksheet!P533,IF(Worksheet!R533&lt;&gt;"",Worksheet!R533,IF(Worksheet!T533&lt;&gt;"",Worksheet!T533,"")))</f>
        <v>pedro.schoenmaekers@hotmail.com</v>
      </c>
      <c r="L533" t="str">
        <f>IF(AND(Worksheet!V533&lt;&gt;"",Worksheet!V533&lt;&gt;0),Worksheet!V533&amp;"",IF(AND(Worksheet!X533&lt;&gt;"",Worksheet!X533&lt;&gt;0),Worksheet!X533&amp;"",IF(AND(Worksheet!Z533&lt;&gt;"",Worksheet!Z533&lt;&gt;0),Worksheet!Z533&amp;"","")))</f>
        <v>0476935877</v>
      </c>
      <c r="M533" t="str">
        <f>IF(Worksheet!AE533="","",Worksheet!AE533)</f>
        <v>https://app.twizzit.com/public/photos/2650796/s/806ce17769fd3d29fc435d865a5b302b6c25c6ca.png</v>
      </c>
      <c r="N533">
        <f>IF(Worksheet!AG533="","",Worksheet!AG533)</f>
        <v>743241</v>
      </c>
      <c r="O533" t="str">
        <f>IF(Worksheet!AJ533="","",Worksheet!AJ533)</f>
        <v>J18 B Haantjes CERTIFISC Oudenaarde</v>
      </c>
      <c r="P533" t="str">
        <f>IF(Worksheet!AK533="","",Worksheet!AK533)</f>
        <v>Speler</v>
      </c>
    </row>
    <row r="534" spans="5:16" x14ac:dyDescent="0.25">
      <c r="E534" s="2"/>
      <c r="J534" t="str">
        <f>Worksheet!C534&amp;" "&amp;Worksheet!B534</f>
        <v>Ziano Schoenmaekers</v>
      </c>
      <c r="K534" t="str">
        <f>IF(Worksheet!P534&lt;&gt;"",Worksheet!P534,IF(Worksheet!R534&lt;&gt;"",Worksheet!R534,IF(Worksheet!T534&lt;&gt;"",Worksheet!T534,"")))</f>
        <v>pedro.schoenmaekers@hotmail.com</v>
      </c>
      <c r="L534" t="str">
        <f>IF(AND(Worksheet!V534&lt;&gt;"",Worksheet!V534&lt;&gt;0),Worksheet!V534&amp;"",IF(AND(Worksheet!X534&lt;&gt;"",Worksheet!X534&lt;&gt;0),Worksheet!X534&amp;"",IF(AND(Worksheet!Z534&lt;&gt;"",Worksheet!Z534&lt;&gt;0),Worksheet!Z534&amp;"","")))</f>
        <v>0476935877</v>
      </c>
      <c r="M534" t="str">
        <f>IF(Worksheet!AE534="","",Worksheet!AE534)</f>
        <v>https://app.twizzit.com/public/photos/2650796/s/806ce17769fd3d29fc435d865a5b302b6c25c6ca.png</v>
      </c>
      <c r="N534">
        <f>IF(Worksheet!AG534="","",Worksheet!AG534)</f>
        <v>743241</v>
      </c>
      <c r="O534" t="str">
        <f>IF(Worksheet!AJ534="","",Worksheet!AJ534)</f>
        <v>Zomerstage 2026 (Blankenberge)</v>
      </c>
      <c r="P534" t="str">
        <f>IF(Worksheet!AK534="","",Worksheet!AK534)</f>
        <v>Speler</v>
      </c>
    </row>
    <row r="535" spans="5:16" x14ac:dyDescent="0.25">
      <c r="E535" s="2"/>
      <c r="J535" t="str">
        <f>Worksheet!C535&amp;" "&amp;Worksheet!B535</f>
        <v>Sara Serlippens</v>
      </c>
      <c r="K535" t="str">
        <f>IF(Worksheet!P535&lt;&gt;"",Worksheet!P535,IF(Worksheet!R535&lt;&gt;"",Worksheet!R535,IF(Worksheet!T535&lt;&gt;"",Worksheet!T535,"")))</f>
        <v/>
      </c>
      <c r="L535" t="str">
        <f>IF(AND(Worksheet!V535&lt;&gt;"",Worksheet!V535&lt;&gt;0),Worksheet!V535&amp;"",IF(AND(Worksheet!X535&lt;&gt;"",Worksheet!X535&lt;&gt;0),Worksheet!X535&amp;"",IF(AND(Worksheet!Z535&lt;&gt;"",Worksheet!Z535&lt;&gt;0),Worksheet!Z535&amp;"","")))</f>
        <v/>
      </c>
      <c r="M535" t="str">
        <f>IF(Worksheet!AE535="","",Worksheet!AE535)</f>
        <v/>
      </c>
      <c r="N535">
        <f>IF(Worksheet!AG535="","",Worksheet!AG535)</f>
        <v>189524</v>
      </c>
      <c r="O535" t="str">
        <f>IF(Worksheet!AJ535="","",Worksheet!AJ535)</f>
        <v/>
      </c>
      <c r="P535" t="str">
        <f>IF(Worksheet!AK535="","",Worksheet!AK535)</f>
        <v/>
      </c>
    </row>
    <row r="536" spans="5:16" x14ac:dyDescent="0.25">
      <c r="E536" s="2"/>
      <c r="J536" t="str">
        <f>Worksheet!C536&amp;" "&amp;Worksheet!B536</f>
        <v>Liezelot Simoens</v>
      </c>
      <c r="K536" t="str">
        <f>IF(Worksheet!P536&lt;&gt;"",Worksheet!P536,IF(Worksheet!R536&lt;&gt;"",Worksheet!R536,IF(Worksheet!T536&lt;&gt;"",Worksheet!T536,"")))</f>
        <v/>
      </c>
      <c r="L536" t="str">
        <f>IF(AND(Worksheet!V536&lt;&gt;"",Worksheet!V536&lt;&gt;0),Worksheet!V536&amp;"",IF(AND(Worksheet!X536&lt;&gt;"",Worksheet!X536&lt;&gt;0),Worksheet!X536&amp;"",IF(AND(Worksheet!Z536&lt;&gt;"",Worksheet!Z536&lt;&gt;0),Worksheet!Z536&amp;"","")))</f>
        <v>0474339019</v>
      </c>
      <c r="M536" t="str">
        <f>IF(Worksheet!AE536="","",Worksheet!AE536)</f>
        <v/>
      </c>
      <c r="N536">
        <f>IF(Worksheet!AG536="","",Worksheet!AG536)</f>
        <v>744352</v>
      </c>
      <c r="O536" t="str">
        <f>IF(Worksheet!AJ536="","",Worksheet!AJ536)</f>
        <v/>
      </c>
      <c r="P536" t="str">
        <f>IF(Worksheet!AK536="","",Worksheet!AK536)</f>
        <v/>
      </c>
    </row>
    <row r="537" spans="5:16" x14ac:dyDescent="0.25">
      <c r="E537" s="2"/>
      <c r="J537" t="str">
        <f>Worksheet!C537&amp;" "&amp;Worksheet!B537</f>
        <v>Tijs Simoens</v>
      </c>
      <c r="K537" t="str">
        <f>IF(Worksheet!P537&lt;&gt;"",Worksheet!P537,IF(Worksheet!R537&lt;&gt;"",Worksheet!R537,IF(Worksheet!T537&lt;&gt;"",Worksheet!T537,"")))</f>
        <v/>
      </c>
      <c r="L537" t="str">
        <f>IF(AND(Worksheet!V537&lt;&gt;"",Worksheet!V537&lt;&gt;0),Worksheet!V537&amp;"",IF(AND(Worksheet!X537&lt;&gt;"",Worksheet!X537&lt;&gt;0),Worksheet!X537&amp;"",IF(AND(Worksheet!Z537&lt;&gt;"",Worksheet!Z537&lt;&gt;0),Worksheet!Z537&amp;"","")))</f>
        <v/>
      </c>
      <c r="M537" t="str">
        <f>IF(Worksheet!AE537="","",Worksheet!AE537)</f>
        <v/>
      </c>
      <c r="N537">
        <f>IF(Worksheet!AG537="","",Worksheet!AG537)</f>
        <v>247353</v>
      </c>
      <c r="O537" t="str">
        <f>IF(Worksheet!AJ537="","",Worksheet!AJ537)</f>
        <v/>
      </c>
      <c r="P537" t="str">
        <f>IF(Worksheet!AK537="","",Worksheet!AK537)</f>
        <v/>
      </c>
    </row>
    <row r="538" spans="5:16" x14ac:dyDescent="0.25">
      <c r="E538" s="2"/>
      <c r="J538" t="str">
        <f>Worksheet!C538&amp;" "&amp;Worksheet!B538</f>
        <v>Elise Six</v>
      </c>
      <c r="K538" t="str">
        <f>IF(Worksheet!P538&lt;&gt;"",Worksheet!P538,IF(Worksheet!R538&lt;&gt;"",Worksheet!R538,IF(Worksheet!T538&lt;&gt;"",Worksheet!T538,"")))</f>
        <v/>
      </c>
      <c r="L538" t="str">
        <f>IF(AND(Worksheet!V538&lt;&gt;"",Worksheet!V538&lt;&gt;0),Worksheet!V538&amp;"",IF(AND(Worksheet!X538&lt;&gt;"",Worksheet!X538&lt;&gt;0),Worksheet!X538&amp;"",IF(AND(Worksheet!Z538&lt;&gt;"",Worksheet!Z538&lt;&gt;0),Worksheet!Z538&amp;"","")))</f>
        <v>0484846213</v>
      </c>
      <c r="M538" t="str">
        <f>IF(Worksheet!AE538="","",Worksheet!AE538)</f>
        <v/>
      </c>
      <c r="N538" t="str">
        <f>IF(Worksheet!AG538="","",Worksheet!AG538)</f>
        <v/>
      </c>
      <c r="O538" t="str">
        <f>IF(Worksheet!AJ538="","",Worksheet!AJ538)</f>
        <v/>
      </c>
      <c r="P538" t="str">
        <f>IF(Worksheet!AK538="","",Worksheet!AK538)</f>
        <v/>
      </c>
    </row>
    <row r="539" spans="5:16" x14ac:dyDescent="0.25">
      <c r="E539" s="2"/>
      <c r="J539" t="str">
        <f>Worksheet!C539&amp;" "&amp;Worksheet!B539</f>
        <v>Alba Slembrouck</v>
      </c>
      <c r="K539" t="str">
        <f>IF(Worksheet!P539&lt;&gt;"",Worksheet!P539,IF(Worksheet!R539&lt;&gt;"",Worksheet!R539,IF(Worksheet!T539&lt;&gt;"",Worksheet!T539,"")))</f>
        <v>alexandra-kemp@hotmail.com</v>
      </c>
      <c r="L539" t="str">
        <f>IF(AND(Worksheet!V539&lt;&gt;"",Worksheet!V539&lt;&gt;0),Worksheet!V539&amp;"",IF(AND(Worksheet!X539&lt;&gt;"",Worksheet!X539&lt;&gt;0),Worksheet!X539&amp;"",IF(AND(Worksheet!Z539&lt;&gt;"",Worksheet!Z539&lt;&gt;0),Worksheet!Z539&amp;"","")))</f>
        <v>00472902002</v>
      </c>
      <c r="M539" t="str">
        <f>IF(Worksheet!AE539="","",Worksheet!AE539)</f>
        <v/>
      </c>
      <c r="N539" t="str">
        <f>IF(Worksheet!AG539="","",Worksheet!AG539)</f>
        <v/>
      </c>
      <c r="O539" t="str">
        <f>IF(Worksheet!AJ539="","",Worksheet!AJ539)</f>
        <v>Balschool U6</v>
      </c>
      <c r="P539" t="str">
        <f>IF(Worksheet!AK539="","",Worksheet!AK539)</f>
        <v>Speler</v>
      </c>
    </row>
    <row r="540" spans="5:16" x14ac:dyDescent="0.25">
      <c r="E540" s="2"/>
      <c r="J540" t="str">
        <f>Worksheet!C540&amp;" "&amp;Worksheet!B540</f>
        <v>Romée Slembrouck</v>
      </c>
      <c r="K540" t="str">
        <f>IF(Worksheet!P540&lt;&gt;"",Worksheet!P540,IF(Worksheet!R540&lt;&gt;"",Worksheet!R540,IF(Worksheet!T540&lt;&gt;"",Worksheet!T540,"")))</f>
        <v>alexandra-kemp@hotmail.com</v>
      </c>
      <c r="L540" t="str">
        <f>IF(AND(Worksheet!V540&lt;&gt;"",Worksheet!V540&lt;&gt;0),Worksheet!V540&amp;"",IF(AND(Worksheet!X540&lt;&gt;"",Worksheet!X540&lt;&gt;0),Worksheet!X540&amp;"",IF(AND(Worksheet!Z540&lt;&gt;"",Worksheet!Z540&lt;&gt;0),Worksheet!Z540&amp;"","")))</f>
        <v>0472902002</v>
      </c>
      <c r="M540" t="str">
        <f>IF(Worksheet!AE540="","",Worksheet!AE540)</f>
        <v>https://app.twizzit.com/public/photos/7328316/s/d832d97a4d222f65f11eb5051494f0f7bb0f899d.png</v>
      </c>
      <c r="N540" t="str">
        <f>IF(Worksheet!AG540="","",Worksheet!AG540)</f>
        <v/>
      </c>
      <c r="O540" t="str">
        <f>IF(Worksheet!AJ540="","",Worksheet!AJ540)</f>
        <v>G08 Groen HAANTJES CERTIFISC OUDENAARDE</v>
      </c>
      <c r="P540" t="str">
        <f>IF(Worksheet!AK540="","",Worksheet!AK540)</f>
        <v>Speler</v>
      </c>
    </row>
    <row r="541" spans="5:16" x14ac:dyDescent="0.25">
      <c r="E541" s="2"/>
      <c r="J541" t="str">
        <f>Worksheet!C541&amp;" "&amp;Worksheet!B541</f>
        <v>Filip Snauwaert</v>
      </c>
      <c r="K541" t="str">
        <f>IF(Worksheet!P541&lt;&gt;"",Worksheet!P541,IF(Worksheet!R541&lt;&gt;"",Worksheet!R541,IF(Worksheet!T541&lt;&gt;"",Worksheet!T541,"")))</f>
        <v/>
      </c>
      <c r="L541" t="str">
        <f>IF(AND(Worksheet!V541&lt;&gt;"",Worksheet!V541&lt;&gt;0),Worksheet!V541&amp;"",IF(AND(Worksheet!X541&lt;&gt;"",Worksheet!X541&lt;&gt;0),Worksheet!X541&amp;"",IF(AND(Worksheet!Z541&lt;&gt;"",Worksheet!Z541&lt;&gt;0),Worksheet!Z541&amp;"","")))</f>
        <v/>
      </c>
      <c r="M541" t="str">
        <f>IF(Worksheet!AE541="","",Worksheet!AE541)</f>
        <v/>
      </c>
      <c r="N541" t="str">
        <f>IF(Worksheet!AG541="","",Worksheet!AG541)</f>
        <v/>
      </c>
      <c r="O541" t="str">
        <f>IF(Worksheet!AJ541="","",Worksheet!AJ541)</f>
        <v/>
      </c>
      <c r="P541" t="str">
        <f>IF(Worksheet!AK541="","",Worksheet!AK541)</f>
        <v/>
      </c>
    </row>
    <row r="542" spans="5:16" x14ac:dyDescent="0.25">
      <c r="E542" s="2"/>
      <c r="J542" t="str">
        <f>Worksheet!C542&amp;" "&amp;Worksheet!B542</f>
        <v>Zian Snauwaert</v>
      </c>
      <c r="K542" t="str">
        <f>IF(Worksheet!P542&lt;&gt;"",Worksheet!P542,IF(Worksheet!R542&lt;&gt;"",Worksheet!R542,IF(Worksheet!T542&lt;&gt;"",Worksheet!T542,"")))</f>
        <v>filipodimarco@hotmail.com</v>
      </c>
      <c r="L542" t="str">
        <f>IF(AND(Worksheet!V542&lt;&gt;"",Worksheet!V542&lt;&gt;0),Worksheet!V542&amp;"",IF(AND(Worksheet!X542&lt;&gt;"",Worksheet!X542&lt;&gt;0),Worksheet!X542&amp;"",IF(AND(Worksheet!Z542&lt;&gt;"",Worksheet!Z542&lt;&gt;0),Worksheet!Z542&amp;"","")))</f>
        <v>0473633638</v>
      </c>
      <c r="M542" t="str">
        <f>IF(Worksheet!AE542="","",Worksheet!AE542)</f>
        <v/>
      </c>
      <c r="N542" t="str">
        <f>IF(Worksheet!AG542="","",Worksheet!AG542)</f>
        <v/>
      </c>
      <c r="O542" t="str">
        <f>IF(Worksheet!AJ542="","",Worksheet!AJ542)</f>
        <v/>
      </c>
      <c r="P542" t="str">
        <f>IF(Worksheet!AK542="","",Worksheet!AK542)</f>
        <v/>
      </c>
    </row>
    <row r="543" spans="5:16" x14ac:dyDescent="0.25">
      <c r="E543" s="2"/>
      <c r="J543" t="str">
        <f>Worksheet!C543&amp;" "&amp;Worksheet!B543</f>
        <v>Robin Spaens</v>
      </c>
      <c r="K543" t="str">
        <f>IF(Worksheet!P543&lt;&gt;"",Worksheet!P543,IF(Worksheet!R543&lt;&gt;"",Worksheet!R543,IF(Worksheet!T543&lt;&gt;"",Worksheet!T543,"")))</f>
        <v/>
      </c>
      <c r="L543" t="str">
        <f>IF(AND(Worksheet!V543&lt;&gt;"",Worksheet!V543&lt;&gt;0),Worksheet!V543&amp;"",IF(AND(Worksheet!X543&lt;&gt;"",Worksheet!X543&lt;&gt;0),Worksheet!X543&amp;"",IF(AND(Worksheet!Z543&lt;&gt;"",Worksheet!Z543&lt;&gt;0),Worksheet!Z543&amp;"","")))</f>
        <v>0476359988</v>
      </c>
      <c r="M543" t="str">
        <f>IF(Worksheet!AE543="","",Worksheet!AE543)</f>
        <v/>
      </c>
      <c r="N543">
        <f>IF(Worksheet!AG543="","",Worksheet!AG543)</f>
        <v>234515</v>
      </c>
      <c r="O543" t="str">
        <f>IF(Worksheet!AJ543="","",Worksheet!AJ543)</f>
        <v>HSE A Haantjes Certifisc Oudenaarde</v>
      </c>
      <c r="P543" t="str">
        <f>IF(Worksheet!AK543="","",Worksheet!AK543)</f>
        <v>Speler</v>
      </c>
    </row>
    <row r="544" spans="5:16" x14ac:dyDescent="0.25">
      <c r="E544" s="2"/>
      <c r="J544" t="str">
        <f>Worksheet!C544&amp;" "&amp;Worksheet!B544</f>
        <v>Freya Spiessens</v>
      </c>
      <c r="K544" t="str">
        <f>IF(Worksheet!P544&lt;&gt;"",Worksheet!P544,IF(Worksheet!R544&lt;&gt;"",Worksheet!R544,IF(Worksheet!T544&lt;&gt;"",Worksheet!T544,"")))</f>
        <v/>
      </c>
      <c r="L544" t="str">
        <f>IF(AND(Worksheet!V544&lt;&gt;"",Worksheet!V544&lt;&gt;0),Worksheet!V544&amp;"",IF(AND(Worksheet!X544&lt;&gt;"",Worksheet!X544&lt;&gt;0),Worksheet!X544&amp;"",IF(AND(Worksheet!Z544&lt;&gt;"",Worksheet!Z544&lt;&gt;0),Worksheet!Z544&amp;"","")))</f>
        <v>32476837352</v>
      </c>
      <c r="M544" t="str">
        <f>IF(Worksheet!AE544="","",Worksheet!AE544)</f>
        <v>https://app.twizzit.com/public/photos/4061488/s/f7edd2a5fa67fe1f3ca653726f4b897e5aed79a4.jpeg</v>
      </c>
      <c r="N544">
        <f>IF(Worksheet!AG544="","",Worksheet!AG544)</f>
        <v>750073</v>
      </c>
      <c r="O544" t="str">
        <f>IF(Worksheet!AJ544="","",Worksheet!AJ544)</f>
        <v/>
      </c>
      <c r="P544" t="str">
        <f>IF(Worksheet!AK544="","",Worksheet!AK544)</f>
        <v/>
      </c>
    </row>
    <row r="545" spans="5:16" x14ac:dyDescent="0.25">
      <c r="E545" s="2"/>
      <c r="J545" t="str">
        <f>Worksheet!C545&amp;" "&amp;Worksheet!B545</f>
        <v>Freya Spiessens</v>
      </c>
      <c r="K545" t="str">
        <f>IF(Worksheet!P545&lt;&gt;"",Worksheet!P545,IF(Worksheet!R545&lt;&gt;"",Worksheet!R545,IF(Worksheet!T545&lt;&gt;"",Worksheet!T545,"")))</f>
        <v/>
      </c>
      <c r="L545" t="str">
        <f>IF(AND(Worksheet!V545&lt;&gt;"",Worksheet!V545&lt;&gt;0),Worksheet!V545&amp;"",IF(AND(Worksheet!X545&lt;&gt;"",Worksheet!X545&lt;&gt;0),Worksheet!X545&amp;"",IF(AND(Worksheet!Z545&lt;&gt;"",Worksheet!Z545&lt;&gt;0),Worksheet!Z545&amp;"","")))</f>
        <v>32476837352</v>
      </c>
      <c r="M545" t="str">
        <f>IF(Worksheet!AE545="","",Worksheet!AE545)</f>
        <v>https://app.twizzit.com/public/photos/4061488/s/f7edd2a5fa67fe1f3ca653726f4b897e5aed79a4.jpeg</v>
      </c>
      <c r="N545">
        <f>IF(Worksheet!AG545="","",Worksheet!AG545)</f>
        <v>750073</v>
      </c>
      <c r="O545" t="str">
        <f>IF(Worksheet!AJ545="","",Worksheet!AJ545)</f>
        <v/>
      </c>
      <c r="P545" t="str">
        <f>IF(Worksheet!AK545="","",Worksheet!AK545)</f>
        <v/>
      </c>
    </row>
    <row r="546" spans="5:16" x14ac:dyDescent="0.25">
      <c r="E546" s="2"/>
      <c r="J546" t="str">
        <f>Worksheet!C546&amp;" "&amp;Worksheet!B546</f>
        <v>Freya Spiessens</v>
      </c>
      <c r="K546" t="str">
        <f>IF(Worksheet!P546&lt;&gt;"",Worksheet!P546,IF(Worksheet!R546&lt;&gt;"",Worksheet!R546,IF(Worksheet!T546&lt;&gt;"",Worksheet!T546,"")))</f>
        <v/>
      </c>
      <c r="L546" t="str">
        <f>IF(AND(Worksheet!V546&lt;&gt;"",Worksheet!V546&lt;&gt;0),Worksheet!V546&amp;"",IF(AND(Worksheet!X546&lt;&gt;"",Worksheet!X546&lt;&gt;0),Worksheet!X546&amp;"",IF(AND(Worksheet!Z546&lt;&gt;"",Worksheet!Z546&lt;&gt;0),Worksheet!Z546&amp;"","")))</f>
        <v>32476837352</v>
      </c>
      <c r="M546" t="str">
        <f>IF(Worksheet!AE546="","",Worksheet!AE546)</f>
        <v>https://app.twizzit.com/public/photos/4061488/s/f7edd2a5fa67fe1f3ca653726f4b897e5aed79a4.jpeg</v>
      </c>
      <c r="N546">
        <f>IF(Worksheet!AG546="","",Worksheet!AG546)</f>
        <v>750073</v>
      </c>
      <c r="O546" t="str">
        <f>IF(Worksheet!AJ546="","",Worksheet!AJ546)</f>
        <v/>
      </c>
      <c r="P546" t="str">
        <f>IF(Worksheet!AK546="","",Worksheet!AK546)</f>
        <v/>
      </c>
    </row>
    <row r="547" spans="5:16" x14ac:dyDescent="0.25">
      <c r="E547" s="2"/>
      <c r="J547" t="str">
        <f>Worksheet!C547&amp;" "&amp;Worksheet!B547</f>
        <v>Freya Spiessens</v>
      </c>
      <c r="K547" t="str">
        <f>IF(Worksheet!P547&lt;&gt;"",Worksheet!P547,IF(Worksheet!R547&lt;&gt;"",Worksheet!R547,IF(Worksheet!T547&lt;&gt;"",Worksheet!T547,"")))</f>
        <v/>
      </c>
      <c r="L547" t="str">
        <f>IF(AND(Worksheet!V547&lt;&gt;"",Worksheet!V547&lt;&gt;0),Worksheet!V547&amp;"",IF(AND(Worksheet!X547&lt;&gt;"",Worksheet!X547&lt;&gt;0),Worksheet!X547&amp;"",IF(AND(Worksheet!Z547&lt;&gt;"",Worksheet!Z547&lt;&gt;0),Worksheet!Z547&amp;"","")))</f>
        <v>32476837352</v>
      </c>
      <c r="M547" t="str">
        <f>IF(Worksheet!AE547="","",Worksheet!AE547)</f>
        <v>https://app.twizzit.com/public/photos/4061488/s/f7edd2a5fa67fe1f3ca653726f4b897e5aed79a4.jpeg</v>
      </c>
      <c r="N547">
        <f>IF(Worksheet!AG547="","",Worksheet!AG547)</f>
        <v>750073</v>
      </c>
      <c r="O547" t="str">
        <f>IF(Worksheet!AJ547="","",Worksheet!AJ547)</f>
        <v/>
      </c>
      <c r="P547" t="str">
        <f>IF(Worksheet!AK547="","",Worksheet!AK547)</f>
        <v/>
      </c>
    </row>
    <row r="548" spans="5:16" x14ac:dyDescent="0.25">
      <c r="E548" s="2"/>
      <c r="J548" t="str">
        <f>Worksheet!C548&amp;" "&amp;Worksheet!B548</f>
        <v>Merel Spiessens</v>
      </c>
      <c r="K548" t="str">
        <f>IF(Worksheet!P548&lt;&gt;"",Worksheet!P548,IF(Worksheet!R548&lt;&gt;"",Worksheet!R548,IF(Worksheet!T548&lt;&gt;"",Worksheet!T548,"")))</f>
        <v>Me@opcd.net</v>
      </c>
      <c r="L548" t="str">
        <f>IF(AND(Worksheet!V548&lt;&gt;"",Worksheet!V548&lt;&gt;0),Worksheet!V548&amp;"",IF(AND(Worksheet!X548&lt;&gt;"",Worksheet!X548&lt;&gt;0),Worksheet!X548&amp;"",IF(AND(Worksheet!Z548&lt;&gt;"",Worksheet!Z548&lt;&gt;0),Worksheet!Z548&amp;"","")))</f>
        <v>0474655154</v>
      </c>
      <c r="M548" t="str">
        <f>IF(Worksheet!AE548="","",Worksheet!AE548)</f>
        <v>https://app.twizzit.com/public/photos/2183207/s/cd9fd40cf38cd1eb62df0198f102c2154c08c604.jpeg</v>
      </c>
      <c r="N548">
        <f>IF(Worksheet!AG548="","",Worksheet!AG548)</f>
        <v>721093</v>
      </c>
      <c r="O548" t="str">
        <f>IF(Worksheet!AJ548="","",Worksheet!AJ548)</f>
        <v>Zomerstage 2026 (Blankenberge)</v>
      </c>
      <c r="P548" t="str">
        <f>IF(Worksheet!AK548="","",Worksheet!AK548)</f>
        <v>Speler</v>
      </c>
    </row>
    <row r="549" spans="5:16" x14ac:dyDescent="0.25">
      <c r="E549" s="2"/>
      <c r="J549" t="str">
        <f>Worksheet!C549&amp;" "&amp;Worksheet!B549</f>
        <v>Merel Spiessens</v>
      </c>
      <c r="K549" t="str">
        <f>IF(Worksheet!P549&lt;&gt;"",Worksheet!P549,IF(Worksheet!R549&lt;&gt;"",Worksheet!R549,IF(Worksheet!T549&lt;&gt;"",Worksheet!T549,"")))</f>
        <v>Me@opcd.net</v>
      </c>
      <c r="L549" t="str">
        <f>IF(AND(Worksheet!V549&lt;&gt;"",Worksheet!V549&lt;&gt;0),Worksheet!V549&amp;"",IF(AND(Worksheet!X549&lt;&gt;"",Worksheet!X549&lt;&gt;0),Worksheet!X549&amp;"",IF(AND(Worksheet!Z549&lt;&gt;"",Worksheet!Z549&lt;&gt;0),Worksheet!Z549&amp;"","")))</f>
        <v>0474655154</v>
      </c>
      <c r="M549" t="str">
        <f>IF(Worksheet!AE549="","",Worksheet!AE549)</f>
        <v>https://app.twizzit.com/public/photos/2183207/s/cd9fd40cf38cd1eb62df0198f102c2154c08c604.jpeg</v>
      </c>
      <c r="N549">
        <f>IF(Worksheet!AG549="","",Worksheet!AG549)</f>
        <v>721093</v>
      </c>
      <c r="O549" t="str">
        <f>IF(Worksheet!AJ549="","",Worksheet!AJ549)</f>
        <v>M14 A Haantjes CERTIFISC  Oudenaarde</v>
      </c>
      <c r="P549" t="str">
        <f>IF(Worksheet!AK549="","",Worksheet!AK549)</f>
        <v>Speler</v>
      </c>
    </row>
    <row r="550" spans="5:16" x14ac:dyDescent="0.25">
      <c r="E550" s="2"/>
      <c r="J550" t="str">
        <f>Worksheet!C550&amp;" "&amp;Worksheet!B550</f>
        <v>Patrick Spileers</v>
      </c>
      <c r="K550" t="str">
        <f>IF(Worksheet!P550&lt;&gt;"",Worksheet!P550,IF(Worksheet!R550&lt;&gt;"",Worksheet!R550,IF(Worksheet!T550&lt;&gt;"",Worksheet!T550,"")))</f>
        <v/>
      </c>
      <c r="L550" t="str">
        <f>IF(AND(Worksheet!V550&lt;&gt;"",Worksheet!V550&lt;&gt;0),Worksheet!V550&amp;"",IF(AND(Worksheet!X550&lt;&gt;"",Worksheet!X550&lt;&gt;0),Worksheet!X550&amp;"",IF(AND(Worksheet!Z550&lt;&gt;"",Worksheet!Z550&lt;&gt;0),Worksheet!Z550&amp;"","")))</f>
        <v/>
      </c>
      <c r="M550" t="str">
        <f>IF(Worksheet!AE550="","",Worksheet!AE550)</f>
        <v/>
      </c>
      <c r="N550">
        <f>IF(Worksheet!AG550="","",Worksheet!AG550)</f>
        <v>607447</v>
      </c>
      <c r="O550" t="str">
        <f>IF(Worksheet!AJ550="","",Worksheet!AJ550)</f>
        <v/>
      </c>
      <c r="P550" t="str">
        <f>IF(Worksheet!AK550="","",Worksheet!AK550)</f>
        <v/>
      </c>
    </row>
    <row r="551" spans="5:16" x14ac:dyDescent="0.25">
      <c r="E551" s="2"/>
      <c r="J551" t="str">
        <f>Worksheet!C551&amp;" "&amp;Worksheet!B551</f>
        <v>Antoaneta Spiridon</v>
      </c>
      <c r="K551" t="str">
        <f>IF(Worksheet!P551&lt;&gt;"",Worksheet!P551,IF(Worksheet!R551&lt;&gt;"",Worksheet!R551,IF(Worksheet!T551&lt;&gt;"",Worksheet!T551,"")))</f>
        <v/>
      </c>
      <c r="L551" t="str">
        <f>IF(AND(Worksheet!V551&lt;&gt;"",Worksheet!V551&lt;&gt;0),Worksheet!V551&amp;"",IF(AND(Worksheet!X551&lt;&gt;"",Worksheet!X551&lt;&gt;0),Worksheet!X551&amp;"",IF(AND(Worksheet!Z551&lt;&gt;"",Worksheet!Z551&lt;&gt;0),Worksheet!Z551&amp;"","")))</f>
        <v/>
      </c>
      <c r="M551" t="str">
        <f>IF(Worksheet!AE551="","",Worksheet!AE551)</f>
        <v/>
      </c>
      <c r="N551" t="str">
        <f>IF(Worksheet!AG551="","",Worksheet!AG551)</f>
        <v/>
      </c>
      <c r="O551" t="str">
        <f>IF(Worksheet!AJ551="","",Worksheet!AJ551)</f>
        <v/>
      </c>
      <c r="P551" t="str">
        <f>IF(Worksheet!AK551="","",Worksheet!AK551)</f>
        <v/>
      </c>
    </row>
    <row r="552" spans="5:16" x14ac:dyDescent="0.25">
      <c r="E552" s="2"/>
      <c r="J552" t="str">
        <f>Worksheet!C552&amp;" "&amp;Worksheet!B552</f>
        <v>Elis Spiridon</v>
      </c>
      <c r="K552" t="str">
        <f>IF(Worksheet!P552&lt;&gt;"",Worksheet!P552,IF(Worksheet!R552&lt;&gt;"",Worksheet!R552,IF(Worksheet!T552&lt;&gt;"",Worksheet!T552,"")))</f>
        <v/>
      </c>
      <c r="L552" t="str">
        <f>IF(AND(Worksheet!V552&lt;&gt;"",Worksheet!V552&lt;&gt;0),Worksheet!V552&amp;"",IF(AND(Worksheet!X552&lt;&gt;"",Worksheet!X552&lt;&gt;0),Worksheet!X552&amp;"",IF(AND(Worksheet!Z552&lt;&gt;"",Worksheet!Z552&lt;&gt;0),Worksheet!Z552&amp;"","")))</f>
        <v>3260960209</v>
      </c>
      <c r="M552" t="str">
        <f>IF(Worksheet!AE552="","",Worksheet!AE552)</f>
        <v/>
      </c>
      <c r="N552">
        <f>IF(Worksheet!AG552="","",Worksheet!AG552)</f>
        <v>739986</v>
      </c>
      <c r="O552" t="str">
        <f>IF(Worksheet!AJ552="","",Worksheet!AJ552)</f>
        <v/>
      </c>
      <c r="P552" t="str">
        <f>IF(Worksheet!AK552="","",Worksheet!AK552)</f>
        <v/>
      </c>
    </row>
    <row r="553" spans="5:16" x14ac:dyDescent="0.25">
      <c r="E553" s="2"/>
      <c r="J553" t="str">
        <f>Worksheet!C553&amp;" "&amp;Worksheet!B553</f>
        <v>Magalie Stevens</v>
      </c>
      <c r="K553" t="str">
        <f>IF(Worksheet!P553&lt;&gt;"",Worksheet!P553,IF(Worksheet!R553&lt;&gt;"",Worksheet!R553,IF(Worksheet!T553&lt;&gt;"",Worksheet!T553,"")))</f>
        <v>safadorote3@gmail.com</v>
      </c>
      <c r="L553" t="str">
        <f>IF(AND(Worksheet!V553&lt;&gt;"",Worksheet!V553&lt;&gt;0),Worksheet!V553&amp;"",IF(AND(Worksheet!X553&lt;&gt;"",Worksheet!X553&lt;&gt;0),Worksheet!X553&amp;"",IF(AND(Worksheet!Z553&lt;&gt;"",Worksheet!Z553&lt;&gt;0),Worksheet!Z553&amp;"","")))</f>
        <v>0477968913</v>
      </c>
      <c r="M553" t="str">
        <f>IF(Worksheet!AE553="","",Worksheet!AE553)</f>
        <v/>
      </c>
      <c r="N553" t="str">
        <f>IF(Worksheet!AG553="","",Worksheet!AG553)</f>
        <v/>
      </c>
      <c r="O553" t="str">
        <f>IF(Worksheet!AJ553="","",Worksheet!AJ553)</f>
        <v>M10 HAANTJES CERTIFISC OUDENAARDE</v>
      </c>
      <c r="P553" t="str">
        <f>IF(Worksheet!AK553="","",Worksheet!AK553)</f>
        <v>Speler</v>
      </c>
    </row>
    <row r="554" spans="5:16" x14ac:dyDescent="0.25">
      <c r="E554" s="2"/>
      <c r="J554" t="str">
        <f>Worksheet!C554&amp;" "&amp;Worksheet!B554</f>
        <v>Magalie Stevens</v>
      </c>
      <c r="K554" t="str">
        <f>IF(Worksheet!P554&lt;&gt;"",Worksheet!P554,IF(Worksheet!R554&lt;&gt;"",Worksheet!R554,IF(Worksheet!T554&lt;&gt;"",Worksheet!T554,"")))</f>
        <v>safadorote3@gmail.com</v>
      </c>
      <c r="L554" t="str">
        <f>IF(AND(Worksheet!V554&lt;&gt;"",Worksheet!V554&lt;&gt;0),Worksheet!V554&amp;"",IF(AND(Worksheet!X554&lt;&gt;"",Worksheet!X554&lt;&gt;0),Worksheet!X554&amp;"",IF(AND(Worksheet!Z554&lt;&gt;"",Worksheet!Z554&lt;&gt;0),Worksheet!Z554&amp;"","")))</f>
        <v>0477968913</v>
      </c>
      <c r="M554" t="str">
        <f>IF(Worksheet!AE554="","",Worksheet!AE554)</f>
        <v/>
      </c>
      <c r="N554" t="str">
        <f>IF(Worksheet!AG554="","",Worksheet!AG554)</f>
        <v/>
      </c>
      <c r="O554" t="str">
        <f>IF(Worksheet!AJ554="","",Worksheet!AJ554)</f>
        <v>Zomerstage 2026 U10 &amp; U12 (Oudenaarde)</v>
      </c>
      <c r="P554" t="str">
        <f>IF(Worksheet!AK554="","",Worksheet!AK554)</f>
        <v>Speler</v>
      </c>
    </row>
    <row r="555" spans="5:16" x14ac:dyDescent="0.25">
      <c r="E555" s="2"/>
      <c r="J555" t="str">
        <f>Worksheet!C555&amp;" "&amp;Worksheet!B555</f>
        <v>Maiga Stevens</v>
      </c>
      <c r="K555" t="str">
        <f>IF(Worksheet!P555&lt;&gt;"",Worksheet!P555,IF(Worksheet!R555&lt;&gt;"",Worksheet!R555,IF(Worksheet!T555&lt;&gt;"",Worksheet!T555,"")))</f>
        <v>safadorote3@gmail.com</v>
      </c>
      <c r="L555" t="str">
        <f>IF(AND(Worksheet!V555&lt;&gt;"",Worksheet!V555&lt;&gt;0),Worksheet!V555&amp;"",IF(AND(Worksheet!X555&lt;&gt;"",Worksheet!X555&lt;&gt;0),Worksheet!X555&amp;"",IF(AND(Worksheet!Z555&lt;&gt;"",Worksheet!Z555&lt;&gt;0),Worksheet!Z555&amp;"","")))</f>
        <v>0477968913</v>
      </c>
      <c r="M555" t="str">
        <f>IF(Worksheet!AE555="","",Worksheet!AE555)</f>
        <v/>
      </c>
      <c r="N555" t="str">
        <f>IF(Worksheet!AG555="","",Worksheet!AG555)</f>
        <v/>
      </c>
      <c r="O555" t="str">
        <f>IF(Worksheet!AJ555="","",Worksheet!AJ555)</f>
        <v>M10 HAANTJES CERTIFISC OUDENAARDE</v>
      </c>
      <c r="P555" t="str">
        <f>IF(Worksheet!AK555="","",Worksheet!AK555)</f>
        <v>Speler</v>
      </c>
    </row>
    <row r="556" spans="5:16" x14ac:dyDescent="0.25">
      <c r="E556" s="2"/>
      <c r="J556" t="str">
        <f>Worksheet!C556&amp;" "&amp;Worksheet!B556</f>
        <v>Maiga Stevens</v>
      </c>
      <c r="K556" t="str">
        <f>IF(Worksheet!P556&lt;&gt;"",Worksheet!P556,IF(Worksheet!R556&lt;&gt;"",Worksheet!R556,IF(Worksheet!T556&lt;&gt;"",Worksheet!T556,"")))</f>
        <v>safadorote3@gmail.com</v>
      </c>
      <c r="L556" t="str">
        <f>IF(AND(Worksheet!V556&lt;&gt;"",Worksheet!V556&lt;&gt;0),Worksheet!V556&amp;"",IF(AND(Worksheet!X556&lt;&gt;"",Worksheet!X556&lt;&gt;0),Worksheet!X556&amp;"",IF(AND(Worksheet!Z556&lt;&gt;"",Worksheet!Z556&lt;&gt;0),Worksheet!Z556&amp;"","")))</f>
        <v>0477968913</v>
      </c>
      <c r="M556" t="str">
        <f>IF(Worksheet!AE556="","",Worksheet!AE556)</f>
        <v/>
      </c>
      <c r="N556" t="str">
        <f>IF(Worksheet!AG556="","",Worksheet!AG556)</f>
        <v/>
      </c>
      <c r="O556" t="str">
        <f>IF(Worksheet!AJ556="","",Worksheet!AJ556)</f>
        <v>Zomerstage 2026 U10 &amp; U12 (Oudenaarde)</v>
      </c>
      <c r="P556" t="str">
        <f>IF(Worksheet!AK556="","",Worksheet!AK556)</f>
        <v>Speler</v>
      </c>
    </row>
    <row r="557" spans="5:16" x14ac:dyDescent="0.25">
      <c r="E557" s="2"/>
      <c r="J557" t="str">
        <f>Worksheet!C557&amp;" "&amp;Worksheet!B557</f>
        <v>Inne Taelman</v>
      </c>
      <c r="K557" t="str">
        <f>IF(Worksheet!P557&lt;&gt;"",Worksheet!P557,IF(Worksheet!R557&lt;&gt;"",Worksheet!R557,IF(Worksheet!T557&lt;&gt;"",Worksheet!T557,"")))</f>
        <v/>
      </c>
      <c r="L557" t="str">
        <f>IF(AND(Worksheet!V557&lt;&gt;"",Worksheet!V557&lt;&gt;0),Worksheet!V557&amp;"",IF(AND(Worksheet!X557&lt;&gt;"",Worksheet!X557&lt;&gt;0),Worksheet!X557&amp;"",IF(AND(Worksheet!Z557&lt;&gt;"",Worksheet!Z557&lt;&gt;0),Worksheet!Z557&amp;"","")))</f>
        <v>478427271</v>
      </c>
      <c r="M557" t="str">
        <f>IF(Worksheet!AE557="","",Worksheet!AE557)</f>
        <v/>
      </c>
      <c r="N557" t="str">
        <f>IF(Worksheet!AG557="","",Worksheet!AG557)</f>
        <v/>
      </c>
      <c r="O557" t="str">
        <f>IF(Worksheet!AJ557="","",Worksheet!AJ557)</f>
        <v/>
      </c>
      <c r="P557" t="str">
        <f>IF(Worksheet!AK557="","",Worksheet!AK557)</f>
        <v/>
      </c>
    </row>
    <row r="558" spans="5:16" x14ac:dyDescent="0.25">
      <c r="E558" s="2"/>
      <c r="J558" t="str">
        <f>Worksheet!C558&amp;" "&amp;Worksheet!B558</f>
        <v>Alexander Tant</v>
      </c>
      <c r="K558" t="str">
        <f>IF(Worksheet!P558&lt;&gt;"",Worksheet!P558,IF(Worksheet!R558&lt;&gt;"",Worksheet!R558,IF(Worksheet!T558&lt;&gt;"",Worksheet!T558,"")))</f>
        <v/>
      </c>
      <c r="L558" t="str">
        <f>IF(AND(Worksheet!V558&lt;&gt;"",Worksheet!V558&lt;&gt;0),Worksheet!V558&amp;"",IF(AND(Worksheet!X558&lt;&gt;"",Worksheet!X558&lt;&gt;0),Worksheet!X558&amp;"",IF(AND(Worksheet!Z558&lt;&gt;"",Worksheet!Z558&lt;&gt;0),Worksheet!Z558&amp;"","")))</f>
        <v>473432508</v>
      </c>
      <c r="M558" t="str">
        <f>IF(Worksheet!AE558="","",Worksheet!AE558)</f>
        <v/>
      </c>
      <c r="N558" t="str">
        <f>IF(Worksheet!AG558="","",Worksheet!AG558)</f>
        <v/>
      </c>
      <c r="O558" t="str">
        <f>IF(Worksheet!AJ558="","",Worksheet!AJ558)</f>
        <v/>
      </c>
      <c r="P558" t="str">
        <f>IF(Worksheet!AK558="","",Worksheet!AK558)</f>
        <v/>
      </c>
    </row>
    <row r="559" spans="5:16" x14ac:dyDescent="0.25">
      <c r="E559" s="2"/>
      <c r="J559" t="str">
        <f>Worksheet!C559&amp;" "&amp;Worksheet!B559</f>
        <v>Mike Tant</v>
      </c>
      <c r="K559" t="str">
        <f>IF(Worksheet!P559&lt;&gt;"",Worksheet!P559,IF(Worksheet!R559&lt;&gt;"",Worksheet!R559,IF(Worksheet!T559&lt;&gt;"",Worksheet!T559,"")))</f>
        <v/>
      </c>
      <c r="L559" t="str">
        <f>IF(AND(Worksheet!V559&lt;&gt;"",Worksheet!V559&lt;&gt;0),Worksheet!V559&amp;"",IF(AND(Worksheet!X559&lt;&gt;"",Worksheet!X559&lt;&gt;0),Worksheet!X559&amp;"",IF(AND(Worksheet!Z559&lt;&gt;"",Worksheet!Z559&lt;&gt;0),Worksheet!Z559&amp;"","")))</f>
        <v>473432508</v>
      </c>
      <c r="M559" t="str">
        <f>IF(Worksheet!AE559="","",Worksheet!AE559)</f>
        <v/>
      </c>
      <c r="N559" t="str">
        <f>IF(Worksheet!AG559="","",Worksheet!AG559)</f>
        <v/>
      </c>
      <c r="O559" t="str">
        <f>IF(Worksheet!AJ559="","",Worksheet!AJ559)</f>
        <v/>
      </c>
      <c r="P559" t="str">
        <f>IF(Worksheet!AK559="","",Worksheet!AK559)</f>
        <v/>
      </c>
    </row>
    <row r="560" spans="5:16" x14ac:dyDescent="0.25">
      <c r="E560" s="2"/>
      <c r="J560" t="str">
        <f>Worksheet!C560&amp;" "&amp;Worksheet!B560</f>
        <v>Maaike Teirlinck</v>
      </c>
      <c r="K560" t="str">
        <f>IF(Worksheet!P560&lt;&gt;"",Worksheet!P560,IF(Worksheet!R560&lt;&gt;"",Worksheet!R560,IF(Worksheet!T560&lt;&gt;"",Worksheet!T560,"")))</f>
        <v/>
      </c>
      <c r="L560" t="str">
        <f>IF(AND(Worksheet!V560&lt;&gt;"",Worksheet!V560&lt;&gt;0),Worksheet!V560&amp;"",IF(AND(Worksheet!X560&lt;&gt;"",Worksheet!X560&lt;&gt;0),Worksheet!X560&amp;"",IF(AND(Worksheet!Z560&lt;&gt;"",Worksheet!Z560&lt;&gt;0),Worksheet!Z560&amp;"","")))</f>
        <v>0476646787</v>
      </c>
      <c r="M560" t="str">
        <f>IF(Worksheet!AE560="","",Worksheet!AE560)</f>
        <v/>
      </c>
      <c r="N560" t="str">
        <f>IF(Worksheet!AG560="","",Worksheet!AG560)</f>
        <v/>
      </c>
      <c r="O560" t="str">
        <f>IF(Worksheet!AJ560="","",Worksheet!AJ560)</f>
        <v/>
      </c>
      <c r="P560" t="str">
        <f>IF(Worksheet!AK560="","",Worksheet!AK560)</f>
        <v/>
      </c>
    </row>
    <row r="561" spans="5:16" x14ac:dyDescent="0.25">
      <c r="E561" s="2"/>
      <c r="J561" t="str">
        <f>Worksheet!C561&amp;" "&amp;Worksheet!B561</f>
        <v>Rafaël Temmerman</v>
      </c>
      <c r="K561" t="str">
        <f>IF(Worksheet!P561&lt;&gt;"",Worksheet!P561,IF(Worksheet!R561&lt;&gt;"",Worksheet!R561,IF(Worksheet!T561&lt;&gt;"",Worksheet!T561,"")))</f>
        <v/>
      </c>
      <c r="L561" t="str">
        <f>IF(AND(Worksheet!V561&lt;&gt;"",Worksheet!V561&lt;&gt;0),Worksheet!V561&amp;"",IF(AND(Worksheet!X561&lt;&gt;"",Worksheet!X561&lt;&gt;0),Worksheet!X561&amp;"",IF(AND(Worksheet!Z561&lt;&gt;"",Worksheet!Z561&lt;&gt;0),Worksheet!Z561&amp;"","")))</f>
        <v>0470396307</v>
      </c>
      <c r="M561" t="str">
        <f>IF(Worksheet!AE561="","",Worksheet!AE561)</f>
        <v/>
      </c>
      <c r="N561">
        <f>IF(Worksheet!AG561="","",Worksheet!AG561)</f>
        <v>650278</v>
      </c>
      <c r="O561" t="str">
        <f>IF(Worksheet!AJ561="","",Worksheet!AJ561)</f>
        <v/>
      </c>
      <c r="P561" t="str">
        <f>IF(Worksheet!AK561="","",Worksheet!AK561)</f>
        <v/>
      </c>
    </row>
    <row r="562" spans="5:16" x14ac:dyDescent="0.25">
      <c r="E562" s="2"/>
      <c r="J562" t="str">
        <f>Worksheet!C562&amp;" "&amp;Worksheet!B562</f>
        <v>Anouk Termonia</v>
      </c>
      <c r="K562" t="str">
        <f>IF(Worksheet!P562&lt;&gt;"",Worksheet!P562,IF(Worksheet!R562&lt;&gt;"",Worksheet!R562,IF(Worksheet!T562&lt;&gt;"",Worksheet!T562,"")))</f>
        <v/>
      </c>
      <c r="L562" t="str">
        <f>IF(AND(Worksheet!V562&lt;&gt;"",Worksheet!V562&lt;&gt;0),Worksheet!V562&amp;"",IF(AND(Worksheet!X562&lt;&gt;"",Worksheet!X562&lt;&gt;0),Worksheet!X562&amp;"",IF(AND(Worksheet!Z562&lt;&gt;"",Worksheet!Z562&lt;&gt;0),Worksheet!Z562&amp;"","")))</f>
        <v/>
      </c>
      <c r="M562" t="str">
        <f>IF(Worksheet!AE562="","",Worksheet!AE562)</f>
        <v/>
      </c>
      <c r="N562" t="str">
        <f>IF(Worksheet!AG562="","",Worksheet!AG562)</f>
        <v/>
      </c>
      <c r="O562" t="str">
        <f>IF(Worksheet!AJ562="","",Worksheet!AJ562)</f>
        <v/>
      </c>
      <c r="P562" t="str">
        <f>IF(Worksheet!AK562="","",Worksheet!AK562)</f>
        <v/>
      </c>
    </row>
    <row r="563" spans="5:16" x14ac:dyDescent="0.25">
      <c r="E563" s="2"/>
      <c r="J563" t="str">
        <f>Worksheet!C563&amp;" "&amp;Worksheet!B563</f>
        <v>Senne Termote</v>
      </c>
      <c r="K563" t="str">
        <f>IF(Worksheet!P563&lt;&gt;"",Worksheet!P563,IF(Worksheet!R563&lt;&gt;"",Worksheet!R563,IF(Worksheet!T563&lt;&gt;"",Worksheet!T563,"")))</f>
        <v>luciaderammelaere@hotmail.com</v>
      </c>
      <c r="L563" t="str">
        <f>IF(AND(Worksheet!V563&lt;&gt;"",Worksheet!V563&lt;&gt;0),Worksheet!V563&amp;"",IF(AND(Worksheet!X563&lt;&gt;"",Worksheet!X563&lt;&gt;0),Worksheet!X563&amp;"",IF(AND(Worksheet!Z563&lt;&gt;"",Worksheet!Z563&lt;&gt;0),Worksheet!Z563&amp;"","")))</f>
        <v>0494047205</v>
      </c>
      <c r="M563" t="str">
        <f>IF(Worksheet!AE563="","",Worksheet!AE563)</f>
        <v>https://app.twizzit.com/public/photos/10363174/s/49198d22b66317151eafa7e84d216b20e54ab7fe.jpeg</v>
      </c>
      <c r="N563" t="str">
        <f>IF(Worksheet!AG563="","",Worksheet!AG563)</f>
        <v/>
      </c>
      <c r="O563" t="str">
        <f>IF(Worksheet!AJ563="","",Worksheet!AJ563)</f>
        <v/>
      </c>
      <c r="P563" t="str">
        <f>IF(Worksheet!AK563="","",Worksheet!AK563)</f>
        <v/>
      </c>
    </row>
    <row r="564" spans="5:16" x14ac:dyDescent="0.25">
      <c r="E564" s="2"/>
      <c r="J564" t="str">
        <f>Worksheet!C564&amp;" "&amp;Worksheet!B564</f>
        <v>Jules Ternoot</v>
      </c>
      <c r="K564" t="str">
        <f>IF(Worksheet!P564&lt;&gt;"",Worksheet!P564,IF(Worksheet!R564&lt;&gt;"",Worksheet!R564,IF(Worksheet!T564&lt;&gt;"",Worksheet!T564,"")))</f>
        <v/>
      </c>
      <c r="L564" t="str">
        <f>IF(AND(Worksheet!V564&lt;&gt;"",Worksheet!V564&lt;&gt;0),Worksheet!V564&amp;"",IF(AND(Worksheet!X564&lt;&gt;"",Worksheet!X564&lt;&gt;0),Worksheet!X564&amp;"",IF(AND(Worksheet!Z564&lt;&gt;"",Worksheet!Z564&lt;&gt;0),Worksheet!Z564&amp;"","")))</f>
        <v>320472603499</v>
      </c>
      <c r="M564" t="str">
        <f>IF(Worksheet!AE564="","",Worksheet!AE564)</f>
        <v>https://app.twizzit.com/public/photos/9499964/s/ff5f984b647838e4bd7563b356e5c206230b1763.jpeg</v>
      </c>
      <c r="N564">
        <f>IF(Worksheet!AG564="","",Worksheet!AG564)</f>
        <v>743553</v>
      </c>
      <c r="O564" t="str">
        <f>IF(Worksheet!AJ564="","",Worksheet!AJ564)</f>
        <v>G14 A Haantjes CERTIFISC Oudenaarde</v>
      </c>
      <c r="P564" t="str">
        <f>IF(Worksheet!AK564="","",Worksheet!AK564)</f>
        <v>Speler</v>
      </c>
    </row>
    <row r="565" spans="5:16" x14ac:dyDescent="0.25">
      <c r="E565" s="2"/>
      <c r="J565" t="str">
        <f>Worksheet!C565&amp;" "&amp;Worksheet!B565</f>
        <v>Jules Ternoot</v>
      </c>
      <c r="K565" t="str">
        <f>IF(Worksheet!P565&lt;&gt;"",Worksheet!P565,IF(Worksheet!R565&lt;&gt;"",Worksheet!R565,IF(Worksheet!T565&lt;&gt;"",Worksheet!T565,"")))</f>
        <v/>
      </c>
      <c r="L565" t="str">
        <f>IF(AND(Worksheet!V565&lt;&gt;"",Worksheet!V565&lt;&gt;0),Worksheet!V565&amp;"",IF(AND(Worksheet!X565&lt;&gt;"",Worksheet!X565&lt;&gt;0),Worksheet!X565&amp;"",IF(AND(Worksheet!Z565&lt;&gt;"",Worksheet!Z565&lt;&gt;0),Worksheet!Z565&amp;"","")))</f>
        <v>320472603499</v>
      </c>
      <c r="M565" t="str">
        <f>IF(Worksheet!AE565="","",Worksheet!AE565)</f>
        <v>https://app.twizzit.com/public/photos/9499964/s/ff5f984b647838e4bd7563b356e5c206230b1763.jpeg</v>
      </c>
      <c r="N565">
        <f>IF(Worksheet!AG565="","",Worksheet!AG565)</f>
        <v>743553</v>
      </c>
      <c r="O565" t="str">
        <f>IF(Worksheet!AJ565="","",Worksheet!AJ565)</f>
        <v>Zomerstage 2026 (Blankenberge)</v>
      </c>
      <c r="P565" t="str">
        <f>IF(Worksheet!AK565="","",Worksheet!AK565)</f>
        <v>Speler</v>
      </c>
    </row>
    <row r="566" spans="5:16" x14ac:dyDescent="0.25">
      <c r="E566" s="2"/>
      <c r="J566" t="str">
        <f>Worksheet!C566&amp;" "&amp;Worksheet!B566</f>
        <v>Maro Thas</v>
      </c>
      <c r="K566" t="str">
        <f>IF(Worksheet!P566&lt;&gt;"",Worksheet!P566,IF(Worksheet!R566&lt;&gt;"",Worksheet!R566,IF(Worksheet!T566&lt;&gt;"",Worksheet!T566,"")))</f>
        <v/>
      </c>
      <c r="L566" t="str">
        <f>IF(AND(Worksheet!V566&lt;&gt;"",Worksheet!V566&lt;&gt;0),Worksheet!V566&amp;"",IF(AND(Worksheet!X566&lt;&gt;"",Worksheet!X566&lt;&gt;0),Worksheet!X566&amp;"",IF(AND(Worksheet!Z566&lt;&gt;"",Worksheet!Z566&lt;&gt;0),Worksheet!Z566&amp;"","")))</f>
        <v>0472433051</v>
      </c>
      <c r="M566" t="str">
        <f>IF(Worksheet!AE566="","",Worksheet!AE566)</f>
        <v>https://app.twizzit.com/public/photos/3451572/s/f7bd7e0dc5dd014e64108bf9fe43059bbb6a9a41.png</v>
      </c>
      <c r="N566" t="str">
        <f>IF(Worksheet!AG566="","",Worksheet!AG566)</f>
        <v/>
      </c>
      <c r="O566" t="str">
        <f>IF(Worksheet!AJ566="","",Worksheet!AJ566)</f>
        <v>J16 B Haantjes CERTIFISC Oudenaarde</v>
      </c>
      <c r="P566" t="str">
        <f>IF(Worksheet!AK566="","",Worksheet!AK566)</f>
        <v>Speler</v>
      </c>
    </row>
    <row r="567" spans="5:16" x14ac:dyDescent="0.25">
      <c r="E567" s="2"/>
      <c r="J567" t="str">
        <f>Worksheet!C567&amp;" "&amp;Worksheet!B567</f>
        <v>Connor Thomaes</v>
      </c>
      <c r="K567" t="str">
        <f>IF(Worksheet!P567&lt;&gt;"",Worksheet!P567,IF(Worksheet!R567&lt;&gt;"",Worksheet!R567,IF(Worksheet!T567&lt;&gt;"",Worksheet!T567,"")))</f>
        <v>kenith.thomaes@hotmail.com</v>
      </c>
      <c r="L567" t="str">
        <f>IF(AND(Worksheet!V567&lt;&gt;"",Worksheet!V567&lt;&gt;0),Worksheet!V567&amp;"",IF(AND(Worksheet!X567&lt;&gt;"",Worksheet!X567&lt;&gt;0),Worksheet!X567&amp;"",IF(AND(Worksheet!Z567&lt;&gt;"",Worksheet!Z567&lt;&gt;0),Worksheet!Z567&amp;"","")))</f>
        <v>494851244</v>
      </c>
      <c r="M567" t="str">
        <f>IF(Worksheet!AE567="","",Worksheet!AE567)</f>
        <v>https://app.twizzit.com/public/photos/2650895/s/8c88bbe29a6ba119edf2563b65cc739d6dc846de.png</v>
      </c>
      <c r="N567">
        <f>IF(Worksheet!AG567="","",Worksheet!AG567)</f>
        <v>742175</v>
      </c>
      <c r="O567" t="str">
        <f>IF(Worksheet!AJ567="","",Worksheet!AJ567)</f>
        <v/>
      </c>
      <c r="P567" t="str">
        <f>IF(Worksheet!AK567="","",Worksheet!AK567)</f>
        <v/>
      </c>
    </row>
    <row r="568" spans="5:16" x14ac:dyDescent="0.25">
      <c r="E568" s="2"/>
      <c r="J568" t="str">
        <f>Worksheet!C568&amp;" "&amp;Worksheet!B568</f>
        <v>Quinn Thomaes</v>
      </c>
      <c r="K568" t="str">
        <f>IF(Worksheet!P568&lt;&gt;"",Worksheet!P568,IF(Worksheet!R568&lt;&gt;"",Worksheet!R568,IF(Worksheet!T568&lt;&gt;"",Worksheet!T568,"")))</f>
        <v>kenith.thomaes@hotmail.com</v>
      </c>
      <c r="L568" t="str">
        <f>IF(AND(Worksheet!V568&lt;&gt;"",Worksheet!V568&lt;&gt;0),Worksheet!V568&amp;"",IF(AND(Worksheet!X568&lt;&gt;"",Worksheet!X568&lt;&gt;0),Worksheet!X568&amp;"",IF(AND(Worksheet!Z568&lt;&gt;"",Worksheet!Z568&lt;&gt;0),Worksheet!Z568&amp;"","")))</f>
        <v>494851244</v>
      </c>
      <c r="M568" t="str">
        <f>IF(Worksheet!AE568="","",Worksheet!AE568)</f>
        <v>https://app.twizzit.com/public/photos/3518572/s/d7b2c59280b93aeff7d8194db7053ca94d3af63f.png</v>
      </c>
      <c r="N568" t="str">
        <f>IF(Worksheet!AG568="","",Worksheet!AG568)</f>
        <v/>
      </c>
      <c r="O568" t="str">
        <f>IF(Worksheet!AJ568="","",Worksheet!AJ568)</f>
        <v/>
      </c>
      <c r="P568" t="str">
        <f>IF(Worksheet!AK568="","",Worksheet!AK568)</f>
        <v/>
      </c>
    </row>
    <row r="569" spans="5:16" x14ac:dyDescent="0.25">
      <c r="E569" s="2"/>
      <c r="J569" t="str">
        <f>Worksheet!C569&amp;" "&amp;Worksheet!B569</f>
        <v>Juul Torrekens</v>
      </c>
      <c r="K569" t="str">
        <f>IF(Worksheet!P569&lt;&gt;"",Worksheet!P569,IF(Worksheet!R569&lt;&gt;"",Worksheet!R569,IF(Worksheet!T569&lt;&gt;"",Worksheet!T569,"")))</f>
        <v/>
      </c>
      <c r="L569" t="str">
        <f>IF(AND(Worksheet!V569&lt;&gt;"",Worksheet!V569&lt;&gt;0),Worksheet!V569&amp;"",IF(AND(Worksheet!X569&lt;&gt;"",Worksheet!X569&lt;&gt;0),Worksheet!X569&amp;"",IF(AND(Worksheet!Z569&lt;&gt;"",Worksheet!Z569&lt;&gt;0),Worksheet!Z569&amp;"","")))</f>
        <v>0491736700</v>
      </c>
      <c r="M569" t="str">
        <f>IF(Worksheet!AE569="","",Worksheet!AE569)</f>
        <v>https://app.twizzit.com/public/photos/10452742/s/6c5cf54cdc2121df9ea81aa430b2b5f8abe2c81a.jpeg</v>
      </c>
      <c r="N569" t="str">
        <f>IF(Worksheet!AG569="","",Worksheet!AG569)</f>
        <v/>
      </c>
      <c r="O569" t="str">
        <f>IF(Worksheet!AJ569="","",Worksheet!AJ569)</f>
        <v>G08 Groen HAANTJES CERTIFISC OUDENAARDE</v>
      </c>
      <c r="P569" t="str">
        <f>IF(Worksheet!AK569="","",Worksheet!AK569)</f>
        <v>Speler</v>
      </c>
    </row>
    <row r="570" spans="5:16" x14ac:dyDescent="0.25">
      <c r="E570" s="2"/>
      <c r="J570" t="str">
        <f>Worksheet!C570&amp;" "&amp;Worksheet!B570</f>
        <v>Cedrik Tranoy</v>
      </c>
      <c r="K570" t="str">
        <f>IF(Worksheet!P570&lt;&gt;"",Worksheet!P570,IF(Worksheet!R570&lt;&gt;"",Worksheet!R570,IF(Worksheet!T570&lt;&gt;"",Worksheet!T570,"")))</f>
        <v/>
      </c>
      <c r="L570" t="str">
        <f>IF(AND(Worksheet!V570&lt;&gt;"",Worksheet!V570&lt;&gt;0),Worksheet!V570&amp;"",IF(AND(Worksheet!X570&lt;&gt;"",Worksheet!X570&lt;&gt;0),Worksheet!X570&amp;"",IF(AND(Worksheet!Z570&lt;&gt;"",Worksheet!Z570&lt;&gt;0),Worksheet!Z570&amp;"","")))</f>
        <v/>
      </c>
      <c r="M570" t="str">
        <f>IF(Worksheet!AE570="","",Worksheet!AE570)</f>
        <v/>
      </c>
      <c r="N570" t="str">
        <f>IF(Worksheet!AG570="","",Worksheet!AG570)</f>
        <v/>
      </c>
      <c r="O570" t="str">
        <f>IF(Worksheet!AJ570="","",Worksheet!AJ570)</f>
        <v/>
      </c>
      <c r="P570" t="str">
        <f>IF(Worksheet!AK570="","",Worksheet!AK570)</f>
        <v/>
      </c>
    </row>
    <row r="571" spans="5:16" x14ac:dyDescent="0.25">
      <c r="E571" s="2"/>
      <c r="J571" t="str">
        <f>Worksheet!C571&amp;" "&amp;Worksheet!B571</f>
        <v>Noah Tranoy</v>
      </c>
      <c r="K571" t="str">
        <f>IF(Worksheet!P571&lt;&gt;"",Worksheet!P571,IF(Worksheet!R571&lt;&gt;"",Worksheet!R571,IF(Worksheet!T571&lt;&gt;"",Worksheet!T571,"")))</f>
        <v>cedrik.tranoy@geldof.com</v>
      </c>
      <c r="L571" t="str">
        <f>IF(AND(Worksheet!V571&lt;&gt;"",Worksheet!V571&lt;&gt;0),Worksheet!V571&amp;"",IF(AND(Worksheet!X571&lt;&gt;"",Worksheet!X571&lt;&gt;0),Worksheet!X571&amp;"",IF(AND(Worksheet!Z571&lt;&gt;"",Worksheet!Z571&lt;&gt;0),Worksheet!Z571&amp;"","")))</f>
        <v>32499525812</v>
      </c>
      <c r="M571" t="str">
        <f>IF(Worksheet!AE571="","",Worksheet!AE571)</f>
        <v/>
      </c>
      <c r="N571">
        <f>IF(Worksheet!AG571="","",Worksheet!AG571)</f>
        <v>736104</v>
      </c>
      <c r="O571" t="str">
        <f>IF(Worksheet!AJ571="","",Worksheet!AJ571)</f>
        <v/>
      </c>
      <c r="P571" t="str">
        <f>IF(Worksheet!AK571="","",Worksheet!AK571)</f>
        <v/>
      </c>
    </row>
    <row r="572" spans="5:16" x14ac:dyDescent="0.25">
      <c r="E572" s="2"/>
      <c r="J572" t="str">
        <f>Worksheet!C572&amp;" "&amp;Worksheet!B572</f>
        <v>Bart Tytgat</v>
      </c>
      <c r="K572" t="str">
        <f>IF(Worksheet!P572&lt;&gt;"",Worksheet!P572,IF(Worksheet!R572&lt;&gt;"",Worksheet!R572,IF(Worksheet!T572&lt;&gt;"",Worksheet!T572,"")))</f>
        <v/>
      </c>
      <c r="L572" t="str">
        <f>IF(AND(Worksheet!V572&lt;&gt;"",Worksheet!V572&lt;&gt;0),Worksheet!V572&amp;"",IF(AND(Worksheet!X572&lt;&gt;"",Worksheet!X572&lt;&gt;0),Worksheet!X572&amp;"",IF(AND(Worksheet!Z572&lt;&gt;"",Worksheet!Z572&lt;&gt;0),Worksheet!Z572&amp;"","")))</f>
        <v/>
      </c>
      <c r="M572" t="str">
        <f>IF(Worksheet!AE572="","",Worksheet!AE572)</f>
        <v/>
      </c>
      <c r="N572" t="str">
        <f>IF(Worksheet!AG572="","",Worksheet!AG572)</f>
        <v/>
      </c>
      <c r="O572" t="str">
        <f>IF(Worksheet!AJ572="","",Worksheet!AJ572)</f>
        <v/>
      </c>
      <c r="P572" t="str">
        <f>IF(Worksheet!AK572="","",Worksheet!AK572)</f>
        <v/>
      </c>
    </row>
    <row r="573" spans="5:16" x14ac:dyDescent="0.25">
      <c r="E573" s="2"/>
      <c r="J573" t="str">
        <f>Worksheet!C573&amp;" "&amp;Worksheet!B573</f>
        <v>Jena Van Assche</v>
      </c>
      <c r="K573" t="str">
        <f>IF(Worksheet!P573&lt;&gt;"",Worksheet!P573,IF(Worksheet!R573&lt;&gt;"",Worksheet!R573,IF(Worksheet!T573&lt;&gt;"",Worksheet!T573,"")))</f>
        <v>jena.vanassche@outlook.be</v>
      </c>
      <c r="L573" t="str">
        <f>IF(AND(Worksheet!V573&lt;&gt;"",Worksheet!V573&lt;&gt;0),Worksheet!V573&amp;"",IF(AND(Worksheet!X573&lt;&gt;"",Worksheet!X573&lt;&gt;0),Worksheet!X573&amp;"",IF(AND(Worksheet!Z573&lt;&gt;"",Worksheet!Z573&lt;&gt;0),Worksheet!Z573&amp;"","")))</f>
        <v>0497912121</v>
      </c>
      <c r="M573" t="str">
        <f>IF(Worksheet!AE573="","",Worksheet!AE573)</f>
        <v>https://app.twizzit.com/public/photos/2183232/s/682c3391b2d7526a89f91553a66f8bf16c09dc4e.png</v>
      </c>
      <c r="N573">
        <f>IF(Worksheet!AG573="","",Worksheet!AG573)</f>
        <v>711407</v>
      </c>
      <c r="O573" t="str">
        <f>IF(Worksheet!AJ573="","",Worksheet!AJ573)</f>
        <v/>
      </c>
      <c r="P573" t="str">
        <f>IF(Worksheet!AK573="","",Worksheet!AK573)</f>
        <v/>
      </c>
    </row>
    <row r="574" spans="5:16" x14ac:dyDescent="0.25">
      <c r="E574" s="2"/>
      <c r="J574" t="str">
        <f>Worksheet!C574&amp;" "&amp;Worksheet!B574</f>
        <v>Koen Van Assche</v>
      </c>
      <c r="K574" t="str">
        <f>IF(Worksheet!P574&lt;&gt;"",Worksheet!P574,IF(Worksheet!R574&lt;&gt;"",Worksheet!R574,IF(Worksheet!T574&lt;&gt;"",Worksheet!T574,"")))</f>
        <v/>
      </c>
      <c r="L574" t="str">
        <f>IF(AND(Worksheet!V574&lt;&gt;"",Worksheet!V574&lt;&gt;0),Worksheet!V574&amp;"",IF(AND(Worksheet!X574&lt;&gt;"",Worksheet!X574&lt;&gt;0),Worksheet!X574&amp;"",IF(AND(Worksheet!Z574&lt;&gt;"",Worksheet!Z574&lt;&gt;0),Worksheet!Z574&amp;"","")))</f>
        <v>32497912121</v>
      </c>
      <c r="M574" t="str">
        <f>IF(Worksheet!AE574="","",Worksheet!AE574)</f>
        <v>https://app.twizzit.com/public/photos/2183237/s/e1b953fc33ef5534ecc22b0a9058cbebd624fa20.png</v>
      </c>
      <c r="N574">
        <f>IF(Worksheet!AG574="","",Worksheet!AG574)</f>
        <v>722545</v>
      </c>
      <c r="O574" t="str">
        <f>IF(Worksheet!AJ574="","",Worksheet!AJ574)</f>
        <v/>
      </c>
      <c r="P574" t="str">
        <f>IF(Worksheet!AK574="","",Worksheet!AK574)</f>
        <v/>
      </c>
    </row>
    <row r="575" spans="5:16" x14ac:dyDescent="0.25">
      <c r="E575" s="2"/>
      <c r="J575" t="str">
        <f>Worksheet!C575&amp;" "&amp;Worksheet!B575</f>
        <v>Mattis Van Assche</v>
      </c>
      <c r="K575" t="str">
        <f>IF(Worksheet!P575&lt;&gt;"",Worksheet!P575,IF(Worksheet!R575&lt;&gt;"",Worksheet!R575,IF(Worksheet!T575&lt;&gt;"",Worksheet!T575,"")))</f>
        <v/>
      </c>
      <c r="L575" t="str">
        <f>IF(AND(Worksheet!V575&lt;&gt;"",Worksheet!V575&lt;&gt;0),Worksheet!V575&amp;"",IF(AND(Worksheet!X575&lt;&gt;"",Worksheet!X575&lt;&gt;0),Worksheet!X575&amp;"",IF(AND(Worksheet!Z575&lt;&gt;"",Worksheet!Z575&lt;&gt;0),Worksheet!Z575&amp;"","")))</f>
        <v>0497912121</v>
      </c>
      <c r="M575" t="str">
        <f>IF(Worksheet!AE575="","",Worksheet!AE575)</f>
        <v>https://app.twizzit.com/public/photos/2183242/s/024b94ee0589d7797c4da7bd2e98266bcdb2677a.png</v>
      </c>
      <c r="N575">
        <f>IF(Worksheet!AG575="","",Worksheet!AG575)</f>
        <v>729846</v>
      </c>
      <c r="O575" t="str">
        <f>IF(Worksheet!AJ575="","",Worksheet!AJ575)</f>
        <v>G14 A Haantjes CERTIFISC Oudenaarde</v>
      </c>
      <c r="P575" t="str">
        <f>IF(Worksheet!AK575="","",Worksheet!AK575)</f>
        <v>Speler</v>
      </c>
    </row>
    <row r="576" spans="5:16" x14ac:dyDescent="0.25">
      <c r="E576" s="2"/>
      <c r="J576" t="str">
        <f>Worksheet!C576&amp;" "&amp;Worksheet!B576</f>
        <v>Mattis Van Assche</v>
      </c>
      <c r="K576" t="str">
        <f>IF(Worksheet!P576&lt;&gt;"",Worksheet!P576,IF(Worksheet!R576&lt;&gt;"",Worksheet!R576,IF(Worksheet!T576&lt;&gt;"",Worksheet!T576,"")))</f>
        <v/>
      </c>
      <c r="L576" t="str">
        <f>IF(AND(Worksheet!V576&lt;&gt;"",Worksheet!V576&lt;&gt;0),Worksheet!V576&amp;"",IF(AND(Worksheet!X576&lt;&gt;"",Worksheet!X576&lt;&gt;0),Worksheet!X576&amp;"",IF(AND(Worksheet!Z576&lt;&gt;"",Worksheet!Z576&lt;&gt;0),Worksheet!Z576&amp;"","")))</f>
        <v>0497912121</v>
      </c>
      <c r="M576" t="str">
        <f>IF(Worksheet!AE576="","",Worksheet!AE576)</f>
        <v>https://app.twizzit.com/public/photos/2183242/s/024b94ee0589d7797c4da7bd2e98266bcdb2677a.png</v>
      </c>
      <c r="N576">
        <f>IF(Worksheet!AG576="","",Worksheet!AG576)</f>
        <v>729846</v>
      </c>
      <c r="O576" t="str">
        <f>IF(Worksheet!AJ576="","",Worksheet!AJ576)</f>
        <v>Zomerstage 2026 (Blankenberge)</v>
      </c>
      <c r="P576" t="str">
        <f>IF(Worksheet!AK576="","",Worksheet!AK576)</f>
        <v>Speler</v>
      </c>
    </row>
    <row r="577" spans="5:16" x14ac:dyDescent="0.25">
      <c r="E577" s="2"/>
      <c r="J577" t="str">
        <f>Worksheet!C577&amp;" "&amp;Worksheet!B577</f>
        <v>Anoek Van Caeneghem</v>
      </c>
      <c r="K577" t="str">
        <f>IF(Worksheet!P577&lt;&gt;"",Worksheet!P577,IF(Worksheet!R577&lt;&gt;"",Worksheet!R577,IF(Worksheet!T577&lt;&gt;"",Worksheet!T577,"")))</f>
        <v/>
      </c>
      <c r="L577" t="str">
        <f>IF(AND(Worksheet!V577&lt;&gt;"",Worksheet!V577&lt;&gt;0),Worksheet!V577&amp;"",IF(AND(Worksheet!X577&lt;&gt;"",Worksheet!X577&lt;&gt;0),Worksheet!X577&amp;"",IF(AND(Worksheet!Z577&lt;&gt;"",Worksheet!Z577&lt;&gt;0),Worksheet!Z577&amp;"","")))</f>
        <v>0498086024</v>
      </c>
      <c r="M577" t="str">
        <f>IF(Worksheet!AE577="","",Worksheet!AE577)</f>
        <v>https://app.twizzit.com/public/photos/11917018/s/e098521fbafba2a80a9ddb8d7c06f83cdbae52a9.png</v>
      </c>
      <c r="N577" t="str">
        <f>IF(Worksheet!AG577="","",Worksheet!AG577)</f>
        <v/>
      </c>
      <c r="O577" t="str">
        <f>IF(Worksheet!AJ577="","",Worksheet!AJ577)</f>
        <v>J16 A Haantjes CERTIFISC Oudenaarde</v>
      </c>
      <c r="P577" t="str">
        <f>IF(Worksheet!AK577="","",Worksheet!AK577)</f>
        <v>Coach</v>
      </c>
    </row>
    <row r="578" spans="5:16" x14ac:dyDescent="0.25">
      <c r="E578" s="2"/>
      <c r="J578" t="str">
        <f>Worksheet!C578&amp;" "&amp;Worksheet!B578</f>
        <v>Aster Van Cauwenberghe</v>
      </c>
      <c r="K578" t="str">
        <f>IF(Worksheet!P578&lt;&gt;"",Worksheet!P578,IF(Worksheet!R578&lt;&gt;"",Worksheet!R578,IF(Worksheet!T578&lt;&gt;"",Worksheet!T578,"")))</f>
        <v/>
      </c>
      <c r="L578" t="str">
        <f>IF(AND(Worksheet!V578&lt;&gt;"",Worksheet!V578&lt;&gt;0),Worksheet!V578&amp;"",IF(AND(Worksheet!X578&lt;&gt;"",Worksheet!X578&lt;&gt;0),Worksheet!X578&amp;"",IF(AND(Worksheet!Z578&lt;&gt;"",Worksheet!Z578&lt;&gt;0),Worksheet!Z578&amp;"","")))</f>
        <v>0476529185</v>
      </c>
      <c r="M578" t="str">
        <f>IF(Worksheet!AE578="","",Worksheet!AE578)</f>
        <v>https://app.twizzit.com/public/photos/6080950/s/e37d4499e2422d263ca72ca5adc1adb614aa1f40.jpeg</v>
      </c>
      <c r="N578">
        <f>IF(Worksheet!AG578="","",Worksheet!AG578)</f>
        <v>768928</v>
      </c>
      <c r="O578" t="str">
        <f>IF(Worksheet!AJ578="","",Worksheet!AJ578)</f>
        <v>G08 Blauw HAANTJES CERTIFISC OUDENAARDE</v>
      </c>
      <c r="P578" t="str">
        <f>IF(Worksheet!AK578="","",Worksheet!AK578)</f>
        <v>Speler</v>
      </c>
    </row>
    <row r="579" spans="5:16" x14ac:dyDescent="0.25">
      <c r="E579" s="2"/>
      <c r="J579" t="str">
        <f>Worksheet!C579&amp;" "&amp;Worksheet!B579</f>
        <v>Manu Van de Casteele</v>
      </c>
      <c r="K579" t="str">
        <f>IF(Worksheet!P579&lt;&gt;"",Worksheet!P579,IF(Worksheet!R579&lt;&gt;"",Worksheet!R579,IF(Worksheet!T579&lt;&gt;"",Worksheet!T579,"")))</f>
        <v>pietervdc@gmail.com</v>
      </c>
      <c r="L579" t="str">
        <f>IF(AND(Worksheet!V579&lt;&gt;"",Worksheet!V579&lt;&gt;0),Worksheet!V579&amp;"",IF(AND(Worksheet!X579&lt;&gt;"",Worksheet!X579&lt;&gt;0),Worksheet!X579&amp;"",IF(AND(Worksheet!Z579&lt;&gt;"",Worksheet!Z579&lt;&gt;0),Worksheet!Z579&amp;"","")))</f>
        <v>00472846382</v>
      </c>
      <c r="M579" t="str">
        <f>IF(Worksheet!AE579="","",Worksheet!AE579)</f>
        <v/>
      </c>
      <c r="N579" t="str">
        <f>IF(Worksheet!AG579="","",Worksheet!AG579)</f>
        <v/>
      </c>
      <c r="O579" t="str">
        <f>IF(Worksheet!AJ579="","",Worksheet!AJ579)</f>
        <v>G10 Blauw HAANTJES CERTIFISC OUDENAARDE</v>
      </c>
      <c r="P579" t="str">
        <f>IF(Worksheet!AK579="","",Worksheet!AK579)</f>
        <v>Speler</v>
      </c>
    </row>
    <row r="580" spans="5:16" x14ac:dyDescent="0.25">
      <c r="E580" s="2"/>
      <c r="J580" t="str">
        <f>Worksheet!C580&amp;" "&amp;Worksheet!B580</f>
        <v>Lander Van De Maele</v>
      </c>
      <c r="K580" t="str">
        <f>IF(Worksheet!P580&lt;&gt;"",Worksheet!P580,IF(Worksheet!R580&lt;&gt;"",Worksheet!R580,IF(Worksheet!T580&lt;&gt;"",Worksheet!T580,"")))</f>
        <v>jensvdmaele@gmail.com</v>
      </c>
      <c r="L580" t="str">
        <f>IF(AND(Worksheet!V580&lt;&gt;"",Worksheet!V580&lt;&gt;0),Worksheet!V580&amp;"",IF(AND(Worksheet!X580&lt;&gt;"",Worksheet!X580&lt;&gt;0),Worksheet!X580&amp;"",IF(AND(Worksheet!Z580&lt;&gt;"",Worksheet!Z580&lt;&gt;0),Worksheet!Z580&amp;"","")))</f>
        <v>0479246218</v>
      </c>
      <c r="M580" t="str">
        <f>IF(Worksheet!AE580="","",Worksheet!AE580)</f>
        <v>https://app.twizzit.com/public/photos/10715682/s/9ac40a7d3bcb76b36d9290dcb9c3bcdc167e2add.jpeg</v>
      </c>
      <c r="N580" t="str">
        <f>IF(Worksheet!AG580="","",Worksheet!AG580)</f>
        <v/>
      </c>
      <c r="O580" t="str">
        <f>IF(Worksheet!AJ580="","",Worksheet!AJ580)</f>
        <v>G08 Blauw HAANTJES CERTIFISC OUDENAARDE</v>
      </c>
      <c r="P580" t="str">
        <f>IF(Worksheet!AK580="","",Worksheet!AK580)</f>
        <v>Speler</v>
      </c>
    </row>
    <row r="581" spans="5:16" x14ac:dyDescent="0.25">
      <c r="E581" s="2"/>
      <c r="J581" t="str">
        <f>Worksheet!C581&amp;" "&amp;Worksheet!B581</f>
        <v>Lander Van De Maele</v>
      </c>
      <c r="K581" t="str">
        <f>IF(Worksheet!P581&lt;&gt;"",Worksheet!P581,IF(Worksheet!R581&lt;&gt;"",Worksheet!R581,IF(Worksheet!T581&lt;&gt;"",Worksheet!T581,"")))</f>
        <v>jensvdmaele@gmail.com</v>
      </c>
      <c r="L581" t="str">
        <f>IF(AND(Worksheet!V581&lt;&gt;"",Worksheet!V581&lt;&gt;0),Worksheet!V581&amp;"",IF(AND(Worksheet!X581&lt;&gt;"",Worksheet!X581&lt;&gt;0),Worksheet!X581&amp;"",IF(AND(Worksheet!Z581&lt;&gt;"",Worksheet!Z581&lt;&gt;0),Worksheet!Z581&amp;"","")))</f>
        <v>0479246218</v>
      </c>
      <c r="M581" t="str">
        <f>IF(Worksheet!AE581="","",Worksheet!AE581)</f>
        <v>https://app.twizzit.com/public/photos/10715682/s/9ac40a7d3bcb76b36d9290dcb9c3bcdc167e2add.jpeg</v>
      </c>
      <c r="N581" t="str">
        <f>IF(Worksheet!AG581="","",Worksheet!AG581)</f>
        <v/>
      </c>
      <c r="O581" t="str">
        <f>IF(Worksheet!AJ581="","",Worksheet!AJ581)</f>
        <v>Zomerstage 2026 U8 (Oudenaarde)</v>
      </c>
      <c r="P581" t="str">
        <f>IF(Worksheet!AK581="","",Worksheet!AK581)</f>
        <v>Speler</v>
      </c>
    </row>
    <row r="582" spans="5:16" x14ac:dyDescent="0.25">
      <c r="E582" s="2"/>
      <c r="J582" t="str">
        <f>Worksheet!C582&amp;" "&amp;Worksheet!B582</f>
        <v>Loes Van de Populiere</v>
      </c>
      <c r="K582" t="str">
        <f>IF(Worksheet!P582&lt;&gt;"",Worksheet!P582,IF(Worksheet!R582&lt;&gt;"",Worksheet!R582,IF(Worksheet!T582&lt;&gt;"",Worksheet!T582,"")))</f>
        <v>biekemoone@hotmail.com</v>
      </c>
      <c r="L582" t="str">
        <f>IF(AND(Worksheet!V582&lt;&gt;"",Worksheet!V582&lt;&gt;0),Worksheet!V582&amp;"",IF(AND(Worksheet!X582&lt;&gt;"",Worksheet!X582&lt;&gt;0),Worksheet!X582&amp;"",IF(AND(Worksheet!Z582&lt;&gt;"",Worksheet!Z582&lt;&gt;0),Worksheet!Z582&amp;"","")))</f>
        <v>320477353878</v>
      </c>
      <c r="M582" t="str">
        <f>IF(Worksheet!AE582="","",Worksheet!AE582)</f>
        <v/>
      </c>
      <c r="N582" t="str">
        <f>IF(Worksheet!AG582="","",Worksheet!AG582)</f>
        <v/>
      </c>
      <c r="O582" t="str">
        <f>IF(Worksheet!AJ582="","",Worksheet!AJ582)</f>
        <v>M12 A HAANTJES CERTIFISC OUDENAARDE</v>
      </c>
      <c r="P582" t="str">
        <f>IF(Worksheet!AK582="","",Worksheet!AK582)</f>
        <v>Speler</v>
      </c>
    </row>
    <row r="583" spans="5:16" x14ac:dyDescent="0.25">
      <c r="E583" s="2"/>
      <c r="J583" t="str">
        <f>Worksheet!C583&amp;" "&amp;Worksheet!B583</f>
        <v>Loes Van de Populiere</v>
      </c>
      <c r="K583" t="str">
        <f>IF(Worksheet!P583&lt;&gt;"",Worksheet!P583,IF(Worksheet!R583&lt;&gt;"",Worksheet!R583,IF(Worksheet!T583&lt;&gt;"",Worksheet!T583,"")))</f>
        <v>biekemoone@hotmail.com</v>
      </c>
      <c r="L583" t="str">
        <f>IF(AND(Worksheet!V583&lt;&gt;"",Worksheet!V583&lt;&gt;0),Worksheet!V583&amp;"",IF(AND(Worksheet!X583&lt;&gt;"",Worksheet!X583&lt;&gt;0),Worksheet!X583&amp;"",IF(AND(Worksheet!Z583&lt;&gt;"",Worksheet!Z583&lt;&gt;0),Worksheet!Z583&amp;"","")))</f>
        <v>320477353878</v>
      </c>
      <c r="M583" t="str">
        <f>IF(Worksheet!AE583="","",Worksheet!AE583)</f>
        <v/>
      </c>
      <c r="N583" t="str">
        <f>IF(Worksheet!AG583="","",Worksheet!AG583)</f>
        <v/>
      </c>
      <c r="O583" t="str">
        <f>IF(Worksheet!AJ583="","",Worksheet!AJ583)</f>
        <v>Zomerstage 2026 (Blankenberge)</v>
      </c>
      <c r="P583" t="str">
        <f>IF(Worksheet!AK583="","",Worksheet!AK583)</f>
        <v>Speler</v>
      </c>
    </row>
    <row r="584" spans="5:16" x14ac:dyDescent="0.25">
      <c r="E584" s="2"/>
      <c r="J584" t="str">
        <f>Worksheet!C584&amp;" "&amp;Worksheet!B584</f>
        <v>Maxim Van de Populiere</v>
      </c>
      <c r="K584" t="str">
        <f>IF(Worksheet!P584&lt;&gt;"",Worksheet!P584,IF(Worksheet!R584&lt;&gt;"",Worksheet!R584,IF(Worksheet!T584&lt;&gt;"",Worksheet!T584,"")))</f>
        <v/>
      </c>
      <c r="L584" t="str">
        <f>IF(AND(Worksheet!V584&lt;&gt;"",Worksheet!V584&lt;&gt;0),Worksheet!V584&amp;"",IF(AND(Worksheet!X584&lt;&gt;"",Worksheet!X584&lt;&gt;0),Worksheet!X584&amp;"",IF(AND(Worksheet!Z584&lt;&gt;"",Worksheet!Z584&lt;&gt;0),Worksheet!Z584&amp;"","")))</f>
        <v>474463396</v>
      </c>
      <c r="M584" t="str">
        <f>IF(Worksheet!AE584="","",Worksheet!AE584)</f>
        <v/>
      </c>
      <c r="N584" t="str">
        <f>IF(Worksheet!AG584="","",Worksheet!AG584)</f>
        <v/>
      </c>
      <c r="O584" t="str">
        <f>IF(Worksheet!AJ584="","",Worksheet!AJ584)</f>
        <v/>
      </c>
      <c r="P584" t="str">
        <f>IF(Worksheet!AK584="","",Worksheet!AK584)</f>
        <v/>
      </c>
    </row>
    <row r="585" spans="5:16" x14ac:dyDescent="0.25">
      <c r="E585" s="2"/>
      <c r="J585" t="str">
        <f>Worksheet!C585&amp;" "&amp;Worksheet!B585</f>
        <v>Kristien Van De Velde</v>
      </c>
      <c r="K585" t="str">
        <f>IF(Worksheet!P585&lt;&gt;"",Worksheet!P585,IF(Worksheet!R585&lt;&gt;"",Worksheet!R585,IF(Worksheet!T585&lt;&gt;"",Worksheet!T585,"")))</f>
        <v/>
      </c>
      <c r="L585" t="str">
        <f>IF(AND(Worksheet!V585&lt;&gt;"",Worksheet!V585&lt;&gt;0),Worksheet!V585&amp;"",IF(AND(Worksheet!X585&lt;&gt;"",Worksheet!X585&lt;&gt;0),Worksheet!X585&amp;"",IF(AND(Worksheet!Z585&lt;&gt;"",Worksheet!Z585&lt;&gt;0),Worksheet!Z585&amp;"","")))</f>
        <v>32472666182</v>
      </c>
      <c r="M585" t="str">
        <f>IF(Worksheet!AE585="","",Worksheet!AE585)</f>
        <v/>
      </c>
      <c r="N585">
        <f>IF(Worksheet!AG585="","",Worksheet!AG585)</f>
        <v>725136</v>
      </c>
      <c r="O585" t="str">
        <f>IF(Worksheet!AJ585="","",Worksheet!AJ585)</f>
        <v/>
      </c>
      <c r="P585" t="str">
        <f>IF(Worksheet!AK585="","",Worksheet!AK585)</f>
        <v/>
      </c>
    </row>
    <row r="586" spans="5:16" x14ac:dyDescent="0.25">
      <c r="E586" s="2"/>
      <c r="J586" t="str">
        <f>Worksheet!C586&amp;" "&amp;Worksheet!B586</f>
        <v>Kristien Van De Velde</v>
      </c>
      <c r="K586" t="str">
        <f>IF(Worksheet!P586&lt;&gt;"",Worksheet!P586,IF(Worksheet!R586&lt;&gt;"",Worksheet!R586,IF(Worksheet!T586&lt;&gt;"",Worksheet!T586,"")))</f>
        <v/>
      </c>
      <c r="L586" t="str">
        <f>IF(AND(Worksheet!V586&lt;&gt;"",Worksheet!V586&lt;&gt;0),Worksheet!V586&amp;"",IF(AND(Worksheet!X586&lt;&gt;"",Worksheet!X586&lt;&gt;0),Worksheet!X586&amp;"",IF(AND(Worksheet!Z586&lt;&gt;"",Worksheet!Z586&lt;&gt;0),Worksheet!Z586&amp;"","")))</f>
        <v>32472666182</v>
      </c>
      <c r="M586" t="str">
        <f>IF(Worksheet!AE586="","",Worksheet!AE586)</f>
        <v/>
      </c>
      <c r="N586">
        <f>IF(Worksheet!AG586="","",Worksheet!AG586)</f>
        <v>725136</v>
      </c>
      <c r="O586" t="str">
        <f>IF(Worksheet!AJ586="","",Worksheet!AJ586)</f>
        <v/>
      </c>
      <c r="P586" t="str">
        <f>IF(Worksheet!AK586="","",Worksheet!AK586)</f>
        <v/>
      </c>
    </row>
    <row r="587" spans="5:16" x14ac:dyDescent="0.25">
      <c r="E587" s="2"/>
      <c r="J587" t="str">
        <f>Worksheet!C587&amp;" "&amp;Worksheet!B587</f>
        <v>Kristien Van De Velde</v>
      </c>
      <c r="K587" t="str">
        <f>IF(Worksheet!P587&lt;&gt;"",Worksheet!P587,IF(Worksheet!R587&lt;&gt;"",Worksheet!R587,IF(Worksheet!T587&lt;&gt;"",Worksheet!T587,"")))</f>
        <v/>
      </c>
      <c r="L587" t="str">
        <f>IF(AND(Worksheet!V587&lt;&gt;"",Worksheet!V587&lt;&gt;0),Worksheet!V587&amp;"",IF(AND(Worksheet!X587&lt;&gt;"",Worksheet!X587&lt;&gt;0),Worksheet!X587&amp;"",IF(AND(Worksheet!Z587&lt;&gt;"",Worksheet!Z587&lt;&gt;0),Worksheet!Z587&amp;"","")))</f>
        <v>32472666182</v>
      </c>
      <c r="M587" t="str">
        <f>IF(Worksheet!AE587="","",Worksheet!AE587)</f>
        <v/>
      </c>
      <c r="N587">
        <f>IF(Worksheet!AG587="","",Worksheet!AG587)</f>
        <v>725136</v>
      </c>
      <c r="O587" t="str">
        <f>IF(Worksheet!AJ587="","",Worksheet!AJ587)</f>
        <v/>
      </c>
      <c r="P587" t="str">
        <f>IF(Worksheet!AK587="","",Worksheet!AK587)</f>
        <v/>
      </c>
    </row>
    <row r="588" spans="5:16" x14ac:dyDescent="0.25">
      <c r="E588" s="2"/>
      <c r="J588" t="str">
        <f>Worksheet!C588&amp;" "&amp;Worksheet!B588</f>
        <v>Ilaï Van De Walle</v>
      </c>
      <c r="K588" t="str">
        <f>IF(Worksheet!P588&lt;&gt;"",Worksheet!P588,IF(Worksheet!R588&lt;&gt;"",Worksheet!R588,IF(Worksheet!T588&lt;&gt;"",Worksheet!T588,"")))</f>
        <v/>
      </c>
      <c r="L588" t="str">
        <f>IF(AND(Worksheet!V588&lt;&gt;"",Worksheet!V588&lt;&gt;0),Worksheet!V588&amp;"",IF(AND(Worksheet!X588&lt;&gt;"",Worksheet!X588&lt;&gt;0),Worksheet!X588&amp;"",IF(AND(Worksheet!Z588&lt;&gt;"",Worksheet!Z588&lt;&gt;0),Worksheet!Z588&amp;"","")))</f>
        <v>0474818195</v>
      </c>
      <c r="M588" t="str">
        <f>IF(Worksheet!AE588="","",Worksheet!AE588)</f>
        <v/>
      </c>
      <c r="N588" t="str">
        <f>IF(Worksheet!AG588="","",Worksheet!AG588)</f>
        <v/>
      </c>
      <c r="O588" t="str">
        <f>IF(Worksheet!AJ588="","",Worksheet!AJ588)</f>
        <v>G08 Geel HAANTJES CERTIFISC OUDENAARDE</v>
      </c>
      <c r="P588" t="str">
        <f>IF(Worksheet!AK588="","",Worksheet!AK588)</f>
        <v>Speler</v>
      </c>
    </row>
    <row r="589" spans="5:16" x14ac:dyDescent="0.25">
      <c r="E589" s="2"/>
      <c r="J589" t="str">
        <f>Worksheet!C589&amp;" "&amp;Worksheet!B589</f>
        <v>Edouard Van de Weghe</v>
      </c>
      <c r="K589" t="str">
        <f>IF(Worksheet!P589&lt;&gt;"",Worksheet!P589,IF(Worksheet!R589&lt;&gt;"",Worksheet!R589,IF(Worksheet!T589&lt;&gt;"",Worksheet!T589,"")))</f>
        <v/>
      </c>
      <c r="L589" t="str">
        <f>IF(AND(Worksheet!V589&lt;&gt;"",Worksheet!V589&lt;&gt;0),Worksheet!V589&amp;"",IF(AND(Worksheet!X589&lt;&gt;"",Worksheet!X589&lt;&gt;0),Worksheet!X589&amp;"",IF(AND(Worksheet!Z589&lt;&gt;"",Worksheet!Z589&lt;&gt;0),Worksheet!Z589&amp;"","")))</f>
        <v>32479793011</v>
      </c>
      <c r="M589" t="str">
        <f>IF(Worksheet!AE589="","",Worksheet!AE589)</f>
        <v/>
      </c>
      <c r="N589">
        <f>IF(Worksheet!AG589="","",Worksheet!AG589)</f>
        <v>735070</v>
      </c>
      <c r="O589" t="str">
        <f>IF(Worksheet!AJ589="","",Worksheet!AJ589)</f>
        <v>G14 A Haantjes CERTIFISC Oudenaarde</v>
      </c>
      <c r="P589" t="str">
        <f>IF(Worksheet!AK589="","",Worksheet!AK589)</f>
        <v>Speler</v>
      </c>
    </row>
    <row r="590" spans="5:16" x14ac:dyDescent="0.25">
      <c r="E590" s="2"/>
      <c r="J590" t="str">
        <f>Worksheet!C590&amp;" "&amp;Worksheet!B590</f>
        <v>Edouard Van de Weghe</v>
      </c>
      <c r="K590" t="str">
        <f>IF(Worksheet!P590&lt;&gt;"",Worksheet!P590,IF(Worksheet!R590&lt;&gt;"",Worksheet!R590,IF(Worksheet!T590&lt;&gt;"",Worksheet!T590,"")))</f>
        <v/>
      </c>
      <c r="L590" t="str">
        <f>IF(AND(Worksheet!V590&lt;&gt;"",Worksheet!V590&lt;&gt;0),Worksheet!V590&amp;"",IF(AND(Worksheet!X590&lt;&gt;"",Worksheet!X590&lt;&gt;0),Worksheet!X590&amp;"",IF(AND(Worksheet!Z590&lt;&gt;"",Worksheet!Z590&lt;&gt;0),Worksheet!Z590&amp;"","")))</f>
        <v>32479793011</v>
      </c>
      <c r="M590" t="str">
        <f>IF(Worksheet!AE590="","",Worksheet!AE590)</f>
        <v/>
      </c>
      <c r="N590">
        <f>IF(Worksheet!AG590="","",Worksheet!AG590)</f>
        <v>735070</v>
      </c>
      <c r="O590" t="str">
        <f>IF(Worksheet!AJ590="","",Worksheet!AJ590)</f>
        <v>Zomerstage 2026 (Blankenberge)</v>
      </c>
      <c r="P590" t="str">
        <f>IF(Worksheet!AK590="","",Worksheet!AK590)</f>
        <v>Speler</v>
      </c>
    </row>
    <row r="591" spans="5:16" x14ac:dyDescent="0.25">
      <c r="E591" s="2"/>
      <c r="J591" t="str">
        <f>Worksheet!C591&amp;" "&amp;Worksheet!B591</f>
        <v>Jerome Van de Weghe</v>
      </c>
      <c r="K591" t="str">
        <f>IF(Worksheet!P591&lt;&gt;"",Worksheet!P591,IF(Worksheet!R591&lt;&gt;"",Worksheet!R591,IF(Worksheet!T591&lt;&gt;"",Worksheet!T591,"")))</f>
        <v>pieter@combus.be</v>
      </c>
      <c r="L591" t="str">
        <f>IF(AND(Worksheet!V591&lt;&gt;"",Worksheet!V591&lt;&gt;0),Worksheet!V591&amp;"",IF(AND(Worksheet!X591&lt;&gt;"",Worksheet!X591&lt;&gt;0),Worksheet!X591&amp;"",IF(AND(Worksheet!Z591&lt;&gt;"",Worksheet!Z591&lt;&gt;0),Worksheet!Z591&amp;"","")))</f>
        <v>0479793011</v>
      </c>
      <c r="M591" t="str">
        <f>IF(Worksheet!AE591="","",Worksheet!AE591)</f>
        <v/>
      </c>
      <c r="N591">
        <f>IF(Worksheet!AG591="","",Worksheet!AG591)</f>
        <v>758509</v>
      </c>
      <c r="O591" t="str">
        <f>IF(Worksheet!AJ591="","",Worksheet!AJ591)</f>
        <v>Zomerstage 2026 (Blankenberge)</v>
      </c>
      <c r="P591" t="str">
        <f>IF(Worksheet!AK591="","",Worksheet!AK591)</f>
        <v>Speler</v>
      </c>
    </row>
    <row r="592" spans="5:16" x14ac:dyDescent="0.25">
      <c r="E592" s="2"/>
      <c r="J592" t="str">
        <f>Worksheet!C592&amp;" "&amp;Worksheet!B592</f>
        <v>Jerome Van de Weghe</v>
      </c>
      <c r="K592" t="str">
        <f>IF(Worksheet!P592&lt;&gt;"",Worksheet!P592,IF(Worksheet!R592&lt;&gt;"",Worksheet!R592,IF(Worksheet!T592&lt;&gt;"",Worksheet!T592,"")))</f>
        <v>pieter@combus.be</v>
      </c>
      <c r="L592" t="str">
        <f>IF(AND(Worksheet!V592&lt;&gt;"",Worksheet!V592&lt;&gt;0),Worksheet!V592&amp;"",IF(AND(Worksheet!X592&lt;&gt;"",Worksheet!X592&lt;&gt;0),Worksheet!X592&amp;"",IF(AND(Worksheet!Z592&lt;&gt;"",Worksheet!Z592&lt;&gt;0),Worksheet!Z592&amp;"","")))</f>
        <v>0479793011</v>
      </c>
      <c r="M592" t="str">
        <f>IF(Worksheet!AE592="","",Worksheet!AE592)</f>
        <v/>
      </c>
      <c r="N592">
        <f>IF(Worksheet!AG592="","",Worksheet!AG592)</f>
        <v>758509</v>
      </c>
      <c r="O592" t="str">
        <f>IF(Worksheet!AJ592="","",Worksheet!AJ592)</f>
        <v>G12 Geel HAANTJES CERTIFISC OUDENAARDE</v>
      </c>
      <c r="P592" t="str">
        <f>IF(Worksheet!AK592="","",Worksheet!AK592)</f>
        <v>Speler</v>
      </c>
    </row>
    <row r="593" spans="5:16" x14ac:dyDescent="0.25">
      <c r="E593" s="2"/>
      <c r="J593" t="str">
        <f>Worksheet!C593&amp;" "&amp;Worksheet!B593</f>
        <v>Ella Van de zande</v>
      </c>
      <c r="K593" t="str">
        <f>IF(Worksheet!P593&lt;&gt;"",Worksheet!P593,IF(Worksheet!R593&lt;&gt;"",Worksheet!R593,IF(Worksheet!T593&lt;&gt;"",Worksheet!T593,"")))</f>
        <v>piekske007@yahoo.com</v>
      </c>
      <c r="L593" t="str">
        <f>IF(AND(Worksheet!V593&lt;&gt;"",Worksheet!V593&lt;&gt;0),Worksheet!V593&amp;"",IF(AND(Worksheet!X593&lt;&gt;"",Worksheet!X593&lt;&gt;0),Worksheet!X593&amp;"",IF(AND(Worksheet!Z593&lt;&gt;"",Worksheet!Z593&lt;&gt;0),Worksheet!Z593&amp;"","")))</f>
        <v>0486372617</v>
      </c>
      <c r="M593" t="str">
        <f>IF(Worksheet!AE593="","",Worksheet!AE593)</f>
        <v>https://app.twizzit.com/public/photos/7665003/s/5ed58413208ebbb451d8f9179fc6141b44a190fa.png</v>
      </c>
      <c r="N593" t="str">
        <f>IF(Worksheet!AG593="","",Worksheet!AG593)</f>
        <v/>
      </c>
      <c r="O593" t="str">
        <f>IF(Worksheet!AJ593="","",Worksheet!AJ593)</f>
        <v>M10 HAANTJES CERTIFISC OUDENAARDE</v>
      </c>
      <c r="P593" t="str">
        <f>IF(Worksheet!AK593="","",Worksheet!AK593)</f>
        <v>Speler</v>
      </c>
    </row>
    <row r="594" spans="5:16" x14ac:dyDescent="0.25">
      <c r="E594" s="2"/>
      <c r="J594" t="str">
        <f>Worksheet!C594&amp;" "&amp;Worksheet!B594</f>
        <v>Ella Van de zande</v>
      </c>
      <c r="K594" t="str">
        <f>IF(Worksheet!P594&lt;&gt;"",Worksheet!P594,IF(Worksheet!R594&lt;&gt;"",Worksheet!R594,IF(Worksheet!T594&lt;&gt;"",Worksheet!T594,"")))</f>
        <v>piekske007@yahoo.com</v>
      </c>
      <c r="L594" t="str">
        <f>IF(AND(Worksheet!V594&lt;&gt;"",Worksheet!V594&lt;&gt;0),Worksheet!V594&amp;"",IF(AND(Worksheet!X594&lt;&gt;"",Worksheet!X594&lt;&gt;0),Worksheet!X594&amp;"",IF(AND(Worksheet!Z594&lt;&gt;"",Worksheet!Z594&lt;&gt;0),Worksheet!Z594&amp;"","")))</f>
        <v>0486372617</v>
      </c>
      <c r="M594" t="str">
        <f>IF(Worksheet!AE594="","",Worksheet!AE594)</f>
        <v>https://app.twizzit.com/public/photos/7665003/s/5ed58413208ebbb451d8f9179fc6141b44a190fa.png</v>
      </c>
      <c r="N594" t="str">
        <f>IF(Worksheet!AG594="","",Worksheet!AG594)</f>
        <v/>
      </c>
      <c r="O594" t="str">
        <f>IF(Worksheet!AJ594="","",Worksheet!AJ594)</f>
        <v>Zomerstage 2026 U10 &amp; U12 (Oudenaarde)</v>
      </c>
      <c r="P594" t="str">
        <f>IF(Worksheet!AK594="","",Worksheet!AK594)</f>
        <v>Speler</v>
      </c>
    </row>
    <row r="595" spans="5:16" x14ac:dyDescent="0.25">
      <c r="E595" s="2"/>
      <c r="J595" t="str">
        <f>Worksheet!C595&amp;" "&amp;Worksheet!B595</f>
        <v>Axel Van den Abeele</v>
      </c>
      <c r="K595" t="str">
        <f>IF(Worksheet!P595&lt;&gt;"",Worksheet!P595,IF(Worksheet!R595&lt;&gt;"",Worksheet!R595,IF(Worksheet!T595&lt;&gt;"",Worksheet!T595,"")))</f>
        <v/>
      </c>
      <c r="L595" t="str">
        <f>IF(AND(Worksheet!V595&lt;&gt;"",Worksheet!V595&lt;&gt;0),Worksheet!V595&amp;"",IF(AND(Worksheet!X595&lt;&gt;"",Worksheet!X595&lt;&gt;0),Worksheet!X595&amp;"",IF(AND(Worksheet!Z595&lt;&gt;"",Worksheet!Z595&lt;&gt;0),Worksheet!Z595&amp;"","")))</f>
        <v>320476333924</v>
      </c>
      <c r="M595" t="str">
        <f>IF(Worksheet!AE595="","",Worksheet!AE595)</f>
        <v/>
      </c>
      <c r="N595" t="str">
        <f>IF(Worksheet!AG595="","",Worksheet!AG595)</f>
        <v/>
      </c>
      <c r="O595" t="str">
        <f>IF(Worksheet!AJ595="","",Worksheet!AJ595)</f>
        <v/>
      </c>
      <c r="P595" t="str">
        <f>IF(Worksheet!AK595="","",Worksheet!AK595)</f>
        <v/>
      </c>
    </row>
    <row r="596" spans="5:16" x14ac:dyDescent="0.25">
      <c r="E596" s="2"/>
      <c r="J596" t="str">
        <f>Worksheet!C596&amp;" "&amp;Worksheet!B596</f>
        <v>Gust Van Den Abeele</v>
      </c>
      <c r="K596" t="str">
        <f>IF(Worksheet!P596&lt;&gt;"",Worksheet!P596,IF(Worksheet!R596&lt;&gt;"",Worksheet!R596,IF(Worksheet!T596&lt;&gt;"",Worksheet!T596,"")))</f>
        <v/>
      </c>
      <c r="L596" t="str">
        <f>IF(AND(Worksheet!V596&lt;&gt;"",Worksheet!V596&lt;&gt;0),Worksheet!V596&amp;"",IF(AND(Worksheet!X596&lt;&gt;"",Worksheet!X596&lt;&gt;0),Worksheet!X596&amp;"",IF(AND(Worksheet!Z596&lt;&gt;"",Worksheet!Z596&lt;&gt;0),Worksheet!Z596&amp;"","")))</f>
        <v>479682464</v>
      </c>
      <c r="M596" t="str">
        <f>IF(Worksheet!AE596="","",Worksheet!AE596)</f>
        <v/>
      </c>
      <c r="N596">
        <f>IF(Worksheet!AG596="","",Worksheet!AG596)</f>
        <v>742328</v>
      </c>
      <c r="O596" t="str">
        <f>IF(Worksheet!AJ596="","",Worksheet!AJ596)</f>
        <v/>
      </c>
      <c r="P596" t="str">
        <f>IF(Worksheet!AK596="","",Worksheet!AK596)</f>
        <v/>
      </c>
    </row>
    <row r="597" spans="5:16" x14ac:dyDescent="0.25">
      <c r="E597" s="2"/>
      <c r="J597" t="str">
        <f>Worksheet!C597&amp;" "&amp;Worksheet!B597</f>
        <v>Jolan Van den Meersschaut</v>
      </c>
      <c r="K597" t="str">
        <f>IF(Worksheet!P597&lt;&gt;"",Worksheet!P597,IF(Worksheet!R597&lt;&gt;"",Worksheet!R597,IF(Worksheet!T597&lt;&gt;"",Worksheet!T597,"")))</f>
        <v/>
      </c>
      <c r="L597" t="str">
        <f>IF(AND(Worksheet!V597&lt;&gt;"",Worksheet!V597&lt;&gt;0),Worksheet!V597&amp;"",IF(AND(Worksheet!X597&lt;&gt;"",Worksheet!X597&lt;&gt;0),Worksheet!X597&amp;"",IF(AND(Worksheet!Z597&lt;&gt;"",Worksheet!Z597&lt;&gt;0),Worksheet!Z597&amp;"","")))</f>
        <v>473374934</v>
      </c>
      <c r="M597" t="str">
        <f>IF(Worksheet!AE597="","",Worksheet!AE597)</f>
        <v/>
      </c>
      <c r="N597">
        <f>IF(Worksheet!AG597="","",Worksheet!AG597)</f>
        <v>623703</v>
      </c>
      <c r="O597" t="str">
        <f>IF(Worksheet!AJ597="","",Worksheet!AJ597)</f>
        <v/>
      </c>
      <c r="P597" t="str">
        <f>IF(Worksheet!AK597="","",Worksheet!AK597)</f>
        <v/>
      </c>
    </row>
    <row r="598" spans="5:16" x14ac:dyDescent="0.25">
      <c r="E598" s="2"/>
      <c r="J598" t="str">
        <f>Worksheet!C598&amp;" "&amp;Worksheet!B598</f>
        <v>Kim Van der Elstraeten</v>
      </c>
      <c r="K598" t="str">
        <f>IF(Worksheet!P598&lt;&gt;"",Worksheet!P598,IF(Worksheet!R598&lt;&gt;"",Worksheet!R598,IF(Worksheet!T598&lt;&gt;"",Worksheet!T598,"")))</f>
        <v/>
      </c>
      <c r="L598" t="str">
        <f>IF(AND(Worksheet!V598&lt;&gt;"",Worksheet!V598&lt;&gt;0),Worksheet!V598&amp;"",IF(AND(Worksheet!X598&lt;&gt;"",Worksheet!X598&lt;&gt;0),Worksheet!X598&amp;"",IF(AND(Worksheet!Z598&lt;&gt;"",Worksheet!Z598&lt;&gt;0),Worksheet!Z598&amp;"","")))</f>
        <v/>
      </c>
      <c r="M598" t="str">
        <f>IF(Worksheet!AE598="","",Worksheet!AE598)</f>
        <v/>
      </c>
      <c r="N598" t="str">
        <f>IF(Worksheet!AG598="","",Worksheet!AG598)</f>
        <v/>
      </c>
      <c r="O598" t="str">
        <f>IF(Worksheet!AJ598="","",Worksheet!AJ598)</f>
        <v/>
      </c>
      <c r="P598" t="str">
        <f>IF(Worksheet!AK598="","",Worksheet!AK598)</f>
        <v/>
      </c>
    </row>
    <row r="599" spans="5:16" x14ac:dyDescent="0.25">
      <c r="E599" s="2"/>
      <c r="J599" t="str">
        <f>Worksheet!C599&amp;" "&amp;Worksheet!B599</f>
        <v>Guillaume Van der Jeught</v>
      </c>
      <c r="K599" t="str">
        <f>IF(Worksheet!P599&lt;&gt;"",Worksheet!P599,IF(Worksheet!R599&lt;&gt;"",Worksheet!R599,IF(Worksheet!T599&lt;&gt;"",Worksheet!T599,"")))</f>
        <v>Kristof_vdj@hotmail.com</v>
      </c>
      <c r="L599" t="str">
        <f>IF(AND(Worksheet!V599&lt;&gt;"",Worksheet!V599&lt;&gt;0),Worksheet!V599&amp;"",IF(AND(Worksheet!X599&lt;&gt;"",Worksheet!X599&lt;&gt;0),Worksheet!X599&amp;"",IF(AND(Worksheet!Z599&lt;&gt;"",Worksheet!Z599&lt;&gt;0),Worksheet!Z599&amp;"","")))</f>
        <v>0494190425</v>
      </c>
      <c r="M599" t="str">
        <f>IF(Worksheet!AE599="","",Worksheet!AE599)</f>
        <v/>
      </c>
      <c r="N599" t="str">
        <f>IF(Worksheet!AG599="","",Worksheet!AG599)</f>
        <v/>
      </c>
      <c r="O599" t="str">
        <f>IF(Worksheet!AJ599="","",Worksheet!AJ599)</f>
        <v/>
      </c>
      <c r="P599" t="str">
        <f>IF(Worksheet!AK599="","",Worksheet!AK599)</f>
        <v/>
      </c>
    </row>
    <row r="600" spans="5:16" x14ac:dyDescent="0.25">
      <c r="E600" s="2"/>
      <c r="J600" t="str">
        <f>Worksheet!C600&amp;" "&amp;Worksheet!B600</f>
        <v>Ken Van Dorpe</v>
      </c>
      <c r="K600" t="str">
        <f>IF(Worksheet!P600&lt;&gt;"",Worksheet!P600,IF(Worksheet!R600&lt;&gt;"",Worksheet!R600,IF(Worksheet!T600&lt;&gt;"",Worksheet!T600,"")))</f>
        <v/>
      </c>
      <c r="L600" t="str">
        <f>IF(AND(Worksheet!V600&lt;&gt;"",Worksheet!V600&lt;&gt;0),Worksheet!V600&amp;"",IF(AND(Worksheet!X600&lt;&gt;"",Worksheet!X600&lt;&gt;0),Worksheet!X600&amp;"",IF(AND(Worksheet!Z600&lt;&gt;"",Worksheet!Z600&lt;&gt;0),Worksheet!Z600&amp;"","")))</f>
        <v/>
      </c>
      <c r="M600" t="str">
        <f>IF(Worksheet!AE600="","",Worksheet!AE600)</f>
        <v/>
      </c>
      <c r="N600" t="str">
        <f>IF(Worksheet!AG600="","",Worksheet!AG600)</f>
        <v/>
      </c>
      <c r="O600" t="str">
        <f>IF(Worksheet!AJ600="","",Worksheet!AJ600)</f>
        <v/>
      </c>
      <c r="P600" t="str">
        <f>IF(Worksheet!AK600="","",Worksheet!AK600)</f>
        <v/>
      </c>
    </row>
    <row r="601" spans="5:16" x14ac:dyDescent="0.25">
      <c r="E601" s="2"/>
      <c r="J601" t="str">
        <f>Worksheet!C601&amp;" "&amp;Worksheet!B601</f>
        <v>Kyan Van Dorpe</v>
      </c>
      <c r="K601" t="str">
        <f>IF(Worksheet!P601&lt;&gt;"",Worksheet!P601,IF(Worksheet!R601&lt;&gt;"",Worksheet!R601,IF(Worksheet!T601&lt;&gt;"",Worksheet!T601,"")))</f>
        <v/>
      </c>
      <c r="L601" t="str">
        <f>IF(AND(Worksheet!V601&lt;&gt;"",Worksheet!V601&lt;&gt;0),Worksheet!V601&amp;"",IF(AND(Worksheet!X601&lt;&gt;"",Worksheet!X601&lt;&gt;0),Worksheet!X601&amp;"",IF(AND(Worksheet!Z601&lt;&gt;"",Worksheet!Z601&lt;&gt;0),Worksheet!Z601&amp;"","")))</f>
        <v>479271390</v>
      </c>
      <c r="M601" t="str">
        <f>IF(Worksheet!AE601="","",Worksheet!AE601)</f>
        <v/>
      </c>
      <c r="N601" t="str">
        <f>IF(Worksheet!AG601="","",Worksheet!AG601)</f>
        <v/>
      </c>
      <c r="O601" t="str">
        <f>IF(Worksheet!AJ601="","",Worksheet!AJ601)</f>
        <v/>
      </c>
      <c r="P601" t="str">
        <f>IF(Worksheet!AK601="","",Worksheet!AK601)</f>
        <v/>
      </c>
    </row>
    <row r="602" spans="5:16" x14ac:dyDescent="0.25">
      <c r="E602" s="2"/>
      <c r="J602" t="str">
        <f>Worksheet!C602&amp;" "&amp;Worksheet!B602</f>
        <v>Mali-June Van Dorpe</v>
      </c>
      <c r="K602" t="str">
        <f>IF(Worksheet!P602&lt;&gt;"",Worksheet!P602,IF(Worksheet!R602&lt;&gt;"",Worksheet!R602,IF(Worksheet!T602&lt;&gt;"",Worksheet!T602,"")))</f>
        <v>tracy.desmet@hotmail.com</v>
      </c>
      <c r="L602" t="str">
        <f>IF(AND(Worksheet!V602&lt;&gt;"",Worksheet!V602&lt;&gt;0),Worksheet!V602&amp;"",IF(AND(Worksheet!X602&lt;&gt;"",Worksheet!X602&lt;&gt;0),Worksheet!X602&amp;"",IF(AND(Worksheet!Z602&lt;&gt;"",Worksheet!Z602&lt;&gt;0),Worksheet!Z602&amp;"","")))</f>
        <v>0485650671</v>
      </c>
      <c r="M602" t="str">
        <f>IF(Worksheet!AE602="","",Worksheet!AE602)</f>
        <v/>
      </c>
      <c r="N602" t="str">
        <f>IF(Worksheet!AG602="","",Worksheet!AG602)</f>
        <v/>
      </c>
      <c r="O602" t="str">
        <f>IF(Worksheet!AJ602="","",Worksheet!AJ602)</f>
        <v>G08 Groen HAANTJES CERTIFISC OUDENAARDE</v>
      </c>
      <c r="P602" t="str">
        <f>IF(Worksheet!AK602="","",Worksheet!AK602)</f>
        <v>Speler</v>
      </c>
    </row>
    <row r="603" spans="5:16" x14ac:dyDescent="0.25">
      <c r="E603" s="2"/>
      <c r="J603" t="str">
        <f>Worksheet!C603&amp;" "&amp;Worksheet!B603</f>
        <v>Mali-June Van Dorpe</v>
      </c>
      <c r="K603" t="str">
        <f>IF(Worksheet!P603&lt;&gt;"",Worksheet!P603,IF(Worksheet!R603&lt;&gt;"",Worksheet!R603,IF(Worksheet!T603&lt;&gt;"",Worksheet!T603,"")))</f>
        <v>tracy.desmet@hotmail.com</v>
      </c>
      <c r="L603" t="str">
        <f>IF(AND(Worksheet!V603&lt;&gt;"",Worksheet!V603&lt;&gt;0),Worksheet!V603&amp;"",IF(AND(Worksheet!X603&lt;&gt;"",Worksheet!X603&lt;&gt;0),Worksheet!X603&amp;"",IF(AND(Worksheet!Z603&lt;&gt;"",Worksheet!Z603&lt;&gt;0),Worksheet!Z603&amp;"","")))</f>
        <v>0485650671</v>
      </c>
      <c r="M603" t="str">
        <f>IF(Worksheet!AE603="","",Worksheet!AE603)</f>
        <v/>
      </c>
      <c r="N603" t="str">
        <f>IF(Worksheet!AG603="","",Worksheet!AG603)</f>
        <v/>
      </c>
      <c r="O603" t="str">
        <f>IF(Worksheet!AJ603="","",Worksheet!AJ603)</f>
        <v>Zomerstage 2026 U8 (Oudenaarde)</v>
      </c>
      <c r="P603" t="str">
        <f>IF(Worksheet!AK603="","",Worksheet!AK603)</f>
        <v>Speler</v>
      </c>
    </row>
    <row r="604" spans="5:16" x14ac:dyDescent="0.25">
      <c r="E604" s="2"/>
      <c r="J604" t="str">
        <f>Worksheet!C604&amp;" "&amp;Worksheet!B604</f>
        <v>Seppe Van Dorpe</v>
      </c>
      <c r="K604" t="str">
        <f>IF(Worksheet!P604&lt;&gt;"",Worksheet!P604,IF(Worksheet!R604&lt;&gt;"",Worksheet!R604,IF(Worksheet!T604&lt;&gt;"",Worksheet!T604,"")))</f>
        <v>angelovandorpe@msn.com</v>
      </c>
      <c r="L604" t="str">
        <f>IF(AND(Worksheet!V604&lt;&gt;"",Worksheet!V604&lt;&gt;0),Worksheet!V604&amp;"",IF(AND(Worksheet!X604&lt;&gt;"",Worksheet!X604&lt;&gt;0),Worksheet!X604&amp;"",IF(AND(Worksheet!Z604&lt;&gt;"",Worksheet!Z604&lt;&gt;0),Worksheet!Z604&amp;"","")))</f>
        <v>0499368402</v>
      </c>
      <c r="M604" t="str">
        <f>IF(Worksheet!AE604="","",Worksheet!AE604)</f>
        <v/>
      </c>
      <c r="N604" t="str">
        <f>IF(Worksheet!AG604="","",Worksheet!AG604)</f>
        <v/>
      </c>
      <c r="O604" t="str">
        <f>IF(Worksheet!AJ604="","",Worksheet!AJ604)</f>
        <v/>
      </c>
      <c r="P604" t="str">
        <f>IF(Worksheet!AK604="","",Worksheet!AK604)</f>
        <v/>
      </c>
    </row>
    <row r="605" spans="5:16" x14ac:dyDescent="0.25">
      <c r="E605" s="2"/>
      <c r="J605" t="str">
        <f>Worksheet!C605&amp;" "&amp;Worksheet!B605</f>
        <v>Brecht Van Glabeke</v>
      </c>
      <c r="K605" t="str">
        <f>IF(Worksheet!P605&lt;&gt;"",Worksheet!P605,IF(Worksheet!R605&lt;&gt;"",Worksheet!R605,IF(Worksheet!T605&lt;&gt;"",Worksheet!T605,"")))</f>
        <v/>
      </c>
      <c r="L605" t="str">
        <f>IF(AND(Worksheet!V605&lt;&gt;"",Worksheet!V605&lt;&gt;0),Worksheet!V605&amp;"",IF(AND(Worksheet!X605&lt;&gt;"",Worksheet!X605&lt;&gt;0),Worksheet!X605&amp;"",IF(AND(Worksheet!Z605&lt;&gt;"",Worksheet!Z605&lt;&gt;0),Worksheet!Z605&amp;"","")))</f>
        <v>32470671727</v>
      </c>
      <c r="M605" t="str">
        <f>IF(Worksheet!AE605="","",Worksheet!AE605)</f>
        <v/>
      </c>
      <c r="N605" t="str">
        <f>IF(Worksheet!AG605="","",Worksheet!AG605)</f>
        <v/>
      </c>
      <c r="O605" t="str">
        <f>IF(Worksheet!AJ605="","",Worksheet!AJ605)</f>
        <v>J18 A Haantjes CERTIFISC Oudenaarde</v>
      </c>
      <c r="P605" t="str">
        <f>IF(Worksheet!AK605="","",Worksheet!AK605)</f>
        <v>Speler</v>
      </c>
    </row>
    <row r="606" spans="5:16" x14ac:dyDescent="0.25">
      <c r="E606" s="2"/>
      <c r="J606" t="str">
        <f>Worksheet!C606&amp;" "&amp;Worksheet!B606</f>
        <v>Brecht Van Glabeke</v>
      </c>
      <c r="K606" t="str">
        <f>IF(Worksheet!P606&lt;&gt;"",Worksheet!P606,IF(Worksheet!R606&lt;&gt;"",Worksheet!R606,IF(Worksheet!T606&lt;&gt;"",Worksheet!T606,"")))</f>
        <v/>
      </c>
      <c r="L606" t="str">
        <f>IF(AND(Worksheet!V606&lt;&gt;"",Worksheet!V606&lt;&gt;0),Worksheet!V606&amp;"",IF(AND(Worksheet!X606&lt;&gt;"",Worksheet!X606&lt;&gt;0),Worksheet!X606&amp;"",IF(AND(Worksheet!Z606&lt;&gt;"",Worksheet!Z606&lt;&gt;0),Worksheet!Z606&amp;"","")))</f>
        <v>32470671727</v>
      </c>
      <c r="M606" t="str">
        <f>IF(Worksheet!AE606="","",Worksheet!AE606)</f>
        <v/>
      </c>
      <c r="N606" t="str">
        <f>IF(Worksheet!AG606="","",Worksheet!AG606)</f>
        <v/>
      </c>
      <c r="O606" t="str">
        <f>IF(Worksheet!AJ606="","",Worksheet!AJ606)</f>
        <v>Zomerstage 2026 (Blankenberge)</v>
      </c>
      <c r="P606" t="str">
        <f>IF(Worksheet!AK606="","",Worksheet!AK606)</f>
        <v>Speler</v>
      </c>
    </row>
    <row r="607" spans="5:16" x14ac:dyDescent="0.25">
      <c r="E607" s="2"/>
      <c r="J607" t="str">
        <f>Worksheet!C607&amp;" "&amp;Worksheet!B607</f>
        <v>Brecht Van Glabeke</v>
      </c>
      <c r="K607" t="str">
        <f>IF(Worksheet!P607&lt;&gt;"",Worksheet!P607,IF(Worksheet!R607&lt;&gt;"",Worksheet!R607,IF(Worksheet!T607&lt;&gt;"",Worksheet!T607,"")))</f>
        <v/>
      </c>
      <c r="L607" t="str">
        <f>IF(AND(Worksheet!V607&lt;&gt;"",Worksheet!V607&lt;&gt;0),Worksheet!V607&amp;"",IF(AND(Worksheet!X607&lt;&gt;"",Worksheet!X607&lt;&gt;0),Worksheet!X607&amp;"",IF(AND(Worksheet!Z607&lt;&gt;"",Worksheet!Z607&lt;&gt;0),Worksheet!Z607&amp;"","")))</f>
        <v>32470671727</v>
      </c>
      <c r="M607" t="str">
        <f>IF(Worksheet!AE607="","",Worksheet!AE607)</f>
        <v/>
      </c>
      <c r="N607" t="str">
        <f>IF(Worksheet!AG607="","",Worksheet!AG607)</f>
        <v/>
      </c>
      <c r="O607" t="str">
        <f>IF(Worksheet!AJ607="","",Worksheet!AJ607)</f>
        <v>HSE B Haantjes Certifisc Oudenaarde</v>
      </c>
      <c r="P607" t="str">
        <f>IF(Worksheet!AK607="","",Worksheet!AK607)</f>
        <v>Speler</v>
      </c>
    </row>
    <row r="608" spans="5:16" x14ac:dyDescent="0.25">
      <c r="E608" s="2"/>
      <c r="J608" t="str">
        <f>Worksheet!C608&amp;" "&amp;Worksheet!B608</f>
        <v>Jaden James Van Handenhoven</v>
      </c>
      <c r="K608" t="str">
        <f>IF(Worksheet!P608&lt;&gt;"",Worksheet!P608,IF(Worksheet!R608&lt;&gt;"",Worksheet!R608,IF(Worksheet!T608&lt;&gt;"",Worksheet!T608,"")))</f>
        <v>wendydv@telenet.be</v>
      </c>
      <c r="L608" t="str">
        <f>IF(AND(Worksheet!V608&lt;&gt;"",Worksheet!V608&lt;&gt;0),Worksheet!V608&amp;"",IF(AND(Worksheet!X608&lt;&gt;"",Worksheet!X608&lt;&gt;0),Worksheet!X608&amp;"",IF(AND(Worksheet!Z608&lt;&gt;"",Worksheet!Z608&lt;&gt;0),Worksheet!Z608&amp;"","")))</f>
        <v>0484050702</v>
      </c>
      <c r="M608" t="str">
        <f>IF(Worksheet!AE608="","",Worksheet!AE608)</f>
        <v/>
      </c>
      <c r="N608" t="str">
        <f>IF(Worksheet!AG608="","",Worksheet!AG608)</f>
        <v/>
      </c>
      <c r="O608" t="str">
        <f>IF(Worksheet!AJ608="","",Worksheet!AJ608)</f>
        <v/>
      </c>
      <c r="P608" t="str">
        <f>IF(Worksheet!AK608="","",Worksheet!AK608)</f>
        <v/>
      </c>
    </row>
    <row r="609" spans="5:16" x14ac:dyDescent="0.25">
      <c r="E609" s="2"/>
      <c r="J609" t="str">
        <f>Worksheet!C609&amp;" "&amp;Worksheet!B609</f>
        <v>Maxime Van Herpe</v>
      </c>
      <c r="K609" t="str">
        <f>IF(Worksheet!P609&lt;&gt;"",Worksheet!P609,IF(Worksheet!R609&lt;&gt;"",Worksheet!R609,IF(Worksheet!T609&lt;&gt;"",Worksheet!T609,"")))</f>
        <v/>
      </c>
      <c r="L609" t="str">
        <f>IF(AND(Worksheet!V609&lt;&gt;"",Worksheet!V609&lt;&gt;0),Worksheet!V609&amp;"",IF(AND(Worksheet!X609&lt;&gt;"",Worksheet!X609&lt;&gt;0),Worksheet!X609&amp;"",IF(AND(Worksheet!Z609&lt;&gt;"",Worksheet!Z609&lt;&gt;0),Worksheet!Z609&amp;"","")))</f>
        <v>0494706960</v>
      </c>
      <c r="M609" t="str">
        <f>IF(Worksheet!AE609="","",Worksheet!AE609)</f>
        <v/>
      </c>
      <c r="N609" t="str">
        <f>IF(Worksheet!AG609="","",Worksheet!AG609)</f>
        <v/>
      </c>
      <c r="O609" t="str">
        <f>IF(Worksheet!AJ609="","",Worksheet!AJ609)</f>
        <v>G12 Blauw HAANTJES CERTIFISC OUDENAARDE</v>
      </c>
      <c r="P609" t="str">
        <f>IF(Worksheet!AK609="","",Worksheet!AK609)</f>
        <v>Speler</v>
      </c>
    </row>
    <row r="610" spans="5:16" x14ac:dyDescent="0.25">
      <c r="E610" s="2"/>
      <c r="J610" t="str">
        <f>Worksheet!C610&amp;" "&amp;Worksheet!B610</f>
        <v>Maxime Van Herpe</v>
      </c>
      <c r="K610" t="str">
        <f>IF(Worksheet!P610&lt;&gt;"",Worksheet!P610,IF(Worksheet!R610&lt;&gt;"",Worksheet!R610,IF(Worksheet!T610&lt;&gt;"",Worksheet!T610,"")))</f>
        <v/>
      </c>
      <c r="L610" t="str">
        <f>IF(AND(Worksheet!V610&lt;&gt;"",Worksheet!V610&lt;&gt;0),Worksheet!V610&amp;"",IF(AND(Worksheet!X610&lt;&gt;"",Worksheet!X610&lt;&gt;0),Worksheet!X610&amp;"",IF(AND(Worksheet!Z610&lt;&gt;"",Worksheet!Z610&lt;&gt;0),Worksheet!Z610&amp;"","")))</f>
        <v>0494706960</v>
      </c>
      <c r="M610" t="str">
        <f>IF(Worksheet!AE610="","",Worksheet!AE610)</f>
        <v/>
      </c>
      <c r="N610" t="str">
        <f>IF(Worksheet!AG610="","",Worksheet!AG610)</f>
        <v/>
      </c>
      <c r="O610" t="str">
        <f>IF(Worksheet!AJ610="","",Worksheet!AJ610)</f>
        <v>Zomerstage 2026 (Blankenberge)</v>
      </c>
      <c r="P610" t="str">
        <f>IF(Worksheet!AK610="","",Worksheet!AK610)</f>
        <v>Speler</v>
      </c>
    </row>
    <row r="611" spans="5:16" x14ac:dyDescent="0.25">
      <c r="E611" s="2"/>
      <c r="J611" t="str">
        <f>Worksheet!C611&amp;" "&amp;Worksheet!B611</f>
        <v>Jessyca Van Herreweghe</v>
      </c>
      <c r="K611" t="str">
        <f>IF(Worksheet!P611&lt;&gt;"",Worksheet!P611,IF(Worksheet!R611&lt;&gt;"",Worksheet!R611,IF(Worksheet!T611&lt;&gt;"",Worksheet!T611,"")))</f>
        <v/>
      </c>
      <c r="L611" t="str">
        <f>IF(AND(Worksheet!V611&lt;&gt;"",Worksheet!V611&lt;&gt;0),Worksheet!V611&amp;"",IF(AND(Worksheet!X611&lt;&gt;"",Worksheet!X611&lt;&gt;0),Worksheet!X611&amp;"",IF(AND(Worksheet!Z611&lt;&gt;"",Worksheet!Z611&lt;&gt;0),Worksheet!Z611&amp;"","")))</f>
        <v/>
      </c>
      <c r="M611" t="str">
        <f>IF(Worksheet!AE611="","",Worksheet!AE611)</f>
        <v/>
      </c>
      <c r="N611">
        <f>IF(Worksheet!AG611="","",Worksheet!AG611)</f>
        <v>242295</v>
      </c>
      <c r="O611" t="str">
        <f>IF(Worksheet!AJ611="","",Worksheet!AJ611)</f>
        <v/>
      </c>
      <c r="P611" t="str">
        <f>IF(Worksheet!AK611="","",Worksheet!AK611)</f>
        <v/>
      </c>
    </row>
    <row r="612" spans="5:16" x14ac:dyDescent="0.25">
      <c r="E612" s="2"/>
      <c r="J612" t="str">
        <f>Worksheet!C612&amp;" "&amp;Worksheet!B612</f>
        <v>Sam Van hooland</v>
      </c>
      <c r="K612" t="str">
        <f>IF(Worksheet!P612&lt;&gt;"",Worksheet!P612,IF(Worksheet!R612&lt;&gt;"",Worksheet!R612,IF(Worksheet!T612&lt;&gt;"",Worksheet!T612,"")))</f>
        <v/>
      </c>
      <c r="L612" t="str">
        <f>IF(AND(Worksheet!V612&lt;&gt;"",Worksheet!V612&lt;&gt;0),Worksheet!V612&amp;"",IF(AND(Worksheet!X612&lt;&gt;"",Worksheet!X612&lt;&gt;0),Worksheet!X612&amp;"",IF(AND(Worksheet!Z612&lt;&gt;"",Worksheet!Z612&lt;&gt;0),Worksheet!Z612&amp;"","")))</f>
        <v>0499215817</v>
      </c>
      <c r="M612" t="str">
        <f>IF(Worksheet!AE612="","",Worksheet!AE612)</f>
        <v>https://app.twizzit.com/public/photos/6094381/s/b596c752f25fd4d7188aa68de92c84f3998ed8c5.png</v>
      </c>
      <c r="N612" t="str">
        <f>IF(Worksheet!AG612="","",Worksheet!AG612)</f>
        <v/>
      </c>
      <c r="O612" t="str">
        <f>IF(Worksheet!AJ612="","",Worksheet!AJ612)</f>
        <v/>
      </c>
      <c r="P612" t="str">
        <f>IF(Worksheet!AK612="","",Worksheet!AK612)</f>
        <v/>
      </c>
    </row>
    <row r="613" spans="5:16" x14ac:dyDescent="0.25">
      <c r="E613" s="2"/>
      <c r="J613" t="str">
        <f>Worksheet!C613&amp;" "&amp;Worksheet!B613</f>
        <v>Heleen Van Hove</v>
      </c>
      <c r="K613" t="str">
        <f>IF(Worksheet!P613&lt;&gt;"",Worksheet!P613,IF(Worksheet!R613&lt;&gt;"",Worksheet!R613,IF(Worksheet!T613&lt;&gt;"",Worksheet!T613,"")))</f>
        <v/>
      </c>
      <c r="L613" t="str">
        <f>IF(AND(Worksheet!V613&lt;&gt;"",Worksheet!V613&lt;&gt;0),Worksheet!V613&amp;"",IF(AND(Worksheet!X613&lt;&gt;"",Worksheet!X613&lt;&gt;0),Worksheet!X613&amp;"",IF(AND(Worksheet!Z613&lt;&gt;"",Worksheet!Z613&lt;&gt;0),Worksheet!Z613&amp;"","")))</f>
        <v/>
      </c>
      <c r="M613" t="str">
        <f>IF(Worksheet!AE613="","",Worksheet!AE613)</f>
        <v>https://app.twizzit.com/public/photos/2655220/s/4f0cc0d0b4cada8fea0db6865926f5a1bbd5a209.png</v>
      </c>
      <c r="N613">
        <f>IF(Worksheet!AG613="","",Worksheet!AG613)</f>
        <v>644354</v>
      </c>
      <c r="O613" t="str">
        <f>IF(Worksheet!AJ613="","",Worksheet!AJ613)</f>
        <v/>
      </c>
      <c r="P613" t="str">
        <f>IF(Worksheet!AK613="","",Worksheet!AK613)</f>
        <v/>
      </c>
    </row>
    <row r="614" spans="5:16" x14ac:dyDescent="0.25">
      <c r="E614" s="2"/>
      <c r="J614" t="str">
        <f>Worksheet!C614&amp;" "&amp;Worksheet!B614</f>
        <v>Liesbeth Van Hove</v>
      </c>
      <c r="K614" t="str">
        <f>IF(Worksheet!P614&lt;&gt;"",Worksheet!P614,IF(Worksheet!R614&lt;&gt;"",Worksheet!R614,IF(Worksheet!T614&lt;&gt;"",Worksheet!T614,"")))</f>
        <v/>
      </c>
      <c r="L614" t="str">
        <f>IF(AND(Worksheet!V614&lt;&gt;"",Worksheet!V614&lt;&gt;0),Worksheet!V614&amp;"",IF(AND(Worksheet!X614&lt;&gt;"",Worksheet!X614&lt;&gt;0),Worksheet!X614&amp;"",IF(AND(Worksheet!Z614&lt;&gt;"",Worksheet!Z614&lt;&gt;0),Worksheet!Z614&amp;"","")))</f>
        <v/>
      </c>
      <c r="M614" t="str">
        <f>IF(Worksheet!AE614="","",Worksheet!AE614)</f>
        <v/>
      </c>
      <c r="N614">
        <f>IF(Worksheet!AG614="","",Worksheet!AG614)</f>
        <v>617084</v>
      </c>
      <c r="O614" t="str">
        <f>IF(Worksheet!AJ614="","",Worksheet!AJ614)</f>
        <v/>
      </c>
      <c r="P614" t="str">
        <f>IF(Worksheet!AK614="","",Worksheet!AK614)</f>
        <v/>
      </c>
    </row>
    <row r="615" spans="5:16" x14ac:dyDescent="0.25">
      <c r="E615" s="2"/>
      <c r="J615" t="str">
        <f>Worksheet!C615&amp;" "&amp;Worksheet!B615</f>
        <v>Jaimie Van Marcke</v>
      </c>
      <c r="K615" t="str">
        <f>IF(Worksheet!P615&lt;&gt;"",Worksheet!P615,IF(Worksheet!R615&lt;&gt;"",Worksheet!R615,IF(Worksheet!T615&lt;&gt;"",Worksheet!T615,"")))</f>
        <v/>
      </c>
      <c r="L615" t="str">
        <f>IF(AND(Worksheet!V615&lt;&gt;"",Worksheet!V615&lt;&gt;0),Worksheet!V615&amp;"",IF(AND(Worksheet!X615&lt;&gt;"",Worksheet!X615&lt;&gt;0),Worksheet!X615&amp;"",IF(AND(Worksheet!Z615&lt;&gt;"",Worksheet!Z615&lt;&gt;0),Worksheet!Z615&amp;"","")))</f>
        <v>32474552662</v>
      </c>
      <c r="M615" t="str">
        <f>IF(Worksheet!AE615="","",Worksheet!AE615)</f>
        <v>https://app.twizzit.com/public/photos/4080394/s/a0a6f7a1f3c9650e7b60b7c90fcc741fdb018fb0.png</v>
      </c>
      <c r="N615" t="str">
        <f>IF(Worksheet!AG615="","",Worksheet!AG615)</f>
        <v/>
      </c>
      <c r="O615" t="str">
        <f>IF(Worksheet!AJ615="","",Worksheet!AJ615)</f>
        <v>J18 B Haantjes CERTIFISC Oudenaarde</v>
      </c>
      <c r="P615" t="str">
        <f>IF(Worksheet!AK615="","",Worksheet!AK615)</f>
        <v>Speler</v>
      </c>
    </row>
    <row r="616" spans="5:16" x14ac:dyDescent="0.25">
      <c r="E616" s="2"/>
      <c r="J616" t="str">
        <f>Worksheet!C616&amp;" "&amp;Worksheet!B616</f>
        <v>Jaimie Van Marcke</v>
      </c>
      <c r="K616" t="str">
        <f>IF(Worksheet!P616&lt;&gt;"",Worksheet!P616,IF(Worksheet!R616&lt;&gt;"",Worksheet!R616,IF(Worksheet!T616&lt;&gt;"",Worksheet!T616,"")))</f>
        <v/>
      </c>
      <c r="L616" t="str">
        <f>IF(AND(Worksheet!V616&lt;&gt;"",Worksheet!V616&lt;&gt;0),Worksheet!V616&amp;"",IF(AND(Worksheet!X616&lt;&gt;"",Worksheet!X616&lt;&gt;0),Worksheet!X616&amp;"",IF(AND(Worksheet!Z616&lt;&gt;"",Worksheet!Z616&lt;&gt;0),Worksheet!Z616&amp;"","")))</f>
        <v>32474552662</v>
      </c>
      <c r="M616" t="str">
        <f>IF(Worksheet!AE616="","",Worksheet!AE616)</f>
        <v>https://app.twizzit.com/public/photos/4080394/s/a0a6f7a1f3c9650e7b60b7c90fcc741fdb018fb0.png</v>
      </c>
      <c r="N616" t="str">
        <f>IF(Worksheet!AG616="","",Worksheet!AG616)</f>
        <v/>
      </c>
      <c r="O616" t="str">
        <f>IF(Worksheet!AJ616="","",Worksheet!AJ616)</f>
        <v/>
      </c>
      <c r="P616" t="str">
        <f>IF(Worksheet!AK616="","",Worksheet!AK616)</f>
        <v/>
      </c>
    </row>
    <row r="617" spans="5:16" x14ac:dyDescent="0.25">
      <c r="E617" s="2"/>
      <c r="J617" t="str">
        <f>Worksheet!C617&amp;" "&amp;Worksheet!B617</f>
        <v>Jaimie Van Marcke</v>
      </c>
      <c r="K617" t="str">
        <f>IF(Worksheet!P617&lt;&gt;"",Worksheet!P617,IF(Worksheet!R617&lt;&gt;"",Worksheet!R617,IF(Worksheet!T617&lt;&gt;"",Worksheet!T617,"")))</f>
        <v/>
      </c>
      <c r="L617" t="str">
        <f>IF(AND(Worksheet!V617&lt;&gt;"",Worksheet!V617&lt;&gt;0),Worksheet!V617&amp;"",IF(AND(Worksheet!X617&lt;&gt;"",Worksheet!X617&lt;&gt;0),Worksheet!X617&amp;"",IF(AND(Worksheet!Z617&lt;&gt;"",Worksheet!Z617&lt;&gt;0),Worksheet!Z617&amp;"","")))</f>
        <v>32474552662</v>
      </c>
      <c r="M617" t="str">
        <f>IF(Worksheet!AE617="","",Worksheet!AE617)</f>
        <v>https://app.twizzit.com/public/photos/4080394/s/a0a6f7a1f3c9650e7b60b7c90fcc741fdb018fb0.png</v>
      </c>
      <c r="N617" t="str">
        <f>IF(Worksheet!AG617="","",Worksheet!AG617)</f>
        <v/>
      </c>
      <c r="O617" t="str">
        <f>IF(Worksheet!AJ617="","",Worksheet!AJ617)</f>
        <v/>
      </c>
      <c r="P617" t="str">
        <f>IF(Worksheet!AK617="","",Worksheet!AK617)</f>
        <v/>
      </c>
    </row>
    <row r="618" spans="5:16" x14ac:dyDescent="0.25">
      <c r="E618" s="2"/>
      <c r="J618" t="str">
        <f>Worksheet!C618&amp;" "&amp;Worksheet!B618</f>
        <v>Tristan Van Meenen</v>
      </c>
      <c r="K618" t="str">
        <f>IF(Worksheet!P618&lt;&gt;"",Worksheet!P618,IF(Worksheet!R618&lt;&gt;"",Worksheet!R618,IF(Worksheet!T618&lt;&gt;"",Worksheet!T618,"")))</f>
        <v>jzvanmeenen@telenet.be</v>
      </c>
      <c r="L618" t="str">
        <f>IF(AND(Worksheet!V618&lt;&gt;"",Worksheet!V618&lt;&gt;0),Worksheet!V618&amp;"",IF(AND(Worksheet!X618&lt;&gt;"",Worksheet!X618&lt;&gt;0),Worksheet!X618&amp;"",IF(AND(Worksheet!Z618&lt;&gt;"",Worksheet!Z618&lt;&gt;0),Worksheet!Z618&amp;"","")))</f>
        <v>0468153046</v>
      </c>
      <c r="M618" t="str">
        <f>IF(Worksheet!AE618="","",Worksheet!AE618)</f>
        <v/>
      </c>
      <c r="N618" t="str">
        <f>IF(Worksheet!AG618="","",Worksheet!AG618)</f>
        <v/>
      </c>
      <c r="O618" t="str">
        <f>IF(Worksheet!AJ618="","",Worksheet!AJ618)</f>
        <v>HSE  C Haantjes Certifisc Oudenaarde</v>
      </c>
      <c r="P618" t="str">
        <f>IF(Worksheet!AK618="","",Worksheet!AK618)</f>
        <v>Speler</v>
      </c>
    </row>
    <row r="619" spans="5:16" x14ac:dyDescent="0.25">
      <c r="E619" s="2"/>
      <c r="J619" t="str">
        <f>Worksheet!C619&amp;" "&amp;Worksheet!B619</f>
        <v>Zara Van Meenen</v>
      </c>
      <c r="K619" t="str">
        <f>IF(Worksheet!P619&lt;&gt;"",Worksheet!P619,IF(Worksheet!R619&lt;&gt;"",Worksheet!R619,IF(Worksheet!T619&lt;&gt;"",Worksheet!T619,"")))</f>
        <v>jzvanmeenen@telenet.be</v>
      </c>
      <c r="L619" t="str">
        <f>IF(AND(Worksheet!V619&lt;&gt;"",Worksheet!V619&lt;&gt;0),Worksheet!V619&amp;"",IF(AND(Worksheet!X619&lt;&gt;"",Worksheet!X619&lt;&gt;0),Worksheet!X619&amp;"",IF(AND(Worksheet!Z619&lt;&gt;"",Worksheet!Z619&lt;&gt;0),Worksheet!Z619&amp;"","")))</f>
        <v/>
      </c>
      <c r="M619" t="str">
        <f>IF(Worksheet!AE619="","",Worksheet!AE619)</f>
        <v/>
      </c>
      <c r="N619">
        <f>IF(Worksheet!AG619="","",Worksheet!AG619)</f>
        <v>658412</v>
      </c>
      <c r="O619" t="str">
        <f>IF(Worksheet!AJ619="","",Worksheet!AJ619)</f>
        <v/>
      </c>
      <c r="P619" t="str">
        <f>IF(Worksheet!AK619="","",Worksheet!AK619)</f>
        <v/>
      </c>
    </row>
    <row r="620" spans="5:16" x14ac:dyDescent="0.25">
      <c r="E620" s="2"/>
      <c r="J620" t="str">
        <f>Worksheet!C620&amp;" "&amp;Worksheet!B620</f>
        <v>Giles Van Merhaeghe</v>
      </c>
      <c r="K620" t="str">
        <f>IF(Worksheet!P620&lt;&gt;"",Worksheet!P620,IF(Worksheet!R620&lt;&gt;"",Worksheet!R620,IF(Worksheet!T620&lt;&gt;"",Worksheet!T620,"")))</f>
        <v/>
      </c>
      <c r="L620" t="str">
        <f>IF(AND(Worksheet!V620&lt;&gt;"",Worksheet!V620&lt;&gt;0),Worksheet!V620&amp;"",IF(AND(Worksheet!X620&lt;&gt;"",Worksheet!X620&lt;&gt;0),Worksheet!X620&amp;"",IF(AND(Worksheet!Z620&lt;&gt;"",Worksheet!Z620&lt;&gt;0),Worksheet!Z620&amp;"","")))</f>
        <v/>
      </c>
      <c r="M620" t="str">
        <f>IF(Worksheet!AE620="","",Worksheet!AE620)</f>
        <v/>
      </c>
      <c r="N620">
        <f>IF(Worksheet!AG620="","",Worksheet!AG620)</f>
        <v>663125</v>
      </c>
      <c r="O620" t="str">
        <f>IF(Worksheet!AJ620="","",Worksheet!AJ620)</f>
        <v>HSE  C Haantjes Certifisc Oudenaarde</v>
      </c>
      <c r="P620" t="str">
        <f>IF(Worksheet!AK620="","",Worksheet!AK620)</f>
        <v>Speler</v>
      </c>
    </row>
    <row r="621" spans="5:16" x14ac:dyDescent="0.25">
      <c r="E621" s="2"/>
      <c r="J621" t="str">
        <f>Worksheet!C621&amp;" "&amp;Worksheet!B621</f>
        <v>Charlotte Van Moorleghem</v>
      </c>
      <c r="K621" t="str">
        <f>IF(Worksheet!P621&lt;&gt;"",Worksheet!P621,IF(Worksheet!R621&lt;&gt;"",Worksheet!R621,IF(Worksheet!T621&lt;&gt;"",Worksheet!T621,"")))</f>
        <v>charlotte.vanmoorleghem1@gmail.com</v>
      </c>
      <c r="L621" t="str">
        <f>IF(AND(Worksheet!V621&lt;&gt;"",Worksheet!V621&lt;&gt;0),Worksheet!V621&amp;"",IF(AND(Worksheet!X621&lt;&gt;"",Worksheet!X621&lt;&gt;0),Worksheet!X621&amp;"",IF(AND(Worksheet!Z621&lt;&gt;"",Worksheet!Z621&lt;&gt;0),Worksheet!Z621&amp;"","")))</f>
        <v/>
      </c>
      <c r="M621" t="str">
        <f>IF(Worksheet!AE621="","",Worksheet!AE621)</f>
        <v/>
      </c>
      <c r="N621">
        <f>IF(Worksheet!AG621="","",Worksheet!AG621)</f>
        <v>201618</v>
      </c>
      <c r="O621" t="str">
        <f>IF(Worksheet!AJ621="","",Worksheet!AJ621)</f>
        <v xml:space="preserve">Trainerspoule </v>
      </c>
      <c r="P621" t="str">
        <f>IF(Worksheet!AK621="","",Worksheet!AK621)</f>
        <v>Coach</v>
      </c>
    </row>
    <row r="622" spans="5:16" x14ac:dyDescent="0.25">
      <c r="E622" s="2"/>
      <c r="J622" t="str">
        <f>Worksheet!C622&amp;" "&amp;Worksheet!B622</f>
        <v>Emma Van Nieuwenhuyze</v>
      </c>
      <c r="K622" t="str">
        <f>IF(Worksheet!P622&lt;&gt;"",Worksheet!P622,IF(Worksheet!R622&lt;&gt;"",Worksheet!R622,IF(Worksheet!T622&lt;&gt;"",Worksheet!T622,"")))</f>
        <v>maaikeschiettecatte@gmail.com</v>
      </c>
      <c r="L622" t="str">
        <f>IF(AND(Worksheet!V622&lt;&gt;"",Worksheet!V622&lt;&gt;0),Worksheet!V622&amp;"",IF(AND(Worksheet!X622&lt;&gt;"",Worksheet!X622&lt;&gt;0),Worksheet!X622&amp;"",IF(AND(Worksheet!Z622&lt;&gt;"",Worksheet!Z622&lt;&gt;0),Worksheet!Z622&amp;"","")))</f>
        <v>0477259667</v>
      </c>
      <c r="M622" t="str">
        <f>IF(Worksheet!AE622="","",Worksheet!AE622)</f>
        <v/>
      </c>
      <c r="N622" t="str">
        <f>IF(Worksheet!AG622="","",Worksheet!AG622)</f>
        <v/>
      </c>
      <c r="O622" t="str">
        <f>IF(Worksheet!AJ622="","",Worksheet!AJ622)</f>
        <v>M12 A HAANTJES CERTIFISC OUDENAARDE</v>
      </c>
      <c r="P622" t="str">
        <f>IF(Worksheet!AK622="","",Worksheet!AK622)</f>
        <v>Speler</v>
      </c>
    </row>
    <row r="623" spans="5:16" x14ac:dyDescent="0.25">
      <c r="E623" s="2"/>
      <c r="J623" t="str">
        <f>Worksheet!C623&amp;" "&amp;Worksheet!B623</f>
        <v>Emma Van Nieuwenhuyze</v>
      </c>
      <c r="K623" t="str">
        <f>IF(Worksheet!P623&lt;&gt;"",Worksheet!P623,IF(Worksheet!R623&lt;&gt;"",Worksheet!R623,IF(Worksheet!T623&lt;&gt;"",Worksheet!T623,"")))</f>
        <v>maaikeschiettecatte@gmail.com</v>
      </c>
      <c r="L623" t="str">
        <f>IF(AND(Worksheet!V623&lt;&gt;"",Worksheet!V623&lt;&gt;0),Worksheet!V623&amp;"",IF(AND(Worksheet!X623&lt;&gt;"",Worksheet!X623&lt;&gt;0),Worksheet!X623&amp;"",IF(AND(Worksheet!Z623&lt;&gt;"",Worksheet!Z623&lt;&gt;0),Worksheet!Z623&amp;"","")))</f>
        <v>0477259667</v>
      </c>
      <c r="M623" t="str">
        <f>IF(Worksheet!AE623="","",Worksheet!AE623)</f>
        <v/>
      </c>
      <c r="N623" t="str">
        <f>IF(Worksheet!AG623="","",Worksheet!AG623)</f>
        <v/>
      </c>
      <c r="O623" t="str">
        <f>IF(Worksheet!AJ623="","",Worksheet!AJ623)</f>
        <v>Zomerstage 2026 U10 &amp; U12 (Oudenaarde)</v>
      </c>
      <c r="P623" t="str">
        <f>IF(Worksheet!AK623="","",Worksheet!AK623)</f>
        <v>Speler</v>
      </c>
    </row>
    <row r="624" spans="5:16" x14ac:dyDescent="0.25">
      <c r="E624" s="2"/>
      <c r="J624" t="str">
        <f>Worksheet!C624&amp;" "&amp;Worksheet!B624</f>
        <v>Lowie Van Nieuwenhuyze</v>
      </c>
      <c r="K624" t="str">
        <f>IF(Worksheet!P624&lt;&gt;"",Worksheet!P624,IF(Worksheet!R624&lt;&gt;"",Worksheet!R624,IF(Worksheet!T624&lt;&gt;"",Worksheet!T624,"")))</f>
        <v>pietervannieuwenhuyze1984@gmail.com</v>
      </c>
      <c r="L624" t="str">
        <f>IF(AND(Worksheet!V624&lt;&gt;"",Worksheet!V624&lt;&gt;0),Worksheet!V624&amp;"",IF(AND(Worksheet!X624&lt;&gt;"",Worksheet!X624&lt;&gt;0),Worksheet!X624&amp;"",IF(AND(Worksheet!Z624&lt;&gt;"",Worksheet!Z624&lt;&gt;0),Worksheet!Z624&amp;"","")))</f>
        <v>0499272428</v>
      </c>
      <c r="M624" t="str">
        <f>IF(Worksheet!AE624="","",Worksheet!AE624)</f>
        <v/>
      </c>
      <c r="N624" t="str">
        <f>IF(Worksheet!AG624="","",Worksheet!AG624)</f>
        <v/>
      </c>
      <c r="O624" t="str">
        <f>IF(Worksheet!AJ624="","",Worksheet!AJ624)</f>
        <v>G08 Geel HAANTJES CERTIFISC OUDENAARDE</v>
      </c>
      <c r="P624" t="str">
        <f>IF(Worksheet!AK624="","",Worksheet!AK624)</f>
        <v>Speler</v>
      </c>
    </row>
    <row r="625" spans="5:16" x14ac:dyDescent="0.25">
      <c r="E625" s="2"/>
      <c r="J625" t="str">
        <f>Worksheet!C625&amp;" "&amp;Worksheet!B625</f>
        <v>Lowie Van Nieuwenhuyze</v>
      </c>
      <c r="K625" t="str">
        <f>IF(Worksheet!P625&lt;&gt;"",Worksheet!P625,IF(Worksheet!R625&lt;&gt;"",Worksheet!R625,IF(Worksheet!T625&lt;&gt;"",Worksheet!T625,"")))</f>
        <v>pietervannieuwenhuyze1984@gmail.com</v>
      </c>
      <c r="L625" t="str">
        <f>IF(AND(Worksheet!V625&lt;&gt;"",Worksheet!V625&lt;&gt;0),Worksheet!V625&amp;"",IF(AND(Worksheet!X625&lt;&gt;"",Worksheet!X625&lt;&gt;0),Worksheet!X625&amp;"",IF(AND(Worksheet!Z625&lt;&gt;"",Worksheet!Z625&lt;&gt;0),Worksheet!Z625&amp;"","")))</f>
        <v>0499272428</v>
      </c>
      <c r="M625" t="str">
        <f>IF(Worksheet!AE625="","",Worksheet!AE625)</f>
        <v/>
      </c>
      <c r="N625" t="str">
        <f>IF(Worksheet!AG625="","",Worksheet!AG625)</f>
        <v/>
      </c>
      <c r="O625" t="str">
        <f>IF(Worksheet!AJ625="","",Worksheet!AJ625)</f>
        <v>Zomerstage 2026 U8 (Oudenaarde)</v>
      </c>
      <c r="P625" t="str">
        <f>IF(Worksheet!AK625="","",Worksheet!AK625)</f>
        <v>Speler</v>
      </c>
    </row>
    <row r="626" spans="5:16" x14ac:dyDescent="0.25">
      <c r="E626" s="2"/>
      <c r="J626" t="str">
        <f>Worksheet!C626&amp;" "&amp;Worksheet!B626</f>
        <v>Werner Van Nimmen</v>
      </c>
      <c r="K626" t="str">
        <f>IF(Worksheet!P626&lt;&gt;"",Worksheet!P626,IF(Worksheet!R626&lt;&gt;"",Worksheet!R626,IF(Worksheet!T626&lt;&gt;"",Worksheet!T626,"")))</f>
        <v/>
      </c>
      <c r="L626" t="str">
        <f>IF(AND(Worksheet!V626&lt;&gt;"",Worksheet!V626&lt;&gt;0),Worksheet!V626&amp;"",IF(AND(Worksheet!X626&lt;&gt;"",Worksheet!X626&lt;&gt;0),Worksheet!X626&amp;"",IF(AND(Worksheet!Z626&lt;&gt;"",Worksheet!Z626&lt;&gt;0),Worksheet!Z626&amp;"","")))</f>
        <v>486024513</v>
      </c>
      <c r="M626" t="str">
        <f>IF(Worksheet!AE626="","",Worksheet!AE626)</f>
        <v/>
      </c>
      <c r="N626">
        <f>IF(Worksheet!AG626="","",Worksheet!AG626)</f>
        <v>156447</v>
      </c>
      <c r="O626" t="str">
        <f>IF(Worksheet!AJ626="","",Worksheet!AJ626)</f>
        <v/>
      </c>
      <c r="P626" t="str">
        <f>IF(Worksheet!AK626="","",Worksheet!AK626)</f>
        <v/>
      </c>
    </row>
    <row r="627" spans="5:16" x14ac:dyDescent="0.25">
      <c r="E627" s="2"/>
      <c r="J627" t="str">
        <f>Worksheet!C627&amp;" "&amp;Worksheet!B627</f>
        <v>Benoit Van Ongevalle</v>
      </c>
      <c r="K627" t="str">
        <f>IF(Worksheet!P627&lt;&gt;"",Worksheet!P627,IF(Worksheet!R627&lt;&gt;"",Worksheet!R627,IF(Worksheet!T627&lt;&gt;"",Worksheet!T627,"")))</f>
        <v>elke.de.boever@telenet.be</v>
      </c>
      <c r="L627" t="str">
        <f>IF(AND(Worksheet!V627&lt;&gt;"",Worksheet!V627&lt;&gt;0),Worksheet!V627&amp;"",IF(AND(Worksheet!X627&lt;&gt;"",Worksheet!X627&lt;&gt;0),Worksheet!X627&amp;"",IF(AND(Worksheet!Z627&lt;&gt;"",Worksheet!Z627&lt;&gt;0),Worksheet!Z627&amp;"","")))</f>
        <v/>
      </c>
      <c r="M627" t="str">
        <f>IF(Worksheet!AE627="","",Worksheet!AE627)</f>
        <v/>
      </c>
      <c r="N627">
        <f>IF(Worksheet!AG627="","",Worksheet!AG627)</f>
        <v>712723</v>
      </c>
      <c r="O627" t="str">
        <f>IF(Worksheet!AJ627="","",Worksheet!AJ627)</f>
        <v/>
      </c>
      <c r="P627" t="str">
        <f>IF(Worksheet!AK627="","",Worksheet!AK627)</f>
        <v/>
      </c>
    </row>
    <row r="628" spans="5:16" x14ac:dyDescent="0.25">
      <c r="E628" s="2"/>
      <c r="J628" t="str">
        <f>Worksheet!C628&amp;" "&amp;Worksheet!B628</f>
        <v>Henri Van Ongevalle</v>
      </c>
      <c r="K628" t="str">
        <f>IF(Worksheet!P628&lt;&gt;"",Worksheet!P628,IF(Worksheet!R628&lt;&gt;"",Worksheet!R628,IF(Worksheet!T628&lt;&gt;"",Worksheet!T628,"")))</f>
        <v>elke.de.boever@telenet.be</v>
      </c>
      <c r="L628" t="str">
        <f>IF(AND(Worksheet!V628&lt;&gt;"",Worksheet!V628&lt;&gt;0),Worksheet!V628&amp;"",IF(AND(Worksheet!X628&lt;&gt;"",Worksheet!X628&lt;&gt;0),Worksheet!X628&amp;"",IF(AND(Worksheet!Z628&lt;&gt;"",Worksheet!Z628&lt;&gt;0),Worksheet!Z628&amp;"","")))</f>
        <v>0478999985</v>
      </c>
      <c r="M628" t="str">
        <f>IF(Worksheet!AE628="","",Worksheet!AE628)</f>
        <v>https://app.twizzit.com/public/photos/2183322/s/9038b0da9e8a70a8b8e43647825a4e12c779a62c.png</v>
      </c>
      <c r="N628">
        <f>IF(Worksheet!AG628="","",Worksheet!AG628)</f>
        <v>703874</v>
      </c>
      <c r="O628" t="str">
        <f>IF(Worksheet!AJ628="","",Worksheet!AJ628)</f>
        <v/>
      </c>
      <c r="P628" t="str">
        <f>IF(Worksheet!AK628="","",Worksheet!AK628)</f>
        <v/>
      </c>
    </row>
    <row r="629" spans="5:16" x14ac:dyDescent="0.25">
      <c r="E629" s="2"/>
      <c r="J629" t="str">
        <f>Worksheet!C629&amp;" "&amp;Worksheet!B629</f>
        <v>Wout Van Overmeire</v>
      </c>
      <c r="K629" t="str">
        <f>IF(Worksheet!P629&lt;&gt;"",Worksheet!P629,IF(Worksheet!R629&lt;&gt;"",Worksheet!R629,IF(Worksheet!T629&lt;&gt;"",Worksheet!T629,"")))</f>
        <v>wout.vanovermeire@hotmail.com</v>
      </c>
      <c r="L629" t="str">
        <f>IF(AND(Worksheet!V629&lt;&gt;"",Worksheet!V629&lt;&gt;0),Worksheet!V629&amp;"",IF(AND(Worksheet!X629&lt;&gt;"",Worksheet!X629&lt;&gt;0),Worksheet!X629&amp;"",IF(AND(Worksheet!Z629&lt;&gt;"",Worksheet!Z629&lt;&gt;0),Worksheet!Z629&amp;"","")))</f>
        <v>32491640325</v>
      </c>
      <c r="M629" t="str">
        <f>IF(Worksheet!AE629="","",Worksheet!AE629)</f>
        <v>https://app.twizzit.com/public/photos/2183327/s/c4bd2eb95cc81839b2acbb82001ab5c02815b510.png</v>
      </c>
      <c r="N629">
        <f>IF(Worksheet!AG629="","",Worksheet!AG629)</f>
        <v>642983</v>
      </c>
      <c r="O629" t="str">
        <f>IF(Worksheet!AJ629="","",Worksheet!AJ629)</f>
        <v/>
      </c>
      <c r="P629" t="str">
        <f>IF(Worksheet!AK629="","",Worksheet!AK629)</f>
        <v/>
      </c>
    </row>
    <row r="630" spans="5:16" x14ac:dyDescent="0.25">
      <c r="E630" s="2"/>
      <c r="J630" t="str">
        <f>Worksheet!C630&amp;" "&amp;Worksheet!B630</f>
        <v>Karsten Van Rechem</v>
      </c>
      <c r="K630" t="str">
        <f>IF(Worksheet!P630&lt;&gt;"",Worksheet!P630,IF(Worksheet!R630&lt;&gt;"",Worksheet!R630,IF(Worksheet!T630&lt;&gt;"",Worksheet!T630,"")))</f>
        <v/>
      </c>
      <c r="L630" t="str">
        <f>IF(AND(Worksheet!V630&lt;&gt;"",Worksheet!V630&lt;&gt;0),Worksheet!V630&amp;"",IF(AND(Worksheet!X630&lt;&gt;"",Worksheet!X630&lt;&gt;0),Worksheet!X630&amp;"",IF(AND(Worksheet!Z630&lt;&gt;"",Worksheet!Z630&lt;&gt;0),Worksheet!Z630&amp;"","")))</f>
        <v>32468241830</v>
      </c>
      <c r="M630" t="str">
        <f>IF(Worksheet!AE630="","",Worksheet!AE630)</f>
        <v>https://app.twizzit.com/public/photos/2183332/s/d6be3669617c8e0b5c9fa9c565fc0f52e9a1b458.png</v>
      </c>
      <c r="N630">
        <f>IF(Worksheet!AG630="","",Worksheet!AG630)</f>
        <v>647819</v>
      </c>
      <c r="O630" t="str">
        <f>IF(Worksheet!AJ630="","",Worksheet!AJ630)</f>
        <v/>
      </c>
      <c r="P630" t="str">
        <f>IF(Worksheet!AK630="","",Worksheet!AK630)</f>
        <v/>
      </c>
    </row>
    <row r="631" spans="5:16" x14ac:dyDescent="0.25">
      <c r="E631" s="2"/>
      <c r="J631" t="str">
        <f>Worksheet!C631&amp;" "&amp;Worksheet!B631</f>
        <v>Mauro Van Sande</v>
      </c>
      <c r="K631" t="str">
        <f>IF(Worksheet!P631&lt;&gt;"",Worksheet!P631,IF(Worksheet!R631&lt;&gt;"",Worksheet!R631,IF(Worksheet!T631&lt;&gt;"",Worksheet!T631,"")))</f>
        <v>Sylvie.mincke@outlook.com</v>
      </c>
      <c r="L631" t="str">
        <f>IF(AND(Worksheet!V631&lt;&gt;"",Worksheet!V631&lt;&gt;0),Worksheet!V631&amp;"",IF(AND(Worksheet!X631&lt;&gt;"",Worksheet!X631&lt;&gt;0),Worksheet!X631&amp;"",IF(AND(Worksheet!Z631&lt;&gt;"",Worksheet!Z631&lt;&gt;0),Worksheet!Z631&amp;"","")))</f>
        <v>32478784192</v>
      </c>
      <c r="M631" t="str">
        <f>IF(Worksheet!AE631="","",Worksheet!AE631)</f>
        <v>https://app.twizzit.com/public/photos/2650608/s/9cebeb89f0d68fff18c1faf3be6be5621d757adb.png</v>
      </c>
      <c r="N631">
        <f>IF(Worksheet!AG631="","",Worksheet!AG631)</f>
        <v>742367</v>
      </c>
      <c r="O631" t="str">
        <f>IF(Worksheet!AJ631="","",Worksheet!AJ631)</f>
        <v>G14 B Haantjes CERTIFISC Oudenaarde</v>
      </c>
      <c r="P631" t="str">
        <f>IF(Worksheet!AK631="","",Worksheet!AK631)</f>
        <v>Speler</v>
      </c>
    </row>
    <row r="632" spans="5:16" x14ac:dyDescent="0.25">
      <c r="E632" s="2"/>
      <c r="J632" t="str">
        <f>Worksheet!C632&amp;" "&amp;Worksheet!B632</f>
        <v>Miro Van Schoorisse</v>
      </c>
      <c r="K632" t="str">
        <f>IF(Worksheet!P632&lt;&gt;"",Worksheet!P632,IF(Worksheet!R632&lt;&gt;"",Worksheet!R632,IF(Worksheet!T632&lt;&gt;"",Worksheet!T632,"")))</f>
        <v>mirovanschoorisse@gmail.com</v>
      </c>
      <c r="L632" t="str">
        <f>IF(AND(Worksheet!V632&lt;&gt;"",Worksheet!V632&lt;&gt;0),Worksheet!V632&amp;"",IF(AND(Worksheet!X632&lt;&gt;"",Worksheet!X632&lt;&gt;0),Worksheet!X632&amp;"",IF(AND(Worksheet!Z632&lt;&gt;"",Worksheet!Z632&lt;&gt;0),Worksheet!Z632&amp;"","")))</f>
        <v>32496771030</v>
      </c>
      <c r="M632" t="str">
        <f>IF(Worksheet!AE632="","",Worksheet!AE632)</f>
        <v/>
      </c>
      <c r="N632">
        <f>IF(Worksheet!AG632="","",Worksheet!AG632)</f>
        <v>709427</v>
      </c>
      <c r="O632" t="str">
        <f>IF(Worksheet!AJ632="","",Worksheet!AJ632)</f>
        <v>J18 A Haantjes CERTIFISC Oudenaarde</v>
      </c>
      <c r="P632" t="str">
        <f>IF(Worksheet!AK632="","",Worksheet!AK632)</f>
        <v>Speler</v>
      </c>
    </row>
    <row r="633" spans="5:16" x14ac:dyDescent="0.25">
      <c r="E633" s="2"/>
      <c r="J633" t="str">
        <f>Worksheet!C633&amp;" "&amp;Worksheet!B633</f>
        <v>Kobe Van Snick</v>
      </c>
      <c r="K633" t="str">
        <f>IF(Worksheet!P633&lt;&gt;"",Worksheet!P633,IF(Worksheet!R633&lt;&gt;"",Worksheet!R633,IF(Worksheet!T633&lt;&gt;"",Worksheet!T633,"")))</f>
        <v/>
      </c>
      <c r="L633" t="str">
        <f>IF(AND(Worksheet!V633&lt;&gt;"",Worksheet!V633&lt;&gt;0),Worksheet!V633&amp;"",IF(AND(Worksheet!X633&lt;&gt;"",Worksheet!X633&lt;&gt;0),Worksheet!X633&amp;"",IF(AND(Worksheet!Z633&lt;&gt;"",Worksheet!Z633&lt;&gt;0),Worksheet!Z633&amp;"","")))</f>
        <v/>
      </c>
      <c r="M633" t="str">
        <f>IF(Worksheet!AE633="","",Worksheet!AE633)</f>
        <v/>
      </c>
      <c r="N633" t="str">
        <f>IF(Worksheet!AG633="","",Worksheet!AG633)</f>
        <v/>
      </c>
      <c r="O633" t="str">
        <f>IF(Worksheet!AJ633="","",Worksheet!AJ633)</f>
        <v/>
      </c>
      <c r="P633" t="str">
        <f>IF(Worksheet!AK633="","",Worksheet!AK633)</f>
        <v/>
      </c>
    </row>
    <row r="634" spans="5:16" x14ac:dyDescent="0.25">
      <c r="E634" s="2"/>
      <c r="J634" t="str">
        <f>Worksheet!C634&amp;" "&amp;Worksheet!B634</f>
        <v>Gilles Van Welden</v>
      </c>
      <c r="K634" t="str">
        <f>IF(Worksheet!P634&lt;&gt;"",Worksheet!P634,IF(Worksheet!R634&lt;&gt;"",Worksheet!R634,IF(Worksheet!T634&lt;&gt;"",Worksheet!T634,"")))</f>
        <v/>
      </c>
      <c r="L634" t="str">
        <f>IF(AND(Worksheet!V634&lt;&gt;"",Worksheet!V634&lt;&gt;0),Worksheet!V634&amp;"",IF(AND(Worksheet!X634&lt;&gt;"",Worksheet!X634&lt;&gt;0),Worksheet!X634&amp;"",IF(AND(Worksheet!Z634&lt;&gt;"",Worksheet!Z634&lt;&gt;0),Worksheet!Z634&amp;"","")))</f>
        <v/>
      </c>
      <c r="M634" t="str">
        <f>IF(Worksheet!AE634="","",Worksheet!AE634)</f>
        <v/>
      </c>
      <c r="N634">
        <f>IF(Worksheet!AG634="","",Worksheet!AG634)</f>
        <v>214873</v>
      </c>
      <c r="O634" t="str">
        <f>IF(Worksheet!AJ634="","",Worksheet!AJ634)</f>
        <v/>
      </c>
      <c r="P634" t="str">
        <f>IF(Worksheet!AK634="","",Worksheet!AK634)</f>
        <v/>
      </c>
    </row>
    <row r="635" spans="5:16" x14ac:dyDescent="0.25">
      <c r="E635" s="2"/>
      <c r="J635" t="str">
        <f>Worksheet!C635&amp;" "&amp;Worksheet!B635</f>
        <v>Bram Van Wyngene</v>
      </c>
      <c r="K635" t="str">
        <f>IF(Worksheet!P635&lt;&gt;"",Worksheet!P635,IF(Worksheet!R635&lt;&gt;"",Worksheet!R635,IF(Worksheet!T635&lt;&gt;"",Worksheet!T635,"")))</f>
        <v/>
      </c>
      <c r="L635" t="str">
        <f>IF(AND(Worksheet!V635&lt;&gt;"",Worksheet!V635&lt;&gt;0),Worksheet!V635&amp;"",IF(AND(Worksheet!X635&lt;&gt;"",Worksheet!X635&lt;&gt;0),Worksheet!X635&amp;"",IF(AND(Worksheet!Z635&lt;&gt;"",Worksheet!Z635&lt;&gt;0),Worksheet!Z635&amp;"","")))</f>
        <v>0477349575</v>
      </c>
      <c r="M635" t="str">
        <f>IF(Worksheet!AE635="","",Worksheet!AE635)</f>
        <v/>
      </c>
      <c r="N635" t="str">
        <f>IF(Worksheet!AG635="","",Worksheet!AG635)</f>
        <v/>
      </c>
      <c r="O635" t="str">
        <f>IF(Worksheet!AJ635="","",Worksheet!AJ635)</f>
        <v>HSE A Haantjes Certifisc Oudenaarde</v>
      </c>
      <c r="P635" t="str">
        <f>IF(Worksheet!AK635="","",Worksheet!AK635)</f>
        <v>Coach</v>
      </c>
    </row>
    <row r="636" spans="5:16" x14ac:dyDescent="0.25">
      <c r="E636" s="2"/>
      <c r="J636" t="str">
        <f>Worksheet!C636&amp;" "&amp;Worksheet!B636</f>
        <v>Bram Van Wyngene</v>
      </c>
      <c r="K636" t="str">
        <f>IF(Worksheet!P636&lt;&gt;"",Worksheet!P636,IF(Worksheet!R636&lt;&gt;"",Worksheet!R636,IF(Worksheet!T636&lt;&gt;"",Worksheet!T636,"")))</f>
        <v/>
      </c>
      <c r="L636" t="str">
        <f>IF(AND(Worksheet!V636&lt;&gt;"",Worksheet!V636&lt;&gt;0),Worksheet!V636&amp;"",IF(AND(Worksheet!X636&lt;&gt;"",Worksheet!X636&lt;&gt;0),Worksheet!X636&amp;"",IF(AND(Worksheet!Z636&lt;&gt;"",Worksheet!Z636&lt;&gt;0),Worksheet!Z636&amp;"","")))</f>
        <v>0477349575</v>
      </c>
      <c r="M636" t="str">
        <f>IF(Worksheet!AE636="","",Worksheet!AE636)</f>
        <v/>
      </c>
      <c r="N636" t="str">
        <f>IF(Worksheet!AG636="","",Worksheet!AG636)</f>
        <v/>
      </c>
      <c r="O636" t="str">
        <f>IF(Worksheet!AJ636="","",Worksheet!AJ636)</f>
        <v>J18 A Haantjes CERTIFISC Oudenaarde</v>
      </c>
      <c r="P636" t="str">
        <f>IF(Worksheet!AK636="","",Worksheet!AK636)</f>
        <v>Coach</v>
      </c>
    </row>
    <row r="637" spans="5:16" x14ac:dyDescent="0.25">
      <c r="E637" s="2"/>
      <c r="J637" t="str">
        <f>Worksheet!C637&amp;" "&amp;Worksheet!B637</f>
        <v>Olivia Vanbutsele</v>
      </c>
      <c r="K637" t="str">
        <f>IF(Worksheet!P637&lt;&gt;"",Worksheet!P637,IF(Worksheet!R637&lt;&gt;"",Worksheet!R637,IF(Worksheet!T637&lt;&gt;"",Worksheet!T637,"")))</f>
        <v>Mike.vb@telenet.be</v>
      </c>
      <c r="L637" t="str">
        <f>IF(AND(Worksheet!V637&lt;&gt;"",Worksheet!V637&lt;&gt;0),Worksheet!V637&amp;"",IF(AND(Worksheet!X637&lt;&gt;"",Worksheet!X637&lt;&gt;0),Worksheet!X637&amp;"",IF(AND(Worksheet!Z637&lt;&gt;"",Worksheet!Z637&lt;&gt;0),Worksheet!Z637&amp;"","")))</f>
        <v>0479484158</v>
      </c>
      <c r="M637" t="str">
        <f>IF(Worksheet!AE637="","",Worksheet!AE637)</f>
        <v>https://app.twizzit.com/public/photos/4292310/s/063d2ce017539cf8df316f28e3a639739d1c1148.jpeg</v>
      </c>
      <c r="N637" t="str">
        <f>IF(Worksheet!AG637="","",Worksheet!AG637)</f>
        <v/>
      </c>
      <c r="O637" t="str">
        <f>IF(Worksheet!AJ637="","",Worksheet!AJ637)</f>
        <v>Zomerstage 2026 (Blankenberge)</v>
      </c>
      <c r="P637" t="str">
        <f>IF(Worksheet!AK637="","",Worksheet!AK637)</f>
        <v>Speler</v>
      </c>
    </row>
    <row r="638" spans="5:16" x14ac:dyDescent="0.25">
      <c r="E638" s="2"/>
      <c r="J638" t="str">
        <f>Worksheet!C638&amp;" "&amp;Worksheet!B638</f>
        <v>Olivia Vanbutsele</v>
      </c>
      <c r="K638" t="str">
        <f>IF(Worksheet!P638&lt;&gt;"",Worksheet!P638,IF(Worksheet!R638&lt;&gt;"",Worksheet!R638,IF(Worksheet!T638&lt;&gt;"",Worksheet!T638,"")))</f>
        <v>Mike.vb@telenet.be</v>
      </c>
      <c r="L638" t="str">
        <f>IF(AND(Worksheet!V638&lt;&gt;"",Worksheet!V638&lt;&gt;0),Worksheet!V638&amp;"",IF(AND(Worksheet!X638&lt;&gt;"",Worksheet!X638&lt;&gt;0),Worksheet!X638&amp;"",IF(AND(Worksheet!Z638&lt;&gt;"",Worksheet!Z638&lt;&gt;0),Worksheet!Z638&amp;"","")))</f>
        <v>0479484158</v>
      </c>
      <c r="M638" t="str">
        <f>IF(Worksheet!AE638="","",Worksheet!AE638)</f>
        <v>https://app.twizzit.com/public/photos/4292310/s/063d2ce017539cf8df316f28e3a639739d1c1148.jpeg</v>
      </c>
      <c r="N638" t="str">
        <f>IF(Worksheet!AG638="","",Worksheet!AG638)</f>
        <v/>
      </c>
      <c r="O638" t="str">
        <f>IF(Worksheet!AJ638="","",Worksheet!AJ638)</f>
        <v>M14 A Haantjes CERTIFISC  Oudenaarde</v>
      </c>
      <c r="P638" t="str">
        <f>IF(Worksheet!AK638="","",Worksheet!AK638)</f>
        <v>Speler</v>
      </c>
    </row>
    <row r="639" spans="5:16" x14ac:dyDescent="0.25">
      <c r="E639" s="2"/>
      <c r="J639" t="str">
        <f>Worksheet!C639&amp;" "&amp;Worksheet!B639</f>
        <v>Kobe Vandaele</v>
      </c>
      <c r="K639" t="str">
        <f>IF(Worksheet!P639&lt;&gt;"",Worksheet!P639,IF(Worksheet!R639&lt;&gt;"",Worksheet!R639,IF(Worksheet!T639&lt;&gt;"",Worksheet!T639,"")))</f>
        <v/>
      </c>
      <c r="L639" t="str">
        <f>IF(AND(Worksheet!V639&lt;&gt;"",Worksheet!V639&lt;&gt;0),Worksheet!V639&amp;"",IF(AND(Worksheet!X639&lt;&gt;"",Worksheet!X639&lt;&gt;0),Worksheet!X639&amp;"",IF(AND(Worksheet!Z639&lt;&gt;"",Worksheet!Z639&lt;&gt;0),Worksheet!Z639&amp;"","")))</f>
        <v>478439213</v>
      </c>
      <c r="M639" t="str">
        <f>IF(Worksheet!AE639="","",Worksheet!AE639)</f>
        <v/>
      </c>
      <c r="N639">
        <f>IF(Worksheet!AG639="","",Worksheet!AG639)</f>
        <v>739424</v>
      </c>
      <c r="O639" t="str">
        <f>IF(Worksheet!AJ639="","",Worksheet!AJ639)</f>
        <v>J16 B Haantjes CERTIFISC Oudenaarde</v>
      </c>
      <c r="P639" t="str">
        <f>IF(Worksheet!AK639="","",Worksheet!AK639)</f>
        <v>Speler</v>
      </c>
    </row>
    <row r="640" spans="5:16" x14ac:dyDescent="0.25">
      <c r="E640" s="2"/>
      <c r="J640" t="str">
        <f>Worksheet!C640&amp;" "&amp;Worksheet!B640</f>
        <v>Lowie Vande Kerckhove</v>
      </c>
      <c r="K640" t="str">
        <f>IF(Worksheet!P640&lt;&gt;"",Worksheet!P640,IF(Worksheet!R640&lt;&gt;"",Worksheet!R640,IF(Worksheet!T640&lt;&gt;"",Worksheet!T640,"")))</f>
        <v/>
      </c>
      <c r="L640" t="str">
        <f>IF(AND(Worksheet!V640&lt;&gt;"",Worksheet!V640&lt;&gt;0),Worksheet!V640&amp;"",IF(AND(Worksheet!X640&lt;&gt;"",Worksheet!X640&lt;&gt;0),Worksheet!X640&amp;"",IF(AND(Worksheet!Z640&lt;&gt;"",Worksheet!Z640&lt;&gt;0),Worksheet!Z640&amp;"","")))</f>
        <v>0498621224</v>
      </c>
      <c r="M640" t="str">
        <f>IF(Worksheet!AE640="","",Worksheet!AE640)</f>
        <v/>
      </c>
      <c r="N640">
        <f>IF(Worksheet!AG640="","",Worksheet!AG640)</f>
        <v>705824</v>
      </c>
      <c r="O640" t="str">
        <f>IF(Worksheet!AJ640="","",Worksheet!AJ640)</f>
        <v>J18 A Haantjes CERTIFISC Oudenaarde</v>
      </c>
      <c r="P640" t="str">
        <f>IF(Worksheet!AK640="","",Worksheet!AK640)</f>
        <v>Speler</v>
      </c>
    </row>
    <row r="641" spans="5:16" x14ac:dyDescent="0.25">
      <c r="E641" s="2"/>
      <c r="J641" t="str">
        <f>Worksheet!C641&amp;" "&amp;Worksheet!B641</f>
        <v>Lowie Vande Kerckhove</v>
      </c>
      <c r="K641" t="str">
        <f>IF(Worksheet!P641&lt;&gt;"",Worksheet!P641,IF(Worksheet!R641&lt;&gt;"",Worksheet!R641,IF(Worksheet!T641&lt;&gt;"",Worksheet!T641,"")))</f>
        <v/>
      </c>
      <c r="L641" t="str">
        <f>IF(AND(Worksheet!V641&lt;&gt;"",Worksheet!V641&lt;&gt;0),Worksheet!V641&amp;"",IF(AND(Worksheet!X641&lt;&gt;"",Worksheet!X641&lt;&gt;0),Worksheet!X641&amp;"",IF(AND(Worksheet!Z641&lt;&gt;"",Worksheet!Z641&lt;&gt;0),Worksheet!Z641&amp;"","")))</f>
        <v>0498621224</v>
      </c>
      <c r="M641" t="str">
        <f>IF(Worksheet!AE641="","",Worksheet!AE641)</f>
        <v/>
      </c>
      <c r="N641">
        <f>IF(Worksheet!AG641="","",Worksheet!AG641)</f>
        <v>705824</v>
      </c>
      <c r="O641" t="str">
        <f>IF(Worksheet!AJ641="","",Worksheet!AJ641)</f>
        <v>Zomerstage 2026 (Blankenberge)</v>
      </c>
      <c r="P641" t="str">
        <f>IF(Worksheet!AK641="","",Worksheet!AK641)</f>
        <v>Speler</v>
      </c>
    </row>
    <row r="642" spans="5:16" x14ac:dyDescent="0.25">
      <c r="E642" s="2"/>
      <c r="J642" t="str">
        <f>Worksheet!C642&amp;" "&amp;Worksheet!B642</f>
        <v>Sander Vande Walle</v>
      </c>
      <c r="K642" t="str">
        <f>IF(Worksheet!P642&lt;&gt;"",Worksheet!P642,IF(Worksheet!R642&lt;&gt;"",Worksheet!R642,IF(Worksheet!T642&lt;&gt;"",Worksheet!T642,"")))</f>
        <v/>
      </c>
      <c r="L642" t="str">
        <f>IF(AND(Worksheet!V642&lt;&gt;"",Worksheet!V642&lt;&gt;0),Worksheet!V642&amp;"",IF(AND(Worksheet!X642&lt;&gt;"",Worksheet!X642&lt;&gt;0),Worksheet!X642&amp;"",IF(AND(Worksheet!Z642&lt;&gt;"",Worksheet!Z642&lt;&gt;0),Worksheet!Z642&amp;"","")))</f>
        <v>477310473</v>
      </c>
      <c r="M642" t="str">
        <f>IF(Worksheet!AE642="","",Worksheet!AE642)</f>
        <v/>
      </c>
      <c r="N642">
        <f>IF(Worksheet!AG642="","",Worksheet!AG642)</f>
        <v>192768</v>
      </c>
      <c r="O642" t="str">
        <f>IF(Worksheet!AJ642="","",Worksheet!AJ642)</f>
        <v/>
      </c>
      <c r="P642" t="str">
        <f>IF(Worksheet!AK642="","",Worksheet!AK642)</f>
        <v/>
      </c>
    </row>
    <row r="643" spans="5:16" x14ac:dyDescent="0.25">
      <c r="E643" s="2"/>
      <c r="J643" t="str">
        <f>Worksheet!C643&amp;" "&amp;Worksheet!B643</f>
        <v>Ilona Vandecappelle</v>
      </c>
      <c r="K643" t="str">
        <f>IF(Worksheet!P643&lt;&gt;"",Worksheet!P643,IF(Worksheet!R643&lt;&gt;"",Worksheet!R643,IF(Worksheet!T643&lt;&gt;"",Worksheet!T643,"")))</f>
        <v/>
      </c>
      <c r="L643" t="str">
        <f>IF(AND(Worksheet!V643&lt;&gt;"",Worksheet!V643&lt;&gt;0),Worksheet!V643&amp;"",IF(AND(Worksheet!X643&lt;&gt;"",Worksheet!X643&lt;&gt;0),Worksheet!X643&amp;"",IF(AND(Worksheet!Z643&lt;&gt;"",Worksheet!Z643&lt;&gt;0),Worksheet!Z643&amp;"","")))</f>
        <v/>
      </c>
      <c r="M643" t="str">
        <f>IF(Worksheet!AE643="","",Worksheet!AE643)</f>
        <v/>
      </c>
      <c r="N643" t="str">
        <f>IF(Worksheet!AG643="","",Worksheet!AG643)</f>
        <v/>
      </c>
      <c r="O643" t="str">
        <f>IF(Worksheet!AJ643="","",Worksheet!AJ643)</f>
        <v/>
      </c>
      <c r="P643" t="str">
        <f>IF(Worksheet!AK643="","",Worksheet!AK643)</f>
        <v/>
      </c>
    </row>
    <row r="644" spans="5:16" x14ac:dyDescent="0.25">
      <c r="E644" s="2"/>
      <c r="J644" t="str">
        <f>Worksheet!C644&amp;" "&amp;Worksheet!B644</f>
        <v>Lukas Vandemaele</v>
      </c>
      <c r="K644" t="str">
        <f>IF(Worksheet!P644&lt;&gt;"",Worksheet!P644,IF(Worksheet!R644&lt;&gt;"",Worksheet!R644,IF(Worksheet!T644&lt;&gt;"",Worksheet!T644,"")))</f>
        <v>Wimvandemaele@hotmail.com</v>
      </c>
      <c r="L644" t="str">
        <f>IF(AND(Worksheet!V644&lt;&gt;"",Worksheet!V644&lt;&gt;0),Worksheet!V644&amp;"",IF(AND(Worksheet!X644&lt;&gt;"",Worksheet!X644&lt;&gt;0),Worksheet!X644&amp;"",IF(AND(Worksheet!Z644&lt;&gt;"",Worksheet!Z644&lt;&gt;0),Worksheet!Z644&amp;"","")))</f>
        <v>3247849513</v>
      </c>
      <c r="M644" t="str">
        <f>IF(Worksheet!AE644="","",Worksheet!AE644)</f>
        <v/>
      </c>
      <c r="N644">
        <f>IF(Worksheet!AG644="","",Worksheet!AG644)</f>
        <v>735083</v>
      </c>
      <c r="O644" t="str">
        <f>IF(Worksheet!AJ644="","",Worksheet!AJ644)</f>
        <v>J16 B Haantjes CERTIFISC Oudenaarde</v>
      </c>
      <c r="P644" t="str">
        <f>IF(Worksheet!AK644="","",Worksheet!AK644)</f>
        <v>Speler</v>
      </c>
    </row>
    <row r="645" spans="5:16" x14ac:dyDescent="0.25">
      <c r="E645" s="2"/>
      <c r="J645" t="str">
        <f>Worksheet!C645&amp;" "&amp;Worksheet!B645</f>
        <v>Lukas Vandemaele</v>
      </c>
      <c r="K645" t="str">
        <f>IF(Worksheet!P645&lt;&gt;"",Worksheet!P645,IF(Worksheet!R645&lt;&gt;"",Worksheet!R645,IF(Worksheet!T645&lt;&gt;"",Worksheet!T645,"")))</f>
        <v>Wimvandemaele@hotmail.com</v>
      </c>
      <c r="L645" t="str">
        <f>IF(AND(Worksheet!V645&lt;&gt;"",Worksheet!V645&lt;&gt;0),Worksheet!V645&amp;"",IF(AND(Worksheet!X645&lt;&gt;"",Worksheet!X645&lt;&gt;0),Worksheet!X645&amp;"",IF(AND(Worksheet!Z645&lt;&gt;"",Worksheet!Z645&lt;&gt;0),Worksheet!Z645&amp;"","")))</f>
        <v>3247849513</v>
      </c>
      <c r="M645" t="str">
        <f>IF(Worksheet!AE645="","",Worksheet!AE645)</f>
        <v/>
      </c>
      <c r="N645">
        <f>IF(Worksheet!AG645="","",Worksheet!AG645)</f>
        <v>735083</v>
      </c>
      <c r="O645" t="str">
        <f>IF(Worksheet!AJ645="","",Worksheet!AJ645)</f>
        <v/>
      </c>
      <c r="P645" t="str">
        <f>IF(Worksheet!AK645="","",Worksheet!AK645)</f>
        <v/>
      </c>
    </row>
    <row r="646" spans="5:16" x14ac:dyDescent="0.25">
      <c r="E646" s="2"/>
      <c r="J646" t="str">
        <f>Worksheet!C646&amp;" "&amp;Worksheet!B646</f>
        <v>Wim Vandemaele</v>
      </c>
      <c r="K646" t="str">
        <f>IF(Worksheet!P646&lt;&gt;"",Worksheet!P646,IF(Worksheet!R646&lt;&gt;"",Worksheet!R646,IF(Worksheet!T646&lt;&gt;"",Worksheet!T646,"")))</f>
        <v/>
      </c>
      <c r="L646" t="str">
        <f>IF(AND(Worksheet!V646&lt;&gt;"",Worksheet!V646&lt;&gt;0),Worksheet!V646&amp;"",IF(AND(Worksheet!X646&lt;&gt;"",Worksheet!X646&lt;&gt;0),Worksheet!X646&amp;"",IF(AND(Worksheet!Z646&lt;&gt;"",Worksheet!Z646&lt;&gt;0),Worksheet!Z646&amp;"","")))</f>
        <v/>
      </c>
      <c r="M646" t="str">
        <f>IF(Worksheet!AE646="","",Worksheet!AE646)</f>
        <v/>
      </c>
      <c r="N646">
        <f>IF(Worksheet!AG646="","",Worksheet!AG646)</f>
        <v>737366</v>
      </c>
      <c r="O646" t="str">
        <f>IF(Worksheet!AJ646="","",Worksheet!AJ646)</f>
        <v/>
      </c>
      <c r="P646" t="str">
        <f>IF(Worksheet!AK646="","",Worksheet!AK646)</f>
        <v/>
      </c>
    </row>
    <row r="647" spans="5:16" x14ac:dyDescent="0.25">
      <c r="E647" s="2"/>
      <c r="J647" t="str">
        <f>Worksheet!C647&amp;" "&amp;Worksheet!B647</f>
        <v>Guus Vanden abeele</v>
      </c>
      <c r="K647" t="str">
        <f>IF(Worksheet!P647&lt;&gt;"",Worksheet!P647,IF(Worksheet!R647&lt;&gt;"",Worksheet!R647,IF(Worksheet!T647&lt;&gt;"",Worksheet!T647,"")))</f>
        <v>vdbkatrien@gmail.com</v>
      </c>
      <c r="L647" t="str">
        <f>IF(AND(Worksheet!V647&lt;&gt;"",Worksheet!V647&lt;&gt;0),Worksheet!V647&amp;"",IF(AND(Worksheet!X647&lt;&gt;"",Worksheet!X647&lt;&gt;0),Worksheet!X647&amp;"",IF(AND(Worksheet!Z647&lt;&gt;"",Worksheet!Z647&lt;&gt;0),Worksheet!Z647&amp;"","")))</f>
        <v>0468328900</v>
      </c>
      <c r="M647" t="str">
        <f>IF(Worksheet!AE647="","",Worksheet!AE647)</f>
        <v>https://app.twizzit.com/public/photos/4421928/s/e58d0247e8e789285dd7b82c95b7f26988445978.png</v>
      </c>
      <c r="N647" t="str">
        <f>IF(Worksheet!AG647="","",Worksheet!AG647)</f>
        <v/>
      </c>
      <c r="O647" t="str">
        <f>IF(Worksheet!AJ647="","",Worksheet!AJ647)</f>
        <v/>
      </c>
      <c r="P647" t="str">
        <f>IF(Worksheet!AK647="","",Worksheet!AK647)</f>
        <v/>
      </c>
    </row>
    <row r="648" spans="5:16" x14ac:dyDescent="0.25">
      <c r="E648" s="2"/>
      <c r="J648" t="str">
        <f>Worksheet!C648&amp;" "&amp;Worksheet!B648</f>
        <v>Vic Vanden Hautte</v>
      </c>
      <c r="K648" t="str">
        <f>IF(Worksheet!P648&lt;&gt;"",Worksheet!P648,IF(Worksheet!R648&lt;&gt;"",Worksheet!R648,IF(Worksheet!T648&lt;&gt;"",Worksheet!T648,"")))</f>
        <v>Kevin.vdh@gmail.com</v>
      </c>
      <c r="L648" t="str">
        <f>IF(AND(Worksheet!V648&lt;&gt;"",Worksheet!V648&lt;&gt;0),Worksheet!V648&amp;"",IF(AND(Worksheet!X648&lt;&gt;"",Worksheet!X648&lt;&gt;0),Worksheet!X648&amp;"",IF(AND(Worksheet!Z648&lt;&gt;"",Worksheet!Z648&lt;&gt;0),Worksheet!Z648&amp;"","")))</f>
        <v>0473448896</v>
      </c>
      <c r="M648" t="str">
        <f>IF(Worksheet!AE648="","",Worksheet!AE648)</f>
        <v>https://app.twizzit.com/public/photos/10733442/s/de71a0feaf3ea4a6afe343b706af319962bb20c0.jpeg</v>
      </c>
      <c r="N648" t="str">
        <f>IF(Worksheet!AG648="","",Worksheet!AG648)</f>
        <v/>
      </c>
      <c r="O648" t="str">
        <f>IF(Worksheet!AJ648="","",Worksheet!AJ648)</f>
        <v>G10 Blauw HAANTJES CERTIFISC OUDENAARDE</v>
      </c>
      <c r="P648" t="str">
        <f>IF(Worksheet!AK648="","",Worksheet!AK648)</f>
        <v>Speler</v>
      </c>
    </row>
    <row r="649" spans="5:16" x14ac:dyDescent="0.25">
      <c r="E649" s="2"/>
      <c r="J649" t="str">
        <f>Worksheet!C649&amp;" "&amp;Worksheet!B649</f>
        <v>Mattia Vandenbergh</v>
      </c>
      <c r="K649" t="str">
        <f>IF(Worksheet!P649&lt;&gt;"",Worksheet!P649,IF(Worksheet!R649&lt;&gt;"",Worksheet!R649,IF(Worksheet!T649&lt;&gt;"",Worksheet!T649,"")))</f>
        <v>wouter_vandenbergh@hotmail.com</v>
      </c>
      <c r="L649" t="str">
        <f>IF(AND(Worksheet!V649&lt;&gt;"",Worksheet!V649&lt;&gt;0),Worksheet!V649&amp;"",IF(AND(Worksheet!X649&lt;&gt;"",Worksheet!X649&lt;&gt;0),Worksheet!X649&amp;"",IF(AND(Worksheet!Z649&lt;&gt;"",Worksheet!Z649&lt;&gt;0),Worksheet!Z649&amp;"","")))</f>
        <v>0494260480</v>
      </c>
      <c r="M649" t="str">
        <f>IF(Worksheet!AE649="","",Worksheet!AE649)</f>
        <v>https://app.twizzit.com/public/photos/4776399/s/74c8a08bc217c9da0cda8a4efd0768e59f31490f.png</v>
      </c>
      <c r="N649" t="str">
        <f>IF(Worksheet!AG649="","",Worksheet!AG649)</f>
        <v/>
      </c>
      <c r="O649" t="str">
        <f>IF(Worksheet!AJ649="","",Worksheet!AJ649)</f>
        <v/>
      </c>
      <c r="P649" t="str">
        <f>IF(Worksheet!AK649="","",Worksheet!AK649)</f>
        <v/>
      </c>
    </row>
    <row r="650" spans="5:16" x14ac:dyDescent="0.25">
      <c r="E650" s="2"/>
      <c r="J650" t="str">
        <f>Worksheet!C650&amp;" "&amp;Worksheet!B650</f>
        <v>Evelyne Vandenbossche</v>
      </c>
      <c r="K650" t="str">
        <f>IF(Worksheet!P650&lt;&gt;"",Worksheet!P650,IF(Worksheet!R650&lt;&gt;"",Worksheet!R650,IF(Worksheet!T650&lt;&gt;"",Worksheet!T650,"")))</f>
        <v/>
      </c>
      <c r="L650" t="str">
        <f>IF(AND(Worksheet!V650&lt;&gt;"",Worksheet!V650&lt;&gt;0),Worksheet!V650&amp;"",IF(AND(Worksheet!X650&lt;&gt;"",Worksheet!X650&lt;&gt;0),Worksheet!X650&amp;"",IF(AND(Worksheet!Z650&lt;&gt;"",Worksheet!Z650&lt;&gt;0),Worksheet!Z650&amp;"","")))</f>
        <v/>
      </c>
      <c r="M650" t="str">
        <f>IF(Worksheet!AE650="","",Worksheet!AE650)</f>
        <v/>
      </c>
      <c r="N650">
        <f>IF(Worksheet!AG650="","",Worksheet!AG650)</f>
        <v>725138</v>
      </c>
      <c r="O650" t="str">
        <f>IF(Worksheet!AJ650="","",Worksheet!AJ650)</f>
        <v/>
      </c>
      <c r="P650" t="str">
        <f>IF(Worksheet!AK650="","",Worksheet!AK650)</f>
        <v/>
      </c>
    </row>
    <row r="651" spans="5:16" x14ac:dyDescent="0.25">
      <c r="E651" s="2"/>
      <c r="J651" t="str">
        <f>Worksheet!C651&amp;" "&amp;Worksheet!B651</f>
        <v xml:space="preserve">Katrien Vandenbroucke </v>
      </c>
      <c r="K651" t="str">
        <f>IF(Worksheet!P651&lt;&gt;"",Worksheet!P651,IF(Worksheet!R651&lt;&gt;"",Worksheet!R651,IF(Worksheet!T651&lt;&gt;"",Worksheet!T651,"")))</f>
        <v/>
      </c>
      <c r="L651" t="str">
        <f>IF(AND(Worksheet!V651&lt;&gt;"",Worksheet!V651&lt;&gt;0),Worksheet!V651&amp;"",IF(AND(Worksheet!X651&lt;&gt;"",Worksheet!X651&lt;&gt;0),Worksheet!X651&amp;"",IF(AND(Worksheet!Z651&lt;&gt;"",Worksheet!Z651&lt;&gt;0),Worksheet!Z651&amp;"","")))</f>
        <v/>
      </c>
      <c r="M651" t="str">
        <f>IF(Worksheet!AE651="","",Worksheet!AE651)</f>
        <v/>
      </c>
      <c r="N651" t="str">
        <f>IF(Worksheet!AG651="","",Worksheet!AG651)</f>
        <v/>
      </c>
      <c r="O651" t="str">
        <f>IF(Worksheet!AJ651="","",Worksheet!AJ651)</f>
        <v/>
      </c>
      <c r="P651" t="str">
        <f>IF(Worksheet!AK651="","",Worksheet!AK651)</f>
        <v/>
      </c>
    </row>
    <row r="652" spans="5:16" x14ac:dyDescent="0.25">
      <c r="E652" s="2"/>
      <c r="J652" t="str">
        <f>Worksheet!C652&amp;" "&amp;Worksheet!B652</f>
        <v>Vic Vandendaele</v>
      </c>
      <c r="K652" t="str">
        <f>IF(Worksheet!P652&lt;&gt;"",Worksheet!P652,IF(Worksheet!R652&lt;&gt;"",Worksheet!R652,IF(Worksheet!T652&lt;&gt;"",Worksheet!T652,"")))</f>
        <v/>
      </c>
      <c r="L652" t="str">
        <f>IF(AND(Worksheet!V652&lt;&gt;"",Worksheet!V652&lt;&gt;0),Worksheet!V652&amp;"",IF(AND(Worksheet!X652&lt;&gt;"",Worksheet!X652&lt;&gt;0),Worksheet!X652&amp;"",IF(AND(Worksheet!Z652&lt;&gt;"",Worksheet!Z652&lt;&gt;0),Worksheet!Z652&amp;"","")))</f>
        <v>0474061517</v>
      </c>
      <c r="M652" t="str">
        <f>IF(Worksheet!AE652="","",Worksheet!AE652)</f>
        <v/>
      </c>
      <c r="N652" t="str">
        <f>IF(Worksheet!AG652="","",Worksheet!AG652)</f>
        <v/>
      </c>
      <c r="O652" t="str">
        <f>IF(Worksheet!AJ652="","",Worksheet!AJ652)</f>
        <v/>
      </c>
      <c r="P652" t="str">
        <f>IF(Worksheet!AK652="","",Worksheet!AK652)</f>
        <v/>
      </c>
    </row>
    <row r="653" spans="5:16" x14ac:dyDescent="0.25">
      <c r="E653" s="2"/>
      <c r="J653" t="str">
        <f>Worksheet!C653&amp;" "&amp;Worksheet!B653</f>
        <v>Ona Vandendriessche</v>
      </c>
      <c r="K653" t="str">
        <f>IF(Worksheet!P653&lt;&gt;"",Worksheet!P653,IF(Worksheet!R653&lt;&gt;"",Worksheet!R653,IF(Worksheet!T653&lt;&gt;"",Worksheet!T653,"")))</f>
        <v>wovanden@microsoft.com</v>
      </c>
      <c r="L653" t="str">
        <f>IF(AND(Worksheet!V653&lt;&gt;"",Worksheet!V653&lt;&gt;0),Worksheet!V653&amp;"",IF(AND(Worksheet!X653&lt;&gt;"",Worksheet!X653&lt;&gt;0),Worksheet!X653&amp;"",IF(AND(Worksheet!Z653&lt;&gt;"",Worksheet!Z653&lt;&gt;0),Worksheet!Z653&amp;"","")))</f>
        <v>0475594603</v>
      </c>
      <c r="M653" t="str">
        <f>IF(Worksheet!AE653="","",Worksheet!AE653)</f>
        <v/>
      </c>
      <c r="N653" t="str">
        <f>IF(Worksheet!AG653="","",Worksheet!AG653)</f>
        <v/>
      </c>
      <c r="O653" t="str">
        <f>IF(Worksheet!AJ653="","",Worksheet!AJ653)</f>
        <v/>
      </c>
      <c r="P653" t="str">
        <f>IF(Worksheet!AK653="","",Worksheet!AK653)</f>
        <v/>
      </c>
    </row>
    <row r="654" spans="5:16" x14ac:dyDescent="0.25">
      <c r="E654" s="2"/>
      <c r="J654" t="str">
        <f>Worksheet!C654&amp;" "&amp;Worksheet!B654</f>
        <v>Arnaud Vandenhecke</v>
      </c>
      <c r="K654" t="str">
        <f>IF(Worksheet!P654&lt;&gt;"",Worksheet!P654,IF(Worksheet!R654&lt;&gt;"",Worksheet!R654,IF(Worksheet!T654&lt;&gt;"",Worksheet!T654,"")))</f>
        <v/>
      </c>
      <c r="L654" t="str">
        <f>IF(AND(Worksheet!V654&lt;&gt;"",Worksheet!V654&lt;&gt;0),Worksheet!V654&amp;"",IF(AND(Worksheet!X654&lt;&gt;"",Worksheet!X654&lt;&gt;0),Worksheet!X654&amp;"",IF(AND(Worksheet!Z654&lt;&gt;"",Worksheet!Z654&lt;&gt;0),Worksheet!Z654&amp;"","")))</f>
        <v/>
      </c>
      <c r="M654" t="str">
        <f>IF(Worksheet!AE654="","",Worksheet!AE654)</f>
        <v/>
      </c>
      <c r="N654" t="str">
        <f>IF(Worksheet!AG654="","",Worksheet!AG654)</f>
        <v/>
      </c>
      <c r="O654" t="str">
        <f>IF(Worksheet!AJ654="","",Worksheet!AJ654)</f>
        <v/>
      </c>
      <c r="P654" t="str">
        <f>IF(Worksheet!AK654="","",Worksheet!AK654)</f>
        <v/>
      </c>
    </row>
    <row r="655" spans="5:16" x14ac:dyDescent="0.25">
      <c r="E655" s="2"/>
      <c r="J655" t="str">
        <f>Worksheet!C655&amp;" "&amp;Worksheet!B655</f>
        <v>Ilias Vander Beken</v>
      </c>
      <c r="K655" t="str">
        <f>IF(Worksheet!P655&lt;&gt;"",Worksheet!P655,IF(Worksheet!R655&lt;&gt;"",Worksheet!R655,IF(Worksheet!T655&lt;&gt;"",Worksheet!T655,"")))</f>
        <v>tine_de_smet90@hotmail.com</v>
      </c>
      <c r="L655" t="str">
        <f>IF(AND(Worksheet!V655&lt;&gt;"",Worksheet!V655&lt;&gt;0),Worksheet!V655&amp;"",IF(AND(Worksheet!X655&lt;&gt;"",Worksheet!X655&lt;&gt;0),Worksheet!X655&amp;"",IF(AND(Worksheet!Z655&lt;&gt;"",Worksheet!Z655&lt;&gt;0),Worksheet!Z655&amp;"","")))</f>
        <v>0468142508</v>
      </c>
      <c r="M655" t="str">
        <f>IF(Worksheet!AE655="","",Worksheet!AE655)</f>
        <v>https://app.twizzit.com/public/photos/9469457/s/eb40348dfb8a2c0c9b13e74dd04369019dbd2f32.jpeg</v>
      </c>
      <c r="N655" t="str">
        <f>IF(Worksheet!AG655="","",Worksheet!AG655)</f>
        <v/>
      </c>
      <c r="O655" t="str">
        <f>IF(Worksheet!AJ655="","",Worksheet!AJ655)</f>
        <v>Zomerstage 2026 (Blankenberge)</v>
      </c>
      <c r="P655" t="str">
        <f>IF(Worksheet!AK655="","",Worksheet!AK655)</f>
        <v>Speler</v>
      </c>
    </row>
    <row r="656" spans="5:16" x14ac:dyDescent="0.25">
      <c r="E656" s="2"/>
      <c r="J656" t="str">
        <f>Worksheet!C656&amp;" "&amp;Worksheet!B656</f>
        <v>Ilias Vander Beken</v>
      </c>
      <c r="K656" t="str">
        <f>IF(Worksheet!P656&lt;&gt;"",Worksheet!P656,IF(Worksheet!R656&lt;&gt;"",Worksheet!R656,IF(Worksheet!T656&lt;&gt;"",Worksheet!T656,"")))</f>
        <v>tine_de_smet90@hotmail.com</v>
      </c>
      <c r="L656" t="str">
        <f>IF(AND(Worksheet!V656&lt;&gt;"",Worksheet!V656&lt;&gt;0),Worksheet!V656&amp;"",IF(AND(Worksheet!X656&lt;&gt;"",Worksheet!X656&lt;&gt;0),Worksheet!X656&amp;"",IF(AND(Worksheet!Z656&lt;&gt;"",Worksheet!Z656&lt;&gt;0),Worksheet!Z656&amp;"","")))</f>
        <v>0468142508</v>
      </c>
      <c r="M656" t="str">
        <f>IF(Worksheet!AE656="","",Worksheet!AE656)</f>
        <v>https://app.twizzit.com/public/photos/9469457/s/eb40348dfb8a2c0c9b13e74dd04369019dbd2f32.jpeg</v>
      </c>
      <c r="N656" t="str">
        <f>IF(Worksheet!AG656="","",Worksheet!AG656)</f>
        <v/>
      </c>
      <c r="O656" t="str">
        <f>IF(Worksheet!AJ656="","",Worksheet!AJ656)</f>
        <v>G12 Geel HAANTJES CERTIFISC OUDENAARDE</v>
      </c>
      <c r="P656" t="str">
        <f>IF(Worksheet!AK656="","",Worksheet!AK656)</f>
        <v>Speler</v>
      </c>
    </row>
    <row r="657" spans="5:16" x14ac:dyDescent="0.25">
      <c r="E657" s="2"/>
      <c r="J657" t="str">
        <f>Worksheet!C657&amp;" "&amp;Worksheet!B657</f>
        <v>Joshua Vander Beken</v>
      </c>
      <c r="K657" t="str">
        <f>IF(Worksheet!P657&lt;&gt;"",Worksheet!P657,IF(Worksheet!R657&lt;&gt;"",Worksheet!R657,IF(Worksheet!T657&lt;&gt;"",Worksheet!T657,"")))</f>
        <v/>
      </c>
      <c r="L657" t="str">
        <f>IF(AND(Worksheet!V657&lt;&gt;"",Worksheet!V657&lt;&gt;0),Worksheet!V657&amp;"",IF(AND(Worksheet!X657&lt;&gt;"",Worksheet!X657&lt;&gt;0),Worksheet!X657&amp;"",IF(AND(Worksheet!Z657&lt;&gt;"",Worksheet!Z657&lt;&gt;0),Worksheet!Z657&amp;"","")))</f>
        <v>0468142508</v>
      </c>
      <c r="M657" t="str">
        <f>IF(Worksheet!AE657="","",Worksheet!AE657)</f>
        <v/>
      </c>
      <c r="N657" t="str">
        <f>IF(Worksheet!AG657="","",Worksheet!AG657)</f>
        <v/>
      </c>
      <c r="O657" t="str">
        <f>IF(Worksheet!AJ657="","",Worksheet!AJ657)</f>
        <v/>
      </c>
      <c r="P657" t="str">
        <f>IF(Worksheet!AK657="","",Worksheet!AK657)</f>
        <v/>
      </c>
    </row>
    <row r="658" spans="5:16" x14ac:dyDescent="0.25">
      <c r="E658" s="2"/>
      <c r="J658" t="str">
        <f>Worksheet!C658&amp;" "&amp;Worksheet!B658</f>
        <v>Tiesj Vander Beken</v>
      </c>
      <c r="K658" t="str">
        <f>IF(Worksheet!P658&lt;&gt;"",Worksheet!P658,IF(Worksheet!R658&lt;&gt;"",Worksheet!R658,IF(Worksheet!T658&lt;&gt;"",Worksheet!T658,"")))</f>
        <v>joshua.vander.beken@gmail.com</v>
      </c>
      <c r="L658" t="str">
        <f>IF(AND(Worksheet!V658&lt;&gt;"",Worksheet!V658&lt;&gt;0),Worksheet!V658&amp;"",IF(AND(Worksheet!X658&lt;&gt;"",Worksheet!X658&lt;&gt;0),Worksheet!X658&amp;"",IF(AND(Worksheet!Z658&lt;&gt;"",Worksheet!Z658&lt;&gt;0),Worksheet!Z658&amp;"","")))</f>
        <v>0496404704</v>
      </c>
      <c r="M658" t="str">
        <f>IF(Worksheet!AE658="","",Worksheet!AE658)</f>
        <v/>
      </c>
      <c r="N658" t="str">
        <f>IF(Worksheet!AG658="","",Worksheet!AG658)</f>
        <v/>
      </c>
      <c r="O658" t="str">
        <f>IF(Worksheet!AJ658="","",Worksheet!AJ658)</f>
        <v/>
      </c>
      <c r="P658" t="str">
        <f>IF(Worksheet!AK658="","",Worksheet!AK658)</f>
        <v/>
      </c>
    </row>
    <row r="659" spans="5:16" x14ac:dyDescent="0.25">
      <c r="E659" s="2"/>
      <c r="J659" t="str">
        <f>Worksheet!C659&amp;" "&amp;Worksheet!B659</f>
        <v>Ellis Vanderhaeghen</v>
      </c>
      <c r="K659" t="str">
        <f>IF(Worksheet!P659&lt;&gt;"",Worksheet!P659,IF(Worksheet!R659&lt;&gt;"",Worksheet!R659,IF(Worksheet!T659&lt;&gt;"",Worksheet!T659,"")))</f>
        <v>tim.vanderhaeghen@gmail.com</v>
      </c>
      <c r="L659" t="str">
        <f>IF(AND(Worksheet!V659&lt;&gt;"",Worksheet!V659&lt;&gt;0),Worksheet!V659&amp;"",IF(AND(Worksheet!X659&lt;&gt;"",Worksheet!X659&lt;&gt;0),Worksheet!X659&amp;"",IF(AND(Worksheet!Z659&lt;&gt;"",Worksheet!Z659&lt;&gt;0),Worksheet!Z659&amp;"","")))</f>
        <v>0477869469</v>
      </c>
      <c r="M659" t="str">
        <f>IF(Worksheet!AE659="","",Worksheet!AE659)</f>
        <v>https://app.twizzit.com/public/photos/2183362/s/b5eb277d00bfbe6732a1eb3ede2622df0624e276.png</v>
      </c>
      <c r="N659">
        <f>IF(Worksheet!AG659="","",Worksheet!AG659)</f>
        <v>733969</v>
      </c>
      <c r="O659" t="str">
        <f>IF(Worksheet!AJ659="","",Worksheet!AJ659)</f>
        <v/>
      </c>
      <c r="P659" t="str">
        <f>IF(Worksheet!AK659="","",Worksheet!AK659)</f>
        <v/>
      </c>
    </row>
    <row r="660" spans="5:16" x14ac:dyDescent="0.25">
      <c r="E660" s="2"/>
      <c r="J660" t="str">
        <f>Worksheet!C660&amp;" "&amp;Worksheet!B660</f>
        <v>Tim Vanderhaeghen</v>
      </c>
      <c r="K660" t="str">
        <f>IF(Worksheet!P660&lt;&gt;"",Worksheet!P660,IF(Worksheet!R660&lt;&gt;"",Worksheet!R660,IF(Worksheet!T660&lt;&gt;"",Worksheet!T660,"")))</f>
        <v/>
      </c>
      <c r="L660" t="str">
        <f>IF(AND(Worksheet!V660&lt;&gt;"",Worksheet!V660&lt;&gt;0),Worksheet!V660&amp;"",IF(AND(Worksheet!X660&lt;&gt;"",Worksheet!X660&lt;&gt;0),Worksheet!X660&amp;"",IF(AND(Worksheet!Z660&lt;&gt;"",Worksheet!Z660&lt;&gt;0),Worksheet!Z660&amp;"","")))</f>
        <v>320477797513</v>
      </c>
      <c r="M660" t="str">
        <f>IF(Worksheet!AE660="","",Worksheet!AE660)</f>
        <v/>
      </c>
      <c r="N660" t="str">
        <f>IF(Worksheet!AG660="","",Worksheet!AG660)</f>
        <v/>
      </c>
      <c r="O660" t="str">
        <f>IF(Worksheet!AJ660="","",Worksheet!AJ660)</f>
        <v/>
      </c>
      <c r="P660" t="str">
        <f>IF(Worksheet!AK660="","",Worksheet!AK660)</f>
        <v/>
      </c>
    </row>
    <row r="661" spans="5:16" x14ac:dyDescent="0.25">
      <c r="E661" s="2"/>
      <c r="J661" t="str">
        <f>Worksheet!C661&amp;" "&amp;Worksheet!B661</f>
        <v>Emiel Vanderhelstraeten</v>
      </c>
      <c r="K661" t="str">
        <f>IF(Worksheet!P661&lt;&gt;"",Worksheet!P661,IF(Worksheet!R661&lt;&gt;"",Worksheet!R661,IF(Worksheet!T661&lt;&gt;"",Worksheet!T661,"")))</f>
        <v>anneleendesmet1978@outlook.com</v>
      </c>
      <c r="L661" t="str">
        <f>IF(AND(Worksheet!V661&lt;&gt;"",Worksheet!V661&lt;&gt;0),Worksheet!V661&amp;"",IF(AND(Worksheet!X661&lt;&gt;"",Worksheet!X661&lt;&gt;0),Worksheet!X661&amp;"",IF(AND(Worksheet!Z661&lt;&gt;"",Worksheet!Z661&lt;&gt;0),Worksheet!Z661&amp;"","")))</f>
        <v/>
      </c>
      <c r="M661" t="str">
        <f>IF(Worksheet!AE661="","",Worksheet!AE661)</f>
        <v/>
      </c>
      <c r="N661">
        <f>IF(Worksheet!AG661="","",Worksheet!AG661)</f>
        <v>666306</v>
      </c>
      <c r="O661" t="str">
        <f>IF(Worksheet!AJ661="","",Worksheet!AJ661)</f>
        <v>J21 A HAANTJES CERTIFISC OUDENAARDE</v>
      </c>
      <c r="P661" t="str">
        <f>IF(Worksheet!AK661="","",Worksheet!AK661)</f>
        <v>Speler</v>
      </c>
    </row>
    <row r="662" spans="5:16" x14ac:dyDescent="0.25">
      <c r="E662" s="2"/>
      <c r="J662" t="str">
        <f>Worksheet!C662&amp;" "&amp;Worksheet!B662</f>
        <v>Auguste Vanderschueren</v>
      </c>
      <c r="K662" t="str">
        <f>IF(Worksheet!P662&lt;&gt;"",Worksheet!P662,IF(Worksheet!R662&lt;&gt;"",Worksheet!R662,IF(Worksheet!T662&lt;&gt;"",Worksheet!T662,"")))</f>
        <v>olivier.vanderschueren@safetyjogger.com</v>
      </c>
      <c r="L662" t="str">
        <f>IF(AND(Worksheet!V662&lt;&gt;"",Worksheet!V662&lt;&gt;0),Worksheet!V662&amp;"",IF(AND(Worksheet!X662&lt;&gt;"",Worksheet!X662&lt;&gt;0),Worksheet!X662&amp;"",IF(AND(Worksheet!Z662&lt;&gt;"",Worksheet!Z662&lt;&gt;0),Worksheet!Z662&amp;"","")))</f>
        <v/>
      </c>
      <c r="M662" t="str">
        <f>IF(Worksheet!AE662="","",Worksheet!AE662)</f>
        <v/>
      </c>
      <c r="N662" t="str">
        <f>IF(Worksheet!AG662="","",Worksheet!AG662)</f>
        <v/>
      </c>
      <c r="O662" t="str">
        <f>IF(Worksheet!AJ662="","",Worksheet!AJ662)</f>
        <v>G08 Geel HAANTJES CERTIFISC OUDENAARDE</v>
      </c>
      <c r="P662" t="str">
        <f>IF(Worksheet!AK662="","",Worksheet!AK662)</f>
        <v>Speler</v>
      </c>
    </row>
    <row r="663" spans="5:16" x14ac:dyDescent="0.25">
      <c r="E663" s="2"/>
      <c r="J663" t="str">
        <f>Worksheet!C663&amp;" "&amp;Worksheet!B663</f>
        <v>Elize Vanderstraeten</v>
      </c>
      <c r="K663" t="str">
        <f>IF(Worksheet!P663&lt;&gt;"",Worksheet!P663,IF(Worksheet!R663&lt;&gt;"",Worksheet!R663,IF(Worksheet!T663&lt;&gt;"",Worksheet!T663,"")))</f>
        <v/>
      </c>
      <c r="L663" t="str">
        <f>IF(AND(Worksheet!V663&lt;&gt;"",Worksheet!V663&lt;&gt;0),Worksheet!V663&amp;"",IF(AND(Worksheet!X663&lt;&gt;"",Worksheet!X663&lt;&gt;0),Worksheet!X663&amp;"",IF(AND(Worksheet!Z663&lt;&gt;"",Worksheet!Z663&lt;&gt;0),Worksheet!Z663&amp;"","")))</f>
        <v>0496654860</v>
      </c>
      <c r="M663" t="str">
        <f>IF(Worksheet!AE663="","",Worksheet!AE663)</f>
        <v/>
      </c>
      <c r="N663" t="str">
        <f>IF(Worksheet!AG663="","",Worksheet!AG663)</f>
        <v/>
      </c>
      <c r="O663" t="str">
        <f>IF(Worksheet!AJ663="","",Worksheet!AJ663)</f>
        <v/>
      </c>
      <c r="P663" t="str">
        <f>IF(Worksheet!AK663="","",Worksheet!AK663)</f>
        <v/>
      </c>
    </row>
    <row r="664" spans="5:16" x14ac:dyDescent="0.25">
      <c r="E664" s="2"/>
      <c r="J664" t="str">
        <f>Worksheet!C664&amp;" "&amp;Worksheet!B664</f>
        <v>Lucas Vanderstraeten</v>
      </c>
      <c r="K664" t="str">
        <f>IF(Worksheet!P664&lt;&gt;"",Worksheet!P664,IF(Worksheet!R664&lt;&gt;"",Worksheet!R664,IF(Worksheet!T664&lt;&gt;"",Worksheet!T664,"")))</f>
        <v/>
      </c>
      <c r="L664" t="str">
        <f>IF(AND(Worksheet!V664&lt;&gt;"",Worksheet!V664&lt;&gt;0),Worksheet!V664&amp;"",IF(AND(Worksheet!X664&lt;&gt;"",Worksheet!X664&lt;&gt;0),Worksheet!X664&amp;"",IF(AND(Worksheet!Z664&lt;&gt;"",Worksheet!Z664&lt;&gt;0),Worksheet!Z664&amp;"","")))</f>
        <v>0496654860</v>
      </c>
      <c r="M664" t="str">
        <f>IF(Worksheet!AE664="","",Worksheet!AE664)</f>
        <v>https://app.twizzit.com/public/photos/3447788/s/a21b510884c5e068d9fd07894f967e10ecef7568.png</v>
      </c>
      <c r="N664" t="str">
        <f>IF(Worksheet!AG664="","",Worksheet!AG664)</f>
        <v/>
      </c>
      <c r="O664" t="str">
        <f>IF(Worksheet!AJ664="","",Worksheet!AJ664)</f>
        <v>G12 Blauw HAANTJES CERTIFISC OUDENAARDE</v>
      </c>
      <c r="P664" t="str">
        <f>IF(Worksheet!AK664="","",Worksheet!AK664)</f>
        <v>Speler</v>
      </c>
    </row>
    <row r="665" spans="5:16" x14ac:dyDescent="0.25">
      <c r="E665" s="2"/>
      <c r="J665" t="str">
        <f>Worksheet!C665&amp;" "&amp;Worksheet!B665</f>
        <v>Lucas Vanderstraeten</v>
      </c>
      <c r="K665" t="str">
        <f>IF(Worksheet!P665&lt;&gt;"",Worksheet!P665,IF(Worksheet!R665&lt;&gt;"",Worksheet!R665,IF(Worksheet!T665&lt;&gt;"",Worksheet!T665,"")))</f>
        <v/>
      </c>
      <c r="L665" t="str">
        <f>IF(AND(Worksheet!V665&lt;&gt;"",Worksheet!V665&lt;&gt;0),Worksheet!V665&amp;"",IF(AND(Worksheet!X665&lt;&gt;"",Worksheet!X665&lt;&gt;0),Worksheet!X665&amp;"",IF(AND(Worksheet!Z665&lt;&gt;"",Worksheet!Z665&lt;&gt;0),Worksheet!Z665&amp;"","")))</f>
        <v>0496654860</v>
      </c>
      <c r="M665" t="str">
        <f>IF(Worksheet!AE665="","",Worksheet!AE665)</f>
        <v>https://app.twizzit.com/public/photos/3447788/s/a21b510884c5e068d9fd07894f967e10ecef7568.png</v>
      </c>
      <c r="N665" t="str">
        <f>IF(Worksheet!AG665="","",Worksheet!AG665)</f>
        <v/>
      </c>
      <c r="O665" t="str">
        <f>IF(Worksheet!AJ665="","",Worksheet!AJ665)</f>
        <v>Zomerstage 2026 (Blankenberge)</v>
      </c>
      <c r="P665" t="str">
        <f>IF(Worksheet!AK665="","",Worksheet!AK665)</f>
        <v>Speler</v>
      </c>
    </row>
    <row r="666" spans="5:16" x14ac:dyDescent="0.25">
      <c r="E666" s="2"/>
      <c r="J666" t="str">
        <f>Worksheet!C666&amp;" "&amp;Worksheet!B666</f>
        <v>Lucas Vanderstraeten</v>
      </c>
      <c r="K666" t="str">
        <f>IF(Worksheet!P666&lt;&gt;"",Worksheet!P666,IF(Worksheet!R666&lt;&gt;"",Worksheet!R666,IF(Worksheet!T666&lt;&gt;"",Worksheet!T666,"")))</f>
        <v/>
      </c>
      <c r="L666" t="str">
        <f>IF(AND(Worksheet!V666&lt;&gt;"",Worksheet!V666&lt;&gt;0),Worksheet!V666&amp;"",IF(AND(Worksheet!X666&lt;&gt;"",Worksheet!X666&lt;&gt;0),Worksheet!X666&amp;"",IF(AND(Worksheet!Z666&lt;&gt;"",Worksheet!Z666&lt;&gt;0),Worksheet!Z666&amp;"","")))</f>
        <v>0496654860</v>
      </c>
      <c r="M666" t="str">
        <f>IF(Worksheet!AE666="","",Worksheet!AE666)</f>
        <v>https://app.twizzit.com/public/photos/3447788/s/a21b510884c5e068d9fd07894f967e10ecef7568.png</v>
      </c>
      <c r="N666" t="str">
        <f>IF(Worksheet!AG666="","",Worksheet!AG666)</f>
        <v/>
      </c>
      <c r="O666" t="str">
        <f>IF(Worksheet!AJ666="","",Worksheet!AJ666)</f>
        <v>Zomerstage 2026 U10 &amp; U12 (Oudenaarde)</v>
      </c>
      <c r="P666" t="str">
        <f>IF(Worksheet!AK666="","",Worksheet!AK666)</f>
        <v>Speler</v>
      </c>
    </row>
    <row r="667" spans="5:16" x14ac:dyDescent="0.25">
      <c r="E667" s="2"/>
      <c r="J667" t="str">
        <f>Worksheet!C667&amp;" "&amp;Worksheet!B667</f>
        <v>Wout Vandervoort</v>
      </c>
      <c r="K667" t="str">
        <f>IF(Worksheet!P667&lt;&gt;"",Worksheet!P667,IF(Worksheet!R667&lt;&gt;"",Worksheet!R667,IF(Worksheet!T667&lt;&gt;"",Worksheet!T667,"")))</f>
        <v/>
      </c>
      <c r="L667" t="str">
        <f>IF(AND(Worksheet!V667&lt;&gt;"",Worksheet!V667&lt;&gt;0),Worksheet!V667&amp;"",IF(AND(Worksheet!X667&lt;&gt;"",Worksheet!X667&lt;&gt;0),Worksheet!X667&amp;"",IF(AND(Worksheet!Z667&lt;&gt;"",Worksheet!Z667&lt;&gt;0),Worksheet!Z667&amp;"","")))</f>
        <v/>
      </c>
      <c r="M667" t="str">
        <f>IF(Worksheet!AE667="","",Worksheet!AE667)</f>
        <v/>
      </c>
      <c r="N667" t="str">
        <f>IF(Worksheet!AG667="","",Worksheet!AG667)</f>
        <v/>
      </c>
      <c r="O667" t="str">
        <f>IF(Worksheet!AJ667="","",Worksheet!AJ667)</f>
        <v/>
      </c>
      <c r="P667" t="str">
        <f>IF(Worksheet!AK667="","",Worksheet!AK667)</f>
        <v/>
      </c>
    </row>
    <row r="668" spans="5:16" x14ac:dyDescent="0.25">
      <c r="E668" s="2"/>
      <c r="J668" t="str">
        <f>Worksheet!C668&amp;" "&amp;Worksheet!B668</f>
        <v>Marthe Vandevelde</v>
      </c>
      <c r="K668" t="str">
        <f>IF(Worksheet!P668&lt;&gt;"",Worksheet!P668,IF(Worksheet!R668&lt;&gt;"",Worksheet!R668,IF(Worksheet!T668&lt;&gt;"",Worksheet!T668,"")))</f>
        <v/>
      </c>
      <c r="L668" t="str">
        <f>IF(AND(Worksheet!V668&lt;&gt;"",Worksheet!V668&lt;&gt;0),Worksheet!V668&amp;"",IF(AND(Worksheet!X668&lt;&gt;"",Worksheet!X668&lt;&gt;0),Worksheet!X668&amp;"",IF(AND(Worksheet!Z668&lt;&gt;"",Worksheet!Z668&lt;&gt;0),Worksheet!Z668&amp;"","")))</f>
        <v>49664.27.78</v>
      </c>
      <c r="M668" t="str">
        <f>IF(Worksheet!AE668="","",Worksheet!AE668)</f>
        <v/>
      </c>
      <c r="N668">
        <f>IF(Worksheet!AG668="","",Worksheet!AG668)</f>
        <v>150148</v>
      </c>
      <c r="O668" t="str">
        <f>IF(Worksheet!AJ668="","",Worksheet!AJ668)</f>
        <v/>
      </c>
      <c r="P668" t="str">
        <f>IF(Worksheet!AK668="","",Worksheet!AK668)</f>
        <v/>
      </c>
    </row>
    <row r="669" spans="5:16" x14ac:dyDescent="0.25">
      <c r="E669" s="2"/>
      <c r="J669" t="str">
        <f>Worksheet!C669&amp;" "&amp;Worksheet!B669</f>
        <v>Flo Vandewege</v>
      </c>
      <c r="K669" t="str">
        <f>IF(Worksheet!P669&lt;&gt;"",Worksheet!P669,IF(Worksheet!R669&lt;&gt;"",Worksheet!R669,IF(Worksheet!T669&lt;&gt;"",Worksheet!T669,"")))</f>
        <v>diedev@hotmail.com</v>
      </c>
      <c r="L669" t="str">
        <f>IF(AND(Worksheet!V669&lt;&gt;"",Worksheet!V669&lt;&gt;0),Worksheet!V669&amp;"",IF(AND(Worksheet!X669&lt;&gt;"",Worksheet!X669&lt;&gt;0),Worksheet!X669&amp;"",IF(AND(Worksheet!Z669&lt;&gt;"",Worksheet!Z669&lt;&gt;0),Worksheet!Z669&amp;"","")))</f>
        <v>0496432106</v>
      </c>
      <c r="M669" t="str">
        <f>IF(Worksheet!AE669="","",Worksheet!AE669)</f>
        <v>https://app.twizzit.com/public/photos/10452584/s/5f2777167147a40d5e0cdf16d10044b2680e0e8c.png</v>
      </c>
      <c r="N669" t="str">
        <f>IF(Worksheet!AG669="","",Worksheet!AG669)</f>
        <v/>
      </c>
      <c r="O669" t="str">
        <f>IF(Worksheet!AJ669="","",Worksheet!AJ669)</f>
        <v>G08 Groen HAANTJES CERTIFISC OUDENAARDE</v>
      </c>
      <c r="P669" t="str">
        <f>IF(Worksheet!AK669="","",Worksheet!AK669)</f>
        <v>Speler</v>
      </c>
    </row>
    <row r="670" spans="5:16" x14ac:dyDescent="0.25">
      <c r="E670" s="2"/>
      <c r="J670" t="str">
        <f>Worksheet!C670&amp;" "&amp;Worksheet!B670</f>
        <v>Janne Vandriessche</v>
      </c>
      <c r="K670" t="str">
        <f>IF(Worksheet!P670&lt;&gt;"",Worksheet!P670,IF(Worksheet!R670&lt;&gt;"",Worksheet!R670,IF(Worksheet!T670&lt;&gt;"",Worksheet!T670,"")))</f>
        <v>wout.vandriessche@telenet.be</v>
      </c>
      <c r="L670" t="str">
        <f>IF(AND(Worksheet!V670&lt;&gt;"",Worksheet!V670&lt;&gt;0),Worksheet!V670&amp;"",IF(AND(Worksheet!X670&lt;&gt;"",Worksheet!X670&lt;&gt;0),Worksheet!X670&amp;"",IF(AND(Worksheet!Z670&lt;&gt;"",Worksheet!Z670&lt;&gt;0),Worksheet!Z670&amp;"","")))</f>
        <v>0474875556</v>
      </c>
      <c r="M670" t="str">
        <f>IF(Worksheet!AE670="","",Worksheet!AE670)</f>
        <v/>
      </c>
      <c r="N670">
        <f>IF(Worksheet!AG670="","",Worksheet!AG670)</f>
        <v>703875</v>
      </c>
      <c r="O670" t="str">
        <f>IF(Worksheet!AJ670="","",Worksheet!AJ670)</f>
        <v>M19 A Haantjes CERTIFISC Oudenaarde</v>
      </c>
      <c r="P670" t="str">
        <f>IF(Worksheet!AK670="","",Worksheet!AK670)</f>
        <v>Speler</v>
      </c>
    </row>
    <row r="671" spans="5:16" x14ac:dyDescent="0.25">
      <c r="E671" s="2"/>
      <c r="J671" t="str">
        <f>Worksheet!C671&amp;" "&amp;Worksheet!B671</f>
        <v>Max Vandriessche</v>
      </c>
      <c r="K671" t="str">
        <f>IF(Worksheet!P671&lt;&gt;"",Worksheet!P671,IF(Worksheet!R671&lt;&gt;"",Worksheet!R671,IF(Worksheet!T671&lt;&gt;"",Worksheet!T671,"")))</f>
        <v>wout.vandriessche@telenet.be</v>
      </c>
      <c r="L671" t="str">
        <f>IF(AND(Worksheet!V671&lt;&gt;"",Worksheet!V671&lt;&gt;0),Worksheet!V671&amp;"",IF(AND(Worksheet!X671&lt;&gt;"",Worksheet!X671&lt;&gt;0),Worksheet!X671&amp;"",IF(AND(Worksheet!Z671&lt;&gt;"",Worksheet!Z671&lt;&gt;0),Worksheet!Z671&amp;"","")))</f>
        <v/>
      </c>
      <c r="M671" t="str">
        <f>IF(Worksheet!AE671="","",Worksheet!AE671)</f>
        <v/>
      </c>
      <c r="N671" t="str">
        <f>IF(Worksheet!AG671="","",Worksheet!AG671)</f>
        <v/>
      </c>
      <c r="O671" t="str">
        <f>IF(Worksheet!AJ671="","",Worksheet!AJ671)</f>
        <v/>
      </c>
      <c r="P671" t="str">
        <f>IF(Worksheet!AK671="","",Worksheet!AK671)</f>
        <v/>
      </c>
    </row>
    <row r="672" spans="5:16" x14ac:dyDescent="0.25">
      <c r="E672" s="2"/>
      <c r="J672" t="str">
        <f>Worksheet!C672&amp;" "&amp;Worksheet!B672</f>
        <v>Anaïs Vanhessche</v>
      </c>
      <c r="K672" t="str">
        <f>IF(Worksheet!P672&lt;&gt;"",Worksheet!P672,IF(Worksheet!R672&lt;&gt;"",Worksheet!R672,IF(Worksheet!T672&lt;&gt;"",Worksheet!T672,"")))</f>
        <v>miekevanderhaeghen@gmail.com</v>
      </c>
      <c r="L672" t="str">
        <f>IF(AND(Worksheet!V672&lt;&gt;"",Worksheet!V672&lt;&gt;0),Worksheet!V672&amp;"",IF(AND(Worksheet!X672&lt;&gt;"",Worksheet!X672&lt;&gt;0),Worksheet!X672&amp;"",IF(AND(Worksheet!Z672&lt;&gt;"",Worksheet!Z672&lt;&gt;0),Worksheet!Z672&amp;"","")))</f>
        <v>0477741955</v>
      </c>
      <c r="M672" t="str">
        <f>IF(Worksheet!AE672="","",Worksheet!AE672)</f>
        <v>https://app.twizzit.com/public/photos/2183392/s/3035381a43296f702255c02c3c99c4303bd9ab17.png</v>
      </c>
      <c r="N672">
        <f>IF(Worksheet!AG672="","",Worksheet!AG672)</f>
        <v>730033</v>
      </c>
      <c r="O672" t="str">
        <f>IF(Worksheet!AJ672="","",Worksheet!AJ672)</f>
        <v>M16 A Haantjes CERTIFISC  Oudenaarde</v>
      </c>
      <c r="P672" t="str">
        <f>IF(Worksheet!AK672="","",Worksheet!AK672)</f>
        <v>Speler</v>
      </c>
    </row>
    <row r="673" spans="5:16" x14ac:dyDescent="0.25">
      <c r="E673" s="2"/>
      <c r="J673" t="str">
        <f>Worksheet!C673&amp;" "&amp;Worksheet!B673</f>
        <v>Anaïs Vanhessche</v>
      </c>
      <c r="K673" t="str">
        <f>IF(Worksheet!P673&lt;&gt;"",Worksheet!P673,IF(Worksheet!R673&lt;&gt;"",Worksheet!R673,IF(Worksheet!T673&lt;&gt;"",Worksheet!T673,"")))</f>
        <v>miekevanderhaeghen@gmail.com</v>
      </c>
      <c r="L673" t="str">
        <f>IF(AND(Worksheet!V673&lt;&gt;"",Worksheet!V673&lt;&gt;0),Worksheet!V673&amp;"",IF(AND(Worksheet!X673&lt;&gt;"",Worksheet!X673&lt;&gt;0),Worksheet!X673&amp;"",IF(AND(Worksheet!Z673&lt;&gt;"",Worksheet!Z673&lt;&gt;0),Worksheet!Z673&amp;"","")))</f>
        <v>0477741955</v>
      </c>
      <c r="M673" t="str">
        <f>IF(Worksheet!AE673="","",Worksheet!AE673)</f>
        <v>https://app.twizzit.com/public/photos/2183392/s/3035381a43296f702255c02c3c99c4303bd9ab17.png</v>
      </c>
      <c r="N673">
        <f>IF(Worksheet!AG673="","",Worksheet!AG673)</f>
        <v>730033</v>
      </c>
      <c r="O673" t="str">
        <f>IF(Worksheet!AJ673="","",Worksheet!AJ673)</f>
        <v>Zomerstage 2026 (Blankenberge)</v>
      </c>
      <c r="P673" t="str">
        <f>IF(Worksheet!AK673="","",Worksheet!AK673)</f>
        <v>Speler</v>
      </c>
    </row>
    <row r="674" spans="5:16" x14ac:dyDescent="0.25">
      <c r="E674" s="2"/>
      <c r="J674" t="str">
        <f>Worksheet!C674&amp;" "&amp;Worksheet!B674</f>
        <v>Césa Vanhessche</v>
      </c>
      <c r="K674" t="str">
        <f>IF(Worksheet!P674&lt;&gt;"",Worksheet!P674,IF(Worksheet!R674&lt;&gt;"",Worksheet!R674,IF(Worksheet!T674&lt;&gt;"",Worksheet!T674,"")))</f>
        <v>miekevanderhaeghen@gmail.com</v>
      </c>
      <c r="L674" t="str">
        <f>IF(AND(Worksheet!V674&lt;&gt;"",Worksheet!V674&lt;&gt;0),Worksheet!V674&amp;"",IF(AND(Worksheet!X674&lt;&gt;"",Worksheet!X674&lt;&gt;0),Worksheet!X674&amp;"",IF(AND(Worksheet!Z674&lt;&gt;"",Worksheet!Z674&lt;&gt;0),Worksheet!Z674&amp;"","")))</f>
        <v>320477741955</v>
      </c>
      <c r="M674" t="str">
        <f>IF(Worksheet!AE674="","",Worksheet!AE674)</f>
        <v>https://app.twizzit.com/public/photos/2650948/s/a23afe337ad3bd9422eefdb4bcdf28808a36cbc4.png</v>
      </c>
      <c r="N674">
        <f>IF(Worksheet!AG674="","",Worksheet!AG674)</f>
        <v>742178</v>
      </c>
      <c r="O674" t="str">
        <f>IF(Worksheet!AJ674="","",Worksheet!AJ674)</f>
        <v/>
      </c>
      <c r="P674" t="str">
        <f>IF(Worksheet!AK674="","",Worksheet!AK674)</f>
        <v/>
      </c>
    </row>
    <row r="675" spans="5:16" x14ac:dyDescent="0.25">
      <c r="E675" s="2"/>
      <c r="J675" t="str">
        <f>Worksheet!C675&amp;" "&amp;Worksheet!B675</f>
        <v>Pieter Vanhessche</v>
      </c>
      <c r="K675" t="str">
        <f>IF(Worksheet!P675&lt;&gt;"",Worksheet!P675,IF(Worksheet!R675&lt;&gt;"",Worksheet!R675,IF(Worksheet!T675&lt;&gt;"",Worksheet!T675,"")))</f>
        <v/>
      </c>
      <c r="L675" t="str">
        <f>IF(AND(Worksheet!V675&lt;&gt;"",Worksheet!V675&lt;&gt;0),Worksheet!V675&amp;"",IF(AND(Worksheet!X675&lt;&gt;"",Worksheet!X675&lt;&gt;0),Worksheet!X675&amp;"",IF(AND(Worksheet!Z675&lt;&gt;"",Worksheet!Z675&lt;&gt;0),Worksheet!Z675&amp;"","")))</f>
        <v>320477741955</v>
      </c>
      <c r="M675" t="str">
        <f>IF(Worksheet!AE675="","",Worksheet!AE675)</f>
        <v>https://app.twizzit.com/public/photos/2655206/s/490553b505800ebdfa046bd5141a728af15526f1.jpeg</v>
      </c>
      <c r="N675">
        <f>IF(Worksheet!AG675="","",Worksheet!AG675)</f>
        <v>742179</v>
      </c>
      <c r="O675" t="str">
        <f>IF(Worksheet!AJ675="","",Worksheet!AJ675)</f>
        <v/>
      </c>
      <c r="P675" t="str">
        <f>IF(Worksheet!AK675="","",Worksheet!AK675)</f>
        <v/>
      </c>
    </row>
    <row r="676" spans="5:16" x14ac:dyDescent="0.25">
      <c r="E676" s="2"/>
      <c r="J676" t="str">
        <f>Worksheet!C676&amp;" "&amp;Worksheet!B676</f>
        <v>Alek Vanhoutte</v>
      </c>
      <c r="K676" t="str">
        <f>IF(Worksheet!P676&lt;&gt;"",Worksheet!P676,IF(Worksheet!R676&lt;&gt;"",Worksheet!R676,IF(Worksheet!T676&lt;&gt;"",Worksheet!T676,"")))</f>
        <v/>
      </c>
      <c r="L676" t="str">
        <f>IF(AND(Worksheet!V676&lt;&gt;"",Worksheet!V676&lt;&gt;0),Worksheet!V676&amp;"",IF(AND(Worksheet!X676&lt;&gt;"",Worksheet!X676&lt;&gt;0),Worksheet!X676&amp;"",IF(AND(Worksheet!Z676&lt;&gt;"",Worksheet!Z676&lt;&gt;0),Worksheet!Z676&amp;"","")))</f>
        <v>0477684192</v>
      </c>
      <c r="M676" t="str">
        <f>IF(Worksheet!AE676="","",Worksheet!AE676)</f>
        <v>https://app.twizzit.com/public/photos/2183397/s/f8b8f62887383271a37c0f5f75612b98208e8772.jpeg</v>
      </c>
      <c r="N676">
        <f>IF(Worksheet!AG676="","",Worksheet!AG676)</f>
        <v>717354</v>
      </c>
      <c r="O676" t="str">
        <f>IF(Worksheet!AJ676="","",Worksheet!AJ676)</f>
        <v/>
      </c>
      <c r="P676" t="str">
        <f>IF(Worksheet!AK676="","",Worksheet!AK676)</f>
        <v/>
      </c>
    </row>
    <row r="677" spans="5:16" x14ac:dyDescent="0.25">
      <c r="E677" s="2"/>
      <c r="J677" t="str">
        <f>Worksheet!C677&amp;" "&amp;Worksheet!B677</f>
        <v>Lieve Vanhoutte</v>
      </c>
      <c r="K677" t="str">
        <f>IF(Worksheet!P677&lt;&gt;"",Worksheet!P677,IF(Worksheet!R677&lt;&gt;"",Worksheet!R677,IF(Worksheet!T677&lt;&gt;"",Worksheet!T677,"")))</f>
        <v>jeugdcoordinator@haantjesoudenaarde.be</v>
      </c>
      <c r="L677" t="str">
        <f>IF(AND(Worksheet!V677&lt;&gt;"",Worksheet!V677&lt;&gt;0),Worksheet!V677&amp;"",IF(AND(Worksheet!X677&lt;&gt;"",Worksheet!X677&lt;&gt;0),Worksheet!X677&amp;"",IF(AND(Worksheet!Z677&lt;&gt;"",Worksheet!Z677&lt;&gt;0),Worksheet!Z677&amp;"","")))</f>
        <v>472774656</v>
      </c>
      <c r="M677" t="str">
        <f>IF(Worksheet!AE677="","",Worksheet!AE677)</f>
        <v/>
      </c>
      <c r="N677">
        <f>IF(Worksheet!AG677="","",Worksheet!AG677)</f>
        <v>154095</v>
      </c>
      <c r="O677" t="str">
        <f>IF(Worksheet!AJ677="","",Worksheet!AJ677)</f>
        <v/>
      </c>
      <c r="P677" t="str">
        <f>IF(Worksheet!AK677="","",Worksheet!AK677)</f>
        <v/>
      </c>
    </row>
    <row r="678" spans="5:16" x14ac:dyDescent="0.25">
      <c r="E678" s="2"/>
      <c r="J678" t="str">
        <f>Worksheet!C678&amp;" "&amp;Worksheet!B678</f>
        <v>Piet Vanhoutte</v>
      </c>
      <c r="K678" t="str">
        <f>IF(Worksheet!P678&lt;&gt;"",Worksheet!P678,IF(Worksheet!R678&lt;&gt;"",Worksheet!R678,IF(Worksheet!T678&lt;&gt;"",Worksheet!T678,"")))</f>
        <v/>
      </c>
      <c r="L678" t="str">
        <f>IF(AND(Worksheet!V678&lt;&gt;"",Worksheet!V678&lt;&gt;0),Worksheet!V678&amp;"",IF(AND(Worksheet!X678&lt;&gt;"",Worksheet!X678&lt;&gt;0),Worksheet!X678&amp;"",IF(AND(Worksheet!Z678&lt;&gt;"",Worksheet!Z678&lt;&gt;0),Worksheet!Z678&amp;"","")))</f>
        <v/>
      </c>
      <c r="M678" t="str">
        <f>IF(Worksheet!AE678="","",Worksheet!AE678)</f>
        <v/>
      </c>
      <c r="N678">
        <f>IF(Worksheet!AG678="","",Worksheet!AG678)</f>
        <v>727381</v>
      </c>
      <c r="O678" t="str">
        <f>IF(Worksheet!AJ678="","",Worksheet!AJ678)</f>
        <v/>
      </c>
      <c r="P678" t="str">
        <f>IF(Worksheet!AK678="","",Worksheet!AK678)</f>
        <v/>
      </c>
    </row>
    <row r="679" spans="5:16" x14ac:dyDescent="0.25">
      <c r="E679" s="2"/>
      <c r="J679" t="str">
        <f>Worksheet!C679&amp;" "&amp;Worksheet!B679</f>
        <v>Ronan Vanneste</v>
      </c>
      <c r="K679" t="str">
        <f>IF(Worksheet!P679&lt;&gt;"",Worksheet!P679,IF(Worksheet!R679&lt;&gt;"",Worksheet!R679,IF(Worksheet!T679&lt;&gt;"",Worksheet!T679,"")))</f>
        <v>Koen.vanneste.k@gmail.com</v>
      </c>
      <c r="L679" t="str">
        <f>IF(AND(Worksheet!V679&lt;&gt;"",Worksheet!V679&lt;&gt;0),Worksheet!V679&amp;"",IF(AND(Worksheet!X679&lt;&gt;"",Worksheet!X679&lt;&gt;0),Worksheet!X679&amp;"",IF(AND(Worksheet!Z679&lt;&gt;"",Worksheet!Z679&lt;&gt;0),Worksheet!Z679&amp;"","")))</f>
        <v>0476974657</v>
      </c>
      <c r="M679" t="str">
        <f>IF(Worksheet!AE679="","",Worksheet!AE679)</f>
        <v>https://app.twizzit.com/public/photos/7992424/s/7741759047d554aed7aaac84a694a4ea4a62b085.jpeg</v>
      </c>
      <c r="N679" t="str">
        <f>IF(Worksheet!AG679="","",Worksheet!AG679)</f>
        <v/>
      </c>
      <c r="O679" t="str">
        <f>IF(Worksheet!AJ679="","",Worksheet!AJ679)</f>
        <v>G08 Blauw HAANTJES CERTIFISC OUDENAARDE</v>
      </c>
      <c r="P679" t="str">
        <f>IF(Worksheet!AK679="","",Worksheet!AK679)</f>
        <v>Speler</v>
      </c>
    </row>
    <row r="680" spans="5:16" x14ac:dyDescent="0.25">
      <c r="E680" s="2"/>
      <c r="J680" t="str">
        <f>Worksheet!C680&amp;" "&amp;Worksheet!B680</f>
        <v>Ronan Vanneste</v>
      </c>
      <c r="K680" t="str">
        <f>IF(Worksheet!P680&lt;&gt;"",Worksheet!P680,IF(Worksheet!R680&lt;&gt;"",Worksheet!R680,IF(Worksheet!T680&lt;&gt;"",Worksheet!T680,"")))</f>
        <v>Koen.vanneste.k@gmail.com</v>
      </c>
      <c r="L680" t="str">
        <f>IF(AND(Worksheet!V680&lt;&gt;"",Worksheet!V680&lt;&gt;0),Worksheet!V680&amp;"",IF(AND(Worksheet!X680&lt;&gt;"",Worksheet!X680&lt;&gt;0),Worksheet!X680&amp;"",IF(AND(Worksheet!Z680&lt;&gt;"",Worksheet!Z680&lt;&gt;0),Worksheet!Z680&amp;"","")))</f>
        <v>0476974657</v>
      </c>
      <c r="M680" t="str">
        <f>IF(Worksheet!AE680="","",Worksheet!AE680)</f>
        <v>https://app.twizzit.com/public/photos/7992424/s/7741759047d554aed7aaac84a694a4ea4a62b085.jpeg</v>
      </c>
      <c r="N680" t="str">
        <f>IF(Worksheet!AG680="","",Worksheet!AG680)</f>
        <v/>
      </c>
      <c r="O680" t="str">
        <f>IF(Worksheet!AJ680="","",Worksheet!AJ680)</f>
        <v>Zomerstage 2026 U8 (Oudenaarde)</v>
      </c>
      <c r="P680" t="str">
        <f>IF(Worksheet!AK680="","",Worksheet!AK680)</f>
        <v>Speler</v>
      </c>
    </row>
    <row r="681" spans="5:16" x14ac:dyDescent="0.25">
      <c r="E681" s="2"/>
      <c r="J681" t="str">
        <f>Worksheet!C681&amp;" "&amp;Worksheet!B681</f>
        <v>Joselien Vannieuwenhuyze</v>
      </c>
      <c r="K681" t="str">
        <f>IF(Worksheet!P681&lt;&gt;"",Worksheet!P681,IF(Worksheet!R681&lt;&gt;"",Worksheet!R681,IF(Worksheet!T681&lt;&gt;"",Worksheet!T681,"")))</f>
        <v>elisabeth.vercammen@outlook.com</v>
      </c>
      <c r="L681" t="str">
        <f>IF(AND(Worksheet!V681&lt;&gt;"",Worksheet!V681&lt;&gt;0),Worksheet!V681&amp;"",IF(AND(Worksheet!X681&lt;&gt;"",Worksheet!X681&lt;&gt;0),Worksheet!X681&amp;"",IF(AND(Worksheet!Z681&lt;&gt;"",Worksheet!Z681&lt;&gt;0),Worksheet!Z681&amp;"","")))</f>
        <v>32494645568</v>
      </c>
      <c r="M681" t="str">
        <f>IF(Worksheet!AE681="","",Worksheet!AE681)</f>
        <v>https://app.twizzit.com/public/photos/7500726/s/2eff7ed0f6739149e998067c7d82dda70894fc63.png</v>
      </c>
      <c r="N681" t="str">
        <f>IF(Worksheet!AG681="","",Worksheet!AG681)</f>
        <v/>
      </c>
      <c r="O681" t="str">
        <f>IF(Worksheet!AJ681="","",Worksheet!AJ681)</f>
        <v>M12 A HAANTJES CERTIFISC OUDENAARDE</v>
      </c>
      <c r="P681" t="str">
        <f>IF(Worksheet!AK681="","",Worksheet!AK681)</f>
        <v>Speler</v>
      </c>
    </row>
    <row r="682" spans="5:16" x14ac:dyDescent="0.25">
      <c r="E682" s="2"/>
      <c r="J682" t="str">
        <f>Worksheet!C682&amp;" "&amp;Worksheet!B682</f>
        <v>Tim Vansteenbrugge</v>
      </c>
      <c r="K682" t="str">
        <f>IF(Worksheet!P682&lt;&gt;"",Worksheet!P682,IF(Worksheet!R682&lt;&gt;"",Worksheet!R682,IF(Worksheet!T682&lt;&gt;"",Worksheet!T682,"")))</f>
        <v/>
      </c>
      <c r="L682" t="str">
        <f>IF(AND(Worksheet!V682&lt;&gt;"",Worksheet!V682&lt;&gt;0),Worksheet!V682&amp;"",IF(AND(Worksheet!X682&lt;&gt;"",Worksheet!X682&lt;&gt;0),Worksheet!X682&amp;"",IF(AND(Worksheet!Z682&lt;&gt;"",Worksheet!Z682&lt;&gt;0),Worksheet!Z682&amp;"","")))</f>
        <v/>
      </c>
      <c r="M682" t="str">
        <f>IF(Worksheet!AE682="","",Worksheet!AE682)</f>
        <v/>
      </c>
      <c r="N682" t="str">
        <f>IF(Worksheet!AG682="","",Worksheet!AG682)</f>
        <v/>
      </c>
      <c r="O682" t="str">
        <f>IF(Worksheet!AJ682="","",Worksheet!AJ682)</f>
        <v/>
      </c>
      <c r="P682" t="str">
        <f>IF(Worksheet!AK682="","",Worksheet!AK682)</f>
        <v/>
      </c>
    </row>
    <row r="683" spans="5:16" x14ac:dyDescent="0.25">
      <c r="E683" s="2"/>
      <c r="J683" t="str">
        <f>Worksheet!C683&amp;" "&amp;Worksheet!B683</f>
        <v>Aline Vanwynsberghe</v>
      </c>
      <c r="K683" t="str">
        <f>IF(Worksheet!P683&lt;&gt;"",Worksheet!P683,IF(Worksheet!R683&lt;&gt;"",Worksheet!R683,IF(Worksheet!T683&lt;&gt;"",Worksheet!T683,"")))</f>
        <v/>
      </c>
      <c r="L683" t="str">
        <f>IF(AND(Worksheet!V683&lt;&gt;"",Worksheet!V683&lt;&gt;0),Worksheet!V683&amp;"",IF(AND(Worksheet!X683&lt;&gt;"",Worksheet!X683&lt;&gt;0),Worksheet!X683&amp;"",IF(AND(Worksheet!Z683&lt;&gt;"",Worksheet!Z683&lt;&gt;0),Worksheet!Z683&amp;"","")))</f>
        <v/>
      </c>
      <c r="M683" t="str">
        <f>IF(Worksheet!AE683="","",Worksheet!AE683)</f>
        <v/>
      </c>
      <c r="N683">
        <f>IF(Worksheet!AG683="","",Worksheet!AG683)</f>
        <v>705268</v>
      </c>
      <c r="O683" t="str">
        <f>IF(Worksheet!AJ683="","",Worksheet!AJ683)</f>
        <v/>
      </c>
      <c r="P683" t="str">
        <f>IF(Worksheet!AK683="","",Worksheet!AK683)</f>
        <v/>
      </c>
    </row>
    <row r="684" spans="5:16" x14ac:dyDescent="0.25">
      <c r="E684" s="2"/>
      <c r="J684" t="str">
        <f>Worksheet!C684&amp;" "&amp;Worksheet!B684</f>
        <v>Lias Velghe</v>
      </c>
      <c r="K684" t="str">
        <f>IF(Worksheet!P684&lt;&gt;"",Worksheet!P684,IF(Worksheet!R684&lt;&gt;"",Worksheet!R684,IF(Worksheet!T684&lt;&gt;"",Worksheet!T684,"")))</f>
        <v>natacham_davidv@hotmail.be</v>
      </c>
      <c r="L684" t="str">
        <f>IF(AND(Worksheet!V684&lt;&gt;"",Worksheet!V684&lt;&gt;0),Worksheet!V684&amp;"",IF(AND(Worksheet!X684&lt;&gt;"",Worksheet!X684&lt;&gt;0),Worksheet!X684&amp;"",IF(AND(Worksheet!Z684&lt;&gt;"",Worksheet!Z684&lt;&gt;0),Worksheet!Z684&amp;"","")))</f>
        <v>0498593233</v>
      </c>
      <c r="M684" t="str">
        <f>IF(Worksheet!AE684="","",Worksheet!AE684)</f>
        <v>https://app.twizzit.com/public/photos/3445768/s/4c884b157432a6deaaa18542df061bd432646fa3.png</v>
      </c>
      <c r="N684" t="str">
        <f>IF(Worksheet!AG684="","",Worksheet!AG684)</f>
        <v/>
      </c>
      <c r="O684" t="str">
        <f>IF(Worksheet!AJ684="","",Worksheet!AJ684)</f>
        <v>G10 Geel HAANTJES CERTIFISC OUDENAARDE</v>
      </c>
      <c r="P684" t="str">
        <f>IF(Worksheet!AK684="","",Worksheet!AK684)</f>
        <v>Speler</v>
      </c>
    </row>
    <row r="685" spans="5:16" x14ac:dyDescent="0.25">
      <c r="E685" s="2"/>
      <c r="J685" t="str">
        <f>Worksheet!C685&amp;" "&amp;Worksheet!B685</f>
        <v>Ona Velghe</v>
      </c>
      <c r="K685" t="str">
        <f>IF(Worksheet!P685&lt;&gt;"",Worksheet!P685,IF(Worksheet!R685&lt;&gt;"",Worksheet!R685,IF(Worksheet!T685&lt;&gt;"",Worksheet!T685,"")))</f>
        <v/>
      </c>
      <c r="L685" t="str">
        <f>IF(AND(Worksheet!V685&lt;&gt;"",Worksheet!V685&lt;&gt;0),Worksheet!V685&amp;"",IF(AND(Worksheet!X685&lt;&gt;"",Worksheet!X685&lt;&gt;0),Worksheet!X685&amp;"",IF(AND(Worksheet!Z685&lt;&gt;"",Worksheet!Z685&lt;&gt;0),Worksheet!Z685&amp;"","")))</f>
        <v/>
      </c>
      <c r="M685" t="str">
        <f>IF(Worksheet!AE685="","",Worksheet!AE685)</f>
        <v/>
      </c>
      <c r="N685" t="str">
        <f>IF(Worksheet!AG685="","",Worksheet!AG685)</f>
        <v/>
      </c>
      <c r="O685" t="str">
        <f>IF(Worksheet!AJ685="","",Worksheet!AJ685)</f>
        <v/>
      </c>
      <c r="P685" t="str">
        <f>IF(Worksheet!AK685="","",Worksheet!AK685)</f>
        <v/>
      </c>
    </row>
    <row r="686" spans="5:16" x14ac:dyDescent="0.25">
      <c r="E686" s="2"/>
      <c r="J686" t="str">
        <f>Worksheet!C686&amp;" "&amp;Worksheet!B686</f>
        <v>Robin Verbruggen</v>
      </c>
      <c r="K686" t="str">
        <f>IF(Worksheet!P686&lt;&gt;"",Worksheet!P686,IF(Worksheet!R686&lt;&gt;"",Worksheet!R686,IF(Worksheet!T686&lt;&gt;"",Worksheet!T686,"")))</f>
        <v>antonyv@gmail.com</v>
      </c>
      <c r="L686" t="str">
        <f>IF(AND(Worksheet!V686&lt;&gt;"",Worksheet!V686&lt;&gt;0),Worksheet!V686&amp;"",IF(AND(Worksheet!X686&lt;&gt;"",Worksheet!X686&lt;&gt;0),Worksheet!X686&amp;"",IF(AND(Worksheet!Z686&lt;&gt;"",Worksheet!Z686&lt;&gt;0),Worksheet!Z686&amp;"","")))</f>
        <v>0485141313</v>
      </c>
      <c r="M686" t="str">
        <f>IF(Worksheet!AE686="","",Worksheet!AE686)</f>
        <v/>
      </c>
      <c r="N686" t="str">
        <f>IF(Worksheet!AG686="","",Worksheet!AG686)</f>
        <v/>
      </c>
      <c r="O686" t="str">
        <f>IF(Worksheet!AJ686="","",Worksheet!AJ686)</f>
        <v/>
      </c>
      <c r="P686" t="str">
        <f>IF(Worksheet!AK686="","",Worksheet!AK686)</f>
        <v/>
      </c>
    </row>
    <row r="687" spans="5:16" x14ac:dyDescent="0.25">
      <c r="E687" s="2"/>
      <c r="J687" t="str">
        <f>Worksheet!C687&amp;" "&amp;Worksheet!B687</f>
        <v>Basile Verbrugghe</v>
      </c>
      <c r="K687" t="str">
        <f>IF(Worksheet!P687&lt;&gt;"",Worksheet!P687,IF(Worksheet!R687&lt;&gt;"",Worksheet!R687,IF(Worksheet!T687&lt;&gt;"",Worksheet!T687,"")))</f>
        <v>Chrisverbrugghe@hotmail.com</v>
      </c>
      <c r="L687" t="str">
        <f>IF(AND(Worksheet!V687&lt;&gt;"",Worksheet!V687&lt;&gt;0),Worksheet!V687&amp;"",IF(AND(Worksheet!X687&lt;&gt;"",Worksheet!X687&lt;&gt;0),Worksheet!X687&amp;"",IF(AND(Worksheet!Z687&lt;&gt;"",Worksheet!Z687&lt;&gt;0),Worksheet!Z687&amp;"","")))</f>
        <v>32479311550</v>
      </c>
      <c r="M687" t="str">
        <f>IF(Worksheet!AE687="","",Worksheet!AE687)</f>
        <v/>
      </c>
      <c r="N687" t="str">
        <f>IF(Worksheet!AG687="","",Worksheet!AG687)</f>
        <v/>
      </c>
      <c r="O687" t="str">
        <f>IF(Worksheet!AJ687="","",Worksheet!AJ687)</f>
        <v>G10 Geel HAANTJES CERTIFISC OUDENAARDE</v>
      </c>
      <c r="P687" t="str">
        <f>IF(Worksheet!AK687="","",Worksheet!AK687)</f>
        <v>Speler</v>
      </c>
    </row>
    <row r="688" spans="5:16" x14ac:dyDescent="0.25">
      <c r="E688" s="2"/>
      <c r="J688" t="str">
        <f>Worksheet!C688&amp;" "&amp;Worksheet!B688</f>
        <v>Hera Verbrugghe</v>
      </c>
      <c r="K688" t="str">
        <f>IF(Worksheet!P688&lt;&gt;"",Worksheet!P688,IF(Worksheet!R688&lt;&gt;"",Worksheet!R688,IF(Worksheet!T688&lt;&gt;"",Worksheet!T688,"")))</f>
        <v/>
      </c>
      <c r="L688" t="str">
        <f>IF(AND(Worksheet!V688&lt;&gt;"",Worksheet!V688&lt;&gt;0),Worksheet!V688&amp;"",IF(AND(Worksheet!X688&lt;&gt;"",Worksheet!X688&lt;&gt;0),Worksheet!X688&amp;"",IF(AND(Worksheet!Z688&lt;&gt;"",Worksheet!Z688&lt;&gt;0),Worksheet!Z688&amp;"","")))</f>
        <v/>
      </c>
      <c r="M688" t="str">
        <f>IF(Worksheet!AE688="","",Worksheet!AE688)</f>
        <v/>
      </c>
      <c r="N688" t="str">
        <f>IF(Worksheet!AG688="","",Worksheet!AG688)</f>
        <v/>
      </c>
      <c r="O688" t="str">
        <f>IF(Worksheet!AJ688="","",Worksheet!AJ688)</f>
        <v/>
      </c>
      <c r="P688" t="str">
        <f>IF(Worksheet!AK688="","",Worksheet!AK688)</f>
        <v/>
      </c>
    </row>
    <row r="689" spans="5:16" x14ac:dyDescent="0.25">
      <c r="E689" s="2"/>
      <c r="J689" t="str">
        <f>Worksheet!C689&amp;" "&amp;Worksheet!B689</f>
        <v>Eva Verbuecken</v>
      </c>
      <c r="K689" t="str">
        <f>IF(Worksheet!P689&lt;&gt;"",Worksheet!P689,IF(Worksheet!R689&lt;&gt;"",Worksheet!R689,IF(Worksheet!T689&lt;&gt;"",Worksheet!T689,"")))</f>
        <v/>
      </c>
      <c r="L689" t="str">
        <f>IF(AND(Worksheet!V689&lt;&gt;"",Worksheet!V689&lt;&gt;0),Worksheet!V689&amp;"",IF(AND(Worksheet!X689&lt;&gt;"",Worksheet!X689&lt;&gt;0),Worksheet!X689&amp;"",IF(AND(Worksheet!Z689&lt;&gt;"",Worksheet!Z689&lt;&gt;0),Worksheet!Z689&amp;"","")))</f>
        <v/>
      </c>
      <c r="M689" t="str">
        <f>IF(Worksheet!AE689="","",Worksheet!AE689)</f>
        <v>https://app.twizzit.com/public/photos/4361675/s/a08074a8bbefa3a9e8675dc3435d5d8820bbaa97.png</v>
      </c>
      <c r="N689">
        <f>IF(Worksheet!AG689="","",Worksheet!AG689)</f>
        <v>222635</v>
      </c>
      <c r="O689" t="str">
        <f>IF(Worksheet!AJ689="","",Worksheet!AJ689)</f>
        <v/>
      </c>
      <c r="P689" t="str">
        <f>IF(Worksheet!AK689="","",Worksheet!AK689)</f>
        <v/>
      </c>
    </row>
    <row r="690" spans="5:16" x14ac:dyDescent="0.25">
      <c r="E690" s="2"/>
      <c r="J690" t="str">
        <f>Worksheet!C690&amp;" "&amp;Worksheet!B690</f>
        <v>Elisabeth Vercammen</v>
      </c>
      <c r="K690" t="str">
        <f>IF(Worksheet!P690&lt;&gt;"",Worksheet!P690,IF(Worksheet!R690&lt;&gt;"",Worksheet!R690,IF(Worksheet!T690&lt;&gt;"",Worksheet!T690,"")))</f>
        <v/>
      </c>
      <c r="L690" t="str">
        <f>IF(AND(Worksheet!V690&lt;&gt;"",Worksheet!V690&lt;&gt;0),Worksheet!V690&amp;"",IF(AND(Worksheet!X690&lt;&gt;"",Worksheet!X690&lt;&gt;0),Worksheet!X690&amp;"",IF(AND(Worksheet!Z690&lt;&gt;"",Worksheet!Z690&lt;&gt;0),Worksheet!Z690&amp;"","")))</f>
        <v/>
      </c>
      <c r="M690" t="str">
        <f>IF(Worksheet!AE690="","",Worksheet!AE690)</f>
        <v>https://app.twizzit.com/public/photos/7664134/s/e9cbd90d99267ce3a10b22cc957c02f11dc088ed.png</v>
      </c>
      <c r="N690" t="str">
        <f>IF(Worksheet!AG690="","",Worksheet!AG690)</f>
        <v/>
      </c>
      <c r="O690" t="str">
        <f>IF(Worksheet!AJ690="","",Worksheet!AJ690)</f>
        <v/>
      </c>
      <c r="P690" t="str">
        <f>IF(Worksheet!AK690="","",Worksheet!AK690)</f>
        <v/>
      </c>
    </row>
    <row r="691" spans="5:16" x14ac:dyDescent="0.25">
      <c r="E691" s="2"/>
      <c r="J691" t="str">
        <f>Worksheet!C691&amp;" "&amp;Worksheet!B691</f>
        <v>Fynn Vercauteren Ackerman</v>
      </c>
      <c r="K691" t="str">
        <f>IF(Worksheet!P691&lt;&gt;"",Worksheet!P691,IF(Worksheet!R691&lt;&gt;"",Worksheet!R691,IF(Worksheet!T691&lt;&gt;"",Worksheet!T691,"")))</f>
        <v/>
      </c>
      <c r="L691" t="str">
        <f>IF(AND(Worksheet!V691&lt;&gt;"",Worksheet!V691&lt;&gt;0),Worksheet!V691&amp;"",IF(AND(Worksheet!X691&lt;&gt;"",Worksheet!X691&lt;&gt;0),Worksheet!X691&amp;"",IF(AND(Worksheet!Z691&lt;&gt;"",Worksheet!Z691&lt;&gt;0),Worksheet!Z691&amp;"","")))</f>
        <v>0484692806</v>
      </c>
      <c r="M691" t="str">
        <f>IF(Worksheet!AE691="","",Worksheet!AE691)</f>
        <v/>
      </c>
      <c r="N691" t="str">
        <f>IF(Worksheet!AG691="","",Worksheet!AG691)</f>
        <v/>
      </c>
      <c r="O691" t="str">
        <f>IF(Worksheet!AJ691="","",Worksheet!AJ691)</f>
        <v/>
      </c>
      <c r="P691" t="str">
        <f>IF(Worksheet!AK691="","",Worksheet!AK691)</f>
        <v/>
      </c>
    </row>
    <row r="692" spans="5:16" x14ac:dyDescent="0.25">
      <c r="E692" s="2"/>
      <c r="J692" t="str">
        <f>Worksheet!C692&amp;" "&amp;Worksheet!B692</f>
        <v>Lente Verhaeghe</v>
      </c>
      <c r="K692" t="str">
        <f>IF(Worksheet!P692&lt;&gt;"",Worksheet!P692,IF(Worksheet!R692&lt;&gt;"",Worksheet!R692,IF(Worksheet!T692&lt;&gt;"",Worksheet!T692,"")))</f>
        <v>achiel.en.hector@hotmail.com</v>
      </c>
      <c r="L692" t="str">
        <f>IF(AND(Worksheet!V692&lt;&gt;"",Worksheet!V692&lt;&gt;0),Worksheet!V692&amp;"",IF(AND(Worksheet!X692&lt;&gt;"",Worksheet!X692&lt;&gt;0),Worksheet!X692&amp;"",IF(AND(Worksheet!Z692&lt;&gt;"",Worksheet!Z692&lt;&gt;0),Worksheet!Z692&amp;"","")))</f>
        <v/>
      </c>
      <c r="M692" t="str">
        <f>IF(Worksheet!AE692="","",Worksheet!AE692)</f>
        <v>https://app.twizzit.com/public/photos/3706826/s/7283d518f82547e0fb530790cddedb0edf0a5785.jpeg</v>
      </c>
      <c r="N692" t="str">
        <f>IF(Worksheet!AG692="","",Worksheet!AG692)</f>
        <v/>
      </c>
      <c r="O692" t="str">
        <f>IF(Worksheet!AJ692="","",Worksheet!AJ692)</f>
        <v>DSE A Haantjes Certifisc Oudenaarde</v>
      </c>
      <c r="P692" t="str">
        <f>IF(Worksheet!AK692="","",Worksheet!AK692)</f>
        <v>Speler</v>
      </c>
    </row>
    <row r="693" spans="5:16" x14ac:dyDescent="0.25">
      <c r="E693" s="2"/>
      <c r="J693" t="str">
        <f>Worksheet!C693&amp;" "&amp;Worksheet!B693</f>
        <v>Lente Verhaeghe</v>
      </c>
      <c r="K693" t="str">
        <f>IF(Worksheet!P693&lt;&gt;"",Worksheet!P693,IF(Worksheet!R693&lt;&gt;"",Worksheet!R693,IF(Worksheet!T693&lt;&gt;"",Worksheet!T693,"")))</f>
        <v>achiel.en.hector@hotmail.com</v>
      </c>
      <c r="L693" t="str">
        <f>IF(AND(Worksheet!V693&lt;&gt;"",Worksheet!V693&lt;&gt;0),Worksheet!V693&amp;"",IF(AND(Worksheet!X693&lt;&gt;"",Worksheet!X693&lt;&gt;0),Worksheet!X693&amp;"",IF(AND(Worksheet!Z693&lt;&gt;"",Worksheet!Z693&lt;&gt;0),Worksheet!Z693&amp;"","")))</f>
        <v/>
      </c>
      <c r="M693" t="str">
        <f>IF(Worksheet!AE693="","",Worksheet!AE693)</f>
        <v>https://app.twizzit.com/public/photos/3706826/s/7283d518f82547e0fb530790cddedb0edf0a5785.jpeg</v>
      </c>
      <c r="N693" t="str">
        <f>IF(Worksheet!AG693="","",Worksheet!AG693)</f>
        <v/>
      </c>
      <c r="O693" t="str">
        <f>IF(Worksheet!AJ693="","",Worksheet!AJ693)</f>
        <v>Zomerstage 2026 (Blankenberge)</v>
      </c>
      <c r="P693" t="str">
        <f>IF(Worksheet!AK693="","",Worksheet!AK693)</f>
        <v>Speler</v>
      </c>
    </row>
    <row r="694" spans="5:16" x14ac:dyDescent="0.25">
      <c r="E694" s="2"/>
      <c r="J694" t="str">
        <f>Worksheet!C694&amp;" "&amp;Worksheet!B694</f>
        <v>Lente Verhaeghe</v>
      </c>
      <c r="K694" t="str">
        <f>IF(Worksheet!P694&lt;&gt;"",Worksheet!P694,IF(Worksheet!R694&lt;&gt;"",Worksheet!R694,IF(Worksheet!T694&lt;&gt;"",Worksheet!T694,"")))</f>
        <v>achiel.en.hector@hotmail.com</v>
      </c>
      <c r="L694" t="str">
        <f>IF(AND(Worksheet!V694&lt;&gt;"",Worksheet!V694&lt;&gt;0),Worksheet!V694&amp;"",IF(AND(Worksheet!X694&lt;&gt;"",Worksheet!X694&lt;&gt;0),Worksheet!X694&amp;"",IF(AND(Worksheet!Z694&lt;&gt;"",Worksheet!Z694&lt;&gt;0),Worksheet!Z694&amp;"","")))</f>
        <v/>
      </c>
      <c r="M694" t="str">
        <f>IF(Worksheet!AE694="","",Worksheet!AE694)</f>
        <v>https://app.twizzit.com/public/photos/3706826/s/7283d518f82547e0fb530790cddedb0edf0a5785.jpeg</v>
      </c>
      <c r="N694" t="str">
        <f>IF(Worksheet!AG694="","",Worksheet!AG694)</f>
        <v/>
      </c>
      <c r="O694" t="str">
        <f>IF(Worksheet!AJ694="","",Worksheet!AJ694)</f>
        <v>M19 A Haantjes CERTIFISC Oudenaarde</v>
      </c>
      <c r="P694" t="str">
        <f>IF(Worksheet!AK694="","",Worksheet!AK694)</f>
        <v>Speler</v>
      </c>
    </row>
    <row r="695" spans="5:16" x14ac:dyDescent="0.25">
      <c r="E695" s="2"/>
      <c r="J695" t="str">
        <f>Worksheet!C695&amp;" "&amp;Worksheet!B695</f>
        <v>Debbie Verhelst</v>
      </c>
      <c r="K695" t="str">
        <f>IF(Worksheet!P695&lt;&gt;"",Worksheet!P695,IF(Worksheet!R695&lt;&gt;"",Worksheet!R695,IF(Worksheet!T695&lt;&gt;"",Worksheet!T695,"")))</f>
        <v/>
      </c>
      <c r="L695" t="str">
        <f>IF(AND(Worksheet!V695&lt;&gt;"",Worksheet!V695&lt;&gt;0),Worksheet!V695&amp;"",IF(AND(Worksheet!X695&lt;&gt;"",Worksheet!X695&lt;&gt;0),Worksheet!X695&amp;"",IF(AND(Worksheet!Z695&lt;&gt;"",Worksheet!Z695&lt;&gt;0),Worksheet!Z695&amp;"","")))</f>
        <v/>
      </c>
      <c r="M695" t="str">
        <f>IF(Worksheet!AE695="","",Worksheet!AE695)</f>
        <v/>
      </c>
      <c r="N695">
        <f>IF(Worksheet!AG695="","",Worksheet!AG695)</f>
        <v>181550</v>
      </c>
      <c r="O695" t="str">
        <f>IF(Worksheet!AJ695="","",Worksheet!AJ695)</f>
        <v>G08 Geel HAANTJES CERTIFISC OUDENAARDE</v>
      </c>
      <c r="P695" t="str">
        <f>IF(Worksheet!AK695="","",Worksheet!AK695)</f>
        <v>Coach</v>
      </c>
    </row>
    <row r="696" spans="5:16" x14ac:dyDescent="0.25">
      <c r="E696" s="2"/>
      <c r="J696" t="str">
        <f>Worksheet!C696&amp;" "&amp;Worksheet!B696</f>
        <v>Thys Verhoeyen</v>
      </c>
      <c r="K696" t="str">
        <f>IF(Worksheet!P696&lt;&gt;"",Worksheet!P696,IF(Worksheet!R696&lt;&gt;"",Worksheet!R696,IF(Worksheet!T696&lt;&gt;"",Worksheet!T696,"")))</f>
        <v/>
      </c>
      <c r="L696" t="str">
        <f>IF(AND(Worksheet!V696&lt;&gt;"",Worksheet!V696&lt;&gt;0),Worksheet!V696&amp;"",IF(AND(Worksheet!X696&lt;&gt;"",Worksheet!X696&lt;&gt;0),Worksheet!X696&amp;"",IF(AND(Worksheet!Z696&lt;&gt;"",Worksheet!Z696&lt;&gt;0),Worksheet!Z696&amp;"","")))</f>
        <v/>
      </c>
      <c r="M696" t="str">
        <f>IF(Worksheet!AE696="","",Worksheet!AE696)</f>
        <v/>
      </c>
      <c r="N696" t="str">
        <f>IF(Worksheet!AG696="","",Worksheet!AG696)</f>
        <v/>
      </c>
      <c r="O696" t="str">
        <f>IF(Worksheet!AJ696="","",Worksheet!AJ696)</f>
        <v/>
      </c>
      <c r="P696" t="str">
        <f>IF(Worksheet!AK696="","",Worksheet!AK696)</f>
        <v/>
      </c>
    </row>
    <row r="697" spans="5:16" x14ac:dyDescent="0.25">
      <c r="E697" s="2"/>
      <c r="J697" t="str">
        <f>Worksheet!C697&amp;" "&amp;Worksheet!B697</f>
        <v>Viek Verhoeyen</v>
      </c>
      <c r="K697" t="str">
        <f>IF(Worksheet!P697&lt;&gt;"",Worksheet!P697,IF(Worksheet!R697&lt;&gt;"",Worksheet!R697,IF(Worksheet!T697&lt;&gt;"",Worksheet!T697,"")))</f>
        <v/>
      </c>
      <c r="L697" t="str">
        <f>IF(AND(Worksheet!V697&lt;&gt;"",Worksheet!V697&lt;&gt;0),Worksheet!V697&amp;"",IF(AND(Worksheet!X697&lt;&gt;"",Worksheet!X697&lt;&gt;0),Worksheet!X697&amp;"",IF(AND(Worksheet!Z697&lt;&gt;"",Worksheet!Z697&lt;&gt;0),Worksheet!Z697&amp;"","")))</f>
        <v>0470229908</v>
      </c>
      <c r="M697" t="str">
        <f>IF(Worksheet!AE697="","",Worksheet!AE697)</f>
        <v/>
      </c>
      <c r="N697" t="str">
        <f>IF(Worksheet!AG697="","",Worksheet!AG697)</f>
        <v/>
      </c>
      <c r="O697" t="str">
        <f>IF(Worksheet!AJ697="","",Worksheet!AJ697)</f>
        <v>G14 B Haantjes CERTIFISC Oudenaarde</v>
      </c>
      <c r="P697" t="str">
        <f>IF(Worksheet!AK697="","",Worksheet!AK697)</f>
        <v>Speler</v>
      </c>
    </row>
    <row r="698" spans="5:16" x14ac:dyDescent="0.25">
      <c r="E698" s="2"/>
      <c r="J698" t="str">
        <f>Worksheet!C698&amp;" "&amp;Worksheet!B698</f>
        <v>Thibo Verkest</v>
      </c>
      <c r="K698" t="str">
        <f>IF(Worksheet!P698&lt;&gt;"",Worksheet!P698,IF(Worksheet!R698&lt;&gt;"",Worksheet!R698,IF(Worksheet!T698&lt;&gt;"",Worksheet!T698,"")))</f>
        <v/>
      </c>
      <c r="L698" t="str">
        <f>IF(AND(Worksheet!V698&lt;&gt;"",Worksheet!V698&lt;&gt;0),Worksheet!V698&amp;"",IF(AND(Worksheet!X698&lt;&gt;"",Worksheet!X698&lt;&gt;0),Worksheet!X698&amp;"",IF(AND(Worksheet!Z698&lt;&gt;"",Worksheet!Z698&lt;&gt;0),Worksheet!Z698&amp;"","")))</f>
        <v/>
      </c>
      <c r="M698" t="str">
        <f>IF(Worksheet!AE698="","",Worksheet!AE698)</f>
        <v/>
      </c>
      <c r="N698" t="str">
        <f>IF(Worksheet!AG698="","",Worksheet!AG698)</f>
        <v/>
      </c>
      <c r="O698" t="str">
        <f>IF(Worksheet!AJ698="","",Worksheet!AJ698)</f>
        <v/>
      </c>
      <c r="P698" t="str">
        <f>IF(Worksheet!AK698="","",Worksheet!AK698)</f>
        <v/>
      </c>
    </row>
    <row r="699" spans="5:16" x14ac:dyDescent="0.25">
      <c r="E699" s="2"/>
      <c r="J699" t="str">
        <f>Worksheet!C699&amp;" "&amp;Worksheet!B699</f>
        <v>Emma Verleyen</v>
      </c>
      <c r="K699" t="str">
        <f>IF(Worksheet!P699&lt;&gt;"",Worksheet!P699,IF(Worksheet!R699&lt;&gt;"",Worksheet!R699,IF(Worksheet!T699&lt;&gt;"",Worksheet!T699,"")))</f>
        <v>emma.verleyen094@gmail.com</v>
      </c>
      <c r="L699" t="str">
        <f>IF(AND(Worksheet!V699&lt;&gt;"",Worksheet!V699&lt;&gt;0),Worksheet!V699&amp;"",IF(AND(Worksheet!X699&lt;&gt;"",Worksheet!X699&lt;&gt;0),Worksheet!X699&amp;"",IF(AND(Worksheet!Z699&lt;&gt;"",Worksheet!Z699&lt;&gt;0),Worksheet!Z699&amp;"","")))</f>
        <v>0479607716</v>
      </c>
      <c r="M699" t="str">
        <f>IF(Worksheet!AE699="","",Worksheet!AE699)</f>
        <v/>
      </c>
      <c r="N699" t="str">
        <f>IF(Worksheet!AG699="","",Worksheet!AG699)</f>
        <v/>
      </c>
      <c r="O699" t="str">
        <f>IF(Worksheet!AJ699="","",Worksheet!AJ699)</f>
        <v>M16 A Haantjes CERTIFISC  Oudenaarde</v>
      </c>
      <c r="P699" t="str">
        <f>IF(Worksheet!AK699="","",Worksheet!AK699)</f>
        <v>Speler</v>
      </c>
    </row>
    <row r="700" spans="5:16" x14ac:dyDescent="0.25">
      <c r="E700" s="2"/>
      <c r="J700" t="str">
        <f>Worksheet!C700&amp;" "&amp;Worksheet!B700</f>
        <v>Emma Verleyen</v>
      </c>
      <c r="K700" t="str">
        <f>IF(Worksheet!P700&lt;&gt;"",Worksheet!P700,IF(Worksheet!R700&lt;&gt;"",Worksheet!R700,IF(Worksheet!T700&lt;&gt;"",Worksheet!T700,"")))</f>
        <v>emma.verleyen094@gmail.com</v>
      </c>
      <c r="L700" t="str">
        <f>IF(AND(Worksheet!V700&lt;&gt;"",Worksheet!V700&lt;&gt;0),Worksheet!V700&amp;"",IF(AND(Worksheet!X700&lt;&gt;"",Worksheet!X700&lt;&gt;0),Worksheet!X700&amp;"",IF(AND(Worksheet!Z700&lt;&gt;"",Worksheet!Z700&lt;&gt;0),Worksheet!Z700&amp;"","")))</f>
        <v>0479607716</v>
      </c>
      <c r="M700" t="str">
        <f>IF(Worksheet!AE700="","",Worksheet!AE700)</f>
        <v/>
      </c>
      <c r="N700" t="str">
        <f>IF(Worksheet!AG700="","",Worksheet!AG700)</f>
        <v/>
      </c>
      <c r="O700" t="str">
        <f>IF(Worksheet!AJ700="","",Worksheet!AJ700)</f>
        <v>Zomerstage 2026 (Blankenberge)</v>
      </c>
      <c r="P700" t="str">
        <f>IF(Worksheet!AK700="","",Worksheet!AK700)</f>
        <v>Speler</v>
      </c>
    </row>
    <row r="701" spans="5:16" x14ac:dyDescent="0.25">
      <c r="E701" s="2"/>
      <c r="J701" t="str">
        <f>Worksheet!C701&amp;" "&amp;Worksheet!B701</f>
        <v>Emiel Verlinden</v>
      </c>
      <c r="K701" t="str">
        <f>IF(Worksheet!P701&lt;&gt;"",Worksheet!P701,IF(Worksheet!R701&lt;&gt;"",Worksheet!R701,IF(Worksheet!T701&lt;&gt;"",Worksheet!T701,"")))</f>
        <v/>
      </c>
      <c r="L701" t="str">
        <f>IF(AND(Worksheet!V701&lt;&gt;"",Worksheet!V701&lt;&gt;0),Worksheet!V701&amp;"",IF(AND(Worksheet!X701&lt;&gt;"",Worksheet!X701&lt;&gt;0),Worksheet!X701&amp;"",IF(AND(Worksheet!Z701&lt;&gt;"",Worksheet!Z701&lt;&gt;0),Worksheet!Z701&amp;"","")))</f>
        <v>0478376691</v>
      </c>
      <c r="M701" t="str">
        <f>IF(Worksheet!AE701="","",Worksheet!AE701)</f>
        <v/>
      </c>
      <c r="N701">
        <f>IF(Worksheet!AG701="","",Worksheet!AG701)</f>
        <v>733989</v>
      </c>
      <c r="O701" t="str">
        <f>IF(Worksheet!AJ701="","",Worksheet!AJ701)</f>
        <v>J18 B Haantjes CERTIFISC Oudenaarde</v>
      </c>
      <c r="P701" t="str">
        <f>IF(Worksheet!AK701="","",Worksheet!AK701)</f>
        <v>Speler</v>
      </c>
    </row>
    <row r="702" spans="5:16" x14ac:dyDescent="0.25">
      <c r="E702" s="2"/>
      <c r="J702" t="str">
        <f>Worksheet!C702&amp;" "&amp;Worksheet!B702</f>
        <v>Jelle Verlinden</v>
      </c>
      <c r="K702" t="str">
        <f>IF(Worksheet!P702&lt;&gt;"",Worksheet!P702,IF(Worksheet!R702&lt;&gt;"",Worksheet!R702,IF(Worksheet!T702&lt;&gt;"",Worksheet!T702,"")))</f>
        <v/>
      </c>
      <c r="L702" t="str">
        <f>IF(AND(Worksheet!V702&lt;&gt;"",Worksheet!V702&lt;&gt;0),Worksheet!V702&amp;"",IF(AND(Worksheet!X702&lt;&gt;"",Worksheet!X702&lt;&gt;0),Worksheet!X702&amp;"",IF(AND(Worksheet!Z702&lt;&gt;"",Worksheet!Z702&lt;&gt;0),Worksheet!Z702&amp;"","")))</f>
        <v/>
      </c>
      <c r="M702" t="str">
        <f>IF(Worksheet!AE702="","",Worksheet!AE702)</f>
        <v/>
      </c>
      <c r="N702" t="str">
        <f>IF(Worksheet!AG702="","",Worksheet!AG702)</f>
        <v/>
      </c>
      <c r="O702" t="str">
        <f>IF(Worksheet!AJ702="","",Worksheet!AJ702)</f>
        <v/>
      </c>
      <c r="P702" t="str">
        <f>IF(Worksheet!AK702="","",Worksheet!AK702)</f>
        <v/>
      </c>
    </row>
    <row r="703" spans="5:16" x14ac:dyDescent="0.25">
      <c r="E703" s="2"/>
      <c r="J703" t="str">
        <f>Worksheet!C703&amp;" "&amp;Worksheet!B703</f>
        <v>Lucas Verlinden</v>
      </c>
      <c r="K703" t="str">
        <f>IF(Worksheet!P703&lt;&gt;"",Worksheet!P703,IF(Worksheet!R703&lt;&gt;"",Worksheet!R703,IF(Worksheet!T703&lt;&gt;"",Worksheet!T703,"")))</f>
        <v/>
      </c>
      <c r="L703" t="str">
        <f>IF(AND(Worksheet!V703&lt;&gt;"",Worksheet!V703&lt;&gt;0),Worksheet!V703&amp;"",IF(AND(Worksheet!X703&lt;&gt;"",Worksheet!X703&lt;&gt;0),Worksheet!X703&amp;"",IF(AND(Worksheet!Z703&lt;&gt;"",Worksheet!Z703&lt;&gt;0),Worksheet!Z703&amp;"","")))</f>
        <v>32486682066</v>
      </c>
      <c r="M703" t="str">
        <f>IF(Worksheet!AE703="","",Worksheet!AE703)</f>
        <v/>
      </c>
      <c r="N703" t="str">
        <f>IF(Worksheet!AG703="","",Worksheet!AG703)</f>
        <v/>
      </c>
      <c r="O703" t="str">
        <f>IF(Worksheet!AJ703="","",Worksheet!AJ703)</f>
        <v>Zomerstage 2026 (Blankenberge)</v>
      </c>
      <c r="P703" t="str">
        <f>IF(Worksheet!AK703="","",Worksheet!AK703)</f>
        <v>Speler</v>
      </c>
    </row>
    <row r="704" spans="5:16" x14ac:dyDescent="0.25">
      <c r="E704" s="2"/>
      <c r="J704" t="str">
        <f>Worksheet!C704&amp;" "&amp;Worksheet!B704</f>
        <v>Lucas Verlinden</v>
      </c>
      <c r="K704" t="str">
        <f>IF(Worksheet!P704&lt;&gt;"",Worksheet!P704,IF(Worksheet!R704&lt;&gt;"",Worksheet!R704,IF(Worksheet!T704&lt;&gt;"",Worksheet!T704,"")))</f>
        <v/>
      </c>
      <c r="L704" t="str">
        <f>IF(AND(Worksheet!V704&lt;&gt;"",Worksheet!V704&lt;&gt;0),Worksheet!V704&amp;"",IF(AND(Worksheet!X704&lt;&gt;"",Worksheet!X704&lt;&gt;0),Worksheet!X704&amp;"",IF(AND(Worksheet!Z704&lt;&gt;"",Worksheet!Z704&lt;&gt;0),Worksheet!Z704&amp;"","")))</f>
        <v>32486682066</v>
      </c>
      <c r="M704" t="str">
        <f>IF(Worksheet!AE704="","",Worksheet!AE704)</f>
        <v/>
      </c>
      <c r="N704" t="str">
        <f>IF(Worksheet!AG704="","",Worksheet!AG704)</f>
        <v/>
      </c>
      <c r="O704" t="str">
        <f>IF(Worksheet!AJ704="","",Worksheet!AJ704)</f>
        <v>G12 Geel HAANTJES CERTIFISC OUDENAARDE</v>
      </c>
      <c r="P704" t="str">
        <f>IF(Worksheet!AK704="","",Worksheet!AK704)</f>
        <v>Speler</v>
      </c>
    </row>
    <row r="705" spans="5:16" x14ac:dyDescent="0.25">
      <c r="E705" s="2"/>
      <c r="J705" t="str">
        <f>Worksheet!C705&amp;" "&amp;Worksheet!B705</f>
        <v>Mauro Vermassen</v>
      </c>
      <c r="K705" t="str">
        <f>IF(Worksheet!P705&lt;&gt;"",Worksheet!P705,IF(Worksheet!R705&lt;&gt;"",Worksheet!R705,IF(Worksheet!T705&lt;&gt;"",Worksheet!T705,"")))</f>
        <v>twizzit@kevinvermassen.be</v>
      </c>
      <c r="L705" t="str">
        <f>IF(AND(Worksheet!V705&lt;&gt;"",Worksheet!V705&lt;&gt;0),Worksheet!V705&amp;"",IF(AND(Worksheet!X705&lt;&gt;"",Worksheet!X705&lt;&gt;0),Worksheet!X705&amp;"",IF(AND(Worksheet!Z705&lt;&gt;"",Worksheet!Z705&lt;&gt;0),Worksheet!Z705&amp;"","")))</f>
        <v>0485424067</v>
      </c>
      <c r="M705" t="str">
        <f>IF(Worksheet!AE705="","",Worksheet!AE705)</f>
        <v/>
      </c>
      <c r="N705" t="str">
        <f>IF(Worksheet!AG705="","",Worksheet!AG705)</f>
        <v/>
      </c>
      <c r="O705" t="str">
        <f>IF(Worksheet!AJ705="","",Worksheet!AJ705)</f>
        <v>G14 B Haantjes CERTIFISC Oudenaarde</v>
      </c>
      <c r="P705" t="str">
        <f>IF(Worksheet!AK705="","",Worksheet!AK705)</f>
        <v>Speler</v>
      </c>
    </row>
    <row r="706" spans="5:16" x14ac:dyDescent="0.25">
      <c r="E706" s="2"/>
      <c r="J706" t="str">
        <f>Worksheet!C706&amp;" "&amp;Worksheet!B706</f>
        <v>Nathan Vermassen</v>
      </c>
      <c r="K706" t="str">
        <f>IF(Worksheet!P706&lt;&gt;"",Worksheet!P706,IF(Worksheet!R706&lt;&gt;"",Worksheet!R706,IF(Worksheet!T706&lt;&gt;"",Worksheet!T706,"")))</f>
        <v/>
      </c>
      <c r="L706" t="str">
        <f>IF(AND(Worksheet!V706&lt;&gt;"",Worksheet!V706&lt;&gt;0),Worksheet!V706&amp;"",IF(AND(Worksheet!X706&lt;&gt;"",Worksheet!X706&lt;&gt;0),Worksheet!X706&amp;"",IF(AND(Worksheet!Z706&lt;&gt;"",Worksheet!Z706&lt;&gt;0),Worksheet!Z706&amp;"","")))</f>
        <v>0498493330</v>
      </c>
      <c r="M706" t="str">
        <f>IF(Worksheet!AE706="","",Worksheet!AE706)</f>
        <v/>
      </c>
      <c r="N706" t="str">
        <f>IF(Worksheet!AG706="","",Worksheet!AG706)</f>
        <v/>
      </c>
      <c r="O706" t="str">
        <f>IF(Worksheet!AJ706="","",Worksheet!AJ706)</f>
        <v>Zomerstage 2026 (Blankenberge)</v>
      </c>
      <c r="P706" t="str">
        <f>IF(Worksheet!AK706="","",Worksheet!AK706)</f>
        <v>Speler</v>
      </c>
    </row>
    <row r="707" spans="5:16" x14ac:dyDescent="0.25">
      <c r="E707" s="2"/>
      <c r="J707" t="str">
        <f>Worksheet!C707&amp;" "&amp;Worksheet!B707</f>
        <v>Nathan Vermassen</v>
      </c>
      <c r="K707" t="str">
        <f>IF(Worksheet!P707&lt;&gt;"",Worksheet!P707,IF(Worksheet!R707&lt;&gt;"",Worksheet!R707,IF(Worksheet!T707&lt;&gt;"",Worksheet!T707,"")))</f>
        <v/>
      </c>
      <c r="L707" t="str">
        <f>IF(AND(Worksheet!V707&lt;&gt;"",Worksheet!V707&lt;&gt;0),Worksheet!V707&amp;"",IF(AND(Worksheet!X707&lt;&gt;"",Worksheet!X707&lt;&gt;0),Worksheet!X707&amp;"",IF(AND(Worksheet!Z707&lt;&gt;"",Worksheet!Z707&lt;&gt;0),Worksheet!Z707&amp;"","")))</f>
        <v>0498493330</v>
      </c>
      <c r="M707" t="str">
        <f>IF(Worksheet!AE707="","",Worksheet!AE707)</f>
        <v/>
      </c>
      <c r="N707" t="str">
        <f>IF(Worksheet!AG707="","",Worksheet!AG707)</f>
        <v/>
      </c>
      <c r="O707" t="str">
        <f>IF(Worksheet!AJ707="","",Worksheet!AJ707)</f>
        <v>G12 Blauw HAANTJES CERTIFISC OUDENAARDE</v>
      </c>
      <c r="P707" t="str">
        <f>IF(Worksheet!AK707="","",Worksheet!AK707)</f>
        <v>Speler</v>
      </c>
    </row>
    <row r="708" spans="5:16" x14ac:dyDescent="0.25">
      <c r="E708" s="2"/>
      <c r="J708" t="str">
        <f>Worksheet!C708&amp;" "&amp;Worksheet!B708</f>
        <v>Matz Vermeerschen</v>
      </c>
      <c r="K708" t="str">
        <f>IF(Worksheet!P708&lt;&gt;"",Worksheet!P708,IF(Worksheet!R708&lt;&gt;"",Worksheet!R708,IF(Worksheet!T708&lt;&gt;"",Worksheet!T708,"")))</f>
        <v>charlotte.vanmoorleghem1@gmail.com</v>
      </c>
      <c r="L708" t="str">
        <f>IF(AND(Worksheet!V708&lt;&gt;"",Worksheet!V708&lt;&gt;0),Worksheet!V708&amp;"",IF(AND(Worksheet!X708&lt;&gt;"",Worksheet!X708&lt;&gt;0),Worksheet!X708&amp;"",IF(AND(Worksheet!Z708&lt;&gt;"",Worksheet!Z708&lt;&gt;0),Worksheet!Z708&amp;"","")))</f>
        <v/>
      </c>
      <c r="M708" t="str">
        <f>IF(Worksheet!AE708="","",Worksheet!AE708)</f>
        <v/>
      </c>
      <c r="N708">
        <f>IF(Worksheet!AG708="","",Worksheet!AG708)</f>
        <v>729844</v>
      </c>
      <c r="O708" t="str">
        <f>IF(Worksheet!AJ708="","",Worksheet!AJ708)</f>
        <v>G14 A Haantjes CERTIFISC Oudenaarde</v>
      </c>
      <c r="P708" t="str">
        <f>IF(Worksheet!AK708="","",Worksheet!AK708)</f>
        <v>Speler</v>
      </c>
    </row>
    <row r="709" spans="5:16" x14ac:dyDescent="0.25">
      <c r="E709" s="2"/>
      <c r="J709" t="str">
        <f>Worksheet!C709&amp;" "&amp;Worksheet!B709</f>
        <v>Matz Vermeerschen</v>
      </c>
      <c r="K709" t="str">
        <f>IF(Worksheet!P709&lt;&gt;"",Worksheet!P709,IF(Worksheet!R709&lt;&gt;"",Worksheet!R709,IF(Worksheet!T709&lt;&gt;"",Worksheet!T709,"")))</f>
        <v>charlotte.vanmoorleghem1@gmail.com</v>
      </c>
      <c r="L709" t="str">
        <f>IF(AND(Worksheet!V709&lt;&gt;"",Worksheet!V709&lt;&gt;0),Worksheet!V709&amp;"",IF(AND(Worksheet!X709&lt;&gt;"",Worksheet!X709&lt;&gt;0),Worksheet!X709&amp;"",IF(AND(Worksheet!Z709&lt;&gt;"",Worksheet!Z709&lt;&gt;0),Worksheet!Z709&amp;"","")))</f>
        <v/>
      </c>
      <c r="M709" t="str">
        <f>IF(Worksheet!AE709="","",Worksheet!AE709)</f>
        <v/>
      </c>
      <c r="N709">
        <f>IF(Worksheet!AG709="","",Worksheet!AG709)</f>
        <v>729844</v>
      </c>
      <c r="O709" t="str">
        <f>IF(Worksheet!AJ709="","",Worksheet!AJ709)</f>
        <v>Zomerstage 2026 (Blankenberge)</v>
      </c>
      <c r="P709" t="str">
        <f>IF(Worksheet!AK709="","",Worksheet!AK709)</f>
        <v>Speler</v>
      </c>
    </row>
    <row r="710" spans="5:16" x14ac:dyDescent="0.25">
      <c r="E710" s="2"/>
      <c r="J710" t="str">
        <f>Worksheet!C710&amp;" "&amp;Worksheet!B710</f>
        <v>Lander Verschatse</v>
      </c>
      <c r="K710" t="str">
        <f>IF(Worksheet!P710&lt;&gt;"",Worksheet!P710,IF(Worksheet!R710&lt;&gt;"",Worksheet!R710,IF(Worksheet!T710&lt;&gt;"",Worksheet!T710,"")))</f>
        <v/>
      </c>
      <c r="L710" t="str">
        <f>IF(AND(Worksheet!V710&lt;&gt;"",Worksheet!V710&lt;&gt;0),Worksheet!V710&amp;"",IF(AND(Worksheet!X710&lt;&gt;"",Worksheet!X710&lt;&gt;0),Worksheet!X710&amp;"",IF(AND(Worksheet!Z710&lt;&gt;"",Worksheet!Z710&lt;&gt;0),Worksheet!Z710&amp;"","")))</f>
        <v>0468516883</v>
      </c>
      <c r="M710" t="str">
        <f>IF(Worksheet!AE710="","",Worksheet!AE710)</f>
        <v>https://app.twizzit.com/public/photos/3557796/s/59f2bc8b383bb3e65d902c435f70a74103c4138d.png</v>
      </c>
      <c r="N710" t="str">
        <f>IF(Worksheet!AG710="","",Worksheet!AG710)</f>
        <v/>
      </c>
      <c r="O710" t="str">
        <f>IF(Worksheet!AJ710="","",Worksheet!AJ710)</f>
        <v>G12 Geel HAANTJES CERTIFISC OUDENAARDE</v>
      </c>
      <c r="P710" t="str">
        <f>IF(Worksheet!AK710="","",Worksheet!AK710)</f>
        <v>Speler</v>
      </c>
    </row>
    <row r="711" spans="5:16" x14ac:dyDescent="0.25">
      <c r="E711" s="2"/>
      <c r="J711" t="str">
        <f>Worksheet!C711&amp;" "&amp;Worksheet!B711</f>
        <v>Lena Verschatse</v>
      </c>
      <c r="K711" t="str">
        <f>IF(Worksheet!P711&lt;&gt;"",Worksheet!P711,IF(Worksheet!R711&lt;&gt;"",Worksheet!R711,IF(Worksheet!T711&lt;&gt;"",Worksheet!T711,"")))</f>
        <v/>
      </c>
      <c r="L711" t="str">
        <f>IF(AND(Worksheet!V711&lt;&gt;"",Worksheet!V711&lt;&gt;0),Worksheet!V711&amp;"",IF(AND(Worksheet!X711&lt;&gt;"",Worksheet!X711&lt;&gt;0),Worksheet!X711&amp;"",IF(AND(Worksheet!Z711&lt;&gt;"",Worksheet!Z711&lt;&gt;0),Worksheet!Z711&amp;"","")))</f>
        <v>0468516883</v>
      </c>
      <c r="M711" t="str">
        <f>IF(Worksheet!AE711="","",Worksheet!AE711)</f>
        <v/>
      </c>
      <c r="N711">
        <f>IF(Worksheet!AG711="","",Worksheet!AG711)</f>
        <v>735282</v>
      </c>
      <c r="O711" t="str">
        <f>IF(Worksheet!AJ711="","",Worksheet!AJ711)</f>
        <v>Zomerstage 2026 (Blankenberge)</v>
      </c>
      <c r="P711" t="str">
        <f>IF(Worksheet!AK711="","",Worksheet!AK711)</f>
        <v>Speler</v>
      </c>
    </row>
    <row r="712" spans="5:16" x14ac:dyDescent="0.25">
      <c r="E712" s="2"/>
      <c r="J712" t="str">
        <f>Worksheet!C712&amp;" "&amp;Worksheet!B712</f>
        <v>Lena Verschatse</v>
      </c>
      <c r="K712" t="str">
        <f>IF(Worksheet!P712&lt;&gt;"",Worksheet!P712,IF(Worksheet!R712&lt;&gt;"",Worksheet!R712,IF(Worksheet!T712&lt;&gt;"",Worksheet!T712,"")))</f>
        <v/>
      </c>
      <c r="L712" t="str">
        <f>IF(AND(Worksheet!V712&lt;&gt;"",Worksheet!V712&lt;&gt;0),Worksheet!V712&amp;"",IF(AND(Worksheet!X712&lt;&gt;"",Worksheet!X712&lt;&gt;0),Worksheet!X712&amp;"",IF(AND(Worksheet!Z712&lt;&gt;"",Worksheet!Z712&lt;&gt;0),Worksheet!Z712&amp;"","")))</f>
        <v>0468516883</v>
      </c>
      <c r="M712" t="str">
        <f>IF(Worksheet!AE712="","",Worksheet!AE712)</f>
        <v/>
      </c>
      <c r="N712">
        <f>IF(Worksheet!AG712="","",Worksheet!AG712)</f>
        <v>735282</v>
      </c>
      <c r="O712" t="str">
        <f>IF(Worksheet!AJ712="","",Worksheet!AJ712)</f>
        <v>M19 A Haantjes CERTIFISC Oudenaarde</v>
      </c>
      <c r="P712" t="str">
        <f>IF(Worksheet!AK712="","",Worksheet!AK712)</f>
        <v>Speler</v>
      </c>
    </row>
    <row r="713" spans="5:16" x14ac:dyDescent="0.25">
      <c r="E713" s="2"/>
      <c r="J713" t="str">
        <f>Worksheet!C713&amp;" "&amp;Worksheet!B713</f>
        <v>Charlotte Verschueren</v>
      </c>
      <c r="K713" t="str">
        <f>IF(Worksheet!P713&lt;&gt;"",Worksheet!P713,IF(Worksheet!R713&lt;&gt;"",Worksheet!R713,IF(Worksheet!T713&lt;&gt;"",Worksheet!T713,"")))</f>
        <v/>
      </c>
      <c r="L713" t="str">
        <f>IF(AND(Worksheet!V713&lt;&gt;"",Worksheet!V713&lt;&gt;0),Worksheet!V713&amp;"",IF(AND(Worksheet!X713&lt;&gt;"",Worksheet!X713&lt;&gt;0),Worksheet!X713&amp;"",IF(AND(Worksheet!Z713&lt;&gt;"",Worksheet!Z713&lt;&gt;0),Worksheet!Z713&amp;"","")))</f>
        <v>320474278078</v>
      </c>
      <c r="M713" t="str">
        <f>IF(Worksheet!AE713="","",Worksheet!AE713)</f>
        <v>https://app.twizzit.com/public/photos/2183447/s/1f201bfdf86762e0642c70c1aa487baf5ab852bb.png</v>
      </c>
      <c r="N713">
        <f>IF(Worksheet!AG713="","",Worksheet!AG713)</f>
        <v>241914</v>
      </c>
      <c r="O713" t="str">
        <f>IF(Worksheet!AJ713="","",Worksheet!AJ713)</f>
        <v>G08 Groen HAANTJES CERTIFISC OUDENAARDE</v>
      </c>
      <c r="P713" t="str">
        <f>IF(Worksheet!AK713="","",Worksheet!AK713)</f>
        <v>Coach</v>
      </c>
    </row>
    <row r="714" spans="5:16" x14ac:dyDescent="0.25">
      <c r="E714" s="2"/>
      <c r="J714" t="str">
        <f>Worksheet!C714&amp;" "&amp;Worksheet!B714</f>
        <v>Nand Versmessen</v>
      </c>
      <c r="K714" t="str">
        <f>IF(Worksheet!P714&lt;&gt;"",Worksheet!P714,IF(Worksheet!R714&lt;&gt;"",Worksheet!R714,IF(Worksheet!T714&lt;&gt;"",Worksheet!T714,"")))</f>
        <v>veerle_coussement@hotmail.com</v>
      </c>
      <c r="L714" t="str">
        <f>IF(AND(Worksheet!V714&lt;&gt;"",Worksheet!V714&lt;&gt;0),Worksheet!V714&amp;"",IF(AND(Worksheet!X714&lt;&gt;"",Worksheet!X714&lt;&gt;0),Worksheet!X714&amp;"",IF(AND(Worksheet!Z714&lt;&gt;"",Worksheet!Z714&lt;&gt;0),Worksheet!Z714&amp;"","")))</f>
        <v>32499030802</v>
      </c>
      <c r="M714" t="str">
        <f>IF(Worksheet!AE714="","",Worksheet!AE714)</f>
        <v>https://app.twizzit.com/public/photos/3447367/s/f6e635bb7022dfc6607d762d0f4b7b25a59a85c4.png</v>
      </c>
      <c r="N714" t="str">
        <f>IF(Worksheet!AG714="","",Worksheet!AG714)</f>
        <v/>
      </c>
      <c r="O714" t="str">
        <f>IF(Worksheet!AJ714="","",Worksheet!AJ714)</f>
        <v>G10 Blauw HAANTJES CERTIFISC OUDENAARDE</v>
      </c>
      <c r="P714" t="str">
        <f>IF(Worksheet!AK714="","",Worksheet!AK714)</f>
        <v>Speler</v>
      </c>
    </row>
    <row r="715" spans="5:16" x14ac:dyDescent="0.25">
      <c r="E715" s="2"/>
      <c r="J715" t="str">
        <f>Worksheet!C715&amp;" "&amp;Worksheet!B715</f>
        <v>Nand Versmessen</v>
      </c>
      <c r="K715" t="str">
        <f>IF(Worksheet!P715&lt;&gt;"",Worksheet!P715,IF(Worksheet!R715&lt;&gt;"",Worksheet!R715,IF(Worksheet!T715&lt;&gt;"",Worksheet!T715,"")))</f>
        <v>veerle_coussement@hotmail.com</v>
      </c>
      <c r="L715" t="str">
        <f>IF(AND(Worksheet!V715&lt;&gt;"",Worksheet!V715&lt;&gt;0),Worksheet!V715&amp;"",IF(AND(Worksheet!X715&lt;&gt;"",Worksheet!X715&lt;&gt;0),Worksheet!X715&amp;"",IF(AND(Worksheet!Z715&lt;&gt;"",Worksheet!Z715&lt;&gt;0),Worksheet!Z715&amp;"","")))</f>
        <v>32499030802</v>
      </c>
      <c r="M715" t="str">
        <f>IF(Worksheet!AE715="","",Worksheet!AE715)</f>
        <v>https://app.twizzit.com/public/photos/3447367/s/f6e635bb7022dfc6607d762d0f4b7b25a59a85c4.png</v>
      </c>
      <c r="N715" t="str">
        <f>IF(Worksheet!AG715="","",Worksheet!AG715)</f>
        <v/>
      </c>
      <c r="O715" t="str">
        <f>IF(Worksheet!AJ715="","",Worksheet!AJ715)</f>
        <v>Zomerstage 2026 U10 &amp; U12 (Oudenaarde)</v>
      </c>
      <c r="P715" t="str">
        <f>IF(Worksheet!AK715="","",Worksheet!AK715)</f>
        <v>Speler</v>
      </c>
    </row>
    <row r="716" spans="5:16" x14ac:dyDescent="0.25">
      <c r="E716" s="2"/>
      <c r="J716" t="str">
        <f>Worksheet!C716&amp;" "&amp;Worksheet!B716</f>
        <v>Bogdan Verstraete</v>
      </c>
      <c r="K716" t="str">
        <f>IF(Worksheet!P716&lt;&gt;"",Worksheet!P716,IF(Worksheet!R716&lt;&gt;"",Worksheet!R716,IF(Worksheet!T716&lt;&gt;"",Worksheet!T716,"")))</f>
        <v>wtbi.verstraete@gmail.com</v>
      </c>
      <c r="L716" t="str">
        <f>IF(AND(Worksheet!V716&lt;&gt;"",Worksheet!V716&lt;&gt;0),Worksheet!V716&amp;"",IF(AND(Worksheet!X716&lt;&gt;"",Worksheet!X716&lt;&gt;0),Worksheet!X716&amp;"",IF(AND(Worksheet!Z716&lt;&gt;"",Worksheet!Z716&lt;&gt;0),Worksheet!Z716&amp;"","")))</f>
        <v>0486983966</v>
      </c>
      <c r="M716" t="str">
        <f>IF(Worksheet!AE716="","",Worksheet!AE716)</f>
        <v/>
      </c>
      <c r="N716">
        <f>IF(Worksheet!AG716="","",Worksheet!AG716)</f>
        <v>705479</v>
      </c>
      <c r="O716" t="str">
        <f>IF(Worksheet!AJ716="","",Worksheet!AJ716)</f>
        <v>J21 A HAANTJES CERTIFISC OUDENAARDE</v>
      </c>
      <c r="P716" t="str">
        <f>IF(Worksheet!AK716="","",Worksheet!AK716)</f>
        <v>Speler</v>
      </c>
    </row>
    <row r="717" spans="5:16" x14ac:dyDescent="0.25">
      <c r="E717" s="2"/>
      <c r="J717" t="str">
        <f>Worksheet!C717&amp;" "&amp;Worksheet!B717</f>
        <v>Mats Verstraeten</v>
      </c>
      <c r="K717" t="str">
        <f>IF(Worksheet!P717&lt;&gt;"",Worksheet!P717,IF(Worksheet!R717&lt;&gt;"",Worksheet!R717,IF(Worksheet!T717&lt;&gt;"",Worksheet!T717,"")))</f>
        <v/>
      </c>
      <c r="L717" t="str">
        <f>IF(AND(Worksheet!V717&lt;&gt;"",Worksheet!V717&lt;&gt;0),Worksheet!V717&amp;"",IF(AND(Worksheet!X717&lt;&gt;"",Worksheet!X717&lt;&gt;0),Worksheet!X717&amp;"",IF(AND(Worksheet!Z717&lt;&gt;"",Worksheet!Z717&lt;&gt;0),Worksheet!Z717&amp;"","")))</f>
        <v>497152857</v>
      </c>
      <c r="M717" t="str">
        <f>IF(Worksheet!AE717="","",Worksheet!AE717)</f>
        <v/>
      </c>
      <c r="N717" t="str">
        <f>IF(Worksheet!AG717="","",Worksheet!AG717)</f>
        <v/>
      </c>
      <c r="O717" t="str">
        <f>IF(Worksheet!AJ717="","",Worksheet!AJ717)</f>
        <v>J16 B Haantjes CERTIFISC Oudenaarde</v>
      </c>
      <c r="P717" t="str">
        <f>IF(Worksheet!AK717="","",Worksheet!AK717)</f>
        <v>Speler</v>
      </c>
    </row>
    <row r="718" spans="5:16" x14ac:dyDescent="0.25">
      <c r="E718" s="2"/>
      <c r="J718" t="str">
        <f>Worksheet!C718&amp;" "&amp;Worksheet!B718</f>
        <v>Rens Verstraeten</v>
      </c>
      <c r="K718" t="str">
        <f>IF(Worksheet!P718&lt;&gt;"",Worksheet!P718,IF(Worksheet!R718&lt;&gt;"",Worksheet!R718,IF(Worksheet!T718&lt;&gt;"",Worksheet!T718,"")))</f>
        <v/>
      </c>
      <c r="L718" t="str">
        <f>IF(AND(Worksheet!V718&lt;&gt;"",Worksheet!V718&lt;&gt;0),Worksheet!V718&amp;"",IF(AND(Worksheet!X718&lt;&gt;"",Worksheet!X718&lt;&gt;0),Worksheet!X718&amp;"",IF(AND(Worksheet!Z718&lt;&gt;"",Worksheet!Z718&lt;&gt;0),Worksheet!Z718&amp;"","")))</f>
        <v>32497152857</v>
      </c>
      <c r="M718" t="str">
        <f>IF(Worksheet!AE718="","",Worksheet!AE718)</f>
        <v/>
      </c>
      <c r="N718">
        <f>IF(Worksheet!AG718="","",Worksheet!AG718)</f>
        <v>742359</v>
      </c>
      <c r="O718" t="str">
        <f>IF(Worksheet!AJ718="","",Worksheet!AJ718)</f>
        <v/>
      </c>
      <c r="P718" t="str">
        <f>IF(Worksheet!AK718="","",Worksheet!AK718)</f>
        <v/>
      </c>
    </row>
    <row r="719" spans="5:16" x14ac:dyDescent="0.25">
      <c r="E719" s="2"/>
      <c r="J719" t="str">
        <f>Worksheet!C719&amp;" "&amp;Worksheet!B719</f>
        <v>Baptiste Vervaeck</v>
      </c>
      <c r="K719" t="str">
        <f>IF(Worksheet!P719&lt;&gt;"",Worksheet!P719,IF(Worksheet!R719&lt;&gt;"",Worksheet!R719,IF(Worksheet!T719&lt;&gt;"",Worksheet!T719,"")))</f>
        <v>Dries.vervaeck@gmail.com</v>
      </c>
      <c r="L719" t="str">
        <f>IF(AND(Worksheet!V719&lt;&gt;"",Worksheet!V719&lt;&gt;0),Worksheet!V719&amp;"",IF(AND(Worksheet!X719&lt;&gt;"",Worksheet!X719&lt;&gt;0),Worksheet!X719&amp;"",IF(AND(Worksheet!Z719&lt;&gt;"",Worksheet!Z719&lt;&gt;0),Worksheet!Z719&amp;"","")))</f>
        <v>0479970549</v>
      </c>
      <c r="M719" t="str">
        <f>IF(Worksheet!AE719="","",Worksheet!AE719)</f>
        <v/>
      </c>
      <c r="N719">
        <f>IF(Worksheet!AG719="","",Worksheet!AG719)</f>
        <v>706697</v>
      </c>
      <c r="O719" t="str">
        <f>IF(Worksheet!AJ719="","",Worksheet!AJ719)</f>
        <v/>
      </c>
      <c r="P719" t="str">
        <f>IF(Worksheet!AK719="","",Worksheet!AK719)</f>
        <v/>
      </c>
    </row>
    <row r="720" spans="5:16" x14ac:dyDescent="0.25">
      <c r="E720" s="2"/>
      <c r="J720" t="str">
        <f>Worksheet!C720&amp;" "&amp;Worksheet!B720</f>
        <v>Dries Vervaeck</v>
      </c>
      <c r="K720" t="str">
        <f>IF(Worksheet!P720&lt;&gt;"",Worksheet!P720,IF(Worksheet!R720&lt;&gt;"",Worksheet!R720,IF(Worksheet!T720&lt;&gt;"",Worksheet!T720,"")))</f>
        <v/>
      </c>
      <c r="L720" t="str">
        <f>IF(AND(Worksheet!V720&lt;&gt;"",Worksheet!V720&lt;&gt;0),Worksheet!V720&amp;"",IF(AND(Worksheet!X720&lt;&gt;"",Worksheet!X720&lt;&gt;0),Worksheet!X720&amp;"",IF(AND(Worksheet!Z720&lt;&gt;"",Worksheet!Z720&lt;&gt;0),Worksheet!Z720&amp;"","")))</f>
        <v>0479970549</v>
      </c>
      <c r="M720" t="str">
        <f>IF(Worksheet!AE720="","",Worksheet!AE720)</f>
        <v/>
      </c>
      <c r="N720" t="str">
        <f>IF(Worksheet!AG720="","",Worksheet!AG720)</f>
        <v/>
      </c>
      <c r="O720" t="str">
        <f>IF(Worksheet!AJ720="","",Worksheet!AJ720)</f>
        <v/>
      </c>
      <c r="P720" t="str">
        <f>IF(Worksheet!AK720="","",Worksheet!AK720)</f>
        <v/>
      </c>
    </row>
    <row r="721" spans="5:16" x14ac:dyDescent="0.25">
      <c r="E721" s="2"/>
      <c r="J721" t="str">
        <f>Worksheet!C721&amp;" "&amp;Worksheet!B721</f>
        <v>Ineke Vervaeck</v>
      </c>
      <c r="K721" t="str">
        <f>IF(Worksheet!P721&lt;&gt;"",Worksheet!P721,IF(Worksheet!R721&lt;&gt;"",Worksheet!R721,IF(Worksheet!T721&lt;&gt;"",Worksheet!T721,"")))</f>
        <v/>
      </c>
      <c r="L721" t="str">
        <f>IF(AND(Worksheet!V721&lt;&gt;"",Worksheet!V721&lt;&gt;0),Worksheet!V721&amp;"",IF(AND(Worksheet!X721&lt;&gt;"",Worksheet!X721&lt;&gt;0),Worksheet!X721&amp;"",IF(AND(Worksheet!Z721&lt;&gt;"",Worksheet!Z721&lt;&gt;0),Worksheet!Z721&amp;"","")))</f>
        <v/>
      </c>
      <c r="M721" t="str">
        <f>IF(Worksheet!AE721="","",Worksheet!AE721)</f>
        <v/>
      </c>
      <c r="N721">
        <f>IF(Worksheet!AG721="","",Worksheet!AG721)</f>
        <v>164058</v>
      </c>
      <c r="O721" t="str">
        <f>IF(Worksheet!AJ721="","",Worksheet!AJ721)</f>
        <v/>
      </c>
      <c r="P721" t="str">
        <f>IF(Worksheet!AK721="","",Worksheet!AK721)</f>
        <v/>
      </c>
    </row>
    <row r="722" spans="5:16" x14ac:dyDescent="0.25">
      <c r="E722" s="2"/>
      <c r="J722" t="str">
        <f>Worksheet!C722&amp;" "&amp;Worksheet!B722</f>
        <v>Thomas Viaene</v>
      </c>
      <c r="K722" t="str">
        <f>IF(Worksheet!P722&lt;&gt;"",Worksheet!P722,IF(Worksheet!R722&lt;&gt;"",Worksheet!R722,IF(Worksheet!T722&lt;&gt;"",Worksheet!T722,"")))</f>
        <v/>
      </c>
      <c r="L722" t="str">
        <f>IF(AND(Worksheet!V722&lt;&gt;"",Worksheet!V722&lt;&gt;0),Worksheet!V722&amp;"",IF(AND(Worksheet!X722&lt;&gt;"",Worksheet!X722&lt;&gt;0),Worksheet!X722&amp;"",IF(AND(Worksheet!Z722&lt;&gt;"",Worksheet!Z722&lt;&gt;0),Worksheet!Z722&amp;"","")))</f>
        <v>0497313727</v>
      </c>
      <c r="M722" t="str">
        <f>IF(Worksheet!AE722="","",Worksheet!AE722)</f>
        <v/>
      </c>
      <c r="N722">
        <f>IF(Worksheet!AG722="","",Worksheet!AG722)</f>
        <v>739602</v>
      </c>
      <c r="O722" t="str">
        <f>IF(Worksheet!AJ722="","",Worksheet!AJ722)</f>
        <v>J18 A Haantjes CERTIFISC Oudenaarde</v>
      </c>
      <c r="P722" t="str">
        <f>IF(Worksheet!AK722="","",Worksheet!AK722)</f>
        <v>Speler</v>
      </c>
    </row>
    <row r="723" spans="5:16" x14ac:dyDescent="0.25">
      <c r="E723" s="2"/>
      <c r="J723" t="str">
        <f>Worksheet!C723&amp;" "&amp;Worksheet!B723</f>
        <v>Thomas Viaene</v>
      </c>
      <c r="K723" t="str">
        <f>IF(Worksheet!P723&lt;&gt;"",Worksheet!P723,IF(Worksheet!R723&lt;&gt;"",Worksheet!R723,IF(Worksheet!T723&lt;&gt;"",Worksheet!T723,"")))</f>
        <v/>
      </c>
      <c r="L723" t="str">
        <f>IF(AND(Worksheet!V723&lt;&gt;"",Worksheet!V723&lt;&gt;0),Worksheet!V723&amp;"",IF(AND(Worksheet!X723&lt;&gt;"",Worksheet!X723&lt;&gt;0),Worksheet!X723&amp;"",IF(AND(Worksheet!Z723&lt;&gt;"",Worksheet!Z723&lt;&gt;0),Worksheet!Z723&amp;"","")))</f>
        <v>0497313727</v>
      </c>
      <c r="M723" t="str">
        <f>IF(Worksheet!AE723="","",Worksheet!AE723)</f>
        <v/>
      </c>
      <c r="N723">
        <f>IF(Worksheet!AG723="","",Worksheet!AG723)</f>
        <v>739602</v>
      </c>
      <c r="O723" t="str">
        <f>IF(Worksheet!AJ723="","",Worksheet!AJ723)</f>
        <v>Zomerstage 2026 (Blankenberge)</v>
      </c>
      <c r="P723" t="str">
        <f>IF(Worksheet!AK723="","",Worksheet!AK723)</f>
        <v>Speler</v>
      </c>
    </row>
    <row r="724" spans="5:16" x14ac:dyDescent="0.25">
      <c r="E724" s="2"/>
      <c r="J724" t="str">
        <f>Worksheet!C724&amp;" "&amp;Worksheet!B724</f>
        <v>Thomas Viaene</v>
      </c>
      <c r="K724" t="str">
        <f>IF(Worksheet!P724&lt;&gt;"",Worksheet!P724,IF(Worksheet!R724&lt;&gt;"",Worksheet!R724,IF(Worksheet!T724&lt;&gt;"",Worksheet!T724,"")))</f>
        <v/>
      </c>
      <c r="L724" t="str">
        <f>IF(AND(Worksheet!V724&lt;&gt;"",Worksheet!V724&lt;&gt;0),Worksheet!V724&amp;"",IF(AND(Worksheet!X724&lt;&gt;"",Worksheet!X724&lt;&gt;0),Worksheet!X724&amp;"",IF(AND(Worksheet!Z724&lt;&gt;"",Worksheet!Z724&lt;&gt;0),Worksheet!Z724&amp;"","")))</f>
        <v>0497313727</v>
      </c>
      <c r="M724" t="str">
        <f>IF(Worksheet!AE724="","",Worksheet!AE724)</f>
        <v/>
      </c>
      <c r="N724">
        <f>IF(Worksheet!AG724="","",Worksheet!AG724)</f>
        <v>739602</v>
      </c>
      <c r="O724" t="str">
        <f>IF(Worksheet!AJ724="","",Worksheet!AJ724)</f>
        <v>HSE B Haantjes Certifisc Oudenaarde</v>
      </c>
      <c r="P724" t="str">
        <f>IF(Worksheet!AK724="","",Worksheet!AK724)</f>
        <v>Speler</v>
      </c>
    </row>
    <row r="725" spans="5:16" x14ac:dyDescent="0.25">
      <c r="E725" s="2"/>
      <c r="J725" t="str">
        <f>Worksheet!C725&amp;" "&amp;Worksheet!B725</f>
        <v>Christine Vindevogel</v>
      </c>
      <c r="K725" t="str">
        <f>IF(Worksheet!P725&lt;&gt;"",Worksheet!P725,IF(Worksheet!R725&lt;&gt;"",Worksheet!R725,IF(Worksheet!T725&lt;&gt;"",Worksheet!T725,"")))</f>
        <v/>
      </c>
      <c r="L725" t="str">
        <f>IF(AND(Worksheet!V725&lt;&gt;"",Worksheet!V725&lt;&gt;0),Worksheet!V725&amp;"",IF(AND(Worksheet!X725&lt;&gt;"",Worksheet!X725&lt;&gt;0),Worksheet!X725&amp;"",IF(AND(Worksheet!Z725&lt;&gt;"",Worksheet!Z725&lt;&gt;0),Worksheet!Z725&amp;"","")))</f>
        <v>48686.86.51</v>
      </c>
      <c r="M725" t="str">
        <f>IF(Worksheet!AE725="","",Worksheet!AE725)</f>
        <v/>
      </c>
      <c r="N725">
        <f>IF(Worksheet!AG725="","",Worksheet!AG725)</f>
        <v>207756</v>
      </c>
      <c r="O725" t="str">
        <f>IF(Worksheet!AJ725="","",Worksheet!AJ725)</f>
        <v/>
      </c>
      <c r="P725" t="str">
        <f>IF(Worksheet!AK725="","",Worksheet!AK725)</f>
        <v/>
      </c>
    </row>
    <row r="726" spans="5:16" x14ac:dyDescent="0.25">
      <c r="E726" s="2"/>
      <c r="J726" t="str">
        <f>Worksheet!C726&amp;" "&amp;Worksheet!B726</f>
        <v>Guy Vleurinck</v>
      </c>
      <c r="K726" t="str">
        <f>IF(Worksheet!P726&lt;&gt;"",Worksheet!P726,IF(Worksheet!R726&lt;&gt;"",Worksheet!R726,IF(Worksheet!T726&lt;&gt;"",Worksheet!T726,"")))</f>
        <v/>
      </c>
      <c r="L726" t="str">
        <f>IF(AND(Worksheet!V726&lt;&gt;"",Worksheet!V726&lt;&gt;0),Worksheet!V726&amp;"",IF(AND(Worksheet!X726&lt;&gt;"",Worksheet!X726&lt;&gt;0),Worksheet!X726&amp;"",IF(AND(Worksheet!Z726&lt;&gt;"",Worksheet!Z726&lt;&gt;0),Worksheet!Z726&amp;"","")))</f>
        <v>0475584066</v>
      </c>
      <c r="M726" t="str">
        <f>IF(Worksheet!AE726="","",Worksheet!AE726)</f>
        <v/>
      </c>
      <c r="N726" t="str">
        <f>IF(Worksheet!AG726="","",Worksheet!AG726)</f>
        <v/>
      </c>
      <c r="O726" t="str">
        <f>IF(Worksheet!AJ726="","",Worksheet!AJ726)</f>
        <v/>
      </c>
      <c r="P726" t="str">
        <f>IF(Worksheet!AK726="","",Worksheet!AK726)</f>
        <v/>
      </c>
    </row>
    <row r="727" spans="5:16" x14ac:dyDescent="0.25">
      <c r="E727" s="2"/>
      <c r="J727" t="str">
        <f>Worksheet!C727&amp;" "&amp;Worksheet!B727</f>
        <v>Kenny Volkaert</v>
      </c>
      <c r="K727" t="str">
        <f>IF(Worksheet!P727&lt;&gt;"",Worksheet!P727,IF(Worksheet!R727&lt;&gt;"",Worksheet!R727,IF(Worksheet!T727&lt;&gt;"",Worksheet!T727,"")))</f>
        <v/>
      </c>
      <c r="L727" t="str">
        <f>IF(AND(Worksheet!V727&lt;&gt;"",Worksheet!V727&lt;&gt;0),Worksheet!V727&amp;"",IF(AND(Worksheet!X727&lt;&gt;"",Worksheet!X727&lt;&gt;0),Worksheet!X727&amp;"",IF(AND(Worksheet!Z727&lt;&gt;"",Worksheet!Z727&lt;&gt;0),Worksheet!Z727&amp;"","")))</f>
        <v>32483038837</v>
      </c>
      <c r="M727" t="str">
        <f>IF(Worksheet!AE727="","",Worksheet!AE727)</f>
        <v/>
      </c>
      <c r="N727">
        <f>IF(Worksheet!AG727="","",Worksheet!AG727)</f>
        <v>644848</v>
      </c>
      <c r="O727" t="str">
        <f>IF(Worksheet!AJ727="","",Worksheet!AJ727)</f>
        <v>HSE  C Haantjes Certifisc Oudenaarde</v>
      </c>
      <c r="P727" t="str">
        <f>IF(Worksheet!AK727="","",Worksheet!AK727)</f>
        <v>Speler</v>
      </c>
    </row>
    <row r="728" spans="5:16" x14ac:dyDescent="0.25">
      <c r="E728" s="2"/>
      <c r="J728" t="str">
        <f>Worksheet!C728&amp;" "&amp;Worksheet!B728</f>
        <v>Basiel Vossen</v>
      </c>
      <c r="K728" t="str">
        <f>IF(Worksheet!P728&lt;&gt;"",Worksheet!P728,IF(Worksheet!R728&lt;&gt;"",Worksheet!R728,IF(Worksheet!T728&lt;&gt;"",Worksheet!T728,"")))</f>
        <v>pieterpaulvossen@hotmail.com</v>
      </c>
      <c r="L728" t="str">
        <f>IF(AND(Worksheet!V728&lt;&gt;"",Worksheet!V728&lt;&gt;0),Worksheet!V728&amp;"",IF(AND(Worksheet!X728&lt;&gt;"",Worksheet!X728&lt;&gt;0),Worksheet!X728&amp;"",IF(AND(Worksheet!Z728&lt;&gt;"",Worksheet!Z728&lt;&gt;0),Worksheet!Z728&amp;"","")))</f>
        <v>0474575676</v>
      </c>
      <c r="M728" t="str">
        <f>IF(Worksheet!AE728="","",Worksheet!AE728)</f>
        <v/>
      </c>
      <c r="N728" t="str">
        <f>IF(Worksheet!AG728="","",Worksheet!AG728)</f>
        <v/>
      </c>
      <c r="O728" t="str">
        <f>IF(Worksheet!AJ728="","",Worksheet!AJ728)</f>
        <v>G08 Geel HAANTJES CERTIFISC OUDENAARDE</v>
      </c>
      <c r="P728" t="str">
        <f>IF(Worksheet!AK728="","",Worksheet!AK728)</f>
        <v>Speler</v>
      </c>
    </row>
    <row r="729" spans="5:16" x14ac:dyDescent="0.25">
      <c r="E729" s="2"/>
      <c r="J729" t="str">
        <f>Worksheet!C729&amp;" "&amp;Worksheet!B729</f>
        <v>Mathis Vrijens</v>
      </c>
      <c r="K729" t="str">
        <f>IF(Worksheet!P729&lt;&gt;"",Worksheet!P729,IF(Worksheet!R729&lt;&gt;"",Worksheet!R729,IF(Worksheet!T729&lt;&gt;"",Worksheet!T729,"")))</f>
        <v>mathis.vrijens@outlook.com</v>
      </c>
      <c r="L729" t="str">
        <f>IF(AND(Worksheet!V729&lt;&gt;"",Worksheet!V729&lt;&gt;0),Worksheet!V729&amp;"",IF(AND(Worksheet!X729&lt;&gt;"",Worksheet!X729&lt;&gt;0),Worksheet!X729&amp;"",IF(AND(Worksheet!Z729&lt;&gt;"",Worksheet!Z729&lt;&gt;0),Worksheet!Z729&amp;"","")))</f>
        <v>476675516</v>
      </c>
      <c r="M729" t="str">
        <f>IF(Worksheet!AE729="","",Worksheet!AE729)</f>
        <v/>
      </c>
      <c r="N729">
        <f>IF(Worksheet!AG729="","",Worksheet!AG729)</f>
        <v>744638</v>
      </c>
      <c r="O729" t="str">
        <f>IF(Worksheet!AJ729="","",Worksheet!AJ729)</f>
        <v/>
      </c>
      <c r="P729" t="str">
        <f>IF(Worksheet!AK729="","",Worksheet!AK729)</f>
        <v/>
      </c>
    </row>
    <row r="730" spans="5:16" x14ac:dyDescent="0.25">
      <c r="E730" s="2"/>
      <c r="J730" t="str">
        <f>Worksheet!C730&amp;" "&amp;Worksheet!B730</f>
        <v>Matteo Vunck</v>
      </c>
      <c r="K730" t="str">
        <f>IF(Worksheet!P730&lt;&gt;"",Worksheet!P730,IF(Worksheet!R730&lt;&gt;"",Worksheet!R730,IF(Worksheet!T730&lt;&gt;"",Worksheet!T730,"")))</f>
        <v>fam.vunck.demoor@outlook.com</v>
      </c>
      <c r="L730" t="str">
        <f>IF(AND(Worksheet!V730&lt;&gt;"",Worksheet!V730&lt;&gt;0),Worksheet!V730&amp;"",IF(AND(Worksheet!X730&lt;&gt;"",Worksheet!X730&lt;&gt;0),Worksheet!X730&amp;"",IF(AND(Worksheet!Z730&lt;&gt;"",Worksheet!Z730&lt;&gt;0),Worksheet!Z730&amp;"","")))</f>
        <v>320494304295</v>
      </c>
      <c r="M730" t="str">
        <f>IF(Worksheet!AE730="","",Worksheet!AE730)</f>
        <v>https://app.twizzit.com/public/photos/8418462/s/4cd851c617ea9849ca7ba85a62a0807b8b769b48.jpeg</v>
      </c>
      <c r="N730" t="str">
        <f>IF(Worksheet!AG730="","",Worksheet!AG730)</f>
        <v/>
      </c>
      <c r="O730" t="str">
        <f>IF(Worksheet!AJ730="","",Worksheet!AJ730)</f>
        <v>G10 Blauw HAANTJES CERTIFISC OUDENAARDE</v>
      </c>
      <c r="P730" t="str">
        <f>IF(Worksheet!AK730="","",Worksheet!AK730)</f>
        <v>Speler</v>
      </c>
    </row>
    <row r="731" spans="5:16" x14ac:dyDescent="0.25">
      <c r="E731" s="2"/>
      <c r="J731" t="str">
        <f>Worksheet!C731&amp;" "&amp;Worksheet!B731</f>
        <v>Steven Vunck</v>
      </c>
      <c r="K731" t="str">
        <f>IF(Worksheet!P731&lt;&gt;"",Worksheet!P731,IF(Worksheet!R731&lt;&gt;"",Worksheet!R731,IF(Worksheet!T731&lt;&gt;"",Worksheet!T731,"")))</f>
        <v/>
      </c>
      <c r="L731" t="str">
        <f>IF(AND(Worksheet!V731&lt;&gt;"",Worksheet!V731&lt;&gt;0),Worksheet!V731&amp;"",IF(AND(Worksheet!X731&lt;&gt;"",Worksheet!X731&lt;&gt;0),Worksheet!X731&amp;"",IF(AND(Worksheet!Z731&lt;&gt;"",Worksheet!Z731&lt;&gt;0),Worksheet!Z731&amp;"","")))</f>
        <v>0473356747</v>
      </c>
      <c r="M731" t="str">
        <f>IF(Worksheet!AE731="","",Worksheet!AE731)</f>
        <v/>
      </c>
      <c r="N731" t="str">
        <f>IF(Worksheet!AG731="","",Worksheet!AG731)</f>
        <v/>
      </c>
      <c r="O731" t="str">
        <f>IF(Worksheet!AJ731="","",Worksheet!AJ731)</f>
        <v/>
      </c>
      <c r="P731" t="str">
        <f>IF(Worksheet!AK731="","",Worksheet!AK731)</f>
        <v/>
      </c>
    </row>
    <row r="732" spans="5:16" x14ac:dyDescent="0.25">
      <c r="E732" s="2"/>
      <c r="J732" t="str">
        <f>Worksheet!C732&amp;" "&amp;Worksheet!B732</f>
        <v>Frank Waeghe</v>
      </c>
      <c r="K732" t="str">
        <f>IF(Worksheet!P732&lt;&gt;"",Worksheet!P732,IF(Worksheet!R732&lt;&gt;"",Worksheet!R732,IF(Worksheet!T732&lt;&gt;"",Worksheet!T732,"")))</f>
        <v/>
      </c>
      <c r="L732" t="str">
        <f>IF(AND(Worksheet!V732&lt;&gt;"",Worksheet!V732&lt;&gt;0),Worksheet!V732&amp;"",IF(AND(Worksheet!X732&lt;&gt;"",Worksheet!X732&lt;&gt;0),Worksheet!X732&amp;"",IF(AND(Worksheet!Z732&lt;&gt;"",Worksheet!Z732&lt;&gt;0),Worksheet!Z732&amp;"","")))</f>
        <v/>
      </c>
      <c r="M732" t="str">
        <f>IF(Worksheet!AE732="","",Worksheet!AE732)</f>
        <v/>
      </c>
      <c r="N732">
        <f>IF(Worksheet!AG732="","",Worksheet!AG732)</f>
        <v>708693</v>
      </c>
      <c r="O732" t="str">
        <f>IF(Worksheet!AJ732="","",Worksheet!AJ732)</f>
        <v/>
      </c>
      <c r="P732" t="str">
        <f>IF(Worksheet!AK732="","",Worksheet!AK732)</f>
        <v/>
      </c>
    </row>
    <row r="733" spans="5:16" x14ac:dyDescent="0.25">
      <c r="E733" s="2"/>
      <c r="J733" t="str">
        <f>Worksheet!C733&amp;" "&amp;Worksheet!B733</f>
        <v>Xander Waeghe</v>
      </c>
      <c r="K733" t="str">
        <f>IF(Worksheet!P733&lt;&gt;"",Worksheet!P733,IF(Worksheet!R733&lt;&gt;"",Worksheet!R733,IF(Worksheet!T733&lt;&gt;"",Worksheet!T733,"")))</f>
        <v>frank.waeghe@telenet.be</v>
      </c>
      <c r="L733" t="str">
        <f>IF(AND(Worksheet!V733&lt;&gt;"",Worksheet!V733&lt;&gt;0),Worksheet!V733&amp;"",IF(AND(Worksheet!X733&lt;&gt;"",Worksheet!X733&lt;&gt;0),Worksheet!X733&amp;"",IF(AND(Worksheet!Z733&lt;&gt;"",Worksheet!Z733&lt;&gt;0),Worksheet!Z733&amp;"","")))</f>
        <v/>
      </c>
      <c r="M733" t="str">
        <f>IF(Worksheet!AE733="","",Worksheet!AE733)</f>
        <v/>
      </c>
      <c r="N733">
        <f>IF(Worksheet!AG733="","",Worksheet!AG733)</f>
        <v>665985</v>
      </c>
      <c r="O733" t="str">
        <f>IF(Worksheet!AJ733="","",Worksheet!AJ733)</f>
        <v/>
      </c>
      <c r="P733" t="str">
        <f>IF(Worksheet!AK733="","",Worksheet!AK733)</f>
        <v/>
      </c>
    </row>
    <row r="734" spans="5:16" x14ac:dyDescent="0.25">
      <c r="E734" s="2"/>
      <c r="J734" t="str">
        <f>Worksheet!C734&amp;" "&amp;Worksheet!B734</f>
        <v>Gaston Waelkens</v>
      </c>
      <c r="K734" t="str">
        <f>IF(Worksheet!P734&lt;&gt;"",Worksheet!P734,IF(Worksheet!R734&lt;&gt;"",Worksheet!R734,IF(Worksheet!T734&lt;&gt;"",Worksheet!T734,"")))</f>
        <v/>
      </c>
      <c r="L734" t="str">
        <f>IF(AND(Worksheet!V734&lt;&gt;"",Worksheet!V734&lt;&gt;0),Worksheet!V734&amp;"",IF(AND(Worksheet!X734&lt;&gt;"",Worksheet!X734&lt;&gt;0),Worksheet!X734&amp;"",IF(AND(Worksheet!Z734&lt;&gt;"",Worksheet!Z734&lt;&gt;0),Worksheet!Z734&amp;"","")))</f>
        <v>32495460727</v>
      </c>
      <c r="M734" t="str">
        <f>IF(Worksheet!AE734="","",Worksheet!AE734)</f>
        <v>https://app.twizzit.com/public/photos/3437289/s/570cbbb3ba40336fabf43491384c678cfbbf4db4.png</v>
      </c>
      <c r="N734" t="str">
        <f>IF(Worksheet!AG734="","",Worksheet!AG734)</f>
        <v/>
      </c>
      <c r="O734" t="str">
        <f>IF(Worksheet!AJ734="","",Worksheet!AJ734)</f>
        <v>G10 Geel HAANTJES CERTIFISC OUDENAARDE</v>
      </c>
      <c r="P734" t="str">
        <f>IF(Worksheet!AK734="","",Worksheet!AK734)</f>
        <v>Speler</v>
      </c>
    </row>
    <row r="735" spans="5:16" x14ac:dyDescent="0.25">
      <c r="E735" s="2"/>
      <c r="J735" t="str">
        <f>Worksheet!C735&amp;" "&amp;Worksheet!B735</f>
        <v>Jeanne Waelkens</v>
      </c>
      <c r="K735" t="str">
        <f>IF(Worksheet!P735&lt;&gt;"",Worksheet!P735,IF(Worksheet!R735&lt;&gt;"",Worksheet!R735,IF(Worksheet!T735&lt;&gt;"",Worksheet!T735,"")))</f>
        <v/>
      </c>
      <c r="L735" t="str">
        <f>IF(AND(Worksheet!V735&lt;&gt;"",Worksheet!V735&lt;&gt;0),Worksheet!V735&amp;"",IF(AND(Worksheet!X735&lt;&gt;"",Worksheet!X735&lt;&gt;0),Worksheet!X735&amp;"",IF(AND(Worksheet!Z735&lt;&gt;"",Worksheet!Z735&lt;&gt;0),Worksheet!Z735&amp;"","")))</f>
        <v>32495460727</v>
      </c>
      <c r="M735" t="str">
        <f>IF(Worksheet!AE735="","",Worksheet!AE735)</f>
        <v>https://app.twizzit.com/public/photos/3437291/s/f3577d619164c0e4ca4ac15321e6e9e51e00ea9d.png</v>
      </c>
      <c r="N735" t="str">
        <f>IF(Worksheet!AG735="","",Worksheet!AG735)</f>
        <v/>
      </c>
      <c r="O735" t="str">
        <f>IF(Worksheet!AJ735="","",Worksheet!AJ735)</f>
        <v>M10 HAANTJES CERTIFISC OUDENAARDE</v>
      </c>
      <c r="P735" t="str">
        <f>IF(Worksheet!AK735="","",Worksheet!AK735)</f>
        <v>Speler</v>
      </c>
    </row>
    <row r="736" spans="5:16" x14ac:dyDescent="0.25">
      <c r="E736" s="2"/>
      <c r="J736" t="str">
        <f>Worksheet!C736&amp;" "&amp;Worksheet!B736</f>
        <v>Owen Waterschoot</v>
      </c>
      <c r="K736" t="str">
        <f>IF(Worksheet!P736&lt;&gt;"",Worksheet!P736,IF(Worksheet!R736&lt;&gt;"",Worksheet!R736,IF(Worksheet!T736&lt;&gt;"",Worksheet!T736,"")))</f>
        <v/>
      </c>
      <c r="L736" t="str">
        <f>IF(AND(Worksheet!V736&lt;&gt;"",Worksheet!V736&lt;&gt;0),Worksheet!V736&amp;"",IF(AND(Worksheet!X736&lt;&gt;"",Worksheet!X736&lt;&gt;0),Worksheet!X736&amp;"",IF(AND(Worksheet!Z736&lt;&gt;"",Worksheet!Z736&lt;&gt;0),Worksheet!Z736&amp;"","")))</f>
        <v>0470821235</v>
      </c>
      <c r="M736" t="str">
        <f>IF(Worksheet!AE736="","",Worksheet!AE736)</f>
        <v/>
      </c>
      <c r="N736">
        <f>IF(Worksheet!AG736="","",Worksheet!AG736)</f>
        <v>631034</v>
      </c>
      <c r="O736" t="str">
        <f>IF(Worksheet!AJ736="","",Worksheet!AJ736)</f>
        <v/>
      </c>
      <c r="P736" t="str">
        <f>IF(Worksheet!AK736="","",Worksheet!AK736)</f>
        <v/>
      </c>
    </row>
    <row r="737" spans="5:16" x14ac:dyDescent="0.25">
      <c r="E737" s="2"/>
      <c r="J737" t="str">
        <f>Worksheet!C737&amp;" "&amp;Worksheet!B737</f>
        <v>Elio Wattenberghe</v>
      </c>
      <c r="K737" t="str">
        <f>IF(Worksheet!P737&lt;&gt;"",Worksheet!P737,IF(Worksheet!R737&lt;&gt;"",Worksheet!R737,IF(Worksheet!T737&lt;&gt;"",Worksheet!T737,"")))</f>
        <v/>
      </c>
      <c r="L737" t="str">
        <f>IF(AND(Worksheet!V737&lt;&gt;"",Worksheet!V737&lt;&gt;0),Worksheet!V737&amp;"",IF(AND(Worksheet!X737&lt;&gt;"",Worksheet!X737&lt;&gt;0),Worksheet!X737&amp;"",IF(AND(Worksheet!Z737&lt;&gt;"",Worksheet!Z737&lt;&gt;0),Worksheet!Z737&amp;"","")))</f>
        <v>476325338</v>
      </c>
      <c r="M737" t="str">
        <f>IF(Worksheet!AE737="","",Worksheet!AE737)</f>
        <v/>
      </c>
      <c r="N737" t="str">
        <f>IF(Worksheet!AG737="","",Worksheet!AG737)</f>
        <v/>
      </c>
      <c r="O737" t="str">
        <f>IF(Worksheet!AJ737="","",Worksheet!AJ737)</f>
        <v/>
      </c>
      <c r="P737" t="str">
        <f>IF(Worksheet!AK737="","",Worksheet!AK737)</f>
        <v/>
      </c>
    </row>
    <row r="738" spans="5:16" x14ac:dyDescent="0.25">
      <c r="E738" s="2"/>
      <c r="J738" t="str">
        <f>Worksheet!C738&amp;" "&amp;Worksheet!B738</f>
        <v>Cedric Watteyn</v>
      </c>
      <c r="K738" t="str">
        <f>IF(Worksheet!P738&lt;&gt;"",Worksheet!P738,IF(Worksheet!R738&lt;&gt;"",Worksheet!R738,IF(Worksheet!T738&lt;&gt;"",Worksheet!T738,"")))</f>
        <v/>
      </c>
      <c r="L738" t="str">
        <f>IF(AND(Worksheet!V738&lt;&gt;"",Worksheet!V738&lt;&gt;0),Worksheet!V738&amp;"",IF(AND(Worksheet!X738&lt;&gt;"",Worksheet!X738&lt;&gt;0),Worksheet!X738&amp;"",IF(AND(Worksheet!Z738&lt;&gt;"",Worksheet!Z738&lt;&gt;0),Worksheet!Z738&amp;"","")))</f>
        <v>0471244684</v>
      </c>
      <c r="M738" t="str">
        <f>IF(Worksheet!AE738="","",Worksheet!AE738)</f>
        <v/>
      </c>
      <c r="N738">
        <f>IF(Worksheet!AG738="","",Worksheet!AG738)</f>
        <v>644411</v>
      </c>
      <c r="O738" t="str">
        <f>IF(Worksheet!AJ738="","",Worksheet!AJ738)</f>
        <v>HSE A Haantjes Certifisc Oudenaarde</v>
      </c>
      <c r="P738" t="str">
        <f>IF(Worksheet!AK738="","",Worksheet!AK738)</f>
        <v>Speler</v>
      </c>
    </row>
    <row r="739" spans="5:16" x14ac:dyDescent="0.25">
      <c r="E739" s="2"/>
      <c r="J739" t="str">
        <f>Worksheet!C739&amp;" "&amp;Worksheet!B739</f>
        <v>Mathijs Werbrouck</v>
      </c>
      <c r="K739" t="str">
        <f>IF(Worksheet!P739&lt;&gt;"",Worksheet!P739,IF(Worksheet!R739&lt;&gt;"",Worksheet!R739,IF(Worksheet!T739&lt;&gt;"",Worksheet!T739,"")))</f>
        <v/>
      </c>
      <c r="L739" t="str">
        <f>IF(AND(Worksheet!V739&lt;&gt;"",Worksheet!V739&lt;&gt;0),Worksheet!V739&amp;"",IF(AND(Worksheet!X739&lt;&gt;"",Worksheet!X739&lt;&gt;0),Worksheet!X739&amp;"",IF(AND(Worksheet!Z739&lt;&gt;"",Worksheet!Z739&lt;&gt;0),Worksheet!Z739&amp;"","")))</f>
        <v/>
      </c>
      <c r="M739" t="str">
        <f>IF(Worksheet!AE739="","",Worksheet!AE739)</f>
        <v/>
      </c>
      <c r="N739" t="str">
        <f>IF(Worksheet!AG739="","",Worksheet!AG739)</f>
        <v/>
      </c>
      <c r="O739" t="str">
        <f>IF(Worksheet!AJ739="","",Worksheet!AJ739)</f>
        <v/>
      </c>
      <c r="P739" t="str">
        <f>IF(Worksheet!AK739="","",Worksheet!AK739)</f>
        <v/>
      </c>
    </row>
    <row r="740" spans="5:16" x14ac:dyDescent="0.25">
      <c r="E740" s="2"/>
      <c r="J740" t="str">
        <f>Worksheet!C740&amp;" "&amp;Worksheet!B740</f>
        <v>Keandro Wieme</v>
      </c>
      <c r="K740" t="str">
        <f>IF(Worksheet!P740&lt;&gt;"",Worksheet!P740,IF(Worksheet!R740&lt;&gt;"",Worksheet!R740,IF(Worksheet!T740&lt;&gt;"",Worksheet!T740,"")))</f>
        <v>eddy.wieme@hotmail.com</v>
      </c>
      <c r="L740" t="str">
        <f>IF(AND(Worksheet!V740&lt;&gt;"",Worksheet!V740&lt;&gt;0),Worksheet!V740&amp;"",IF(AND(Worksheet!X740&lt;&gt;"",Worksheet!X740&lt;&gt;0),Worksheet!X740&amp;"",IF(AND(Worksheet!Z740&lt;&gt;"",Worksheet!Z740&lt;&gt;0),Worksheet!Z740&amp;"","")))</f>
        <v>4920764742</v>
      </c>
      <c r="M740" t="str">
        <f>IF(Worksheet!AE740="","",Worksheet!AE740)</f>
        <v/>
      </c>
      <c r="N740" t="str">
        <f>IF(Worksheet!AG740="","",Worksheet!AG740)</f>
        <v/>
      </c>
      <c r="O740" t="str">
        <f>IF(Worksheet!AJ740="","",Worksheet!AJ740)</f>
        <v/>
      </c>
      <c r="P740" t="str">
        <f>IF(Worksheet!AK740="","",Worksheet!AK740)</f>
        <v/>
      </c>
    </row>
    <row r="741" spans="5:16" x14ac:dyDescent="0.25">
      <c r="E741" s="2"/>
      <c r="J741" t="str">
        <f>Worksheet!C741&amp;" "&amp;Worksheet!B741</f>
        <v>Océane Wisbecq</v>
      </c>
      <c r="K741" t="str">
        <f>IF(Worksheet!P741&lt;&gt;"",Worksheet!P741,IF(Worksheet!R741&lt;&gt;"",Worksheet!R741,IF(Worksheet!T741&lt;&gt;"",Worksheet!T741,"")))</f>
        <v>jasper.wisbecq@hotmail.com</v>
      </c>
      <c r="L741" t="str">
        <f>IF(AND(Worksheet!V741&lt;&gt;"",Worksheet!V741&lt;&gt;0),Worksheet!V741&amp;"",IF(AND(Worksheet!X741&lt;&gt;"",Worksheet!X741&lt;&gt;0),Worksheet!X741&amp;"",IF(AND(Worksheet!Z741&lt;&gt;"",Worksheet!Z741&lt;&gt;0),Worksheet!Z741&amp;"","")))</f>
        <v>0472459757</v>
      </c>
      <c r="M741" t="str">
        <f>IF(Worksheet!AE741="","",Worksheet!AE741)</f>
        <v/>
      </c>
      <c r="N741" t="str">
        <f>IF(Worksheet!AG741="","",Worksheet!AG741)</f>
        <v/>
      </c>
      <c r="O741" t="str">
        <f>IF(Worksheet!AJ741="","",Worksheet!AJ741)</f>
        <v>G08 Blauw HAANTJES CERTIFISC OUDENAARDE</v>
      </c>
      <c r="P741" t="str">
        <f>IF(Worksheet!AK741="","",Worksheet!AK741)</f>
        <v>Speler</v>
      </c>
    </row>
    <row r="742" spans="5:16" x14ac:dyDescent="0.25">
      <c r="E742" s="2"/>
      <c r="J742" t="str">
        <f>Worksheet!C742&amp;" "&amp;Worksheet!B742</f>
        <v>Louis Woestenborghs</v>
      </c>
      <c r="K742" t="str">
        <f>IF(Worksheet!P742&lt;&gt;"",Worksheet!P742,IF(Worksheet!R742&lt;&gt;"",Worksheet!R742,IF(Worksheet!T742&lt;&gt;"",Worksheet!T742,"")))</f>
        <v/>
      </c>
      <c r="L742" t="str">
        <f>IF(AND(Worksheet!V742&lt;&gt;"",Worksheet!V742&lt;&gt;0),Worksheet!V742&amp;"",IF(AND(Worksheet!X742&lt;&gt;"",Worksheet!X742&lt;&gt;0),Worksheet!X742&amp;"",IF(AND(Worksheet!Z742&lt;&gt;"",Worksheet!Z742&lt;&gt;0),Worksheet!Z742&amp;"","")))</f>
        <v>4995222334</v>
      </c>
      <c r="M742" t="str">
        <f>IF(Worksheet!AE742="","",Worksheet!AE742)</f>
        <v/>
      </c>
      <c r="N742" t="str">
        <f>IF(Worksheet!AG742="","",Worksheet!AG742)</f>
        <v/>
      </c>
      <c r="O742" t="str">
        <f>IF(Worksheet!AJ742="","",Worksheet!AJ742)</f>
        <v/>
      </c>
      <c r="P742" t="str">
        <f>IF(Worksheet!AK742="","",Worksheet!AK742)</f>
        <v/>
      </c>
    </row>
    <row r="743" spans="5:16" x14ac:dyDescent="0.25">
      <c r="E743" s="2"/>
      <c r="J743" t="str">
        <f>Worksheet!C743&amp;" "&amp;Worksheet!B743</f>
        <v>Yasin Yurtay</v>
      </c>
      <c r="K743" t="str">
        <f>IF(Worksheet!P743&lt;&gt;"",Worksheet!P743,IF(Worksheet!R743&lt;&gt;"",Worksheet!R743,IF(Worksheet!T743&lt;&gt;"",Worksheet!T743,"")))</f>
        <v/>
      </c>
      <c r="L743" t="str">
        <f>IF(AND(Worksheet!V743&lt;&gt;"",Worksheet!V743&lt;&gt;0),Worksheet!V743&amp;"",IF(AND(Worksheet!X743&lt;&gt;"",Worksheet!X743&lt;&gt;0),Worksheet!X743&amp;"",IF(AND(Worksheet!Z743&lt;&gt;"",Worksheet!Z743&lt;&gt;0),Worksheet!Z743&amp;"","")))</f>
        <v>473610262</v>
      </c>
      <c r="M743" t="str">
        <f>IF(Worksheet!AE743="","",Worksheet!AE743)</f>
        <v/>
      </c>
      <c r="N743" t="str">
        <f>IF(Worksheet!AG743="","",Worksheet!AG743)</f>
        <v/>
      </c>
      <c r="O743" t="str">
        <f>IF(Worksheet!AJ743="","",Worksheet!AJ743)</f>
        <v/>
      </c>
      <c r="P743" t="str">
        <f>IF(Worksheet!AK743="","",Worksheet!AK743)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900E-8167-442A-A02B-227848DCE330}">
  <dimension ref="A1:G394"/>
  <sheetViews>
    <sheetView tabSelected="1" workbookViewId="0">
      <pane ySplit="1" topLeftCell="A11" activePane="bottomLeft" state="frozen"/>
      <selection pane="bottomLeft" activeCell="G1" sqref="G1:G1048576"/>
    </sheetView>
  </sheetViews>
  <sheetFormatPr defaultRowHeight="15" x14ac:dyDescent="0.25"/>
  <cols>
    <col min="1" max="1" width="29.7109375" customWidth="1"/>
    <col min="2" max="2" width="37" customWidth="1"/>
    <col min="3" max="3" width="20.28515625" customWidth="1"/>
    <col min="4" max="4" width="46.28515625" customWidth="1"/>
    <col min="5" max="5" width="16.7109375" customWidth="1"/>
    <col min="6" max="6" width="40.7109375" customWidth="1"/>
    <col min="7" max="7" width="16.7109375" customWidth="1"/>
  </cols>
  <sheetData>
    <row r="1" spans="1:7" x14ac:dyDescent="0.25">
      <c r="A1" s="1" t="s">
        <v>1</v>
      </c>
      <c r="B1" s="1" t="s">
        <v>2880</v>
      </c>
      <c r="C1" s="1" t="s">
        <v>2881</v>
      </c>
      <c r="D1" s="1" t="s">
        <v>29</v>
      </c>
      <c r="E1" s="1" t="s">
        <v>2882</v>
      </c>
      <c r="F1" s="1" t="s">
        <v>34</v>
      </c>
      <c r="G1" s="1" t="s">
        <v>2883</v>
      </c>
    </row>
    <row r="2" spans="1:7" x14ac:dyDescent="0.25">
      <c r="A2" t="str" cm="1">
        <f t="array" ref="A2:G394">_xlfn._xlws.SORT('Speler-Coach'!A2:G394,6,1)</f>
        <v>Odet Castelain</v>
      </c>
      <c r="B2" t="str">
        <v>evelyn.demesel@hotmail.be</v>
      </c>
      <c r="C2" t="str">
        <v>32495228616</v>
      </c>
      <c r="D2" t="str">
        <v/>
      </c>
      <c r="E2" s="2" t="str">
        <v/>
      </c>
      <c r="F2" t="str">
        <v>Balschool U6</v>
      </c>
      <c r="G2" t="str">
        <v>Speler</v>
      </c>
    </row>
    <row r="3" spans="1:7" x14ac:dyDescent="0.25">
      <c r="A3" t="str">
        <v>Cécile De Groote Hoebeke</v>
      </c>
      <c r="B3" t="str">
        <v>hoebekehanne@gmail.com</v>
      </c>
      <c r="C3" t="str">
        <v>0473630733</v>
      </c>
      <c r="D3" t="str">
        <v/>
      </c>
      <c r="E3" s="2" t="str">
        <v/>
      </c>
      <c r="F3" t="str">
        <v>Balschool U6</v>
      </c>
      <c r="G3" t="str">
        <v>Speler</v>
      </c>
    </row>
    <row r="4" spans="1:7" x14ac:dyDescent="0.25">
      <c r="A4" t="str">
        <v>Mauro De Leersnyder</v>
      </c>
      <c r="B4" t="str">
        <v>joke.toye@gmail.com</v>
      </c>
      <c r="C4" t="str">
        <v>0475403946</v>
      </c>
      <c r="D4" t="str">
        <v/>
      </c>
      <c r="E4" s="2" t="str">
        <v/>
      </c>
      <c r="F4" t="str">
        <v>Balschool U6</v>
      </c>
      <c r="G4" t="str">
        <v>Speler</v>
      </c>
    </row>
    <row r="5" spans="1:7" x14ac:dyDescent="0.25">
      <c r="A5" t="str">
        <v>Rami Decock</v>
      </c>
      <c r="B5" t="str">
        <v>decock.anthony07@gmail.com</v>
      </c>
      <c r="C5" t="str">
        <v>049819525</v>
      </c>
      <c r="D5" t="str">
        <v/>
      </c>
      <c r="E5" s="2" t="str">
        <v/>
      </c>
      <c r="F5" t="str">
        <v>Balschool U6</v>
      </c>
      <c r="G5" t="str">
        <v>Speler</v>
      </c>
    </row>
    <row r="6" spans="1:7" x14ac:dyDescent="0.25">
      <c r="A6" t="str">
        <v>Jakob Delbaere</v>
      </c>
      <c r="B6" t="str">
        <v/>
      </c>
      <c r="C6" t="str">
        <v>0474233989</v>
      </c>
      <c r="D6" t="str">
        <v/>
      </c>
      <c r="E6" s="2" t="str">
        <v/>
      </c>
      <c r="F6" t="str">
        <v>Balschool U6</v>
      </c>
      <c r="G6" t="str">
        <v>Speler</v>
      </c>
    </row>
    <row r="7" spans="1:7" x14ac:dyDescent="0.25">
      <c r="A7" t="str">
        <v>Cérile Doublet</v>
      </c>
      <c r="B7" t="str">
        <v>doubletbenoit@msn.com</v>
      </c>
      <c r="C7" t="str">
        <v>0472578222</v>
      </c>
      <c r="D7" t="str">
        <v/>
      </c>
      <c r="E7" s="2" t="str">
        <v/>
      </c>
      <c r="F7" t="str">
        <v>Balschool U6</v>
      </c>
      <c r="G7" t="str">
        <v>Speler</v>
      </c>
    </row>
    <row r="8" spans="1:7" x14ac:dyDescent="0.25">
      <c r="A8" t="str">
        <v>Cas Elyn</v>
      </c>
      <c r="B8" t="str">
        <v>lievemoyaert@icloud.com</v>
      </c>
      <c r="C8" t="str">
        <v>0495653737</v>
      </c>
      <c r="D8" t="str">
        <v/>
      </c>
      <c r="E8" s="2" t="str">
        <v/>
      </c>
      <c r="F8" t="str">
        <v>Balschool U6</v>
      </c>
      <c r="G8" t="str">
        <v>Speler</v>
      </c>
    </row>
    <row r="9" spans="1:7" x14ac:dyDescent="0.25">
      <c r="A9" t="str">
        <v>Tiaz Molly</v>
      </c>
      <c r="B9" t="str">
        <v>Molly.diederick@gmail.com</v>
      </c>
      <c r="C9" t="str">
        <v>0494605068</v>
      </c>
      <c r="D9" t="str">
        <v/>
      </c>
      <c r="E9" s="2" t="str">
        <v/>
      </c>
      <c r="F9" t="str">
        <v>Balschool U6</v>
      </c>
      <c r="G9" t="str">
        <v>Speler</v>
      </c>
    </row>
    <row r="10" spans="1:7" x14ac:dyDescent="0.25">
      <c r="A10" t="str">
        <v>Alba Slembrouck</v>
      </c>
      <c r="B10" t="str">
        <v>alexandra-kemp@hotmail.com</v>
      </c>
      <c r="C10" t="str">
        <v>00472902002</v>
      </c>
      <c r="D10" t="str">
        <v/>
      </c>
      <c r="E10" s="2" t="str">
        <v/>
      </c>
      <c r="F10" t="str">
        <v>Balschool U6</v>
      </c>
      <c r="G10" t="str">
        <v>Speler</v>
      </c>
    </row>
    <row r="11" spans="1:7" x14ac:dyDescent="0.25">
      <c r="A11" t="str">
        <v>Lily Adam</v>
      </c>
      <c r="B11" t="str">
        <v>Koenadam78@gmail.com</v>
      </c>
      <c r="C11" t="str">
        <v>0476837352</v>
      </c>
      <c r="D11" t="str">
        <v>https://app.twizzit.com/public/photos/2182441/s/eec7946e1a9e80461f26752840c4aedc7d235bab.jpeg</v>
      </c>
      <c r="E11" s="2">
        <v>728412</v>
      </c>
      <c r="F11" t="str">
        <v>DSE A Haantjes Certifisc Oudenaarde</v>
      </c>
      <c r="G11" t="str">
        <v>Speler</v>
      </c>
    </row>
    <row r="12" spans="1:7" x14ac:dyDescent="0.25">
      <c r="A12" t="str">
        <v>Janna Bauters</v>
      </c>
      <c r="B12" t="str">
        <v/>
      </c>
      <c r="C12" t="str">
        <v>474344132</v>
      </c>
      <c r="D12" t="str">
        <v>https://app.twizzit.com/public/photos/2182476/s/d120dcfc0ec82f0d803829f917b4287681f3dd01.png</v>
      </c>
      <c r="E12" s="2">
        <v>280371</v>
      </c>
      <c r="F12" t="str">
        <v>DSE A Haantjes Certifisc Oudenaarde</v>
      </c>
      <c r="G12" t="str">
        <v>Speler</v>
      </c>
    </row>
    <row r="13" spans="1:7" x14ac:dyDescent="0.25">
      <c r="A13" t="str">
        <v>Marie Bourdeaud'hui</v>
      </c>
      <c r="B13" t="str">
        <v/>
      </c>
      <c r="C13" t="str">
        <v>32572791</v>
      </c>
      <c r="D13" t="str">
        <v>https://app.twizzit.com/public/photos/2182516/s/0d7291570c9e5cf142cd892c8fd7ace8c517270a.png</v>
      </c>
      <c r="E13" s="2">
        <v>714083</v>
      </c>
      <c r="F13" t="str">
        <v>DSE A Haantjes Certifisc Oudenaarde</v>
      </c>
      <c r="G13" t="str">
        <v>Speler</v>
      </c>
    </row>
    <row r="14" spans="1:7" x14ac:dyDescent="0.25">
      <c r="A14" t="str">
        <v>Aishatu Lieve Buadee</v>
      </c>
      <c r="B14" t="str">
        <v/>
      </c>
      <c r="C14" t="str">
        <v>0496745543</v>
      </c>
      <c r="D14" t="str">
        <v/>
      </c>
      <c r="E14" s="2" t="str">
        <v/>
      </c>
      <c r="F14" t="str">
        <v>DSE A Haantjes Certifisc Oudenaarde</v>
      </c>
      <c r="G14" t="str">
        <v>Speler</v>
      </c>
    </row>
    <row r="15" spans="1:7" x14ac:dyDescent="0.25">
      <c r="A15" t="str">
        <v>Iris Calewaert</v>
      </c>
      <c r="B15" t="str">
        <v/>
      </c>
      <c r="C15" t="str">
        <v/>
      </c>
      <c r="D15" t="str">
        <v/>
      </c>
      <c r="E15" s="2">
        <v>622248</v>
      </c>
      <c r="F15" t="str">
        <v>DSE A Haantjes Certifisc Oudenaarde</v>
      </c>
      <c r="G15" t="str">
        <v>Speler</v>
      </c>
    </row>
    <row r="16" spans="1:7" x14ac:dyDescent="0.25">
      <c r="A16" t="str">
        <v>Bart Cattoir</v>
      </c>
      <c r="B16" t="str">
        <v/>
      </c>
      <c r="C16" t="str">
        <v/>
      </c>
      <c r="D16" t="str">
        <v/>
      </c>
      <c r="E16" s="2">
        <v>20854</v>
      </c>
      <c r="F16" t="str">
        <v>DSE A Haantjes Certifisc Oudenaarde</v>
      </c>
      <c r="G16" t="str">
        <v>Coach</v>
      </c>
    </row>
    <row r="17" spans="1:7" x14ac:dyDescent="0.25">
      <c r="A17" t="str">
        <v>Alice Cokelaere</v>
      </c>
      <c r="B17" t="str">
        <v>sofie.pattyn@telenet.be</v>
      </c>
      <c r="C17" t="str">
        <v>0477681738</v>
      </c>
      <c r="D17" t="str">
        <v/>
      </c>
      <c r="E17" s="2">
        <v>669074</v>
      </c>
      <c r="F17" t="str">
        <v>DSE A Haantjes Certifisc Oudenaarde</v>
      </c>
      <c r="G17" t="str">
        <v>Speler</v>
      </c>
    </row>
    <row r="18" spans="1:7" x14ac:dyDescent="0.25">
      <c r="A18" t="str">
        <v>Karen Dans</v>
      </c>
      <c r="B18" t="str">
        <v/>
      </c>
      <c r="C18" t="str">
        <v>320494698322</v>
      </c>
      <c r="D18" t="str">
        <v>https://app.twizzit.com/public/photos/2182586/s/3c061ecaa7eb60b4e8b27f2490fa3fff24778b0c.png</v>
      </c>
      <c r="E18" s="2">
        <v>220520</v>
      </c>
      <c r="F18" t="str">
        <v>DSE A Haantjes Certifisc Oudenaarde</v>
      </c>
      <c r="G18" t="str">
        <v>Speler</v>
      </c>
    </row>
    <row r="19" spans="1:7" x14ac:dyDescent="0.25">
      <c r="A19" t="str">
        <v>Kimberley De Smet</v>
      </c>
      <c r="B19" t="str">
        <v/>
      </c>
      <c r="C19" t="str">
        <v/>
      </c>
      <c r="D19" t="str">
        <v>https://app.twizzit.com/public/photos/2182696/s/b3404003062e85e1b45f5fca9b0565fe70029286.png</v>
      </c>
      <c r="E19" s="2">
        <v>266618</v>
      </c>
      <c r="F19" t="str">
        <v>DSE A Haantjes Certifisc Oudenaarde</v>
      </c>
      <c r="G19" t="str">
        <v>Speler</v>
      </c>
    </row>
    <row r="20" spans="1:7" x14ac:dyDescent="0.25">
      <c r="A20" t="str">
        <v>Heike Guenter</v>
      </c>
      <c r="B20" t="str">
        <v>Heike.guenter@telenet.be</v>
      </c>
      <c r="C20" t="str">
        <v>0474664394</v>
      </c>
      <c r="D20" t="str">
        <v/>
      </c>
      <c r="E20" s="2">
        <v>727038</v>
      </c>
      <c r="F20" t="str">
        <v>DSE A Haantjes Certifisc Oudenaarde</v>
      </c>
      <c r="G20" t="str">
        <v>Speler</v>
      </c>
    </row>
    <row r="21" spans="1:7" x14ac:dyDescent="0.25">
      <c r="A21" t="str">
        <v>Lente Verhaeghe</v>
      </c>
      <c r="B21" t="str">
        <v>achiel.en.hector@hotmail.com</v>
      </c>
      <c r="C21" t="str">
        <v/>
      </c>
      <c r="D21" t="str">
        <v>https://app.twizzit.com/public/photos/3706826/s/7283d518f82547e0fb530790cddedb0edf0a5785.jpeg</v>
      </c>
      <c r="E21" s="2" t="str">
        <v/>
      </c>
      <c r="F21" t="str">
        <v>DSE A Haantjes Certifisc Oudenaarde</v>
      </c>
      <c r="G21" t="str">
        <v>Speler</v>
      </c>
    </row>
    <row r="22" spans="1:7" x14ac:dyDescent="0.25">
      <c r="A22" t="str">
        <v>Tybe De Clercq</v>
      </c>
      <c r="B22" t="str">
        <v>freyadesmet@hotmail.com</v>
      </c>
      <c r="C22" t="str">
        <v>0476214551</v>
      </c>
      <c r="D22" t="str">
        <v/>
      </c>
      <c r="E22" s="2" t="str">
        <v/>
      </c>
      <c r="F22" t="str">
        <v>G08 Blauw HAANTJES CERTIFISC OUDENAARDE</v>
      </c>
      <c r="G22" t="str">
        <v>Speler</v>
      </c>
    </row>
    <row r="23" spans="1:7" x14ac:dyDescent="0.25">
      <c r="A23" t="str">
        <v>Jef Lauwereins</v>
      </c>
      <c r="B23" t="str">
        <v>lauwereins.steven@gmail.com</v>
      </c>
      <c r="C23" t="str">
        <v>0474317844</v>
      </c>
      <c r="D23" t="str">
        <v/>
      </c>
      <c r="E23" s="2" t="str">
        <v/>
      </c>
      <c r="F23" t="str">
        <v>G08 Blauw HAANTJES CERTIFISC OUDENAARDE</v>
      </c>
      <c r="G23" t="str">
        <v>Speler</v>
      </c>
    </row>
    <row r="24" spans="1:7" x14ac:dyDescent="0.25">
      <c r="A24" t="str">
        <v>Juul Messeeuw</v>
      </c>
      <c r="B24" t="str">
        <v>lynnvdwiele@hotmail.com</v>
      </c>
      <c r="C24" t="str">
        <v>0486610793</v>
      </c>
      <c r="D24" t="str">
        <v/>
      </c>
      <c r="E24" s="2" t="str">
        <v/>
      </c>
      <c r="F24" t="str">
        <v>G08 Blauw HAANTJES CERTIFISC OUDENAARDE</v>
      </c>
      <c r="G24" t="str">
        <v>Speler</v>
      </c>
    </row>
    <row r="25" spans="1:7" x14ac:dyDescent="0.25">
      <c r="A25" t="str">
        <v>Rover Naessens</v>
      </c>
      <c r="B25" t="str">
        <v>deesnaessens@hotmail.com</v>
      </c>
      <c r="C25" t="str">
        <v>0495844733</v>
      </c>
      <c r="D25" t="str">
        <v>https://app.twizzit.com/public/photos/7328405/s/a238a3bac0fa83cb173f769b5ce64dd7bdebab6d.jpeg</v>
      </c>
      <c r="E25" s="2" t="str">
        <v/>
      </c>
      <c r="F25" t="str">
        <v>G08 Blauw HAANTJES CERTIFISC OUDENAARDE</v>
      </c>
      <c r="G25" t="str">
        <v>Speler</v>
      </c>
    </row>
    <row r="26" spans="1:7" x14ac:dyDescent="0.25">
      <c r="A26" t="str">
        <v>Théo Parmentier</v>
      </c>
      <c r="B26" t="str">
        <v>jensparmentier@gmail.com</v>
      </c>
      <c r="C26" t="str">
        <v>0498076133</v>
      </c>
      <c r="D26" t="str">
        <v/>
      </c>
      <c r="E26" s="2" t="str">
        <v/>
      </c>
      <c r="F26" t="str">
        <v>G08 Blauw HAANTJES CERTIFISC OUDENAARDE</v>
      </c>
      <c r="G26" t="str">
        <v>Speler</v>
      </c>
    </row>
    <row r="27" spans="1:7" x14ac:dyDescent="0.25">
      <c r="A27" t="str">
        <v>Thibaut Sadaune</v>
      </c>
      <c r="B27" t="str">
        <v>bartsadaune@hotmail.com</v>
      </c>
      <c r="C27" t="str">
        <v>32494904656</v>
      </c>
      <c r="D27" t="str">
        <v>https://app.twizzit.com/public/photos/8418475/s/c44854e7fe4ecdd14617bb0fe2e99a30f0cedc15.jpeg</v>
      </c>
      <c r="E27" s="2" t="str">
        <v/>
      </c>
      <c r="F27" t="str">
        <v>G08 Blauw HAANTJES CERTIFISC OUDENAARDE</v>
      </c>
      <c r="G27" t="str">
        <v>Speler</v>
      </c>
    </row>
    <row r="28" spans="1:7" x14ac:dyDescent="0.25">
      <c r="A28" t="str">
        <v>Aster Van Cauwenberghe</v>
      </c>
      <c r="B28" t="str">
        <v/>
      </c>
      <c r="C28" t="str">
        <v>0476529185</v>
      </c>
      <c r="D28" t="str">
        <v>https://app.twizzit.com/public/photos/6080950/s/e37d4499e2422d263ca72ca5adc1adb614aa1f40.jpeg</v>
      </c>
      <c r="E28" s="2">
        <v>768928</v>
      </c>
      <c r="F28" t="str">
        <v>G08 Blauw HAANTJES CERTIFISC OUDENAARDE</v>
      </c>
      <c r="G28" t="str">
        <v>Speler</v>
      </c>
    </row>
    <row r="29" spans="1:7" x14ac:dyDescent="0.25">
      <c r="A29" t="str">
        <v>Lander Van De Maele</v>
      </c>
      <c r="B29" t="str">
        <v>jensvdmaele@gmail.com</v>
      </c>
      <c r="C29" t="str">
        <v>0479246218</v>
      </c>
      <c r="D29" t="str">
        <v>https://app.twizzit.com/public/photos/10715682/s/9ac40a7d3bcb76b36d9290dcb9c3bcdc167e2add.jpeg</v>
      </c>
      <c r="E29" s="2" t="str">
        <v/>
      </c>
      <c r="F29" t="str">
        <v>G08 Blauw HAANTJES CERTIFISC OUDENAARDE</v>
      </c>
      <c r="G29" t="str">
        <v>Speler</v>
      </c>
    </row>
    <row r="30" spans="1:7" x14ac:dyDescent="0.25">
      <c r="A30" t="str">
        <v>Ronan Vanneste</v>
      </c>
      <c r="B30" t="str">
        <v>Koen.vanneste.k@gmail.com</v>
      </c>
      <c r="C30" t="str">
        <v>0476974657</v>
      </c>
      <c r="D30" t="str">
        <v>https://app.twizzit.com/public/photos/7992424/s/7741759047d554aed7aaac84a694a4ea4a62b085.jpeg</v>
      </c>
      <c r="E30" s="2" t="str">
        <v/>
      </c>
      <c r="F30" t="str">
        <v>G08 Blauw HAANTJES CERTIFISC OUDENAARDE</v>
      </c>
      <c r="G30" t="str">
        <v>Speler</v>
      </c>
    </row>
    <row r="31" spans="1:7" x14ac:dyDescent="0.25">
      <c r="A31" t="str">
        <v>Océane Wisbecq</v>
      </c>
      <c r="B31" t="str">
        <v>jasper.wisbecq@hotmail.com</v>
      </c>
      <c r="C31" t="str">
        <v>0472459757</v>
      </c>
      <c r="D31" t="str">
        <v/>
      </c>
      <c r="E31" s="2" t="str">
        <v/>
      </c>
      <c r="F31" t="str">
        <v>G08 Blauw HAANTJES CERTIFISC OUDENAARDE</v>
      </c>
      <c r="G31" t="str">
        <v>Speler</v>
      </c>
    </row>
    <row r="32" spans="1:7" x14ac:dyDescent="0.25">
      <c r="A32" t="str">
        <v>Joppe Beeckman</v>
      </c>
      <c r="B32" t="str">
        <v>ppoitiez@hotmail.com</v>
      </c>
      <c r="C32" t="str">
        <v>0486440775</v>
      </c>
      <c r="D32" t="str">
        <v>https://app.twizzit.com/public/photos/7329719/s/3900de37cfdf557a3c2ce4dcb1b36ecfefd6df85.png</v>
      </c>
      <c r="E32" s="2" t="str">
        <v/>
      </c>
      <c r="F32" t="str">
        <v>G08 Geel HAANTJES CERTIFISC OUDENAARDE</v>
      </c>
      <c r="G32" t="str">
        <v>Speler</v>
      </c>
    </row>
    <row r="33" spans="1:7" x14ac:dyDescent="0.25">
      <c r="A33" t="str">
        <v>Leon Boone</v>
      </c>
      <c r="B33" t="str">
        <v>dieter.boone@telenet.be</v>
      </c>
      <c r="C33" t="str">
        <v>0496024078</v>
      </c>
      <c r="D33" t="str">
        <v/>
      </c>
      <c r="E33" s="2" t="str">
        <v/>
      </c>
      <c r="F33" t="str">
        <v>G08 Geel HAANTJES CERTIFISC OUDENAARDE</v>
      </c>
      <c r="G33" t="str">
        <v>Speler</v>
      </c>
    </row>
    <row r="34" spans="1:7" x14ac:dyDescent="0.25">
      <c r="A34" t="str">
        <v>Jonah Cattoir</v>
      </c>
      <c r="B34" t="str">
        <v/>
      </c>
      <c r="C34" t="str">
        <v/>
      </c>
      <c r="D34" t="str">
        <v/>
      </c>
      <c r="E34" s="2" t="str">
        <v/>
      </c>
      <c r="F34" t="str">
        <v>G08 Geel HAANTJES CERTIFISC OUDENAARDE</v>
      </c>
      <c r="G34" t="str">
        <v>Coach</v>
      </c>
    </row>
    <row r="35" spans="1:7" x14ac:dyDescent="0.25">
      <c r="A35" t="str">
        <v>Lasse Cattoir</v>
      </c>
      <c r="B35" t="str">
        <v/>
      </c>
      <c r="C35" t="str">
        <v/>
      </c>
      <c r="D35" t="str">
        <v>https://app.twizzit.com/public/photos/9522553/s/70d508b65eaba88af49f20bd545e119d36420c07.png</v>
      </c>
      <c r="E35" s="2" t="str">
        <v/>
      </c>
      <c r="F35" t="str">
        <v>G08 Geel HAANTJES CERTIFISC OUDENAARDE</v>
      </c>
      <c r="G35" t="str">
        <v>Speler</v>
      </c>
    </row>
    <row r="36" spans="1:7" x14ac:dyDescent="0.25">
      <c r="A36" t="str">
        <v>Madelein De Groote Hoebeke</v>
      </c>
      <c r="B36" t="str">
        <v>hoebekehanne@gmail.com</v>
      </c>
      <c r="C36" t="str">
        <v>0473630733</v>
      </c>
      <c r="D36" t="str">
        <v>https://app.twizzit.com/public/photos/7992432/s/9093b3c321ebca1981daea541211e5a7f8dcd3e7.png</v>
      </c>
      <c r="E36" s="2" t="str">
        <v/>
      </c>
      <c r="F36" t="str">
        <v>G08 Geel HAANTJES CERTIFISC OUDENAARDE</v>
      </c>
      <c r="G36" t="str">
        <v>Speler</v>
      </c>
    </row>
    <row r="37" spans="1:7" x14ac:dyDescent="0.25">
      <c r="A37" t="str">
        <v>Elli De Zitter</v>
      </c>
      <c r="B37" t="str">
        <v>de.zitter.steve@gmail.com</v>
      </c>
      <c r="C37" t="str">
        <v>0473423222</v>
      </c>
      <c r="D37" t="str">
        <v/>
      </c>
      <c r="E37" s="2" t="str">
        <v/>
      </c>
      <c r="F37" t="str">
        <v>G08 Geel HAANTJES CERTIFISC OUDENAARDE</v>
      </c>
      <c r="G37" t="str">
        <v>Speler</v>
      </c>
    </row>
    <row r="38" spans="1:7" x14ac:dyDescent="0.25">
      <c r="A38" t="str">
        <v>Gust Dupont</v>
      </c>
      <c r="B38" t="str">
        <v>sarah.verhellen@hotmail.com</v>
      </c>
      <c r="C38" t="str">
        <v>0470112368</v>
      </c>
      <c r="D38" t="str">
        <v/>
      </c>
      <c r="E38" s="2" t="str">
        <v/>
      </c>
      <c r="F38" t="str">
        <v>G08 Geel HAANTJES CERTIFISC OUDENAARDE</v>
      </c>
      <c r="G38" t="str">
        <v>Speler</v>
      </c>
    </row>
    <row r="39" spans="1:7" x14ac:dyDescent="0.25">
      <c r="A39" t="str">
        <v>Robin Elyn</v>
      </c>
      <c r="B39" t="str">
        <v>lievemoyaert@icloud.com</v>
      </c>
      <c r="C39" t="str">
        <v>0495653737</v>
      </c>
      <c r="D39" t="str">
        <v/>
      </c>
      <c r="E39" s="2" t="str">
        <v/>
      </c>
      <c r="F39" t="str">
        <v>G08 Geel HAANTJES CERTIFISC OUDENAARDE</v>
      </c>
      <c r="G39" t="str">
        <v>Speler</v>
      </c>
    </row>
    <row r="40" spans="1:7" x14ac:dyDescent="0.25">
      <c r="A40" t="str">
        <v>Oskar Luyten</v>
      </c>
      <c r="B40" t="str">
        <v>liesbeth_boudrez@hotmail.be</v>
      </c>
      <c r="C40" t="str">
        <v>32499650150</v>
      </c>
      <c r="D40" t="str">
        <v>https://app.twizzit.com/public/photos/6067218/s/05d3b6d34153ded2c11249ae66f232311ce5df9d.jpeg</v>
      </c>
      <c r="E40" s="2" t="str">
        <v/>
      </c>
      <c r="F40" t="str">
        <v>G08 Geel HAANTJES CERTIFISC OUDENAARDE</v>
      </c>
      <c r="G40" t="str">
        <v>Speler</v>
      </c>
    </row>
    <row r="41" spans="1:7" x14ac:dyDescent="0.25">
      <c r="A41" t="str">
        <v>Ilaï Van De Walle</v>
      </c>
      <c r="B41" t="str">
        <v/>
      </c>
      <c r="C41" t="str">
        <v>0474818195</v>
      </c>
      <c r="D41" t="str">
        <v/>
      </c>
      <c r="E41" s="2" t="str">
        <v/>
      </c>
      <c r="F41" t="str">
        <v>G08 Geel HAANTJES CERTIFISC OUDENAARDE</v>
      </c>
      <c r="G41" t="str">
        <v>Speler</v>
      </c>
    </row>
    <row r="42" spans="1:7" x14ac:dyDescent="0.25">
      <c r="A42" t="str">
        <v>Lowie Van Nieuwenhuyze</v>
      </c>
      <c r="B42" t="str">
        <v>pietervannieuwenhuyze1984@gmail.com</v>
      </c>
      <c r="C42" t="str">
        <v>0499272428</v>
      </c>
      <c r="D42" t="str">
        <v/>
      </c>
      <c r="E42" s="2" t="str">
        <v/>
      </c>
      <c r="F42" t="str">
        <v>G08 Geel HAANTJES CERTIFISC OUDENAARDE</v>
      </c>
      <c r="G42" t="str">
        <v>Speler</v>
      </c>
    </row>
    <row r="43" spans="1:7" x14ac:dyDescent="0.25">
      <c r="A43" t="str">
        <v>Auguste Vanderschueren</v>
      </c>
      <c r="B43" t="str">
        <v>olivier.vanderschueren@safetyjogger.com</v>
      </c>
      <c r="C43" t="str">
        <v/>
      </c>
      <c r="D43" t="str">
        <v/>
      </c>
      <c r="E43" s="2" t="str">
        <v/>
      </c>
      <c r="F43" t="str">
        <v>G08 Geel HAANTJES CERTIFISC OUDENAARDE</v>
      </c>
      <c r="G43" t="str">
        <v>Speler</v>
      </c>
    </row>
    <row r="44" spans="1:7" x14ac:dyDescent="0.25">
      <c r="A44" t="str">
        <v>Debbie Verhelst</v>
      </c>
      <c r="B44" t="str">
        <v/>
      </c>
      <c r="C44" t="str">
        <v/>
      </c>
      <c r="D44" t="str">
        <v/>
      </c>
      <c r="E44" s="2">
        <v>181550</v>
      </c>
      <c r="F44" t="str">
        <v>G08 Geel HAANTJES CERTIFISC OUDENAARDE</v>
      </c>
      <c r="G44" t="str">
        <v>Coach</v>
      </c>
    </row>
    <row r="45" spans="1:7" x14ac:dyDescent="0.25">
      <c r="A45" t="str">
        <v>Basiel Vossen</v>
      </c>
      <c r="B45" t="str">
        <v>pieterpaulvossen@hotmail.com</v>
      </c>
      <c r="C45" t="str">
        <v>0474575676</v>
      </c>
      <c r="D45" t="str">
        <v/>
      </c>
      <c r="E45" s="2" t="str">
        <v/>
      </c>
      <c r="F45" t="str">
        <v>G08 Geel HAANTJES CERTIFISC OUDENAARDE</v>
      </c>
      <c r="G45" t="str">
        <v>Speler</v>
      </c>
    </row>
    <row r="46" spans="1:7" x14ac:dyDescent="0.25">
      <c r="A46" t="str">
        <v>Maurice Boonaert</v>
      </c>
      <c r="B46" t="str">
        <v>reggyboonaert@outlook.be</v>
      </c>
      <c r="C46" t="str">
        <v>0478731137</v>
      </c>
      <c r="D46" t="str">
        <v/>
      </c>
      <c r="E46" s="2" t="str">
        <v/>
      </c>
      <c r="F46" t="str">
        <v>G08 Groen HAANTJES CERTIFISC OUDENAARDE</v>
      </c>
      <c r="G46" t="str">
        <v>Speler</v>
      </c>
    </row>
    <row r="47" spans="1:7" x14ac:dyDescent="0.25">
      <c r="A47" t="str">
        <v>Tille Debouverie</v>
      </c>
      <c r="B47" t="str">
        <v>debouverieryan@gmail.com</v>
      </c>
      <c r="C47" t="str">
        <v>32474278078</v>
      </c>
      <c r="D47" t="str">
        <v>https://app.twizzit.com/public/photos/10452578/s/292aacecec7d92bf38572d240646cc8a5ea5dc01.png</v>
      </c>
      <c r="E47" s="2" t="str">
        <v/>
      </c>
      <c r="F47" t="str">
        <v>G08 Groen HAANTJES CERTIFISC OUDENAARDE</v>
      </c>
      <c r="G47" t="str">
        <v>Speler</v>
      </c>
    </row>
    <row r="48" spans="1:7" x14ac:dyDescent="0.25">
      <c r="A48" t="str">
        <v>Julian Moerman</v>
      </c>
      <c r="B48" t="str">
        <v>mirkomoerman@hotmail.com</v>
      </c>
      <c r="C48" t="str">
        <v>0495423490</v>
      </c>
      <c r="D48" t="str">
        <v/>
      </c>
      <c r="E48" s="2" t="str">
        <v/>
      </c>
      <c r="F48" t="str">
        <v>G08 Groen HAANTJES CERTIFISC OUDENAARDE</v>
      </c>
      <c r="G48" t="str">
        <v>Speler</v>
      </c>
    </row>
    <row r="49" spans="1:7" x14ac:dyDescent="0.25">
      <c r="A49" t="str">
        <v>George O'Reilly</v>
      </c>
      <c r="B49" t="str">
        <v>danieloreilly22@yahoo.ie</v>
      </c>
      <c r="C49" t="str">
        <v>0494886713</v>
      </c>
      <c r="D49" t="str">
        <v/>
      </c>
      <c r="E49" s="2" t="str">
        <v/>
      </c>
      <c r="F49" t="str">
        <v>G08 Groen HAANTJES CERTIFISC OUDENAARDE</v>
      </c>
      <c r="G49" t="str">
        <v>Speler</v>
      </c>
    </row>
    <row r="50" spans="1:7" x14ac:dyDescent="0.25">
      <c r="A50" t="str">
        <v>Romée Slembrouck</v>
      </c>
      <c r="B50" t="str">
        <v>alexandra-kemp@hotmail.com</v>
      </c>
      <c r="C50" t="str">
        <v>0472902002</v>
      </c>
      <c r="D50" t="str">
        <v>https://app.twizzit.com/public/photos/7328316/s/d832d97a4d222f65f11eb5051494f0f7bb0f899d.png</v>
      </c>
      <c r="E50" s="2" t="str">
        <v/>
      </c>
      <c r="F50" t="str">
        <v>G08 Groen HAANTJES CERTIFISC OUDENAARDE</v>
      </c>
      <c r="G50" t="str">
        <v>Speler</v>
      </c>
    </row>
    <row r="51" spans="1:7" x14ac:dyDescent="0.25">
      <c r="A51" t="str">
        <v>Juul Torrekens</v>
      </c>
      <c r="B51" t="str">
        <v/>
      </c>
      <c r="C51" t="str">
        <v>0491736700</v>
      </c>
      <c r="D51" t="str">
        <v>https://app.twizzit.com/public/photos/10452742/s/6c5cf54cdc2121df9ea81aa430b2b5f8abe2c81a.jpeg</v>
      </c>
      <c r="E51" s="2" t="str">
        <v/>
      </c>
      <c r="F51" t="str">
        <v>G08 Groen HAANTJES CERTIFISC OUDENAARDE</v>
      </c>
      <c r="G51" t="str">
        <v>Speler</v>
      </c>
    </row>
    <row r="52" spans="1:7" x14ac:dyDescent="0.25">
      <c r="A52" t="str">
        <v>Mali-June Van Dorpe</v>
      </c>
      <c r="B52" t="str">
        <v>tracy.desmet@hotmail.com</v>
      </c>
      <c r="C52" t="str">
        <v>0485650671</v>
      </c>
      <c r="D52" t="str">
        <v/>
      </c>
      <c r="E52" s="2" t="str">
        <v/>
      </c>
      <c r="F52" t="str">
        <v>G08 Groen HAANTJES CERTIFISC OUDENAARDE</v>
      </c>
      <c r="G52" t="str">
        <v>Speler</v>
      </c>
    </row>
    <row r="53" spans="1:7" x14ac:dyDescent="0.25">
      <c r="A53" t="str">
        <v>Flo Vandewege</v>
      </c>
      <c r="B53" t="str">
        <v>diedev@hotmail.com</v>
      </c>
      <c r="C53" t="str">
        <v>0496432106</v>
      </c>
      <c r="D53" t="str">
        <v>https://app.twizzit.com/public/photos/10452584/s/5f2777167147a40d5e0cdf16d10044b2680e0e8c.png</v>
      </c>
      <c r="E53" s="2" t="str">
        <v/>
      </c>
      <c r="F53" t="str">
        <v>G08 Groen HAANTJES CERTIFISC OUDENAARDE</v>
      </c>
      <c r="G53" t="str">
        <v>Speler</v>
      </c>
    </row>
    <row r="54" spans="1:7" x14ac:dyDescent="0.25">
      <c r="A54" t="str">
        <v>Charlotte Verschueren</v>
      </c>
      <c r="B54" t="str">
        <v/>
      </c>
      <c r="C54" t="str">
        <v>320474278078</v>
      </c>
      <c r="D54" t="str">
        <v>https://app.twizzit.com/public/photos/2183447/s/1f201bfdf86762e0642c70c1aa487baf5ab852bb.png</v>
      </c>
      <c r="E54" s="2">
        <v>241914</v>
      </c>
      <c r="F54" t="str">
        <v>G08 Groen HAANTJES CERTIFISC OUDENAARDE</v>
      </c>
      <c r="G54" t="str">
        <v>Coach</v>
      </c>
    </row>
    <row r="55" spans="1:7" x14ac:dyDescent="0.25">
      <c r="A55" t="str">
        <v>Senn Anseeuw</v>
      </c>
      <c r="B55" t="str">
        <v>matthias.anseeuw@telenet.be</v>
      </c>
      <c r="C55" t="str">
        <v>0497023380</v>
      </c>
      <c r="D55" t="str">
        <v>https://app.twizzit.com/public/photos/4421954/s/39c1d6c08bc84b336f4c340a175719810e926066.png</v>
      </c>
      <c r="E55" s="2" t="str">
        <v/>
      </c>
      <c r="F55" t="str">
        <v>G10 Blauw HAANTJES CERTIFISC OUDENAARDE</v>
      </c>
      <c r="G55" t="str">
        <v>Speler</v>
      </c>
    </row>
    <row r="56" spans="1:7" x14ac:dyDescent="0.25">
      <c r="A56" t="str">
        <v>Arthur Crombez</v>
      </c>
      <c r="B56" t="str">
        <v/>
      </c>
      <c r="C56" t="str">
        <v>0478792675</v>
      </c>
      <c r="D56" t="str">
        <v>https://app.twizzit.com/public/photos/7501921/s/cda3c2c21188914d3908db110c011be3c8f5a13d.png</v>
      </c>
      <c r="E56" s="2" t="str">
        <v/>
      </c>
      <c r="F56" t="str">
        <v>G10 Blauw HAANTJES CERTIFISC OUDENAARDE</v>
      </c>
      <c r="G56" t="str">
        <v>Speler</v>
      </c>
    </row>
    <row r="57" spans="1:7" x14ac:dyDescent="0.25">
      <c r="A57" t="str">
        <v>Maurice Debels</v>
      </c>
      <c r="B57" t="str">
        <v/>
      </c>
      <c r="C57" t="str">
        <v>0476521616</v>
      </c>
      <c r="D57" t="str">
        <v>https://app.twizzit.com/public/photos/7307064/s/62a20fb436e1f6920a77ad9e4cd715a7e88bd1d1.png</v>
      </c>
      <c r="E57" s="2" t="str">
        <v/>
      </c>
      <c r="F57" t="str">
        <v>G10 Blauw HAANTJES CERTIFISC OUDENAARDE</v>
      </c>
      <c r="G57" t="str">
        <v>Speler</v>
      </c>
    </row>
    <row r="58" spans="1:7" x14ac:dyDescent="0.25">
      <c r="A58" t="str">
        <v>Egemen Durhan</v>
      </c>
      <c r="B58" t="str">
        <v>ibosabrie06@gmail.com</v>
      </c>
      <c r="C58" t="str">
        <v>0491630885</v>
      </c>
      <c r="D58" t="str">
        <v>https://app.twizzit.com/public/photos/5748750/s/6a03612f72e189fb2a542ac535552aede78aad3f.png</v>
      </c>
      <c r="E58" s="2" t="str">
        <v/>
      </c>
      <c r="F58" t="str">
        <v>G10 Blauw HAANTJES CERTIFISC OUDENAARDE</v>
      </c>
      <c r="G58" t="str">
        <v>Speler</v>
      </c>
    </row>
    <row r="59" spans="1:7" x14ac:dyDescent="0.25">
      <c r="A59" t="str">
        <v>Viktor Guillaume</v>
      </c>
      <c r="B59" t="str">
        <v>Dieter.Guillaume@gmail.com</v>
      </c>
      <c r="C59" t="str">
        <v>0489100744</v>
      </c>
      <c r="D59" t="str">
        <v/>
      </c>
      <c r="E59" s="2" t="str">
        <v/>
      </c>
      <c r="F59" t="str">
        <v>G10 Blauw HAANTJES CERTIFISC OUDENAARDE</v>
      </c>
      <c r="G59" t="str">
        <v>Speler</v>
      </c>
    </row>
    <row r="60" spans="1:7" x14ac:dyDescent="0.25">
      <c r="A60" t="str">
        <v>Lothar Lemaire</v>
      </c>
      <c r="B60" t="str">
        <v>huglemaire@hotmail.com</v>
      </c>
      <c r="C60" t="str">
        <v>0485677282</v>
      </c>
      <c r="D60" t="str">
        <v>https://app.twizzit.com/public/photos/9680220/s/630006e9802fd7af81a6784302b397c8d31a519e.jpeg</v>
      </c>
      <c r="E60" s="2" t="str">
        <v/>
      </c>
      <c r="F60" t="str">
        <v>G10 Blauw HAANTJES CERTIFISC OUDENAARDE</v>
      </c>
      <c r="G60" t="str">
        <v>Speler</v>
      </c>
    </row>
    <row r="61" spans="1:7" x14ac:dyDescent="0.25">
      <c r="A61" t="str">
        <v>Victor Libert</v>
      </c>
      <c r="B61" t="str">
        <v/>
      </c>
      <c r="C61" t="str">
        <v>0473780275</v>
      </c>
      <c r="D61" t="str">
        <v>https://app.twizzit.com/public/photos/7493172/s/6235261693b78c2a6b1d4ecbb92a61770437eca9.jpeg</v>
      </c>
      <c r="E61" s="2" t="str">
        <v/>
      </c>
      <c r="F61" t="str">
        <v>G10 Blauw HAANTJES CERTIFISC OUDENAARDE</v>
      </c>
      <c r="G61" t="str">
        <v>Speler</v>
      </c>
    </row>
    <row r="62" spans="1:7" x14ac:dyDescent="0.25">
      <c r="A62" t="str">
        <v>Marte Mechant</v>
      </c>
      <c r="B62" t="str">
        <v>jme.basket@telenet.be</v>
      </c>
      <c r="C62" t="str">
        <v>32470449365</v>
      </c>
      <c r="D62" t="str">
        <v/>
      </c>
      <c r="E62" s="2">
        <v>665060</v>
      </c>
      <c r="F62" t="str">
        <v>G10 Blauw HAANTJES CERTIFISC OUDENAARDE</v>
      </c>
      <c r="G62" t="str">
        <v>Coach</v>
      </c>
    </row>
    <row r="63" spans="1:7" x14ac:dyDescent="0.25">
      <c r="A63" t="str">
        <v>Lucas Molly</v>
      </c>
      <c r="B63" t="str">
        <v>Molly.diederick@gmail.com</v>
      </c>
      <c r="C63" t="str">
        <v>0494605068</v>
      </c>
      <c r="D63" t="str">
        <v>https://app.twizzit.com/public/photos/3485821/s/5f632eac97edae595ea1c86f4260b88c5b95d8cd.jpeg</v>
      </c>
      <c r="E63" s="2" t="str">
        <v/>
      </c>
      <c r="F63" t="str">
        <v>G10 Blauw HAANTJES CERTIFISC OUDENAARDE</v>
      </c>
      <c r="G63" t="str">
        <v>Speler</v>
      </c>
    </row>
    <row r="64" spans="1:7" x14ac:dyDescent="0.25">
      <c r="A64" t="str">
        <v>Manu Van de Casteele</v>
      </c>
      <c r="B64" t="str">
        <v>pietervdc@gmail.com</v>
      </c>
      <c r="C64" t="str">
        <v>00472846382</v>
      </c>
      <c r="D64" t="str">
        <v/>
      </c>
      <c r="E64" s="2" t="str">
        <v/>
      </c>
      <c r="F64" t="str">
        <v>G10 Blauw HAANTJES CERTIFISC OUDENAARDE</v>
      </c>
      <c r="G64" t="str">
        <v>Speler</v>
      </c>
    </row>
    <row r="65" spans="1:7" x14ac:dyDescent="0.25">
      <c r="A65" t="str">
        <v>Vic Vanden Hautte</v>
      </c>
      <c r="B65" t="str">
        <v>Kevin.vdh@gmail.com</v>
      </c>
      <c r="C65" t="str">
        <v>0473448896</v>
      </c>
      <c r="D65" t="str">
        <v>https://app.twizzit.com/public/photos/10733442/s/de71a0feaf3ea4a6afe343b706af319962bb20c0.jpeg</v>
      </c>
      <c r="E65" s="2" t="str">
        <v/>
      </c>
      <c r="F65" t="str">
        <v>G10 Blauw HAANTJES CERTIFISC OUDENAARDE</v>
      </c>
      <c r="G65" t="str">
        <v>Speler</v>
      </c>
    </row>
    <row r="66" spans="1:7" x14ac:dyDescent="0.25">
      <c r="A66" t="str">
        <v>Nand Versmessen</v>
      </c>
      <c r="B66" t="str">
        <v>veerle_coussement@hotmail.com</v>
      </c>
      <c r="C66" t="str">
        <v>32499030802</v>
      </c>
      <c r="D66" t="str">
        <v>https://app.twizzit.com/public/photos/3447367/s/f6e635bb7022dfc6607d762d0f4b7b25a59a85c4.png</v>
      </c>
      <c r="E66" s="2" t="str">
        <v/>
      </c>
      <c r="F66" t="str">
        <v>G10 Blauw HAANTJES CERTIFISC OUDENAARDE</v>
      </c>
      <c r="G66" t="str">
        <v>Speler</v>
      </c>
    </row>
    <row r="67" spans="1:7" x14ac:dyDescent="0.25">
      <c r="A67" t="str">
        <v>Matteo Vunck</v>
      </c>
      <c r="B67" t="str">
        <v>fam.vunck.demoor@outlook.com</v>
      </c>
      <c r="C67" t="str">
        <v>320494304295</v>
      </c>
      <c r="D67" t="str">
        <v>https://app.twizzit.com/public/photos/8418462/s/4cd851c617ea9849ca7ba85a62a0807b8b769b48.jpeg</v>
      </c>
      <c r="E67" s="2" t="str">
        <v/>
      </c>
      <c r="F67" t="str">
        <v>G10 Blauw HAANTJES CERTIFISC OUDENAARDE</v>
      </c>
      <c r="G67" t="str">
        <v>Speler</v>
      </c>
    </row>
    <row r="68" spans="1:7" x14ac:dyDescent="0.25">
      <c r="A68" t="str">
        <v>Lenn Altruy</v>
      </c>
      <c r="B68" t="str">
        <v>David.altruy@outlook.be</v>
      </c>
      <c r="C68" t="str">
        <v>0479873979</v>
      </c>
      <c r="D68" t="str">
        <v/>
      </c>
      <c r="E68" s="2" t="str">
        <v/>
      </c>
      <c r="F68" t="str">
        <v>G10 Geel HAANTJES CERTIFISC OUDENAARDE</v>
      </c>
      <c r="G68" t="str">
        <v>Speler</v>
      </c>
    </row>
    <row r="69" spans="1:7" x14ac:dyDescent="0.25">
      <c r="A69" t="str">
        <v>Vic Blommaert</v>
      </c>
      <c r="B69" t="str">
        <v>jeroen.blommaert@gmail.com</v>
      </c>
      <c r="C69" t="str">
        <v>0477059912</v>
      </c>
      <c r="D69" t="str">
        <v>https://app.twizzit.com/public/photos/7328384/s/880c055e18cd3fa9e57719da7306434e04eaf905.png</v>
      </c>
      <c r="E69" s="2" t="str">
        <v/>
      </c>
      <c r="F69" t="str">
        <v>G10 Geel HAANTJES CERTIFISC OUDENAARDE</v>
      </c>
      <c r="G69" t="str">
        <v>Speler</v>
      </c>
    </row>
    <row r="70" spans="1:7" x14ac:dyDescent="0.25">
      <c r="A70" t="str">
        <v>Leon Castelain</v>
      </c>
      <c r="B70" t="str">
        <v/>
      </c>
      <c r="C70" t="str">
        <v>32495228616</v>
      </c>
      <c r="D70" t="str">
        <v>https://app.twizzit.com/public/photos/3486565/s/dbc5287e080bfa9acd16205b0ef6339800e0ffb6.png</v>
      </c>
      <c r="E70" s="2" t="str">
        <v xml:space="preserve">762623 </v>
      </c>
      <c r="F70" t="str">
        <v>G10 Geel HAANTJES CERTIFISC OUDENAARDE</v>
      </c>
      <c r="G70" t="str">
        <v>Speler</v>
      </c>
    </row>
    <row r="71" spans="1:7" x14ac:dyDescent="0.25">
      <c r="A71" t="str">
        <v>Nand Colpaert</v>
      </c>
      <c r="B71" t="str">
        <v>stijn.colpaert@telenet.be</v>
      </c>
      <c r="C71" t="str">
        <v>0497216213</v>
      </c>
      <c r="D71" t="str">
        <v/>
      </c>
      <c r="E71" s="2" t="str">
        <v/>
      </c>
      <c r="F71" t="str">
        <v>G10 Geel HAANTJES CERTIFISC OUDENAARDE</v>
      </c>
      <c r="G71" t="str">
        <v>Speler</v>
      </c>
    </row>
    <row r="72" spans="1:7" x14ac:dyDescent="0.25">
      <c r="A72" t="str">
        <v>Ryan Debouverie</v>
      </c>
      <c r="B72" t="str">
        <v/>
      </c>
      <c r="C72" t="str">
        <v>320496247133</v>
      </c>
      <c r="D72" t="str">
        <v/>
      </c>
      <c r="E72" s="2">
        <v>271615</v>
      </c>
      <c r="F72" t="str">
        <v>G10 Geel HAANTJES CERTIFISC OUDENAARDE</v>
      </c>
      <c r="G72" t="str">
        <v>Coach</v>
      </c>
    </row>
    <row r="73" spans="1:7" x14ac:dyDescent="0.25">
      <c r="A73" t="str">
        <v>Seb Debouverie</v>
      </c>
      <c r="B73" t="str">
        <v/>
      </c>
      <c r="C73" t="str">
        <v>32474278078</v>
      </c>
      <c r="D73" t="str">
        <v>https://app.twizzit.com/public/photos/3470113/s/d4f4d56826c6eb1d41480a49a2f8240682b337d2.png</v>
      </c>
      <c r="E73" s="2" t="str">
        <v/>
      </c>
      <c r="F73" t="str">
        <v>G10 Geel HAANTJES CERTIFISC OUDENAARDE</v>
      </c>
      <c r="G73" t="str">
        <v>Speler</v>
      </c>
    </row>
    <row r="74" spans="1:7" x14ac:dyDescent="0.25">
      <c r="A74" t="str">
        <v>Miel Elyn</v>
      </c>
      <c r="B74" t="str">
        <v>Lievemoyaert@icloud.com</v>
      </c>
      <c r="C74" t="str">
        <v/>
      </c>
      <c r="D74" t="str">
        <v/>
      </c>
      <c r="E74" s="2" t="str">
        <v/>
      </c>
      <c r="F74" t="str">
        <v>G10 Geel HAANTJES CERTIFISC OUDENAARDE</v>
      </c>
      <c r="G74" t="str">
        <v>Speler</v>
      </c>
    </row>
    <row r="75" spans="1:7" x14ac:dyDescent="0.25">
      <c r="A75" t="str">
        <v>Wolf Lessenne</v>
      </c>
      <c r="B75" t="str">
        <v/>
      </c>
      <c r="C75" t="str">
        <v>32494240195</v>
      </c>
      <c r="D75" t="str">
        <v>https://app.twizzit.com/public/photos/3580747/s/157853967ede68629434e8db7d36b6d860f7ea97.jpeg</v>
      </c>
      <c r="E75" s="2" t="str">
        <v/>
      </c>
      <c r="F75" t="str">
        <v>G10 Geel HAANTJES CERTIFISC OUDENAARDE</v>
      </c>
      <c r="G75" t="str">
        <v>Speler</v>
      </c>
    </row>
    <row r="76" spans="1:7" x14ac:dyDescent="0.25">
      <c r="A76" t="str">
        <v>Boris Luyten</v>
      </c>
      <c r="B76" t="str">
        <v>liesbeth_boudrez@hotmail.be</v>
      </c>
      <c r="C76" t="str">
        <v>32499650150</v>
      </c>
      <c r="D76" t="str">
        <v>https://app.twizzit.com/public/photos/3437308/s/ee02af9294d7823dae37d6eb7126b435ef764909.png</v>
      </c>
      <c r="E76" s="2" t="str">
        <v/>
      </c>
      <c r="F76" t="str">
        <v>G10 Geel HAANTJES CERTIFISC OUDENAARDE</v>
      </c>
      <c r="G76" t="str">
        <v>Speler</v>
      </c>
    </row>
    <row r="77" spans="1:7" x14ac:dyDescent="0.25">
      <c r="A77" t="str">
        <v>Jack Saerens</v>
      </c>
      <c r="B77" t="str">
        <v/>
      </c>
      <c r="C77" t="str">
        <v>0472659326</v>
      </c>
      <c r="D77" t="str">
        <v>https://app.twizzit.com/public/photos/3475134/s/78bd944a9e8b36fe65d592312d1522f18bbf3e32.png</v>
      </c>
      <c r="E77" s="2" t="str">
        <v/>
      </c>
      <c r="F77" t="str">
        <v>G10 Geel HAANTJES CERTIFISC OUDENAARDE</v>
      </c>
      <c r="G77" t="str">
        <v>Speler</v>
      </c>
    </row>
    <row r="78" spans="1:7" x14ac:dyDescent="0.25">
      <c r="A78" t="str">
        <v>Lias Velghe</v>
      </c>
      <c r="B78" t="str">
        <v>natacham_davidv@hotmail.be</v>
      </c>
      <c r="C78" t="str">
        <v>0498593233</v>
      </c>
      <c r="D78" t="str">
        <v>https://app.twizzit.com/public/photos/3445768/s/4c884b157432a6deaaa18542df061bd432646fa3.png</v>
      </c>
      <c r="E78" s="2" t="str">
        <v/>
      </c>
      <c r="F78" t="str">
        <v>G10 Geel HAANTJES CERTIFISC OUDENAARDE</v>
      </c>
      <c r="G78" t="str">
        <v>Speler</v>
      </c>
    </row>
    <row r="79" spans="1:7" x14ac:dyDescent="0.25">
      <c r="A79" t="str">
        <v>Basile Verbrugghe</v>
      </c>
      <c r="B79" t="str">
        <v>Chrisverbrugghe@hotmail.com</v>
      </c>
      <c r="C79" t="str">
        <v>32479311550</v>
      </c>
      <c r="D79" t="str">
        <v/>
      </c>
      <c r="E79" s="2" t="str">
        <v/>
      </c>
      <c r="F79" t="str">
        <v>G10 Geel HAANTJES CERTIFISC OUDENAARDE</v>
      </c>
      <c r="G79" t="str">
        <v>Speler</v>
      </c>
    </row>
    <row r="80" spans="1:7" x14ac:dyDescent="0.25">
      <c r="A80" t="str">
        <v>Gaston Waelkens</v>
      </c>
      <c r="B80" t="str">
        <v/>
      </c>
      <c r="C80" t="str">
        <v>32495460727</v>
      </c>
      <c r="D80" t="str">
        <v>https://app.twizzit.com/public/photos/3437289/s/570cbbb3ba40336fabf43491384c678cfbbf4db4.png</v>
      </c>
      <c r="E80" s="2" t="str">
        <v/>
      </c>
      <c r="F80" t="str">
        <v>G10 Geel HAANTJES CERTIFISC OUDENAARDE</v>
      </c>
      <c r="G80" t="str">
        <v>Speler</v>
      </c>
    </row>
    <row r="81" spans="1:7" x14ac:dyDescent="0.25">
      <c r="A81" t="str">
        <v>Arsen Anar</v>
      </c>
      <c r="B81" t="str">
        <v/>
      </c>
      <c r="C81" t="str">
        <v/>
      </c>
      <c r="D81" t="str">
        <v>https://app.twizzit.com/public/photos/11272034/s/339c8f61eeb207a0a7ef82edab3f88fc90d76b77.jpeg</v>
      </c>
      <c r="E81" s="2" t="str">
        <v/>
      </c>
      <c r="F81" t="str">
        <v>G12 Blauw HAANTJES CERTIFISC OUDENAARDE</v>
      </c>
      <c r="G81" t="str">
        <v>Speler</v>
      </c>
    </row>
    <row r="82" spans="1:7" x14ac:dyDescent="0.25">
      <c r="A82" t="str">
        <v>Mark Anar</v>
      </c>
      <c r="B82" t="str">
        <v/>
      </c>
      <c r="C82" t="str">
        <v/>
      </c>
      <c r="D82" t="str">
        <v>https://app.twizzit.com/public/photos/11272030/s/d97169c55e4278dd5f5452138091d993430ca8ab.jpeg</v>
      </c>
      <c r="E82" s="2" t="str">
        <v/>
      </c>
      <c r="F82" t="str">
        <v>G12 Blauw HAANTJES CERTIFISC OUDENAARDE</v>
      </c>
      <c r="G82" t="str">
        <v>Speler</v>
      </c>
    </row>
    <row r="83" spans="1:7" x14ac:dyDescent="0.25">
      <c r="A83" t="str">
        <v>Marsel Anar</v>
      </c>
      <c r="B83" t="str">
        <v/>
      </c>
      <c r="C83" t="str">
        <v/>
      </c>
      <c r="D83" t="str">
        <v>https://app.twizzit.com/public/photos/11272039/s/667db68e153309a064042452d0f619e8acb011fa.jpeg</v>
      </c>
      <c r="E83" s="2" t="str">
        <v/>
      </c>
      <c r="F83" t="str">
        <v>G12 Blauw HAANTJES CERTIFISC OUDENAARDE</v>
      </c>
      <c r="G83" t="str">
        <v>Speler</v>
      </c>
    </row>
    <row r="84" spans="1:7" x14ac:dyDescent="0.25">
      <c r="A84" t="str">
        <v>Mathias Delcroix</v>
      </c>
      <c r="B84" t="str">
        <v>Delcroix.dieter@hotmail.com</v>
      </c>
      <c r="C84" t="str">
        <v>0487106040</v>
      </c>
      <c r="D84" t="str">
        <v/>
      </c>
      <c r="E84" s="2" t="str">
        <v/>
      </c>
      <c r="F84" t="str">
        <v>G12 Blauw HAANTJES CERTIFISC OUDENAARDE</v>
      </c>
      <c r="G84" t="str">
        <v>Speler</v>
      </c>
    </row>
    <row r="85" spans="1:7" x14ac:dyDescent="0.25">
      <c r="A85" t="str">
        <v>Kenneth Dhont</v>
      </c>
      <c r="B85" t="str">
        <v/>
      </c>
      <c r="C85" t="str">
        <v>0477485789</v>
      </c>
      <c r="D85" t="str">
        <v/>
      </c>
      <c r="E85" s="2">
        <v>50455</v>
      </c>
      <c r="F85" t="str">
        <v>G12 Blauw HAANTJES CERTIFISC OUDENAARDE</v>
      </c>
      <c r="G85" t="str">
        <v>Coach</v>
      </c>
    </row>
    <row r="86" spans="1:7" x14ac:dyDescent="0.25">
      <c r="A86" t="str">
        <v>Lou Geenens</v>
      </c>
      <c r="B86" t="str">
        <v/>
      </c>
      <c r="C86" t="str">
        <v>0474335674</v>
      </c>
      <c r="D86" t="str">
        <v>https://app.twizzit.com/public/photos/10377574/s/62e9c970b54f4ce753f6fe1b02a81459ce0f4576.png</v>
      </c>
      <c r="E86" s="2" t="str">
        <v/>
      </c>
      <c r="F86" t="str">
        <v>G12 Blauw HAANTJES CERTIFISC OUDENAARDE</v>
      </c>
      <c r="G86" t="str">
        <v>Speler</v>
      </c>
    </row>
    <row r="87" spans="1:7" x14ac:dyDescent="0.25">
      <c r="A87" t="str">
        <v>Lowie Malfait</v>
      </c>
      <c r="B87" t="str">
        <v>Hoekman.annelies1@gmail.com</v>
      </c>
      <c r="C87" t="str">
        <v>0478836273</v>
      </c>
      <c r="D87" t="str">
        <v/>
      </c>
      <c r="E87" s="2" t="str">
        <v/>
      </c>
      <c r="F87" t="str">
        <v>G12 Blauw HAANTJES CERTIFISC OUDENAARDE</v>
      </c>
      <c r="G87" t="str">
        <v>Speler</v>
      </c>
    </row>
    <row r="88" spans="1:7" x14ac:dyDescent="0.25">
      <c r="A88" t="str">
        <v>Omer Nachtergaele</v>
      </c>
      <c r="B88" t="str">
        <v/>
      </c>
      <c r="C88" t="str">
        <v>486032155</v>
      </c>
      <c r="D88" t="str">
        <v>https://app.twizzit.com/public/photos/3526587/s/d9cd2de281e5d48997de87a634d3e25b996ae478.png</v>
      </c>
      <c r="E88" s="2" t="str">
        <v/>
      </c>
      <c r="F88" t="str">
        <v>G12 Blauw HAANTJES CERTIFISC OUDENAARDE</v>
      </c>
      <c r="G88" t="str">
        <v>Speler</v>
      </c>
    </row>
    <row r="89" spans="1:7" x14ac:dyDescent="0.25">
      <c r="A89" t="str">
        <v>Maxime Van Herpe</v>
      </c>
      <c r="B89" t="str">
        <v/>
      </c>
      <c r="C89" t="str">
        <v>0494706960</v>
      </c>
      <c r="D89" t="str">
        <v/>
      </c>
      <c r="E89" s="2" t="str">
        <v/>
      </c>
      <c r="F89" t="str">
        <v>G12 Blauw HAANTJES CERTIFISC OUDENAARDE</v>
      </c>
      <c r="G89" t="str">
        <v>Speler</v>
      </c>
    </row>
    <row r="90" spans="1:7" x14ac:dyDescent="0.25">
      <c r="A90" t="str">
        <v>Lucas Vanderstraeten</v>
      </c>
      <c r="B90" t="str">
        <v/>
      </c>
      <c r="C90" t="str">
        <v>0496654860</v>
      </c>
      <c r="D90" t="str">
        <v>https://app.twizzit.com/public/photos/3447788/s/a21b510884c5e068d9fd07894f967e10ecef7568.png</v>
      </c>
      <c r="E90" s="2" t="str">
        <v/>
      </c>
      <c r="F90" t="str">
        <v>G12 Blauw HAANTJES CERTIFISC OUDENAARDE</v>
      </c>
      <c r="G90" t="str">
        <v>Speler</v>
      </c>
    </row>
    <row r="91" spans="1:7" x14ac:dyDescent="0.25">
      <c r="A91" t="str">
        <v>Nathan Vermassen</v>
      </c>
      <c r="B91" t="str">
        <v/>
      </c>
      <c r="C91" t="str">
        <v>0498493330</v>
      </c>
      <c r="D91" t="str">
        <v/>
      </c>
      <c r="E91" s="2" t="str">
        <v/>
      </c>
      <c r="F91" t="str">
        <v>G12 Blauw HAANTJES CERTIFISC OUDENAARDE</v>
      </c>
      <c r="G91" t="str">
        <v>Speler</v>
      </c>
    </row>
    <row r="92" spans="1:7" x14ac:dyDescent="0.25">
      <c r="A92" t="str">
        <v>Niels De Lepeleire</v>
      </c>
      <c r="B92" t="str">
        <v/>
      </c>
      <c r="C92" t="str">
        <v>320470775058</v>
      </c>
      <c r="D92" t="str">
        <v/>
      </c>
      <c r="E92" s="2">
        <v>213745</v>
      </c>
      <c r="F92" t="str">
        <v>G12 Geel HAANTJES CERTIFISC OUDENAARDE</v>
      </c>
      <c r="G92" t="str">
        <v>Coach</v>
      </c>
    </row>
    <row r="93" spans="1:7" x14ac:dyDescent="0.25">
      <c r="A93" t="str">
        <v>Omer Demets</v>
      </c>
      <c r="B93" t="str">
        <v>Lowie.demets@telenet.be</v>
      </c>
      <c r="C93" t="str">
        <v>0474450168</v>
      </c>
      <c r="D93" t="str">
        <v/>
      </c>
      <c r="E93" s="2" t="str">
        <v/>
      </c>
      <c r="F93" t="str">
        <v>G12 Geel HAANTJES CERTIFISC OUDENAARDE</v>
      </c>
      <c r="G93" t="str">
        <v>Speler</v>
      </c>
    </row>
    <row r="94" spans="1:7" x14ac:dyDescent="0.25">
      <c r="A94" t="str">
        <v>Vinke Derycke</v>
      </c>
      <c r="B94" t="str">
        <v>stevenderycke244@gmail.com</v>
      </c>
      <c r="C94" t="str">
        <v>32484679541</v>
      </c>
      <c r="D94" t="str">
        <v/>
      </c>
      <c r="E94" s="2" t="str">
        <v/>
      </c>
      <c r="F94" t="str">
        <v>G12 Geel HAANTJES CERTIFISC OUDENAARDE</v>
      </c>
      <c r="G94" t="str">
        <v>Speler</v>
      </c>
    </row>
    <row r="95" spans="1:7" x14ac:dyDescent="0.25">
      <c r="A95" t="str">
        <v>Thor Lessenne</v>
      </c>
      <c r="B95" t="str">
        <v>lessenne_frederic@yahoo.com</v>
      </c>
      <c r="C95" t="str">
        <v>0494240195</v>
      </c>
      <c r="D95" t="str">
        <v>https://app.twizzit.com/public/photos/4393791/s/f227f8ddb169feb6dded4f508fa8f0a8d6bc3bc4.jpeg</v>
      </c>
      <c r="E95" s="2">
        <v>758517</v>
      </c>
      <c r="F95" t="str">
        <v>G12 Geel HAANTJES CERTIFISC OUDENAARDE</v>
      </c>
      <c r="G95" t="str">
        <v>Speler</v>
      </c>
    </row>
    <row r="96" spans="1:7" x14ac:dyDescent="0.25">
      <c r="A96" t="str">
        <v>Mathieu Libert</v>
      </c>
      <c r="B96" t="str">
        <v>s_ardenois@hotmail.com</v>
      </c>
      <c r="C96" t="str">
        <v>32474397512</v>
      </c>
      <c r="D96" t="str">
        <v/>
      </c>
      <c r="E96" s="2" t="str">
        <v/>
      </c>
      <c r="F96" t="str">
        <v>G12 Geel HAANTJES CERTIFISC OUDENAARDE</v>
      </c>
      <c r="G96" t="str">
        <v>Speler</v>
      </c>
    </row>
    <row r="97" spans="1:7" x14ac:dyDescent="0.25">
      <c r="A97" t="str">
        <v>Emiel Opsomer</v>
      </c>
      <c r="B97" t="str">
        <v>meirlaen.evelien@gmail.com</v>
      </c>
      <c r="C97" t="str">
        <v>0478767261</v>
      </c>
      <c r="D97" t="str">
        <v/>
      </c>
      <c r="E97" s="2">
        <v>757869</v>
      </c>
      <c r="F97" t="str">
        <v>G12 Geel HAANTJES CERTIFISC OUDENAARDE</v>
      </c>
      <c r="G97" t="str">
        <v>Speler</v>
      </c>
    </row>
    <row r="98" spans="1:7" x14ac:dyDescent="0.25">
      <c r="A98" t="str">
        <v>Brent Pollet</v>
      </c>
      <c r="B98" t="str">
        <v>pollet.jelle@gmail.com</v>
      </c>
      <c r="C98" t="str">
        <v>0497503207</v>
      </c>
      <c r="D98" t="str">
        <v>https://app.twizzit.com/public/photos/3454870/s/e7fdcf5140d5e910d15662f873e9aafb78eb7d4f.jpeg</v>
      </c>
      <c r="E98" s="2">
        <v>756320</v>
      </c>
      <c r="F98" t="str">
        <v>G12 Geel HAANTJES CERTIFISC OUDENAARDE</v>
      </c>
      <c r="G98" t="str">
        <v>Speler</v>
      </c>
    </row>
    <row r="99" spans="1:7" x14ac:dyDescent="0.25">
      <c r="A99" t="str">
        <v>Jerome Van de Weghe</v>
      </c>
      <c r="B99" t="str">
        <v>pieter@combus.be</v>
      </c>
      <c r="C99" t="str">
        <v>0479793011</v>
      </c>
      <c r="D99" t="str">
        <v/>
      </c>
      <c r="E99" s="2">
        <v>758509</v>
      </c>
      <c r="F99" t="str">
        <v>G12 Geel HAANTJES CERTIFISC OUDENAARDE</v>
      </c>
      <c r="G99" t="str">
        <v>Speler</v>
      </c>
    </row>
    <row r="100" spans="1:7" x14ac:dyDescent="0.25">
      <c r="A100" t="str">
        <v>Ilias Vander Beken</v>
      </c>
      <c r="B100" t="str">
        <v>tine_de_smet90@hotmail.com</v>
      </c>
      <c r="C100" t="str">
        <v>0468142508</v>
      </c>
      <c r="D100" t="str">
        <v>https://app.twizzit.com/public/photos/9469457/s/eb40348dfb8a2c0c9b13e74dd04369019dbd2f32.jpeg</v>
      </c>
      <c r="E100" s="2" t="str">
        <v/>
      </c>
      <c r="F100" t="str">
        <v>G12 Geel HAANTJES CERTIFISC OUDENAARDE</v>
      </c>
      <c r="G100" t="str">
        <v>Speler</v>
      </c>
    </row>
    <row r="101" spans="1:7" x14ac:dyDescent="0.25">
      <c r="A101" t="str">
        <v>Lucas Verlinden</v>
      </c>
      <c r="B101" t="str">
        <v/>
      </c>
      <c r="C101" t="str">
        <v>32486682066</v>
      </c>
      <c r="D101" t="str">
        <v/>
      </c>
      <c r="E101" s="2" t="str">
        <v/>
      </c>
      <c r="F101" t="str">
        <v>G12 Geel HAANTJES CERTIFISC OUDENAARDE</v>
      </c>
      <c r="G101" t="str">
        <v>Speler</v>
      </c>
    </row>
    <row r="102" spans="1:7" x14ac:dyDescent="0.25">
      <c r="A102" t="str">
        <v>Lander Verschatse</v>
      </c>
      <c r="B102" t="str">
        <v/>
      </c>
      <c r="C102" t="str">
        <v>0468516883</v>
      </c>
      <c r="D102" t="str">
        <v>https://app.twizzit.com/public/photos/3557796/s/59f2bc8b383bb3e65d902c435f70a74103c4138d.png</v>
      </c>
      <c r="E102" s="2" t="str">
        <v/>
      </c>
      <c r="F102" t="str">
        <v>G12 Geel HAANTJES CERTIFISC OUDENAARDE</v>
      </c>
      <c r="G102" t="str">
        <v>Speler</v>
      </c>
    </row>
    <row r="103" spans="1:7" x14ac:dyDescent="0.25">
      <c r="A103" t="str">
        <v>Kledion Alia</v>
      </c>
      <c r="B103" t="str">
        <v/>
      </c>
      <c r="C103" t="str">
        <v>32499284650</v>
      </c>
      <c r="D103" t="str">
        <v>https://app.twizzit.com/public/photos/2650601/s/f885f644ea63bcfe0579c08cf537df8dcbb43ecc.png</v>
      </c>
      <c r="E103" s="2">
        <v>742334</v>
      </c>
      <c r="F103" t="str">
        <v>G14 A Haantjes CERTIFISC Oudenaarde</v>
      </c>
      <c r="G103" t="str">
        <v>Speler</v>
      </c>
    </row>
    <row r="104" spans="1:7" x14ac:dyDescent="0.25">
      <c r="A104" t="str">
        <v>Jules Dekkar</v>
      </c>
      <c r="B104" t="str">
        <v>hakim.dekkar@icloud.com</v>
      </c>
      <c r="C104" t="str">
        <v>32499679978</v>
      </c>
      <c r="D104" t="str">
        <v>https://app.twizzit.com/public/photos/3451601/s/35fd5f537189934e8013cbeb18029ae3e97fcdcc.jpeg</v>
      </c>
      <c r="E104" s="2">
        <v>747253</v>
      </c>
      <c r="F104" t="str">
        <v>G14 A Haantjes CERTIFISC Oudenaarde</v>
      </c>
      <c r="G104" t="str">
        <v>Speler</v>
      </c>
    </row>
    <row r="105" spans="1:7" x14ac:dyDescent="0.25">
      <c r="A105" t="str">
        <v>Jules Dewilde</v>
      </c>
      <c r="B105" t="str">
        <v>niekdewilde@hotmail.be</v>
      </c>
      <c r="C105" t="str">
        <v>0472914166</v>
      </c>
      <c r="D105" t="str">
        <v/>
      </c>
      <c r="E105" s="2" t="str">
        <v/>
      </c>
      <c r="F105" t="str">
        <v>G14 A Haantjes CERTIFISC Oudenaarde</v>
      </c>
      <c r="G105" t="str">
        <v>Speler</v>
      </c>
    </row>
    <row r="106" spans="1:7" x14ac:dyDescent="0.25">
      <c r="A106" t="str">
        <v>Kobe Espeel</v>
      </c>
      <c r="B106" t="str">
        <v/>
      </c>
      <c r="C106" t="str">
        <v>0485070328</v>
      </c>
      <c r="D106" t="str">
        <v/>
      </c>
      <c r="E106" s="2" t="str">
        <v/>
      </c>
      <c r="F106" t="str">
        <v>G14 A Haantjes CERTIFISC Oudenaarde</v>
      </c>
      <c r="G106" t="str">
        <v>Speler</v>
      </c>
    </row>
    <row r="107" spans="1:7" x14ac:dyDescent="0.25">
      <c r="A107" t="str">
        <v>Lennert Huys</v>
      </c>
      <c r="B107" t="str">
        <v/>
      </c>
      <c r="C107" t="str">
        <v>32498104852</v>
      </c>
      <c r="D107" t="str">
        <v/>
      </c>
      <c r="E107" s="2">
        <v>735041</v>
      </c>
      <c r="F107" t="str">
        <v>G14 A Haantjes CERTIFISC Oudenaarde</v>
      </c>
      <c r="G107" t="str">
        <v>Speler</v>
      </c>
    </row>
    <row r="108" spans="1:7" x14ac:dyDescent="0.25">
      <c r="A108" t="str">
        <v>Filip L'Hommelet</v>
      </c>
      <c r="B108" t="str">
        <v>filip.lhommelet@myweb4u.be</v>
      </c>
      <c r="C108" t="str">
        <v>32479376759</v>
      </c>
      <c r="D108" t="str">
        <v/>
      </c>
      <c r="E108" s="2">
        <v>92637</v>
      </c>
      <c r="F108" t="str">
        <v>G14 A Haantjes CERTIFISC Oudenaarde</v>
      </c>
      <c r="G108" t="str">
        <v>Coach</v>
      </c>
    </row>
    <row r="109" spans="1:7" x14ac:dyDescent="0.25">
      <c r="A109" t="str">
        <v>Leon L'Hommelet</v>
      </c>
      <c r="B109" t="str">
        <v>els.bourgois@gmail.com</v>
      </c>
      <c r="C109" t="str">
        <v>479376759</v>
      </c>
      <c r="D109" t="str">
        <v/>
      </c>
      <c r="E109" s="2">
        <v>733228</v>
      </c>
      <c r="F109" t="str">
        <v>G14 A Haantjes CERTIFISC Oudenaarde</v>
      </c>
      <c r="G109" t="str">
        <v>Speler</v>
      </c>
    </row>
    <row r="110" spans="1:7" x14ac:dyDescent="0.25">
      <c r="A110" t="str">
        <v>Ruube Lagae</v>
      </c>
      <c r="B110" t="str">
        <v>Ruubelagae@gmail.com</v>
      </c>
      <c r="C110" t="str">
        <v>32486615053</v>
      </c>
      <c r="D110" t="str">
        <v/>
      </c>
      <c r="E110" s="2" t="str">
        <v/>
      </c>
      <c r="F110" t="str">
        <v>G14 A Haantjes CERTIFISC Oudenaarde</v>
      </c>
      <c r="G110" t="str">
        <v>Speler</v>
      </c>
    </row>
    <row r="111" spans="1:7" x14ac:dyDescent="0.25">
      <c r="A111" t="str">
        <v>Nathan Maenhout</v>
      </c>
      <c r="B111" t="str">
        <v>jokespies@hotmail.com</v>
      </c>
      <c r="C111" t="str">
        <v>0489178706</v>
      </c>
      <c r="D111" t="str">
        <v>https://app.twizzit.com/public/photos/9359547/s/0986374ba59a462685344af411da25079641e82d.jpeg</v>
      </c>
      <c r="E111" s="2" t="str">
        <v/>
      </c>
      <c r="F111" t="str">
        <v>G14 A Haantjes CERTIFISC Oudenaarde</v>
      </c>
      <c r="G111" t="str">
        <v>Speler</v>
      </c>
    </row>
    <row r="112" spans="1:7" x14ac:dyDescent="0.25">
      <c r="A112" t="str">
        <v>Jules Ternoot</v>
      </c>
      <c r="B112" t="str">
        <v/>
      </c>
      <c r="C112" t="str">
        <v>320472603499</v>
      </c>
      <c r="D112" t="str">
        <v>https://app.twizzit.com/public/photos/9499964/s/ff5f984b647838e4bd7563b356e5c206230b1763.jpeg</v>
      </c>
      <c r="E112" s="2">
        <v>743553</v>
      </c>
      <c r="F112" t="str">
        <v>G14 A Haantjes CERTIFISC Oudenaarde</v>
      </c>
      <c r="G112" t="str">
        <v>Speler</v>
      </c>
    </row>
    <row r="113" spans="1:7" x14ac:dyDescent="0.25">
      <c r="A113" t="str">
        <v>Mattis Van Assche</v>
      </c>
      <c r="B113" t="str">
        <v/>
      </c>
      <c r="C113" t="str">
        <v>0497912121</v>
      </c>
      <c r="D113" t="str">
        <v>https://app.twizzit.com/public/photos/2183242/s/024b94ee0589d7797c4da7bd2e98266bcdb2677a.png</v>
      </c>
      <c r="E113" s="2">
        <v>729846</v>
      </c>
      <c r="F113" t="str">
        <v>G14 A Haantjes CERTIFISC Oudenaarde</v>
      </c>
      <c r="G113" t="str">
        <v>Speler</v>
      </c>
    </row>
    <row r="114" spans="1:7" x14ac:dyDescent="0.25">
      <c r="A114" t="str">
        <v>Edouard Van de Weghe</v>
      </c>
      <c r="B114" t="str">
        <v/>
      </c>
      <c r="C114" t="str">
        <v>32479793011</v>
      </c>
      <c r="D114" t="str">
        <v/>
      </c>
      <c r="E114" s="2">
        <v>735070</v>
      </c>
      <c r="F114" t="str">
        <v>G14 A Haantjes CERTIFISC Oudenaarde</v>
      </c>
      <c r="G114" t="str">
        <v>Speler</v>
      </c>
    </row>
    <row r="115" spans="1:7" x14ac:dyDescent="0.25">
      <c r="A115" t="str">
        <v>Matz Vermeerschen</v>
      </c>
      <c r="B115" t="str">
        <v>charlotte.vanmoorleghem1@gmail.com</v>
      </c>
      <c r="C115" t="str">
        <v/>
      </c>
      <c r="D115" t="str">
        <v/>
      </c>
      <c r="E115" s="2">
        <v>729844</v>
      </c>
      <c r="F115" t="str">
        <v>G14 A Haantjes CERTIFISC Oudenaarde</v>
      </c>
      <c r="G115" t="str">
        <v>Speler</v>
      </c>
    </row>
    <row r="116" spans="1:7" x14ac:dyDescent="0.25">
      <c r="A116" t="str">
        <v>Kors Altruy</v>
      </c>
      <c r="B116" t="str">
        <v>David.altruy@outlook.be</v>
      </c>
      <c r="C116" t="str">
        <v>0479873979</v>
      </c>
      <c r="D116" t="str">
        <v/>
      </c>
      <c r="E116" s="2" t="str">
        <v/>
      </c>
      <c r="F116" t="str">
        <v>G14 B Haantjes CERTIFISC Oudenaarde</v>
      </c>
      <c r="G116" t="str">
        <v>Speler</v>
      </c>
    </row>
    <row r="117" spans="1:7" x14ac:dyDescent="0.25">
      <c r="A117" t="str">
        <v>Matisse Buda Meirlaen</v>
      </c>
      <c r="B117" t="str">
        <v/>
      </c>
      <c r="C117" t="str">
        <v>0477658556</v>
      </c>
      <c r="D117" t="str">
        <v>https://app.twizzit.com/public/photos/7666112/s/28beee7a2b02560648d49ec2140a1cc079666b2a.png</v>
      </c>
      <c r="E117" s="2" t="str">
        <v/>
      </c>
      <c r="F117" t="str">
        <v>G14 B Haantjes CERTIFISC Oudenaarde</v>
      </c>
      <c r="G117" t="str">
        <v>Speler</v>
      </c>
    </row>
    <row r="118" spans="1:7" x14ac:dyDescent="0.25">
      <c r="A118" t="str">
        <v>Niklas Creteur</v>
      </c>
      <c r="B118" t="str">
        <v/>
      </c>
      <c r="C118" t="str">
        <v>496211659</v>
      </c>
      <c r="D118" t="str">
        <v/>
      </c>
      <c r="E118" s="2">
        <v>734418</v>
      </c>
      <c r="F118" t="str">
        <v>G14 B Haantjes CERTIFISC Oudenaarde</v>
      </c>
      <c r="G118" t="str">
        <v>Speler</v>
      </c>
    </row>
    <row r="119" spans="1:7" x14ac:dyDescent="0.25">
      <c r="A119" t="str">
        <v>Mauro Darragas</v>
      </c>
      <c r="B119" t="str">
        <v>Ben_darragas@hotmail.com</v>
      </c>
      <c r="C119" t="str">
        <v>473806201</v>
      </c>
      <c r="D119" t="str">
        <v/>
      </c>
      <c r="E119" s="2" t="str">
        <v/>
      </c>
      <c r="F119" t="str">
        <v>G14 B Haantjes CERTIFISC Oudenaarde</v>
      </c>
      <c r="G119" t="str">
        <v>Speler</v>
      </c>
    </row>
    <row r="120" spans="1:7" x14ac:dyDescent="0.25">
      <c r="A120" t="str">
        <v>Arthur Debisschop</v>
      </c>
      <c r="B120" t="str">
        <v/>
      </c>
      <c r="C120" t="str">
        <v>0486445874</v>
      </c>
      <c r="D120" t="str">
        <v/>
      </c>
      <c r="E120" s="2" t="str">
        <v/>
      </c>
      <c r="F120" t="str">
        <v>G14 B Haantjes CERTIFISC Oudenaarde</v>
      </c>
      <c r="G120" t="str">
        <v>Speler</v>
      </c>
    </row>
    <row r="121" spans="1:7" x14ac:dyDescent="0.25">
      <c r="A121" t="str">
        <v>Alexis Devos</v>
      </c>
      <c r="B121" t="str">
        <v/>
      </c>
      <c r="C121" t="str">
        <v>0495886987</v>
      </c>
      <c r="D121" t="str">
        <v>https://app.twizzit.com/public/photos/6106676/s/2ae43246aa8142b23f5743a7efbb9e280e512170.png</v>
      </c>
      <c r="E121" s="2">
        <v>763877</v>
      </c>
      <c r="F121" t="str">
        <v>G14 B Haantjes CERTIFISC Oudenaarde</v>
      </c>
      <c r="G121" t="str">
        <v>Speler</v>
      </c>
    </row>
    <row r="122" spans="1:7" x14ac:dyDescent="0.25">
      <c r="A122" t="str">
        <v>Oben Godpower</v>
      </c>
      <c r="B122" t="str">
        <v/>
      </c>
      <c r="C122" t="str">
        <v>0497885450</v>
      </c>
      <c r="D122" t="str">
        <v/>
      </c>
      <c r="E122" s="2" t="str">
        <v/>
      </c>
      <c r="F122" t="str">
        <v>G14 B Haantjes CERTIFISC Oudenaarde</v>
      </c>
      <c r="G122" t="str">
        <v>Speler</v>
      </c>
    </row>
    <row r="123" spans="1:7" x14ac:dyDescent="0.25">
      <c r="A123" t="str">
        <v>Tuur Goossens</v>
      </c>
      <c r="B123" t="str">
        <v>dries.goossens@gmail.com</v>
      </c>
      <c r="C123" t="str">
        <v>320497948892</v>
      </c>
      <c r="D123" t="str">
        <v/>
      </c>
      <c r="E123" s="2">
        <v>735148</v>
      </c>
      <c r="F123" t="str">
        <v>G14 B Haantjes CERTIFISC Oudenaarde</v>
      </c>
      <c r="G123" t="str">
        <v>Speler</v>
      </c>
    </row>
    <row r="124" spans="1:7" x14ac:dyDescent="0.25">
      <c r="A124" t="str">
        <v>Steppe Matthys</v>
      </c>
      <c r="B124" t="str">
        <v/>
      </c>
      <c r="C124" t="str">
        <v>0468429871</v>
      </c>
      <c r="D124" t="str">
        <v>https://app.twizzit.com/public/photos/10488364/s/177c95b9932dcdda23e09eda7b0298c34ca94551.jpeg</v>
      </c>
      <c r="E124" s="2" t="str">
        <v/>
      </c>
      <c r="F124" t="str">
        <v>G14 B Haantjes CERTIFISC Oudenaarde</v>
      </c>
      <c r="G124" t="str">
        <v>Speler</v>
      </c>
    </row>
    <row r="125" spans="1:7" x14ac:dyDescent="0.25">
      <c r="A125" t="str">
        <v>Mauro Van Sande</v>
      </c>
      <c r="B125" t="str">
        <v>Sylvie.mincke@outlook.com</v>
      </c>
      <c r="C125" t="str">
        <v>32478784192</v>
      </c>
      <c r="D125" t="str">
        <v>https://app.twizzit.com/public/photos/2650608/s/9cebeb89f0d68fff18c1faf3be6be5621d757adb.png</v>
      </c>
      <c r="E125" s="2">
        <v>742367</v>
      </c>
      <c r="F125" t="str">
        <v>G14 B Haantjes CERTIFISC Oudenaarde</v>
      </c>
      <c r="G125" t="str">
        <v>Speler</v>
      </c>
    </row>
    <row r="126" spans="1:7" x14ac:dyDescent="0.25">
      <c r="A126" t="str">
        <v>Viek Verhoeyen</v>
      </c>
      <c r="B126" t="str">
        <v/>
      </c>
      <c r="C126" t="str">
        <v>0470229908</v>
      </c>
      <c r="D126" t="str">
        <v/>
      </c>
      <c r="E126" s="2" t="str">
        <v/>
      </c>
      <c r="F126" t="str">
        <v>G14 B Haantjes CERTIFISC Oudenaarde</v>
      </c>
      <c r="G126" t="str">
        <v>Speler</v>
      </c>
    </row>
    <row r="127" spans="1:7" x14ac:dyDescent="0.25">
      <c r="A127" t="str">
        <v>Mauro Vermassen</v>
      </c>
      <c r="B127" t="str">
        <v>twizzit@kevinvermassen.be</v>
      </c>
      <c r="C127" t="str">
        <v>0485424067</v>
      </c>
      <c r="D127" t="str">
        <v/>
      </c>
      <c r="E127" s="2" t="str">
        <v/>
      </c>
      <c r="F127" t="str">
        <v>G14 B Haantjes CERTIFISC Oudenaarde</v>
      </c>
      <c r="G127" t="str">
        <v>Speler</v>
      </c>
    </row>
    <row r="128" spans="1:7" x14ac:dyDescent="0.25">
      <c r="A128" t="str">
        <v>Jules Cokelaere</v>
      </c>
      <c r="B128" t="str">
        <v/>
      </c>
      <c r="C128" t="str">
        <v>320477681738</v>
      </c>
      <c r="D128" t="str">
        <v/>
      </c>
      <c r="E128" s="2" t="str">
        <v/>
      </c>
      <c r="F128" t="str">
        <v>HSE  C Haantjes Certifisc Oudenaarde</v>
      </c>
      <c r="G128" t="str">
        <v>Speler</v>
      </c>
    </row>
    <row r="129" spans="1:7" x14ac:dyDescent="0.25">
      <c r="A129" t="str">
        <v>Louis De Baere</v>
      </c>
      <c r="B129" t="str">
        <v/>
      </c>
      <c r="C129" t="str">
        <v>0491029558</v>
      </c>
      <c r="D129" t="str">
        <v/>
      </c>
      <c r="E129" s="2" t="str">
        <v/>
      </c>
      <c r="F129" t="str">
        <v>HSE  C Haantjes Certifisc Oudenaarde</v>
      </c>
      <c r="G129" t="str">
        <v>Speler</v>
      </c>
    </row>
    <row r="130" spans="1:7" x14ac:dyDescent="0.25">
      <c r="A130" t="str">
        <v xml:space="preserve">Camiel De Clercq </v>
      </c>
      <c r="B130" t="str">
        <v/>
      </c>
      <c r="C130" t="str">
        <v>00499129081</v>
      </c>
      <c r="D130" t="str">
        <v/>
      </c>
      <c r="E130" s="2" t="str">
        <v/>
      </c>
      <c r="F130" t="str">
        <v>HSE  C Haantjes Certifisc Oudenaarde</v>
      </c>
      <c r="G130" t="str">
        <v>Speler</v>
      </c>
    </row>
    <row r="131" spans="1:7" x14ac:dyDescent="0.25">
      <c r="A131" t="str">
        <v>Robbe De Clercq</v>
      </c>
      <c r="B131" t="str">
        <v/>
      </c>
      <c r="C131" t="str">
        <v/>
      </c>
      <c r="D131" t="str">
        <v/>
      </c>
      <c r="E131" s="2">
        <v>631328</v>
      </c>
      <c r="F131" t="str">
        <v>HSE  C Haantjes Certifisc Oudenaarde</v>
      </c>
      <c r="G131" t="str">
        <v>Speler</v>
      </c>
    </row>
    <row r="132" spans="1:7" x14ac:dyDescent="0.25">
      <c r="A132" t="str">
        <v>Siebe De Meyer</v>
      </c>
      <c r="B132" t="str">
        <v/>
      </c>
      <c r="C132" t="str">
        <v/>
      </c>
      <c r="D132" t="str">
        <v/>
      </c>
      <c r="E132" s="2">
        <v>655853</v>
      </c>
      <c r="F132" t="str">
        <v>HSE  C Haantjes Certifisc Oudenaarde</v>
      </c>
      <c r="G132" t="str">
        <v>Speler</v>
      </c>
    </row>
    <row r="133" spans="1:7" x14ac:dyDescent="0.25">
      <c r="A133" t="str">
        <v>Ryan Debouverie</v>
      </c>
      <c r="B133" t="str">
        <v/>
      </c>
      <c r="C133" t="str">
        <v>320496247133</v>
      </c>
      <c r="D133" t="str">
        <v/>
      </c>
      <c r="E133" s="2">
        <v>271615</v>
      </c>
      <c r="F133" t="str">
        <v>HSE  C Haantjes Certifisc Oudenaarde</v>
      </c>
      <c r="G133" t="str">
        <v>Coach</v>
      </c>
    </row>
    <row r="134" spans="1:7" x14ac:dyDescent="0.25">
      <c r="A134" t="str">
        <v>Quentin Debruyne</v>
      </c>
      <c r="B134" t="str">
        <v/>
      </c>
      <c r="C134" t="str">
        <v>0471753995</v>
      </c>
      <c r="D134" t="str">
        <v/>
      </c>
      <c r="E134" s="2" t="str">
        <v/>
      </c>
      <c r="F134" t="str">
        <v>HSE  C Haantjes Certifisc Oudenaarde</v>
      </c>
      <c r="G134" t="str">
        <v>Speler</v>
      </c>
    </row>
    <row r="135" spans="1:7" x14ac:dyDescent="0.25">
      <c r="A135" t="str">
        <v>Jarno Dhont</v>
      </c>
      <c r="B135" t="str">
        <v>dhont.lieven1@gmail.com</v>
      </c>
      <c r="C135" t="str">
        <v>320468292174</v>
      </c>
      <c r="D135" t="str">
        <v/>
      </c>
      <c r="E135" s="2">
        <v>658022</v>
      </c>
      <c r="F135" t="str">
        <v>HSE  C Haantjes Certifisc Oudenaarde</v>
      </c>
      <c r="G135" t="str">
        <v>Speler</v>
      </c>
    </row>
    <row r="136" spans="1:7" x14ac:dyDescent="0.25">
      <c r="A136" t="str">
        <v>Mathis Dhont</v>
      </c>
      <c r="B136" t="str">
        <v/>
      </c>
      <c r="C136" t="str">
        <v/>
      </c>
      <c r="D136" t="str">
        <v/>
      </c>
      <c r="E136" s="2">
        <v>660481</v>
      </c>
      <c r="F136" t="str">
        <v>HSE  C Haantjes Certifisc Oudenaarde</v>
      </c>
      <c r="G136" t="str">
        <v>Speler</v>
      </c>
    </row>
    <row r="137" spans="1:7" x14ac:dyDescent="0.25">
      <c r="A137" t="str">
        <v>Joël Peeters</v>
      </c>
      <c r="B137" t="str">
        <v/>
      </c>
      <c r="C137" t="str">
        <v/>
      </c>
      <c r="D137" t="str">
        <v/>
      </c>
      <c r="E137" s="2" t="str">
        <v/>
      </c>
      <c r="F137" t="str">
        <v>HSE  C Haantjes Certifisc Oudenaarde</v>
      </c>
      <c r="G137" t="str">
        <v>Speler</v>
      </c>
    </row>
    <row r="138" spans="1:7" x14ac:dyDescent="0.25">
      <c r="A138" t="str">
        <v>Tristan Van Meenen</v>
      </c>
      <c r="B138" t="str">
        <v>jzvanmeenen@telenet.be</v>
      </c>
      <c r="C138" t="str">
        <v>0468153046</v>
      </c>
      <c r="D138" t="str">
        <v/>
      </c>
      <c r="E138" s="2" t="str">
        <v/>
      </c>
      <c r="F138" t="str">
        <v>HSE  C Haantjes Certifisc Oudenaarde</v>
      </c>
      <c r="G138" t="str">
        <v>Speler</v>
      </c>
    </row>
    <row r="139" spans="1:7" x14ac:dyDescent="0.25">
      <c r="A139" t="str">
        <v>Giles Van Merhaeghe</v>
      </c>
      <c r="B139" t="str">
        <v/>
      </c>
      <c r="C139" t="str">
        <v/>
      </c>
      <c r="D139" t="str">
        <v/>
      </c>
      <c r="E139" s="2">
        <v>663125</v>
      </c>
      <c r="F139" t="str">
        <v>HSE  C Haantjes Certifisc Oudenaarde</v>
      </c>
      <c r="G139" t="str">
        <v>Speler</v>
      </c>
    </row>
    <row r="140" spans="1:7" x14ac:dyDescent="0.25">
      <c r="A140" t="str">
        <v>Kenny Volkaert</v>
      </c>
      <c r="B140" t="str">
        <v/>
      </c>
      <c r="C140" t="str">
        <v>32483038837</v>
      </c>
      <c r="D140" t="str">
        <v/>
      </c>
      <c r="E140" s="2">
        <v>644848</v>
      </c>
      <c r="F140" t="str">
        <v>HSE  C Haantjes Certifisc Oudenaarde</v>
      </c>
      <c r="G140" t="str">
        <v>Speler</v>
      </c>
    </row>
    <row r="141" spans="1:7" x14ac:dyDescent="0.25">
      <c r="A141" t="str">
        <v>Niels De Lepeleire</v>
      </c>
      <c r="B141" t="str">
        <v/>
      </c>
      <c r="C141" t="str">
        <v>320470775058</v>
      </c>
      <c r="D141" t="str">
        <v/>
      </c>
      <c r="E141" s="2">
        <v>213745</v>
      </c>
      <c r="F141" t="str">
        <v>HSE A Haantjes Certifisc Oudenaarde</v>
      </c>
      <c r="G141" t="str">
        <v>Speler</v>
      </c>
    </row>
    <row r="142" spans="1:7" x14ac:dyDescent="0.25">
      <c r="A142" t="str">
        <v>Quinten Derous</v>
      </c>
      <c r="B142" t="str">
        <v/>
      </c>
      <c r="C142" t="str">
        <v>0468258571</v>
      </c>
      <c r="D142" t="str">
        <v/>
      </c>
      <c r="E142" s="2">
        <v>624753</v>
      </c>
      <c r="F142" t="str">
        <v>HSE A Haantjes Certifisc Oudenaarde</v>
      </c>
      <c r="G142" t="str">
        <v>Speler</v>
      </c>
    </row>
    <row r="143" spans="1:7" x14ac:dyDescent="0.25">
      <c r="A143" t="str">
        <v>Marco Dick</v>
      </c>
      <c r="B143" t="str">
        <v/>
      </c>
      <c r="C143" t="str">
        <v>320499754251</v>
      </c>
      <c r="D143" t="str">
        <v/>
      </c>
      <c r="E143" s="2">
        <v>633923</v>
      </c>
      <c r="F143" t="str">
        <v>HSE A Haantjes Certifisc Oudenaarde</v>
      </c>
      <c r="G143" t="str">
        <v>Speler</v>
      </c>
    </row>
    <row r="144" spans="1:7" x14ac:dyDescent="0.25">
      <c r="A144" t="str">
        <v>Ukeme Essien</v>
      </c>
      <c r="B144" t="str">
        <v/>
      </c>
      <c r="C144" t="str">
        <v>00493339044</v>
      </c>
      <c r="D144" t="str">
        <v/>
      </c>
      <c r="E144" s="2">
        <v>648536</v>
      </c>
      <c r="F144" t="str">
        <v>HSE A Haantjes Certifisc Oudenaarde</v>
      </c>
      <c r="G144" t="str">
        <v>Speler</v>
      </c>
    </row>
    <row r="145" spans="1:7" x14ac:dyDescent="0.25">
      <c r="A145" t="str">
        <v>Andreas Lippens</v>
      </c>
      <c r="B145" t="str">
        <v/>
      </c>
      <c r="C145" t="str">
        <v>032492223206</v>
      </c>
      <c r="D145" t="str">
        <v/>
      </c>
      <c r="E145" s="2">
        <v>287179</v>
      </c>
      <c r="F145" t="str">
        <v>HSE A Haantjes Certifisc Oudenaarde</v>
      </c>
      <c r="G145" t="str">
        <v>Speler</v>
      </c>
    </row>
    <row r="146" spans="1:7" x14ac:dyDescent="0.25">
      <c r="A146" t="str">
        <v>Jakob Marcou</v>
      </c>
      <c r="B146" t="str">
        <v/>
      </c>
      <c r="C146" t="str">
        <v>0474234134</v>
      </c>
      <c r="D146" t="str">
        <v/>
      </c>
      <c r="E146" s="2">
        <v>608268</v>
      </c>
      <c r="F146" t="str">
        <v>HSE A Haantjes Certifisc Oudenaarde</v>
      </c>
      <c r="G146" t="str">
        <v>Speler</v>
      </c>
    </row>
    <row r="147" spans="1:7" x14ac:dyDescent="0.25">
      <c r="A147" t="str">
        <v>Bleys Maxime</v>
      </c>
      <c r="B147" t="str">
        <v/>
      </c>
      <c r="C147" t="str">
        <v>0495940240</v>
      </c>
      <c r="D147" t="str">
        <v/>
      </c>
      <c r="E147" s="2">
        <v>661314</v>
      </c>
      <c r="F147" t="str">
        <v>HSE A Haantjes Certifisc Oudenaarde</v>
      </c>
      <c r="G147" t="str">
        <v>Speler</v>
      </c>
    </row>
    <row r="148" spans="1:7" x14ac:dyDescent="0.25">
      <c r="A148" t="str">
        <v>Robin Spaens</v>
      </c>
      <c r="B148" t="str">
        <v/>
      </c>
      <c r="C148" t="str">
        <v>0476359988</v>
      </c>
      <c r="D148" t="str">
        <v/>
      </c>
      <c r="E148" s="2">
        <v>234515</v>
      </c>
      <c r="F148" t="str">
        <v>HSE A Haantjes Certifisc Oudenaarde</v>
      </c>
      <c r="G148" t="str">
        <v>Speler</v>
      </c>
    </row>
    <row r="149" spans="1:7" x14ac:dyDescent="0.25">
      <c r="A149" t="str">
        <v>Bram Van Wyngene</v>
      </c>
      <c r="B149" t="str">
        <v/>
      </c>
      <c r="C149" t="str">
        <v>0477349575</v>
      </c>
      <c r="D149" t="str">
        <v/>
      </c>
      <c r="E149" s="2" t="str">
        <v/>
      </c>
      <c r="F149" t="str">
        <v>HSE A Haantjes Certifisc Oudenaarde</v>
      </c>
      <c r="G149" t="str">
        <v>Coach</v>
      </c>
    </row>
    <row r="150" spans="1:7" x14ac:dyDescent="0.25">
      <c r="A150" t="str">
        <v>Cedric Watteyn</v>
      </c>
      <c r="B150" t="str">
        <v/>
      </c>
      <c r="C150" t="str">
        <v>0471244684</v>
      </c>
      <c r="D150" t="str">
        <v/>
      </c>
      <c r="E150" s="2">
        <v>644411</v>
      </c>
      <c r="F150" t="str">
        <v>HSE A Haantjes Certifisc Oudenaarde</v>
      </c>
      <c r="G150" t="str">
        <v>Speler</v>
      </c>
    </row>
    <row r="151" spans="1:7" x14ac:dyDescent="0.25">
      <c r="A151" t="str">
        <v>Rémi Bauters</v>
      </c>
      <c r="B151" t="str">
        <v/>
      </c>
      <c r="C151" t="str">
        <v>0497078444</v>
      </c>
      <c r="D151" t="str">
        <v/>
      </c>
      <c r="E151" s="2" t="str">
        <v/>
      </c>
      <c r="F151" t="str">
        <v>HSE B Haantjes Certifisc Oudenaarde</v>
      </c>
      <c r="G151" t="str">
        <v>Speler</v>
      </c>
    </row>
    <row r="152" spans="1:7" x14ac:dyDescent="0.25">
      <c r="A152" t="str">
        <v>Matti Bogaert</v>
      </c>
      <c r="B152" t="str">
        <v>mboogie800@hotmail.com</v>
      </c>
      <c r="C152" t="str">
        <v>0478427271</v>
      </c>
      <c r="D152" t="str">
        <v/>
      </c>
      <c r="E152" s="2">
        <v>737616</v>
      </c>
      <c r="F152" t="str">
        <v>HSE B Haantjes Certifisc Oudenaarde</v>
      </c>
      <c r="G152" t="str">
        <v>Speler</v>
      </c>
    </row>
    <row r="153" spans="1:7" x14ac:dyDescent="0.25">
      <c r="A153" t="str">
        <v>Dylann Bufkens</v>
      </c>
      <c r="B153" t="str">
        <v/>
      </c>
      <c r="C153" t="str">
        <v>0493561486</v>
      </c>
      <c r="D153" t="str">
        <v/>
      </c>
      <c r="E153" s="2">
        <v>638804</v>
      </c>
      <c r="F153" t="str">
        <v>HSE B Haantjes Certifisc Oudenaarde</v>
      </c>
      <c r="G153" t="str">
        <v>Speler</v>
      </c>
    </row>
    <row r="154" spans="1:7" x14ac:dyDescent="0.25">
      <c r="A154" t="str">
        <v>Sofian D'Haenen</v>
      </c>
      <c r="B154" t="str">
        <v/>
      </c>
      <c r="C154" t="str">
        <v/>
      </c>
      <c r="D154" t="str">
        <v/>
      </c>
      <c r="E154" s="2" t="str">
        <v/>
      </c>
      <c r="F154" t="str">
        <v>HSE B Haantjes Certifisc Oudenaarde</v>
      </c>
      <c r="G154" t="str">
        <v>Speler</v>
      </c>
    </row>
    <row r="155" spans="1:7" x14ac:dyDescent="0.25">
      <c r="A155" t="str">
        <v>David De Brabander</v>
      </c>
      <c r="B155" t="str">
        <v/>
      </c>
      <c r="C155" t="str">
        <v>0478251758</v>
      </c>
      <c r="D155" t="str">
        <v>https://app.twizzit.com/public/photos/4024795/s/7af12ff114d5d53515b4f220ddc6cdb6ff121519.png</v>
      </c>
      <c r="E155" s="2">
        <v>32746</v>
      </c>
      <c r="F155" t="str">
        <v>HSE B Haantjes Certifisc Oudenaarde</v>
      </c>
      <c r="G155" t="str">
        <v>Coach</v>
      </c>
    </row>
    <row r="156" spans="1:7" x14ac:dyDescent="0.25">
      <c r="A156" t="str">
        <v>Milan De Brabander</v>
      </c>
      <c r="B156" t="str">
        <v>Dorinne.reynen@gmail.com</v>
      </c>
      <c r="C156" t="str">
        <v>0473865789</v>
      </c>
      <c r="D156" t="str">
        <v>https://app.twizzit.com/public/photos/3519915/s/cb4bbdba90c700302dcd9548901e284ce021df92.jpeg</v>
      </c>
      <c r="E156" s="2">
        <v>748910</v>
      </c>
      <c r="F156" t="str">
        <v>HSE B Haantjes Certifisc Oudenaarde</v>
      </c>
      <c r="G156" t="str">
        <v>Speler</v>
      </c>
    </row>
    <row r="157" spans="1:7" x14ac:dyDescent="0.25">
      <c r="A157" t="str">
        <v>Mathieu De Clercq</v>
      </c>
      <c r="B157" t="str">
        <v/>
      </c>
      <c r="C157" t="str">
        <v>0495786491</v>
      </c>
      <c r="D157" t="str">
        <v/>
      </c>
      <c r="E157" s="2">
        <v>600191</v>
      </c>
      <c r="F157" t="str">
        <v>HSE B Haantjes Certifisc Oudenaarde</v>
      </c>
      <c r="G157" t="str">
        <v>Speler</v>
      </c>
    </row>
    <row r="158" spans="1:7" x14ac:dyDescent="0.25">
      <c r="A158" t="str">
        <v>Ryan Debouverie</v>
      </c>
      <c r="B158" t="str">
        <v/>
      </c>
      <c r="C158" t="str">
        <v>320496247133</v>
      </c>
      <c r="D158" t="str">
        <v/>
      </c>
      <c r="E158" s="2">
        <v>271615</v>
      </c>
      <c r="F158" t="str">
        <v>HSE B Haantjes Certifisc Oudenaarde</v>
      </c>
      <c r="G158" t="str">
        <v>Speler</v>
      </c>
    </row>
    <row r="159" spans="1:7" x14ac:dyDescent="0.25">
      <c r="A159" t="str">
        <v>Yves Bellard Giriteka</v>
      </c>
      <c r="B159" t="str">
        <v/>
      </c>
      <c r="C159" t="str">
        <v>0466419783</v>
      </c>
      <c r="D159" t="str">
        <v/>
      </c>
      <c r="E159" s="2" t="str">
        <v/>
      </c>
      <c r="F159" t="str">
        <v>HSE B Haantjes Certifisc Oudenaarde</v>
      </c>
      <c r="G159" t="str">
        <v>Speler</v>
      </c>
    </row>
    <row r="160" spans="1:7" x14ac:dyDescent="0.25">
      <c r="A160" t="str">
        <v>Thomas Goossens</v>
      </c>
      <c r="B160" t="str">
        <v/>
      </c>
      <c r="C160" t="str">
        <v>0477281468</v>
      </c>
      <c r="D160" t="str">
        <v>https://app.twizzit.com/public/photos/2182921/s/d5ec4bbccbaf575bfa3a597df60827a1e6809d4b.png</v>
      </c>
      <c r="E160" s="2">
        <v>708299</v>
      </c>
      <c r="F160" t="str">
        <v>HSE B Haantjes Certifisc Oudenaarde</v>
      </c>
      <c r="G160" t="str">
        <v>Speler</v>
      </c>
    </row>
    <row r="161" spans="1:7" x14ac:dyDescent="0.25">
      <c r="A161" t="str">
        <v>Sander Hakuzimana</v>
      </c>
      <c r="B161" t="str">
        <v/>
      </c>
      <c r="C161" t="str">
        <v>0496950967</v>
      </c>
      <c r="D161" t="str">
        <v/>
      </c>
      <c r="E161" s="2" t="str">
        <v/>
      </c>
      <c r="F161" t="str">
        <v>HSE B Haantjes Certifisc Oudenaarde</v>
      </c>
      <c r="G161" t="str">
        <v>Speler</v>
      </c>
    </row>
    <row r="162" spans="1:7" x14ac:dyDescent="0.25">
      <c r="A162" t="str">
        <v>Arno Heyerick</v>
      </c>
      <c r="B162" t="str">
        <v/>
      </c>
      <c r="C162" t="str">
        <v>0479480500</v>
      </c>
      <c r="D162" t="str">
        <v/>
      </c>
      <c r="E162" s="2">
        <v>665927</v>
      </c>
      <c r="F162" t="str">
        <v>HSE B Haantjes Certifisc Oudenaarde</v>
      </c>
      <c r="G162" t="str">
        <v>Speler</v>
      </c>
    </row>
    <row r="163" spans="1:7" x14ac:dyDescent="0.25">
      <c r="A163" t="str">
        <v>Vic Huysman</v>
      </c>
      <c r="B163" t="str">
        <v/>
      </c>
      <c r="C163" t="str">
        <v>474884540</v>
      </c>
      <c r="D163" t="str">
        <v>https://app.twizzit.com/public/photos/2936186/s/c4015a6cfb380c1e7090d66488ca6326fa9caa7a.png</v>
      </c>
      <c r="E163" s="2">
        <v>744354</v>
      </c>
      <c r="F163" t="str">
        <v>HSE B Haantjes Certifisc Oudenaarde</v>
      </c>
      <c r="G163" t="str">
        <v>Speler</v>
      </c>
    </row>
    <row r="164" spans="1:7" x14ac:dyDescent="0.25">
      <c r="A164" t="str">
        <v>Aleksandr Kazmenko</v>
      </c>
      <c r="B164" t="str">
        <v>alex@inolel.com</v>
      </c>
      <c r="C164" t="str">
        <v/>
      </c>
      <c r="D164" t="str">
        <v/>
      </c>
      <c r="E164" s="2">
        <v>280658</v>
      </c>
      <c r="F164" t="str">
        <v>HSE B Haantjes Certifisc Oudenaarde</v>
      </c>
      <c r="G164" t="str">
        <v>Speler</v>
      </c>
    </row>
    <row r="165" spans="1:7" x14ac:dyDescent="0.25">
      <c r="A165" t="str">
        <v>Brecht Van Glabeke</v>
      </c>
      <c r="B165" t="str">
        <v/>
      </c>
      <c r="C165" t="str">
        <v>32470671727</v>
      </c>
      <c r="D165" t="str">
        <v/>
      </c>
      <c r="E165" s="2" t="str">
        <v/>
      </c>
      <c r="F165" t="str">
        <v>HSE B Haantjes Certifisc Oudenaarde</v>
      </c>
      <c r="G165" t="str">
        <v>Speler</v>
      </c>
    </row>
    <row r="166" spans="1:7" x14ac:dyDescent="0.25">
      <c r="A166" t="str">
        <v>Thomas Viaene</v>
      </c>
      <c r="B166" t="str">
        <v/>
      </c>
      <c r="C166" t="str">
        <v>0497313727</v>
      </c>
      <c r="D166" t="str">
        <v/>
      </c>
      <c r="E166" s="2">
        <v>739602</v>
      </c>
      <c r="F166" t="str">
        <v>HSE B Haantjes Certifisc Oudenaarde</v>
      </c>
      <c r="G166" t="str">
        <v>Speler</v>
      </c>
    </row>
    <row r="167" spans="1:7" x14ac:dyDescent="0.25">
      <c r="A167" t="str">
        <v>Torre Beeckman</v>
      </c>
      <c r="B167" t="str">
        <v/>
      </c>
      <c r="C167" t="str">
        <v>486440775</v>
      </c>
      <c r="D167" t="str">
        <v>https://app.twizzit.com/public/photos/2182491/s/9cf26edd91096e59f19c665e2f0a4528adc17aa7.png</v>
      </c>
      <c r="E167" s="2">
        <v>720212</v>
      </c>
      <c r="F167" t="str">
        <v>J16 A Haantjes CERTIFISC Oudenaarde</v>
      </c>
      <c r="G167" t="str">
        <v>Speler</v>
      </c>
    </row>
    <row r="168" spans="1:7" x14ac:dyDescent="0.25">
      <c r="A168" t="str">
        <v>Liam Bufkens</v>
      </c>
      <c r="B168" t="str">
        <v>vanbael_ijlie@hotmail.com</v>
      </c>
      <c r="C168" t="str">
        <v/>
      </c>
      <c r="D168" t="str">
        <v/>
      </c>
      <c r="E168" s="2">
        <v>740183</v>
      </c>
      <c r="F168" t="str">
        <v>J16 A Haantjes CERTIFISC Oudenaarde</v>
      </c>
      <c r="G168" t="str">
        <v>Speler</v>
      </c>
    </row>
    <row r="169" spans="1:7" x14ac:dyDescent="0.25">
      <c r="A169" t="str">
        <v>Jonah Cattoir</v>
      </c>
      <c r="B169" t="str">
        <v/>
      </c>
      <c r="C169" t="str">
        <v/>
      </c>
      <c r="D169" t="str">
        <v/>
      </c>
      <c r="E169" s="2" t="str">
        <v/>
      </c>
      <c r="F169" t="str">
        <v>J16 A Haantjes CERTIFISC Oudenaarde</v>
      </c>
      <c r="G169" t="str">
        <v>Speler</v>
      </c>
    </row>
    <row r="170" spans="1:7" x14ac:dyDescent="0.25">
      <c r="A170" t="str">
        <v>Tibo Despriet</v>
      </c>
      <c r="B170" t="str">
        <v>Tibo.despriet@gmail.com</v>
      </c>
      <c r="C170" t="str">
        <v/>
      </c>
      <c r="D170" t="str">
        <v>https://app.twizzit.com/public/photos/3884890/s/99828396af5826db82003655528894a4f299045f.jpeg</v>
      </c>
      <c r="E170" s="2" t="str">
        <v/>
      </c>
      <c r="F170" t="str">
        <v>J16 A Haantjes CERTIFISC Oudenaarde</v>
      </c>
      <c r="G170" t="str">
        <v>Speler</v>
      </c>
    </row>
    <row r="171" spans="1:7" x14ac:dyDescent="0.25">
      <c r="A171" t="str">
        <v>Nathan Dewaele</v>
      </c>
      <c r="B171" t="str">
        <v>wesleydewaele@yahoo.co.uk</v>
      </c>
      <c r="C171" t="str">
        <v>478347087</v>
      </c>
      <c r="D171" t="str">
        <v>https://app.twizzit.com/public/photos/2182816/s/c00a73a61de05b1991d5eac8f8ad498e97a90e40.png</v>
      </c>
      <c r="E171" s="2">
        <v>718781</v>
      </c>
      <c r="F171" t="str">
        <v>J16 A Haantjes CERTIFISC Oudenaarde</v>
      </c>
      <c r="G171" t="str">
        <v>Speler</v>
      </c>
    </row>
    <row r="172" spans="1:7" x14ac:dyDescent="0.25">
      <c r="A172" t="str">
        <v>Basiel Genbrugge</v>
      </c>
      <c r="B172" t="str">
        <v>basiel.genbrugge@gmail.com</v>
      </c>
      <c r="C172" t="str">
        <v>0486314030</v>
      </c>
      <c r="D172" t="str">
        <v>https://app.twizzit.com/public/photos/8579142/s/db8d4000b96831e0c69a1f9ee9bb0955ce673dba.png</v>
      </c>
      <c r="E172" s="2" t="str">
        <v/>
      </c>
      <c r="F172" t="str">
        <v>J16 A Haantjes CERTIFISC Oudenaarde</v>
      </c>
      <c r="G172" t="str">
        <v>Speler</v>
      </c>
    </row>
    <row r="173" spans="1:7" x14ac:dyDescent="0.25">
      <c r="A173" t="str">
        <v>Briek Goossens</v>
      </c>
      <c r="B173" t="str">
        <v>dries.goossens@gmail.com</v>
      </c>
      <c r="C173" t="str">
        <v>320497948892</v>
      </c>
      <c r="D173" t="str">
        <v/>
      </c>
      <c r="E173" s="2">
        <v>735147</v>
      </c>
      <c r="F173" t="str">
        <v>J16 A Haantjes CERTIFISC Oudenaarde</v>
      </c>
      <c r="G173" t="str">
        <v>Speler</v>
      </c>
    </row>
    <row r="174" spans="1:7" x14ac:dyDescent="0.25">
      <c r="A174" t="str">
        <v>Viktor L’Hommelet</v>
      </c>
      <c r="B174" t="str">
        <v>els.bourgois@gmail.com</v>
      </c>
      <c r="C174" t="str">
        <v>479376759</v>
      </c>
      <c r="D174" t="str">
        <v/>
      </c>
      <c r="E174" s="2">
        <v>714059</v>
      </c>
      <c r="F174" t="str">
        <v>J16 A Haantjes CERTIFISC Oudenaarde</v>
      </c>
      <c r="G174" t="str">
        <v>Speler</v>
      </c>
    </row>
    <row r="175" spans="1:7" x14ac:dyDescent="0.25">
      <c r="A175" t="str">
        <v>Kasper Mees</v>
      </c>
      <c r="B175" t="str">
        <v/>
      </c>
      <c r="C175" t="str">
        <v>474721420</v>
      </c>
      <c r="D175" t="str">
        <v>https://app.twizzit.com/public/photos/2183112/s/07942e4161d7a20864d1fbcf54b9a6dda331637e.png</v>
      </c>
      <c r="E175" s="2">
        <v>732219</v>
      </c>
      <c r="F175" t="str">
        <v>J16 A Haantjes CERTIFISC Oudenaarde</v>
      </c>
      <c r="G175" t="str">
        <v>Speler</v>
      </c>
    </row>
    <row r="176" spans="1:7" x14ac:dyDescent="0.25">
      <c r="A176" t="str">
        <v>Gust Ottevaere</v>
      </c>
      <c r="B176" t="str">
        <v>maaike.teirlinck@telenet.be</v>
      </c>
      <c r="C176" t="str">
        <v>320476260862</v>
      </c>
      <c r="D176" t="str">
        <v/>
      </c>
      <c r="E176" s="2" t="str">
        <v/>
      </c>
      <c r="F176" t="str">
        <v>J16 A Haantjes CERTIFISC Oudenaarde</v>
      </c>
      <c r="G176" t="str">
        <v>Speler</v>
      </c>
    </row>
    <row r="177" spans="1:7" x14ac:dyDescent="0.25">
      <c r="A177" t="str">
        <v>Anoek Van Caeneghem</v>
      </c>
      <c r="B177" t="str">
        <v/>
      </c>
      <c r="C177" t="str">
        <v>0498086024</v>
      </c>
      <c r="D177" t="str">
        <v>https://app.twizzit.com/public/photos/11917018/s/e098521fbafba2a80a9ddb8d7c06f83cdbae52a9.png</v>
      </c>
      <c r="E177" s="2" t="str">
        <v/>
      </c>
      <c r="F177" t="str">
        <v>J16 A Haantjes CERTIFISC Oudenaarde</v>
      </c>
      <c r="G177" t="str">
        <v>Coach</v>
      </c>
    </row>
    <row r="178" spans="1:7" x14ac:dyDescent="0.25">
      <c r="A178" t="str">
        <v>Joao Arickx</v>
      </c>
      <c r="B178" t="str">
        <v/>
      </c>
      <c r="C178" t="str">
        <v>32489669827</v>
      </c>
      <c r="D178" t="str">
        <v/>
      </c>
      <c r="E178" s="2">
        <v>730038</v>
      </c>
      <c r="F178" t="str">
        <v>J16 B Haantjes CERTIFISC Oudenaarde</v>
      </c>
      <c r="G178" t="str">
        <v>Speler</v>
      </c>
    </row>
    <row r="179" spans="1:7" x14ac:dyDescent="0.25">
      <c r="A179" t="str">
        <v>Jasper Baert</v>
      </c>
      <c r="B179" t="str">
        <v>baert_stijn@hotmail.com</v>
      </c>
      <c r="C179" t="str">
        <v>486584984</v>
      </c>
      <c r="D179" t="str">
        <v>https://app.twizzit.com/public/photos/2650780/s/77c3f1ac992ce48307c6c7ab431ab89e2bd37774.png</v>
      </c>
      <c r="E179" s="2">
        <v>736579</v>
      </c>
      <c r="F179" t="str">
        <v>J16 B Haantjes CERTIFISC Oudenaarde</v>
      </c>
      <c r="G179" t="str">
        <v>Speler</v>
      </c>
    </row>
    <row r="180" spans="1:7" x14ac:dyDescent="0.25">
      <c r="A180" t="str">
        <v>Emile Berkvens</v>
      </c>
      <c r="B180" t="str">
        <v/>
      </c>
      <c r="C180" t="str">
        <v>474613344</v>
      </c>
      <c r="D180" t="str">
        <v>https://app.twizzit.com/public/photos/2650778/s/15d2f475817dbbc2474d7d1a8b8b6a06ed3f6c72.png</v>
      </c>
      <c r="E180" s="2">
        <v>739383</v>
      </c>
      <c r="F180" t="str">
        <v>J16 B Haantjes CERTIFISC Oudenaarde</v>
      </c>
      <c r="G180" t="str">
        <v>Speler</v>
      </c>
    </row>
    <row r="181" spans="1:7" x14ac:dyDescent="0.25">
      <c r="A181" t="str">
        <v>Len De Coussemaker</v>
      </c>
      <c r="B181" t="str">
        <v>kristien.vdv@telenet.be</v>
      </c>
      <c r="C181" t="str">
        <v>32468280854</v>
      </c>
      <c r="D181" t="str">
        <v>https://app.twizzit.com/public/photos/2182636/s/ac8133dfa6021f95e4cb86240c3d9e68218f8a83.png</v>
      </c>
      <c r="E181" s="2">
        <v>717356</v>
      </c>
      <c r="F181" t="str">
        <v>J16 B Haantjes CERTIFISC Oudenaarde</v>
      </c>
      <c r="G181" t="str">
        <v>Speler</v>
      </c>
    </row>
    <row r="182" spans="1:7" x14ac:dyDescent="0.25">
      <c r="A182" t="str">
        <v>Niels De Lepeleire</v>
      </c>
      <c r="B182" t="str">
        <v/>
      </c>
      <c r="C182" t="str">
        <v>320470775058</v>
      </c>
      <c r="D182" t="str">
        <v/>
      </c>
      <c r="E182" s="2">
        <v>213745</v>
      </c>
      <c r="F182" t="str">
        <v>J16 B Haantjes CERTIFISC Oudenaarde</v>
      </c>
      <c r="G182" t="str">
        <v>Coach</v>
      </c>
    </row>
    <row r="183" spans="1:7" x14ac:dyDescent="0.25">
      <c r="A183" t="str">
        <v>Emmanuel Dull</v>
      </c>
      <c r="B183" t="str">
        <v/>
      </c>
      <c r="C183" t="str">
        <v>0472172783</v>
      </c>
      <c r="D183" t="str">
        <v/>
      </c>
      <c r="E183" s="2" t="str">
        <v/>
      </c>
      <c r="F183" t="str">
        <v>J16 B Haantjes CERTIFISC Oudenaarde</v>
      </c>
      <c r="G183" t="str">
        <v>Speler</v>
      </c>
    </row>
    <row r="184" spans="1:7" x14ac:dyDescent="0.25">
      <c r="A184" t="str">
        <v>Victor Geiregat</v>
      </c>
      <c r="B184" t="str">
        <v>jurgengeiregat@gmail.com</v>
      </c>
      <c r="C184" t="str">
        <v>0485242755</v>
      </c>
      <c r="D184" t="str">
        <v/>
      </c>
      <c r="E184" s="2" t="str">
        <v/>
      </c>
      <c r="F184" t="str">
        <v>J16 B Haantjes CERTIFISC Oudenaarde</v>
      </c>
      <c r="G184" t="str">
        <v>Speler</v>
      </c>
    </row>
    <row r="185" spans="1:7" x14ac:dyDescent="0.25">
      <c r="A185" t="str">
        <v>Alexander Libert</v>
      </c>
      <c r="B185" t="str">
        <v>s_ardenois@hotmail.com</v>
      </c>
      <c r="C185" t="str">
        <v>0479788543</v>
      </c>
      <c r="D185" t="str">
        <v/>
      </c>
      <c r="E185" s="2">
        <v>723668</v>
      </c>
      <c r="F185" t="str">
        <v>J16 B Haantjes CERTIFISC Oudenaarde</v>
      </c>
      <c r="G185" t="str">
        <v>Speler</v>
      </c>
    </row>
    <row r="186" spans="1:7" x14ac:dyDescent="0.25">
      <c r="A186" t="str">
        <v>Jean-Reno Neyrinck</v>
      </c>
      <c r="B186" t="str">
        <v/>
      </c>
      <c r="C186" t="str">
        <v>474078109</v>
      </c>
      <c r="D186" t="str">
        <v>https://app.twizzit.com/public/photos/3543437/s/4b4d34aba7c38171a5f39885d89d2a702bb4c5c8.jpeg</v>
      </c>
      <c r="E186" s="2" t="str">
        <v/>
      </c>
      <c r="F186" t="str">
        <v>J16 B Haantjes CERTIFISC Oudenaarde</v>
      </c>
      <c r="G186" t="str">
        <v>Speler</v>
      </c>
    </row>
    <row r="187" spans="1:7" x14ac:dyDescent="0.25">
      <c r="A187" t="str">
        <v>Maro Thas</v>
      </c>
      <c r="B187" t="str">
        <v/>
      </c>
      <c r="C187" t="str">
        <v>0472433051</v>
      </c>
      <c r="D187" t="str">
        <v>https://app.twizzit.com/public/photos/3451572/s/f7bd7e0dc5dd014e64108bf9fe43059bbb6a9a41.png</v>
      </c>
      <c r="E187" s="2" t="str">
        <v/>
      </c>
      <c r="F187" t="str">
        <v>J16 B Haantjes CERTIFISC Oudenaarde</v>
      </c>
      <c r="G187" t="str">
        <v>Speler</v>
      </c>
    </row>
    <row r="188" spans="1:7" x14ac:dyDescent="0.25">
      <c r="A188" t="str">
        <v>Kobe Vandaele</v>
      </c>
      <c r="B188" t="str">
        <v/>
      </c>
      <c r="C188" t="str">
        <v>478439213</v>
      </c>
      <c r="D188" t="str">
        <v/>
      </c>
      <c r="E188" s="2">
        <v>739424</v>
      </c>
      <c r="F188" t="str">
        <v>J16 B Haantjes CERTIFISC Oudenaarde</v>
      </c>
      <c r="G188" t="str">
        <v>Speler</v>
      </c>
    </row>
    <row r="189" spans="1:7" x14ac:dyDescent="0.25">
      <c r="A189" t="str">
        <v>Lukas Vandemaele</v>
      </c>
      <c r="B189" t="str">
        <v>Wimvandemaele@hotmail.com</v>
      </c>
      <c r="C189" t="str">
        <v>3247849513</v>
      </c>
      <c r="D189" t="str">
        <v/>
      </c>
      <c r="E189" s="2">
        <v>735083</v>
      </c>
      <c r="F189" t="str">
        <v>J16 B Haantjes CERTIFISC Oudenaarde</v>
      </c>
      <c r="G189" t="str">
        <v>Speler</v>
      </c>
    </row>
    <row r="190" spans="1:7" x14ac:dyDescent="0.25">
      <c r="A190" t="str">
        <v>Mats Verstraeten</v>
      </c>
      <c r="B190" t="str">
        <v/>
      </c>
      <c r="C190" t="str">
        <v>497152857</v>
      </c>
      <c r="D190" t="str">
        <v/>
      </c>
      <c r="E190" s="2" t="str">
        <v/>
      </c>
      <c r="F190" t="str">
        <v>J16 B Haantjes CERTIFISC Oudenaarde</v>
      </c>
      <c r="G190" t="str">
        <v>Speler</v>
      </c>
    </row>
    <row r="191" spans="1:7" x14ac:dyDescent="0.25">
      <c r="A191" t="str">
        <v>Matti Bogaert</v>
      </c>
      <c r="B191" t="str">
        <v>mboogie800@hotmail.com</v>
      </c>
      <c r="C191" t="str">
        <v>0478427271</v>
      </c>
      <c r="D191" t="str">
        <v/>
      </c>
      <c r="E191" s="2">
        <v>737616</v>
      </c>
      <c r="F191" t="str">
        <v>J18 A Haantjes CERTIFISC Oudenaarde</v>
      </c>
      <c r="G191" t="str">
        <v>Speler</v>
      </c>
    </row>
    <row r="192" spans="1:7" x14ac:dyDescent="0.25">
      <c r="A192" t="str">
        <v>Sofian D'Haenen</v>
      </c>
      <c r="B192" t="str">
        <v/>
      </c>
      <c r="C192" t="str">
        <v/>
      </c>
      <c r="D192" t="str">
        <v/>
      </c>
      <c r="E192" s="2" t="str">
        <v/>
      </c>
      <c r="F192" t="str">
        <v>J18 A Haantjes CERTIFISC Oudenaarde</v>
      </c>
      <c r="G192" t="str">
        <v>Speler</v>
      </c>
    </row>
    <row r="193" spans="1:7" x14ac:dyDescent="0.25">
      <c r="A193" t="str">
        <v>Yunus D'Haenen</v>
      </c>
      <c r="B193" t="str">
        <v/>
      </c>
      <c r="C193" t="str">
        <v/>
      </c>
      <c r="D193" t="str">
        <v/>
      </c>
      <c r="E193" s="2" t="str">
        <v/>
      </c>
      <c r="F193" t="str">
        <v>J18 A Haantjes CERTIFISC Oudenaarde</v>
      </c>
      <c r="G193" t="str">
        <v>Speler</v>
      </c>
    </row>
    <row r="194" spans="1:7" x14ac:dyDescent="0.25">
      <c r="A194" t="str">
        <v>David De Brabander</v>
      </c>
      <c r="B194" t="str">
        <v/>
      </c>
      <c r="C194" t="str">
        <v>0478251758</v>
      </c>
      <c r="D194" t="str">
        <v>https://app.twizzit.com/public/photos/4024795/s/7af12ff114d5d53515b4f220ddc6cdb6ff121519.png</v>
      </c>
      <c r="E194" s="2">
        <v>32746</v>
      </c>
      <c r="F194" t="str">
        <v>J18 A Haantjes CERTIFISC Oudenaarde</v>
      </c>
      <c r="G194" t="str">
        <v>Coach</v>
      </c>
    </row>
    <row r="195" spans="1:7" x14ac:dyDescent="0.25">
      <c r="A195" t="str">
        <v>Milan De Brabander</v>
      </c>
      <c r="B195" t="str">
        <v>Dorinne.reynen@gmail.com</v>
      </c>
      <c r="C195" t="str">
        <v>0473865789</v>
      </c>
      <c r="D195" t="str">
        <v>https://app.twizzit.com/public/photos/3519915/s/cb4bbdba90c700302dcd9548901e284ce021df92.jpeg</v>
      </c>
      <c r="E195" s="2">
        <v>748910</v>
      </c>
      <c r="F195" t="str">
        <v>J18 A Haantjes CERTIFISC Oudenaarde</v>
      </c>
      <c r="G195" t="str">
        <v>Speler</v>
      </c>
    </row>
    <row r="196" spans="1:7" x14ac:dyDescent="0.25">
      <c r="A196" t="str">
        <v>Emile-Louis De Windt</v>
      </c>
      <c r="B196" t="str">
        <v>dwingrey@gmail.com</v>
      </c>
      <c r="C196" t="str">
        <v>0485843240</v>
      </c>
      <c r="D196" t="str">
        <v>https://app.twizzit.com/public/photos/3463928/s/65ba284a6aa8f67e5b08f396e397206e4afd6e82.png</v>
      </c>
      <c r="E196" s="2">
        <v>747479</v>
      </c>
      <c r="F196" t="str">
        <v>J18 A Haantjes CERTIFISC Oudenaarde</v>
      </c>
      <c r="G196" t="str">
        <v>Speler</v>
      </c>
    </row>
    <row r="197" spans="1:7" x14ac:dyDescent="0.25">
      <c r="A197" t="str">
        <v>Jasper Espeel</v>
      </c>
      <c r="B197" t="str">
        <v>leen.rebry@ugent.be</v>
      </c>
      <c r="C197" t="str">
        <v>0496150874</v>
      </c>
      <c r="D197" t="str">
        <v/>
      </c>
      <c r="E197" s="2">
        <v>749137</v>
      </c>
      <c r="F197" t="str">
        <v>J18 A Haantjes CERTIFISC Oudenaarde</v>
      </c>
      <c r="G197" t="str">
        <v>Speler</v>
      </c>
    </row>
    <row r="198" spans="1:7" x14ac:dyDescent="0.25">
      <c r="A198" t="str">
        <v>Vic Huysman</v>
      </c>
      <c r="B198" t="str">
        <v/>
      </c>
      <c r="C198" t="str">
        <v>474884540</v>
      </c>
      <c r="D198" t="str">
        <v>https://app.twizzit.com/public/photos/2936186/s/c4015a6cfb380c1e7090d66488ca6326fa9caa7a.png</v>
      </c>
      <c r="E198" s="2">
        <v>744354</v>
      </c>
      <c r="F198" t="str">
        <v>J18 A Haantjes CERTIFISC Oudenaarde</v>
      </c>
      <c r="G198" t="str">
        <v>Speler</v>
      </c>
    </row>
    <row r="199" spans="1:7" x14ac:dyDescent="0.25">
      <c r="A199" t="str">
        <v>Rayan Lebrouchi Poddubnaya</v>
      </c>
      <c r="B199" t="str">
        <v>marina.pd34@gmail</v>
      </c>
      <c r="C199" t="str">
        <v>0492948427</v>
      </c>
      <c r="D199" t="str">
        <v/>
      </c>
      <c r="E199" s="2" t="str">
        <v/>
      </c>
      <c r="F199" t="str">
        <v>J18 A Haantjes CERTIFISC Oudenaarde</v>
      </c>
      <c r="G199" t="str">
        <v>Speler</v>
      </c>
    </row>
    <row r="200" spans="1:7" x14ac:dyDescent="0.25">
      <c r="A200" t="str">
        <v>Brecht Van Glabeke</v>
      </c>
      <c r="B200" t="str">
        <v/>
      </c>
      <c r="C200" t="str">
        <v>32470671727</v>
      </c>
      <c r="D200" t="str">
        <v/>
      </c>
      <c r="E200" s="2" t="str">
        <v/>
      </c>
      <c r="F200" t="str">
        <v>J18 A Haantjes CERTIFISC Oudenaarde</v>
      </c>
      <c r="G200" t="str">
        <v>Speler</v>
      </c>
    </row>
    <row r="201" spans="1:7" x14ac:dyDescent="0.25">
      <c r="A201" t="str">
        <v>Miro Van Schoorisse</v>
      </c>
      <c r="B201" t="str">
        <v>mirovanschoorisse@gmail.com</v>
      </c>
      <c r="C201" t="str">
        <v>32496771030</v>
      </c>
      <c r="D201" t="str">
        <v/>
      </c>
      <c r="E201" s="2">
        <v>709427</v>
      </c>
      <c r="F201" t="str">
        <v>J18 A Haantjes CERTIFISC Oudenaarde</v>
      </c>
      <c r="G201" t="str">
        <v>Speler</v>
      </c>
    </row>
    <row r="202" spans="1:7" x14ac:dyDescent="0.25">
      <c r="A202" t="str">
        <v>Bram Van Wyngene</v>
      </c>
      <c r="B202" t="str">
        <v/>
      </c>
      <c r="C202" t="str">
        <v>0477349575</v>
      </c>
      <c r="D202" t="str">
        <v/>
      </c>
      <c r="E202" s="2" t="str">
        <v/>
      </c>
      <c r="F202" t="str">
        <v>J18 A Haantjes CERTIFISC Oudenaarde</v>
      </c>
      <c r="G202" t="str">
        <v>Coach</v>
      </c>
    </row>
    <row r="203" spans="1:7" x14ac:dyDescent="0.25">
      <c r="A203" t="str">
        <v>Lowie Vande Kerckhove</v>
      </c>
      <c r="B203" t="str">
        <v/>
      </c>
      <c r="C203" t="str">
        <v>0498621224</v>
      </c>
      <c r="D203" t="str">
        <v/>
      </c>
      <c r="E203" s="2">
        <v>705824</v>
      </c>
      <c r="F203" t="str">
        <v>J18 A Haantjes CERTIFISC Oudenaarde</v>
      </c>
      <c r="G203" t="str">
        <v>Speler</v>
      </c>
    </row>
    <row r="204" spans="1:7" x14ac:dyDescent="0.25">
      <c r="A204" t="str">
        <v>Thomas Viaene</v>
      </c>
      <c r="B204" t="str">
        <v/>
      </c>
      <c r="C204" t="str">
        <v>0497313727</v>
      </c>
      <c r="D204" t="str">
        <v/>
      </c>
      <c r="E204" s="2">
        <v>739602</v>
      </c>
      <c r="F204" t="str">
        <v>J18 A Haantjes CERTIFISC Oudenaarde</v>
      </c>
      <c r="G204" t="str">
        <v>Speler</v>
      </c>
    </row>
    <row r="205" spans="1:7" x14ac:dyDescent="0.25">
      <c r="A205" t="str">
        <v>Bent Anseeuw</v>
      </c>
      <c r="B205" t="str">
        <v>bent.anseeuw@gmail.com</v>
      </c>
      <c r="C205" t="str">
        <v>0497023380</v>
      </c>
      <c r="D205" t="str">
        <v>https://app.twizzit.com/public/photos/2182451/s/d40702514c4affc118f06eee4555b1ca966c4e65.png</v>
      </c>
      <c r="E205" s="2">
        <v>713666</v>
      </c>
      <c r="F205" t="str">
        <v>J18 B Haantjes CERTIFISC Oudenaarde</v>
      </c>
      <c r="G205" t="str">
        <v>Speler</v>
      </c>
    </row>
    <row r="206" spans="1:7" x14ac:dyDescent="0.25">
      <c r="A206" t="str">
        <v>Vince Beke</v>
      </c>
      <c r="B206" t="str">
        <v>wim.beke@telenet.be</v>
      </c>
      <c r="C206" t="str">
        <v>0494534565</v>
      </c>
      <c r="D206" t="str">
        <v>https://app.twizzit.com/public/photos/2182501/s/ff9efabb61fd27d35070a050abd98c15c9bfe6c5.png</v>
      </c>
      <c r="E206" s="2">
        <v>715506</v>
      </c>
      <c r="F206" t="str">
        <v>J18 B Haantjes CERTIFISC Oudenaarde</v>
      </c>
      <c r="G206" t="str">
        <v>Speler</v>
      </c>
    </row>
    <row r="207" spans="1:7" x14ac:dyDescent="0.25">
      <c r="A207" t="str">
        <v>Quinten Benoot</v>
      </c>
      <c r="B207" t="str">
        <v>Benoothans20@gmail.com</v>
      </c>
      <c r="C207" t="str">
        <v>0485287357</v>
      </c>
      <c r="D207" t="str">
        <v>https://app.twizzit.com/public/photos/4080393/s/fc77b80b0f519cf2bcaae55fec7f11c92e5c4d9f.jpeg</v>
      </c>
      <c r="E207" s="2">
        <v>753437</v>
      </c>
      <c r="F207" t="str">
        <v>J18 B Haantjes CERTIFISC Oudenaarde</v>
      </c>
      <c r="G207" t="str">
        <v>Speler</v>
      </c>
    </row>
    <row r="208" spans="1:7" x14ac:dyDescent="0.25">
      <c r="A208" t="str">
        <v>Liam Bourgeois</v>
      </c>
      <c r="B208" t="str">
        <v/>
      </c>
      <c r="C208" t="str">
        <v>0471543824</v>
      </c>
      <c r="D208" t="str">
        <v/>
      </c>
      <c r="E208" s="2" t="str">
        <v/>
      </c>
      <c r="F208" t="str">
        <v>J18 B Haantjes CERTIFISC Oudenaarde</v>
      </c>
      <c r="G208" t="str">
        <v>Speler</v>
      </c>
    </row>
    <row r="209" spans="1:7" x14ac:dyDescent="0.25">
      <c r="A209" t="str">
        <v>Kobe Boutmans</v>
      </c>
      <c r="B209" t="str">
        <v/>
      </c>
      <c r="C209" t="str">
        <v>0479888902</v>
      </c>
      <c r="D209" t="str">
        <v/>
      </c>
      <c r="E209" s="2">
        <v>731700</v>
      </c>
      <c r="F209" t="str">
        <v>J18 B Haantjes CERTIFISC Oudenaarde</v>
      </c>
      <c r="G209" t="str">
        <v>Speler</v>
      </c>
    </row>
    <row r="210" spans="1:7" x14ac:dyDescent="0.25">
      <c r="A210" t="str">
        <v>Dylann Bufkens</v>
      </c>
      <c r="B210" t="str">
        <v/>
      </c>
      <c r="C210" t="str">
        <v>0493561486</v>
      </c>
      <c r="D210" t="str">
        <v/>
      </c>
      <c r="E210" s="2">
        <v>638804</v>
      </c>
      <c r="F210" t="str">
        <v>J18 B Haantjes CERTIFISC Oudenaarde</v>
      </c>
      <c r="G210" t="str">
        <v>Coach</v>
      </c>
    </row>
    <row r="211" spans="1:7" x14ac:dyDescent="0.25">
      <c r="A211" t="str">
        <v>Mathis Cromheeke</v>
      </c>
      <c r="B211" t="str">
        <v/>
      </c>
      <c r="C211" t="str">
        <v/>
      </c>
      <c r="D211" t="str">
        <v/>
      </c>
      <c r="E211" s="2">
        <v>715872</v>
      </c>
      <c r="F211" t="str">
        <v>J18 B Haantjes CERTIFISC Oudenaarde</v>
      </c>
      <c r="G211" t="str">
        <v>Speler</v>
      </c>
    </row>
    <row r="212" spans="1:7" x14ac:dyDescent="0.25">
      <c r="A212" t="str">
        <v>Niels De Coussemaker</v>
      </c>
      <c r="B212" t="str">
        <v>kristien@coussies.be</v>
      </c>
      <c r="C212" t="str">
        <v>32490195438</v>
      </c>
      <c r="D212" t="str">
        <v>https://app.twizzit.com/public/photos/2182641/s/bc2ed87ccb6bf61129b3522eabde4c5cff856719.png</v>
      </c>
      <c r="E212" s="2">
        <v>708695</v>
      </c>
      <c r="F212" t="str">
        <v>J18 B Haantjes CERTIFISC Oudenaarde</v>
      </c>
      <c r="G212" t="str">
        <v>Speler</v>
      </c>
    </row>
    <row r="213" spans="1:7" x14ac:dyDescent="0.25">
      <c r="A213" t="str">
        <v>Sam Liekens</v>
      </c>
      <c r="B213" t="str">
        <v/>
      </c>
      <c r="C213" t="str">
        <v>0478888243</v>
      </c>
      <c r="D213" t="str">
        <v>https://app.twizzit.com/public/photos/3475283/s/e532263ea43cddb59650656f3777387ca04d2de4.jpeg</v>
      </c>
      <c r="E213" s="2">
        <v>749236</v>
      </c>
      <c r="F213" t="str">
        <v>J18 B Haantjes CERTIFISC Oudenaarde</v>
      </c>
      <c r="G213" t="str">
        <v>Speler</v>
      </c>
    </row>
    <row r="214" spans="1:7" x14ac:dyDescent="0.25">
      <c r="A214" t="str">
        <v>Kamiel Mahieu</v>
      </c>
      <c r="B214" t="str">
        <v/>
      </c>
      <c r="C214" t="str">
        <v>0473745981</v>
      </c>
      <c r="D214" t="str">
        <v/>
      </c>
      <c r="E214" s="2" t="str">
        <v/>
      </c>
      <c r="F214" t="str">
        <v>J18 B Haantjes CERTIFISC Oudenaarde</v>
      </c>
      <c r="G214" t="str">
        <v>Speler</v>
      </c>
    </row>
    <row r="215" spans="1:7" x14ac:dyDescent="0.25">
      <c r="A215" t="str">
        <v>Ziano Schoenmaekers</v>
      </c>
      <c r="B215" t="str">
        <v>pedro.schoenmaekers@hotmail.com</v>
      </c>
      <c r="C215" t="str">
        <v>0476935877</v>
      </c>
      <c r="D215" t="str">
        <v>https://app.twizzit.com/public/photos/2650796/s/806ce17769fd3d29fc435d865a5b302b6c25c6ca.png</v>
      </c>
      <c r="E215" s="2">
        <v>743241</v>
      </c>
      <c r="F215" t="str">
        <v>J18 B Haantjes CERTIFISC Oudenaarde</v>
      </c>
      <c r="G215" t="str">
        <v>Speler</v>
      </c>
    </row>
    <row r="216" spans="1:7" x14ac:dyDescent="0.25">
      <c r="A216" t="str">
        <v>Jaimie Van Marcke</v>
      </c>
      <c r="B216" t="str">
        <v/>
      </c>
      <c r="C216" t="str">
        <v>32474552662</v>
      </c>
      <c r="D216" t="str">
        <v>https://app.twizzit.com/public/photos/4080394/s/a0a6f7a1f3c9650e7b60b7c90fcc741fdb018fb0.png</v>
      </c>
      <c r="E216" s="2" t="str">
        <v/>
      </c>
      <c r="F216" t="str">
        <v>J18 B Haantjes CERTIFISC Oudenaarde</v>
      </c>
      <c r="G216" t="str">
        <v>Speler</v>
      </c>
    </row>
    <row r="217" spans="1:7" x14ac:dyDescent="0.25">
      <c r="A217" t="str">
        <v>Emiel Verlinden</v>
      </c>
      <c r="B217" t="str">
        <v/>
      </c>
      <c r="C217" t="str">
        <v>0478376691</v>
      </c>
      <c r="D217" t="str">
        <v/>
      </c>
      <c r="E217" s="2">
        <v>733989</v>
      </c>
      <c r="F217" t="str">
        <v>J18 B Haantjes CERTIFISC Oudenaarde</v>
      </c>
      <c r="G217" t="str">
        <v>Speler</v>
      </c>
    </row>
    <row r="218" spans="1:7" x14ac:dyDescent="0.25">
      <c r="A218" t="str">
        <v>Rémi Bauters</v>
      </c>
      <c r="B218" t="str">
        <v/>
      </c>
      <c r="C218" t="str">
        <v>0497078444</v>
      </c>
      <c r="D218" t="str">
        <v/>
      </c>
      <c r="E218" s="2" t="str">
        <v/>
      </c>
      <c r="F218" t="str">
        <v>J21 A HAANTJES CERTIFISC OUDENAARDE</v>
      </c>
      <c r="G218" t="str">
        <v>Speler</v>
      </c>
    </row>
    <row r="219" spans="1:7" x14ac:dyDescent="0.25">
      <c r="A219" t="str">
        <v>Luka Coryn</v>
      </c>
      <c r="B219" t="str">
        <v>michael.coryn@telenet.be</v>
      </c>
      <c r="C219" t="str">
        <v>0471737015</v>
      </c>
      <c r="D219" t="str">
        <v/>
      </c>
      <c r="E219" s="2">
        <v>724313</v>
      </c>
      <c r="F219" t="str">
        <v>J21 A HAANTJES CERTIFISC OUDENAARDE</v>
      </c>
      <c r="G219" t="str">
        <v>Speler</v>
      </c>
    </row>
    <row r="220" spans="1:7" x14ac:dyDescent="0.25">
      <c r="A220" t="str">
        <v>Tanguy Creteur</v>
      </c>
      <c r="B220" t="str">
        <v>david@credelec.be</v>
      </c>
      <c r="C220" t="str">
        <v>0470535338</v>
      </c>
      <c r="D220" t="str">
        <v/>
      </c>
      <c r="E220" s="2">
        <v>737982</v>
      </c>
      <c r="F220" t="str">
        <v>J21 A HAANTJES CERTIFISC OUDENAARDE</v>
      </c>
      <c r="G220" t="str">
        <v>Speler</v>
      </c>
    </row>
    <row r="221" spans="1:7" x14ac:dyDescent="0.25">
      <c r="A221" t="str">
        <v>David De Brabander</v>
      </c>
      <c r="B221" t="str">
        <v/>
      </c>
      <c r="C221" t="str">
        <v>0478251758</v>
      </c>
      <c r="D221" t="str">
        <v>https://app.twizzit.com/public/photos/4024795/s/7af12ff114d5d53515b4f220ddc6cdb6ff121519.png</v>
      </c>
      <c r="E221" s="2">
        <v>32746</v>
      </c>
      <c r="F221" t="str">
        <v>J21 A HAANTJES CERTIFISC OUDENAARDE</v>
      </c>
      <c r="G221" t="str">
        <v>Coach</v>
      </c>
    </row>
    <row r="222" spans="1:7" x14ac:dyDescent="0.25">
      <c r="A222" t="str">
        <v>Pieter Diependaele</v>
      </c>
      <c r="B222" t="str">
        <v>coachpieter.basket@gmail.com</v>
      </c>
      <c r="C222" t="str">
        <v>32479044986</v>
      </c>
      <c r="D222" t="str">
        <v>https://app.twizzit.com/public/photos/3239965/s/944ad53074c1441abd98efedc98fef813d2f093f.png</v>
      </c>
      <c r="E222" s="2">
        <v>658023</v>
      </c>
      <c r="F222" t="str">
        <v>J21 A HAANTJES CERTIFISC OUDENAARDE</v>
      </c>
      <c r="G222" t="str">
        <v>Speler</v>
      </c>
    </row>
    <row r="223" spans="1:7" x14ac:dyDescent="0.25">
      <c r="A223" t="str">
        <v>Thomas Goossens</v>
      </c>
      <c r="B223" t="str">
        <v/>
      </c>
      <c r="C223" t="str">
        <v>0477281468</v>
      </c>
      <c r="D223" t="str">
        <v>https://app.twizzit.com/public/photos/2182921/s/d5ec4bbccbaf575bfa3a597df60827a1e6809d4b.png</v>
      </c>
      <c r="E223" s="2">
        <v>708299</v>
      </c>
      <c r="F223" t="str">
        <v>J21 A HAANTJES CERTIFISC OUDENAARDE</v>
      </c>
      <c r="G223" t="str">
        <v>Speler</v>
      </c>
    </row>
    <row r="224" spans="1:7" x14ac:dyDescent="0.25">
      <c r="A224" t="str">
        <v>Sander Hakuzimana</v>
      </c>
      <c r="B224" t="str">
        <v/>
      </c>
      <c r="C224" t="str">
        <v>0496950967</v>
      </c>
      <c r="D224" t="str">
        <v/>
      </c>
      <c r="E224" s="2" t="str">
        <v/>
      </c>
      <c r="F224" t="str">
        <v>J21 A HAANTJES CERTIFISC OUDENAARDE</v>
      </c>
      <c r="G224" t="str">
        <v>Speler</v>
      </c>
    </row>
    <row r="225" spans="1:7" x14ac:dyDescent="0.25">
      <c r="A225" t="str">
        <v>Arno Heyerick</v>
      </c>
      <c r="B225" t="str">
        <v/>
      </c>
      <c r="C225" t="str">
        <v>0479480500</v>
      </c>
      <c r="D225" t="str">
        <v/>
      </c>
      <c r="E225" s="2">
        <v>665927</v>
      </c>
      <c r="F225" t="str">
        <v>J21 A HAANTJES CERTIFISC OUDENAARDE</v>
      </c>
      <c r="G225" t="str">
        <v>Speler</v>
      </c>
    </row>
    <row r="226" spans="1:7" x14ac:dyDescent="0.25">
      <c r="A226" t="str">
        <v>Rayan Lebrouchi Poddubnaya</v>
      </c>
      <c r="B226" t="str">
        <v>marina.pd34@gmail</v>
      </c>
      <c r="C226" t="str">
        <v>0492948427</v>
      </c>
      <c r="D226" t="str">
        <v/>
      </c>
      <c r="E226" s="2" t="str">
        <v/>
      </c>
      <c r="F226" t="str">
        <v>J21 A HAANTJES CERTIFISC OUDENAARDE</v>
      </c>
      <c r="G226" t="str">
        <v>Speler</v>
      </c>
    </row>
    <row r="227" spans="1:7" x14ac:dyDescent="0.25">
      <c r="A227" t="str">
        <v>Emiel Vanderhelstraeten</v>
      </c>
      <c r="B227" t="str">
        <v>anneleendesmet1978@outlook.com</v>
      </c>
      <c r="C227" t="str">
        <v/>
      </c>
      <c r="D227" t="str">
        <v/>
      </c>
      <c r="E227" s="2">
        <v>666306</v>
      </c>
      <c r="F227" t="str">
        <v>J21 A HAANTJES CERTIFISC OUDENAARDE</v>
      </c>
      <c r="G227" t="str">
        <v>Speler</v>
      </c>
    </row>
    <row r="228" spans="1:7" x14ac:dyDescent="0.25">
      <c r="A228" t="str">
        <v>Bogdan Verstraete</v>
      </c>
      <c r="B228" t="str">
        <v>wtbi.verstraete@gmail.com</v>
      </c>
      <c r="C228" t="str">
        <v>0486983966</v>
      </c>
      <c r="D228" t="str">
        <v/>
      </c>
      <c r="E228" s="2">
        <v>705479</v>
      </c>
      <c r="F228" t="str">
        <v>J21 A HAANTJES CERTIFISC OUDENAARDE</v>
      </c>
      <c r="G228" t="str">
        <v>Speler</v>
      </c>
    </row>
    <row r="229" spans="1:7" x14ac:dyDescent="0.25">
      <c r="A229" t="str">
        <v>Bo Bauters</v>
      </c>
      <c r="B229" t="str">
        <v>Jurgenbauters@gmail.com</v>
      </c>
      <c r="C229" t="str">
        <v>0497533520</v>
      </c>
      <c r="D229" t="str">
        <v>https://app.twizzit.com/public/photos/3472864/s/02d5da48533f12868f14fb4b62a0634d769bf8a7.png</v>
      </c>
      <c r="E229" s="2" t="str">
        <v/>
      </c>
      <c r="F229" t="str">
        <v>M10 HAANTJES CERTIFISC OUDENAARDE</v>
      </c>
      <c r="G229" t="str">
        <v>Speler</v>
      </c>
    </row>
    <row r="230" spans="1:7" x14ac:dyDescent="0.25">
      <c r="A230" t="str">
        <v>Karen Dans</v>
      </c>
      <c r="B230" t="str">
        <v/>
      </c>
      <c r="C230" t="str">
        <v>320494698322</v>
      </c>
      <c r="D230" t="str">
        <v>https://app.twizzit.com/public/photos/2182586/s/3c061ecaa7eb60b4e8b27f2490fa3fff24778b0c.png</v>
      </c>
      <c r="E230" s="2">
        <v>220520</v>
      </c>
      <c r="F230" t="str">
        <v>M10 HAANTJES CERTIFISC OUDENAARDE</v>
      </c>
      <c r="G230" t="str">
        <v>Coach</v>
      </c>
    </row>
    <row r="231" spans="1:7" x14ac:dyDescent="0.25">
      <c r="A231" t="str">
        <v>Camille De vreese</v>
      </c>
      <c r="B231" t="str">
        <v/>
      </c>
      <c r="C231" t="str">
        <v>0498651266</v>
      </c>
      <c r="D231" t="str">
        <v>https://app.twizzit.com/public/photos/7284534/s/89166ad605bd29d54909fd3e80a34843f88650ec.png</v>
      </c>
      <c r="E231" s="2" t="str">
        <v/>
      </c>
      <c r="F231" t="str">
        <v>M10 HAANTJES CERTIFISC OUDENAARDE</v>
      </c>
      <c r="G231" t="str">
        <v>Speler</v>
      </c>
    </row>
    <row r="232" spans="1:7" x14ac:dyDescent="0.25">
      <c r="A232" t="str">
        <v>Renée Deraedt</v>
      </c>
      <c r="B232" t="str">
        <v/>
      </c>
      <c r="C232" t="str">
        <v>320477714035</v>
      </c>
      <c r="D232" t="str">
        <v>https://app.twizzit.com/public/photos/7328300/s/7e2d6dfb7100b0ca8feb8f22a68ce2009271348a.png</v>
      </c>
      <c r="E232" s="2" t="str">
        <v/>
      </c>
      <c r="F232" t="str">
        <v>M10 HAANTJES CERTIFISC OUDENAARDE</v>
      </c>
      <c r="G232" t="str">
        <v>Speler</v>
      </c>
    </row>
    <row r="233" spans="1:7" x14ac:dyDescent="0.25">
      <c r="A233" t="str">
        <v>Fadila Ettijrini</v>
      </c>
      <c r="B233" t="str">
        <v/>
      </c>
      <c r="C233" t="str">
        <v>0470221432</v>
      </c>
      <c r="D233" t="str">
        <v/>
      </c>
      <c r="E233" s="2" t="str">
        <v/>
      </c>
      <c r="F233" t="str">
        <v>M10 HAANTJES CERTIFISC OUDENAARDE</v>
      </c>
      <c r="G233" t="str">
        <v>Speler</v>
      </c>
    </row>
    <row r="234" spans="1:7" x14ac:dyDescent="0.25">
      <c r="A234" t="str">
        <v>Alixe Geenens</v>
      </c>
      <c r="B234" t="str">
        <v>stephengeenens@gmail.com</v>
      </c>
      <c r="C234" t="str">
        <v>0477248349</v>
      </c>
      <c r="D234" t="str">
        <v/>
      </c>
      <c r="E234" s="2" t="str">
        <v/>
      </c>
      <c r="F234" t="str">
        <v>M10 HAANTJES CERTIFISC OUDENAARDE</v>
      </c>
      <c r="G234" t="str">
        <v>Speler</v>
      </c>
    </row>
    <row r="235" spans="1:7" x14ac:dyDescent="0.25">
      <c r="A235" t="str">
        <v>Dea Gocaj</v>
      </c>
      <c r="B235" t="str">
        <v/>
      </c>
      <c r="C235" t="str">
        <v>00465136417</v>
      </c>
      <c r="D235" t="str">
        <v/>
      </c>
      <c r="E235" s="2" t="str">
        <v/>
      </c>
      <c r="F235" t="str">
        <v>M10 HAANTJES CERTIFISC OUDENAARDE</v>
      </c>
      <c r="G235" t="str">
        <v>Speler</v>
      </c>
    </row>
    <row r="236" spans="1:7" x14ac:dyDescent="0.25">
      <c r="A236" t="str">
        <v>Magalie Stevens</v>
      </c>
      <c r="B236" t="str">
        <v>safadorote3@gmail.com</v>
      </c>
      <c r="C236" t="str">
        <v>0477968913</v>
      </c>
      <c r="D236" t="str">
        <v/>
      </c>
      <c r="E236" s="2" t="str">
        <v/>
      </c>
      <c r="F236" t="str">
        <v>M10 HAANTJES CERTIFISC OUDENAARDE</v>
      </c>
      <c r="G236" t="str">
        <v>Speler</v>
      </c>
    </row>
    <row r="237" spans="1:7" x14ac:dyDescent="0.25">
      <c r="A237" t="str">
        <v>Maiga Stevens</v>
      </c>
      <c r="B237" t="str">
        <v>safadorote3@gmail.com</v>
      </c>
      <c r="C237" t="str">
        <v>0477968913</v>
      </c>
      <c r="D237" t="str">
        <v/>
      </c>
      <c r="E237" s="2" t="str">
        <v/>
      </c>
      <c r="F237" t="str">
        <v>M10 HAANTJES CERTIFISC OUDENAARDE</v>
      </c>
      <c r="G237" t="str">
        <v>Speler</v>
      </c>
    </row>
    <row r="238" spans="1:7" x14ac:dyDescent="0.25">
      <c r="A238" t="str">
        <v>Ella Van de zande</v>
      </c>
      <c r="B238" t="str">
        <v>piekske007@yahoo.com</v>
      </c>
      <c r="C238" t="str">
        <v>0486372617</v>
      </c>
      <c r="D238" t="str">
        <v>https://app.twizzit.com/public/photos/7665003/s/5ed58413208ebbb451d8f9179fc6141b44a190fa.png</v>
      </c>
      <c r="E238" s="2" t="str">
        <v/>
      </c>
      <c r="F238" t="str">
        <v>M10 HAANTJES CERTIFISC OUDENAARDE</v>
      </c>
      <c r="G238" t="str">
        <v>Speler</v>
      </c>
    </row>
    <row r="239" spans="1:7" x14ac:dyDescent="0.25">
      <c r="A239" t="str">
        <v>Jeanne Waelkens</v>
      </c>
      <c r="B239" t="str">
        <v/>
      </c>
      <c r="C239" t="str">
        <v>32495460727</v>
      </c>
      <c r="D239" t="str">
        <v>https://app.twizzit.com/public/photos/3437291/s/f3577d619164c0e4ca4ac15321e6e9e51e00ea9d.png</v>
      </c>
      <c r="E239" s="2" t="str">
        <v/>
      </c>
      <c r="F239" t="str">
        <v>M10 HAANTJES CERTIFISC OUDENAARDE</v>
      </c>
      <c r="G239" t="str">
        <v>Speler</v>
      </c>
    </row>
    <row r="240" spans="1:7" x14ac:dyDescent="0.25">
      <c r="A240" t="str">
        <v>Noa Bauters</v>
      </c>
      <c r="B240" t="str">
        <v>Jurgenbauters@gmail.com</v>
      </c>
      <c r="C240" t="str">
        <v>0497533520</v>
      </c>
      <c r="D240" t="str">
        <v>https://app.twizzit.com/public/photos/11846410/s/0498863fb0a62c783eced92596a817e3339dca11.jpeg</v>
      </c>
      <c r="E240" s="2" t="str">
        <v/>
      </c>
      <c r="F240" t="str">
        <v>M12 A HAANTJES CERTIFISC OUDENAARDE</v>
      </c>
      <c r="G240" t="str">
        <v>Speler</v>
      </c>
    </row>
    <row r="241" spans="1:7" x14ac:dyDescent="0.25">
      <c r="A241" t="str">
        <v>Iris Calewaert</v>
      </c>
      <c r="B241" t="str">
        <v/>
      </c>
      <c r="C241" t="str">
        <v/>
      </c>
      <c r="D241" t="str">
        <v/>
      </c>
      <c r="E241" s="2">
        <v>622248</v>
      </c>
      <c r="F241" t="str">
        <v>M12 A HAANTJES CERTIFISC OUDENAARDE</v>
      </c>
      <c r="G241" t="str">
        <v>Coach</v>
      </c>
    </row>
    <row r="242" spans="1:7" x14ac:dyDescent="0.25">
      <c r="A242" t="str">
        <v>Minne De Coninck</v>
      </c>
      <c r="B242" t="str">
        <v>joosdeconinck@hotmail.com</v>
      </c>
      <c r="C242" t="str">
        <v>0475398321</v>
      </c>
      <c r="D242" t="str">
        <v/>
      </c>
      <c r="E242" s="2">
        <v>762628</v>
      </c>
      <c r="F242" t="str">
        <v>M12 A HAANTJES CERTIFISC OUDENAARDE</v>
      </c>
      <c r="G242" t="str">
        <v>Speler</v>
      </c>
    </row>
    <row r="243" spans="1:7" x14ac:dyDescent="0.25">
      <c r="A243" t="str">
        <v>Mary-Lou De Keukeleire</v>
      </c>
      <c r="B243" t="str">
        <v/>
      </c>
      <c r="C243" t="str">
        <v>0498363470</v>
      </c>
      <c r="D243" t="str">
        <v>https://app.twizzit.com/public/photos/7663442/s/a1e4c1d99d71fda9ac80bca383a3ddb377005195.png</v>
      </c>
      <c r="E243" s="2">
        <v>766478</v>
      </c>
      <c r="F243" t="str">
        <v>M12 A HAANTJES CERTIFISC OUDENAARDE</v>
      </c>
      <c r="G243" t="str">
        <v>Speler</v>
      </c>
    </row>
    <row r="244" spans="1:7" x14ac:dyDescent="0.25">
      <c r="A244" t="str">
        <v>Gaëlle de la Rivière</v>
      </c>
      <c r="B244" t="str">
        <v>dlrgeoffrey@gmail.com</v>
      </c>
      <c r="C244" t="str">
        <v>0494172499</v>
      </c>
      <c r="D244" t="str">
        <v/>
      </c>
      <c r="E244" s="2" t="str">
        <v/>
      </c>
      <c r="F244" t="str">
        <v>M12 A HAANTJES CERTIFISC OUDENAARDE</v>
      </c>
      <c r="G244" t="str">
        <v>Speler</v>
      </c>
    </row>
    <row r="245" spans="1:7" x14ac:dyDescent="0.25">
      <c r="A245" t="str">
        <v>Emmanuelle Dewaele</v>
      </c>
      <c r="B245" t="str">
        <v/>
      </c>
      <c r="C245" t="str">
        <v>0498070140</v>
      </c>
      <c r="D245" t="str">
        <v/>
      </c>
      <c r="E245" s="2" t="str">
        <v/>
      </c>
      <c r="F245" t="str">
        <v>M12 A HAANTJES CERTIFISC OUDENAARDE</v>
      </c>
      <c r="G245" t="str">
        <v>Speler</v>
      </c>
    </row>
    <row r="246" spans="1:7" x14ac:dyDescent="0.25">
      <c r="A246" t="str">
        <v>Maud Lacres</v>
      </c>
      <c r="B246" t="str">
        <v>taelman.elke@gmail.com</v>
      </c>
      <c r="C246" t="str">
        <v>0486264195</v>
      </c>
      <c r="D246" t="str">
        <v>https://app.twizzit.com/public/photos/7284400/s/788dc5308deee743b8d2d9764e0824010b7633fe.png</v>
      </c>
      <c r="E246" s="2">
        <v>764842</v>
      </c>
      <c r="F246" t="str">
        <v>M12 A HAANTJES CERTIFISC OUDENAARDE</v>
      </c>
      <c r="G246" t="str">
        <v>Speler</v>
      </c>
    </row>
    <row r="247" spans="1:7" x14ac:dyDescent="0.25">
      <c r="A247" t="str">
        <v>Babet Laurez</v>
      </c>
      <c r="B247" t="str">
        <v/>
      </c>
      <c r="C247" t="str">
        <v>0477501978</v>
      </c>
      <c r="D247" t="str">
        <v/>
      </c>
      <c r="E247" s="2" t="str">
        <v/>
      </c>
      <c r="F247" t="str">
        <v>M12 A HAANTJES CERTIFISC OUDENAARDE</v>
      </c>
      <c r="G247" t="str">
        <v>Speler</v>
      </c>
    </row>
    <row r="248" spans="1:7" x14ac:dyDescent="0.25">
      <c r="A248" t="str">
        <v>Felice Libert</v>
      </c>
      <c r="B248" t="str">
        <v/>
      </c>
      <c r="C248" t="str">
        <v>0473780275</v>
      </c>
      <c r="D248" t="str">
        <v>https://app.twizzit.com/public/photos/7279180/s/1c5d9fda02031baa486ebec940b4c251ec4b6762.png</v>
      </c>
      <c r="E248" s="2">
        <v>762633</v>
      </c>
      <c r="F248" t="str">
        <v>M12 A HAANTJES CERTIFISC OUDENAARDE</v>
      </c>
      <c r="G248" t="str">
        <v>Speler</v>
      </c>
    </row>
    <row r="249" spans="1:7" x14ac:dyDescent="0.25">
      <c r="A249" t="str">
        <v>Loes Van de Populiere</v>
      </c>
      <c r="B249" t="str">
        <v>biekemoone@hotmail.com</v>
      </c>
      <c r="C249" t="str">
        <v>320477353878</v>
      </c>
      <c r="D249" t="str">
        <v/>
      </c>
      <c r="E249" s="2" t="str">
        <v/>
      </c>
      <c r="F249" t="str">
        <v>M12 A HAANTJES CERTIFISC OUDENAARDE</v>
      </c>
      <c r="G249" t="str">
        <v>Speler</v>
      </c>
    </row>
    <row r="250" spans="1:7" x14ac:dyDescent="0.25">
      <c r="A250" t="str">
        <v>Emma Van Nieuwenhuyze</v>
      </c>
      <c r="B250" t="str">
        <v>maaikeschiettecatte@gmail.com</v>
      </c>
      <c r="C250" t="str">
        <v>0477259667</v>
      </c>
      <c r="D250" t="str">
        <v/>
      </c>
      <c r="E250" s="2" t="str">
        <v/>
      </c>
      <c r="F250" t="str">
        <v>M12 A HAANTJES CERTIFISC OUDENAARDE</v>
      </c>
      <c r="G250" t="str">
        <v>Speler</v>
      </c>
    </row>
    <row r="251" spans="1:7" x14ac:dyDescent="0.25">
      <c r="A251" t="str">
        <v>Joselien Vannieuwenhuyze</v>
      </c>
      <c r="B251" t="str">
        <v>elisabeth.vercammen@outlook.com</v>
      </c>
      <c r="C251" t="str">
        <v>32494645568</v>
      </c>
      <c r="D251" t="str">
        <v>https://app.twizzit.com/public/photos/7500726/s/2eff7ed0f6739149e998067c7d82dda70894fc63.png</v>
      </c>
      <c r="E251" s="2" t="str">
        <v/>
      </c>
      <c r="F251" t="str">
        <v>M12 A HAANTJES CERTIFISC OUDENAARDE</v>
      </c>
      <c r="G251" t="str">
        <v>Speler</v>
      </c>
    </row>
    <row r="252" spans="1:7" x14ac:dyDescent="0.25">
      <c r="A252" t="str">
        <v>Mare Anseeuw</v>
      </c>
      <c r="B252" t="str">
        <v>matthias.anseeuw@telenet.be</v>
      </c>
      <c r="C252" t="str">
        <v>497023380</v>
      </c>
      <c r="D252" t="str">
        <v>https://app.twizzit.com/public/photos/2182456/s/112b54676bd1e925e699cce3ec7a25a94902a3a2.png</v>
      </c>
      <c r="E252" s="2">
        <v>735071</v>
      </c>
      <c r="F252" t="str">
        <v>M14 A Haantjes CERTIFISC  Oudenaarde</v>
      </c>
      <c r="G252" t="str">
        <v>Speler</v>
      </c>
    </row>
    <row r="253" spans="1:7" x14ac:dyDescent="0.25">
      <c r="A253" t="str">
        <v>Janna Bauters</v>
      </c>
      <c r="B253" t="str">
        <v/>
      </c>
      <c r="C253" t="str">
        <v>474344132</v>
      </c>
      <c r="D253" t="str">
        <v>https://app.twizzit.com/public/photos/2182476/s/d120dcfc0ec82f0d803829f917b4287681f3dd01.png</v>
      </c>
      <c r="E253" s="2">
        <v>280371</v>
      </c>
      <c r="F253" t="str">
        <v>M14 A Haantjes CERTIFISC  Oudenaarde</v>
      </c>
      <c r="G253" t="str">
        <v>Coach</v>
      </c>
    </row>
    <row r="254" spans="1:7" x14ac:dyDescent="0.25">
      <c r="A254" t="str">
        <v>Celeste Blancke</v>
      </c>
      <c r="B254" t="str">
        <v/>
      </c>
      <c r="C254" t="str">
        <v>478385011</v>
      </c>
      <c r="D254" t="str">
        <v>https://app.twizzit.com/public/photos/3500953/s/601083ebf506787be01432d1e891039519c5d9b6.jpeg</v>
      </c>
      <c r="E254" s="2">
        <v>749419</v>
      </c>
      <c r="F254" t="str">
        <v>M14 A Haantjes CERTIFISC  Oudenaarde</v>
      </c>
      <c r="G254" t="str">
        <v>Speler</v>
      </c>
    </row>
    <row r="255" spans="1:7" x14ac:dyDescent="0.25">
      <c r="A255" t="str">
        <v>Ella-Marie Crombez</v>
      </c>
      <c r="B255" t="str">
        <v>Tom.crombez@gmail.com</v>
      </c>
      <c r="C255" t="str">
        <v>00478792675</v>
      </c>
      <c r="D255" t="str">
        <v/>
      </c>
      <c r="E255" s="2" t="str">
        <v/>
      </c>
      <c r="F255" t="str">
        <v>M14 A Haantjes CERTIFISC  Oudenaarde</v>
      </c>
      <c r="G255" t="str">
        <v>Speler</v>
      </c>
    </row>
    <row r="256" spans="1:7" x14ac:dyDescent="0.25">
      <c r="A256" t="str">
        <v>Limme De Zitter</v>
      </c>
      <c r="B256" t="str">
        <v>de.zitter.steve@gmail.com</v>
      </c>
      <c r="C256" t="str">
        <v>473423222</v>
      </c>
      <c r="D256" t="str">
        <v/>
      </c>
      <c r="E256" s="2">
        <v>742327</v>
      </c>
      <c r="F256" t="str">
        <v>M14 A Haantjes CERTIFISC  Oudenaarde</v>
      </c>
      <c r="G256" t="str">
        <v>Speler</v>
      </c>
    </row>
    <row r="257" spans="1:7" x14ac:dyDescent="0.25">
      <c r="A257" t="str">
        <v>Ode Desmet</v>
      </c>
      <c r="B257" t="str">
        <v>freyamalfait@icloud.com</v>
      </c>
      <c r="C257" t="str">
        <v>0472832063</v>
      </c>
      <c r="D257" t="str">
        <v>https://app.twizzit.com/public/photos/2650916/s/be89217f1fc3b11d85c4b13abcca39bae64798e5.png</v>
      </c>
      <c r="E257" s="2">
        <v>742234</v>
      </c>
      <c r="F257" t="str">
        <v>M14 A Haantjes CERTIFISC  Oudenaarde</v>
      </c>
      <c r="G257" t="str">
        <v>Speler</v>
      </c>
    </row>
    <row r="258" spans="1:7" x14ac:dyDescent="0.25">
      <c r="A258" t="str">
        <v>Celeste Geenens</v>
      </c>
      <c r="B258" t="str">
        <v>stephengeenens@gmail.com</v>
      </c>
      <c r="C258" t="str">
        <v>0477248349</v>
      </c>
      <c r="D258" t="str">
        <v/>
      </c>
      <c r="E258" s="2" t="str">
        <v/>
      </c>
      <c r="F258" t="str">
        <v>M14 A Haantjes CERTIFISC  Oudenaarde</v>
      </c>
      <c r="G258" t="str">
        <v>Speler</v>
      </c>
    </row>
    <row r="259" spans="1:7" x14ac:dyDescent="0.25">
      <c r="A259" t="str">
        <v>Julie Orbie</v>
      </c>
      <c r="B259" t="str">
        <v/>
      </c>
      <c r="C259" t="str">
        <v>472656820</v>
      </c>
      <c r="D259" t="str">
        <v/>
      </c>
      <c r="E259" s="2">
        <v>746004</v>
      </c>
      <c r="F259" t="str">
        <v>M14 A Haantjes CERTIFISC  Oudenaarde</v>
      </c>
      <c r="G259" t="str">
        <v>Speler</v>
      </c>
    </row>
    <row r="260" spans="1:7" x14ac:dyDescent="0.25">
      <c r="A260" t="str">
        <v>Emlin Rommens</v>
      </c>
      <c r="B260" t="str">
        <v>pieterrommens@hotmail.be</v>
      </c>
      <c r="C260" t="str">
        <v>32470513652</v>
      </c>
      <c r="D260" t="str">
        <v>https://app.twizzit.com/public/photos/2650641/s/248b205ecc69fd455c13ac7cc9deb76d11e361a0.png</v>
      </c>
      <c r="E260" s="2">
        <v>742358</v>
      </c>
      <c r="F260" t="str">
        <v>M14 A Haantjes CERTIFISC  Oudenaarde</v>
      </c>
      <c r="G260" t="str">
        <v>Speler</v>
      </c>
    </row>
    <row r="261" spans="1:7" x14ac:dyDescent="0.25">
      <c r="A261" t="str">
        <v>Merel Spiessens</v>
      </c>
      <c r="B261" t="str">
        <v>Me@opcd.net</v>
      </c>
      <c r="C261" t="str">
        <v>0474655154</v>
      </c>
      <c r="D261" t="str">
        <v>https://app.twizzit.com/public/photos/2183207/s/cd9fd40cf38cd1eb62df0198f102c2154c08c604.jpeg</v>
      </c>
      <c r="E261" s="2">
        <v>721093</v>
      </c>
      <c r="F261" t="str">
        <v>M14 A Haantjes CERTIFISC  Oudenaarde</v>
      </c>
      <c r="G261" t="str">
        <v>Speler</v>
      </c>
    </row>
    <row r="262" spans="1:7" x14ac:dyDescent="0.25">
      <c r="A262" t="str">
        <v>Olivia Vanbutsele</v>
      </c>
      <c r="B262" t="str">
        <v>Mike.vb@telenet.be</v>
      </c>
      <c r="C262" t="str">
        <v>0479484158</v>
      </c>
      <c r="D262" t="str">
        <v>https://app.twizzit.com/public/photos/4292310/s/063d2ce017539cf8df316f28e3a639739d1c1148.jpeg</v>
      </c>
      <c r="E262" s="2" t="str">
        <v/>
      </c>
      <c r="F262" t="str">
        <v>M14 A Haantjes CERTIFISC  Oudenaarde</v>
      </c>
      <c r="G262" t="str">
        <v>Speler</v>
      </c>
    </row>
    <row r="263" spans="1:7" x14ac:dyDescent="0.25">
      <c r="A263" t="str">
        <v>Isa Ameloot-Vanhove</v>
      </c>
      <c r="B263" t="str">
        <v>sofie.ameloot@huurland.be</v>
      </c>
      <c r="C263" t="str">
        <v>0483203613</v>
      </c>
      <c r="D263" t="str">
        <v>https://app.twizzit.com/public/photos/5115343/s/0e6908415a8d44c9a80019c8bc87b39596577cc5.jpeg</v>
      </c>
      <c r="E263" s="2" t="str">
        <v/>
      </c>
      <c r="F263" t="str">
        <v>M16 A Haantjes CERTIFISC  Oudenaarde</v>
      </c>
      <c r="G263" t="str">
        <v>Speler</v>
      </c>
    </row>
    <row r="264" spans="1:7" x14ac:dyDescent="0.25">
      <c r="A264" t="str">
        <v>Merel Blancke</v>
      </c>
      <c r="B264" t="str">
        <v/>
      </c>
      <c r="C264" t="str">
        <v>0478385011</v>
      </c>
      <c r="D264" t="str">
        <v>https://app.twizzit.com/public/photos/5568565/s/d285ba208d969f77d6c249fb61359c50c614e6ac.png</v>
      </c>
      <c r="E264" s="2" t="str">
        <v/>
      </c>
      <c r="F264" t="str">
        <v>M16 A Haantjes CERTIFISC  Oudenaarde</v>
      </c>
      <c r="G264" t="str">
        <v>Speler</v>
      </c>
    </row>
    <row r="265" spans="1:7" x14ac:dyDescent="0.25">
      <c r="A265" t="str">
        <v>Luca Boullart</v>
      </c>
      <c r="B265" t="str">
        <v>maggy.hombecq@hotmail.com</v>
      </c>
      <c r="C265" t="str">
        <v>0475558448</v>
      </c>
      <c r="D265" t="str">
        <v/>
      </c>
      <c r="E265" s="2">
        <v>733968</v>
      </c>
      <c r="F265" t="str">
        <v>M16 A Haantjes CERTIFISC  Oudenaarde</v>
      </c>
      <c r="G265" t="str">
        <v>Speler</v>
      </c>
    </row>
    <row r="266" spans="1:7" x14ac:dyDescent="0.25">
      <c r="A266" t="str">
        <v>Pip Dawyndt</v>
      </c>
      <c r="B266" t="str">
        <v/>
      </c>
      <c r="C266" t="str">
        <v>0473746819</v>
      </c>
      <c r="D266" t="str">
        <v/>
      </c>
      <c r="E266" s="2">
        <v>745355</v>
      </c>
      <c r="F266" t="str">
        <v>M16 A Haantjes CERTIFISC  Oudenaarde</v>
      </c>
      <c r="G266" t="str">
        <v>Speler</v>
      </c>
    </row>
    <row r="267" spans="1:7" x14ac:dyDescent="0.25">
      <c r="A267" t="str">
        <v>Maure De Coen</v>
      </c>
      <c r="B267" t="str">
        <v>Achimdecoen@hotmail.com</v>
      </c>
      <c r="C267" t="str">
        <v>0473760932</v>
      </c>
      <c r="D267" t="str">
        <v/>
      </c>
      <c r="E267" s="2" t="str">
        <v/>
      </c>
      <c r="F267" t="str">
        <v>M16 A Haantjes CERTIFISC  Oudenaarde</v>
      </c>
      <c r="G267" t="str">
        <v>Speler</v>
      </c>
    </row>
    <row r="268" spans="1:7" x14ac:dyDescent="0.25">
      <c r="A268" t="str">
        <v>Jamila Ettijrini</v>
      </c>
      <c r="B268" t="str">
        <v/>
      </c>
      <c r="C268" t="str">
        <v>0470221432</v>
      </c>
      <c r="D268" t="str">
        <v/>
      </c>
      <c r="E268" s="2" t="str">
        <v/>
      </c>
      <c r="F268" t="str">
        <v>M16 A Haantjes CERTIFISC  Oudenaarde</v>
      </c>
      <c r="G268" t="str">
        <v>Speler</v>
      </c>
    </row>
    <row r="269" spans="1:7" x14ac:dyDescent="0.25">
      <c r="A269" t="str">
        <v>Chloé Faelens</v>
      </c>
      <c r="B269" t="str">
        <v/>
      </c>
      <c r="C269" t="str">
        <v>0472960602</v>
      </c>
      <c r="D269" t="str">
        <v>https://app.twizzit.com/public/photos/4276094/s/88cd5d3554278fc03aae2c2a9989ae19589b1181.png</v>
      </c>
      <c r="E269" s="2" t="str">
        <v/>
      </c>
      <c r="F269" t="str">
        <v>M16 A Haantjes CERTIFISC  Oudenaarde</v>
      </c>
      <c r="G269" t="str">
        <v>Speler</v>
      </c>
    </row>
    <row r="270" spans="1:7" x14ac:dyDescent="0.25">
      <c r="A270" t="str">
        <v>Laura Hakuzimana</v>
      </c>
      <c r="B270" t="str">
        <v/>
      </c>
      <c r="C270" t="str">
        <v>0496950967</v>
      </c>
      <c r="D270" t="str">
        <v/>
      </c>
      <c r="E270" s="2">
        <v>721092</v>
      </c>
      <c r="F270" t="str">
        <v>M16 A Haantjes CERTIFISC  Oudenaarde</v>
      </c>
      <c r="G270" t="str">
        <v>Speler</v>
      </c>
    </row>
    <row r="271" spans="1:7" x14ac:dyDescent="0.25">
      <c r="A271" t="str">
        <v>Ron Heestermans</v>
      </c>
      <c r="B271" t="str">
        <v/>
      </c>
      <c r="C271" t="str">
        <v>0468152536</v>
      </c>
      <c r="D271" t="str">
        <v/>
      </c>
      <c r="E271" s="2" t="str">
        <v/>
      </c>
      <c r="F271" t="str">
        <v>M16 A Haantjes CERTIFISC  Oudenaarde</v>
      </c>
      <c r="G271" t="str">
        <v>Coach</v>
      </c>
    </row>
    <row r="272" spans="1:7" x14ac:dyDescent="0.25">
      <c r="A272" t="str">
        <v>Dréa Maes</v>
      </c>
      <c r="B272" t="str">
        <v>Joke.merlaen@gmail.com</v>
      </c>
      <c r="C272" t="str">
        <v/>
      </c>
      <c r="D272" t="str">
        <v>https://app.twizzit.com/public/photos/3412861/s/5d2322ba0de7264fd5ba0170cc29e82844de05d5.png</v>
      </c>
      <c r="E272" s="2" t="str">
        <v/>
      </c>
      <c r="F272" t="str">
        <v>M16 A Haantjes CERTIFISC  Oudenaarde</v>
      </c>
      <c r="G272" t="str">
        <v>Speler</v>
      </c>
    </row>
    <row r="273" spans="1:7" x14ac:dyDescent="0.25">
      <c r="A273" t="str">
        <v>Elisabeth Saveyn</v>
      </c>
      <c r="B273" t="str">
        <v>moonvanneste@hotmail.com</v>
      </c>
      <c r="C273" t="str">
        <v>0496392369</v>
      </c>
      <c r="D273" t="str">
        <v/>
      </c>
      <c r="E273" s="2" t="str">
        <v/>
      </c>
      <c r="F273" t="str">
        <v>M16 A Haantjes CERTIFISC  Oudenaarde</v>
      </c>
      <c r="G273" t="str">
        <v>Speler</v>
      </c>
    </row>
    <row r="274" spans="1:7" x14ac:dyDescent="0.25">
      <c r="A274" t="str">
        <v>Nona Schmitt</v>
      </c>
      <c r="B274" t="str">
        <v>marie.boullart@hotmail.com</v>
      </c>
      <c r="C274" t="str">
        <v>0473761554</v>
      </c>
      <c r="D274" t="str">
        <v/>
      </c>
      <c r="E274" s="2" t="str">
        <v/>
      </c>
      <c r="F274" t="str">
        <v>M16 A Haantjes CERTIFISC  Oudenaarde</v>
      </c>
      <c r="G274" t="str">
        <v>Speler</v>
      </c>
    </row>
    <row r="275" spans="1:7" x14ac:dyDescent="0.25">
      <c r="A275" t="str">
        <v>Anaïs Vanhessche</v>
      </c>
      <c r="B275" t="str">
        <v>miekevanderhaeghen@gmail.com</v>
      </c>
      <c r="C275" t="str">
        <v>0477741955</v>
      </c>
      <c r="D275" t="str">
        <v>https://app.twizzit.com/public/photos/2183392/s/3035381a43296f702255c02c3c99c4303bd9ab17.png</v>
      </c>
      <c r="E275" s="2">
        <v>730033</v>
      </c>
      <c r="F275" t="str">
        <v>M16 A Haantjes CERTIFISC  Oudenaarde</v>
      </c>
      <c r="G275" t="str">
        <v>Speler</v>
      </c>
    </row>
    <row r="276" spans="1:7" x14ac:dyDescent="0.25">
      <c r="A276" t="str">
        <v>Emma Verleyen</v>
      </c>
      <c r="B276" t="str">
        <v>emma.verleyen094@gmail.com</v>
      </c>
      <c r="C276" t="str">
        <v>0479607716</v>
      </c>
      <c r="D276" t="str">
        <v/>
      </c>
      <c r="E276" s="2" t="str">
        <v/>
      </c>
      <c r="F276" t="str">
        <v>M16 A Haantjes CERTIFISC  Oudenaarde</v>
      </c>
      <c r="G276" t="str">
        <v>Speler</v>
      </c>
    </row>
    <row r="277" spans="1:7" x14ac:dyDescent="0.25">
      <c r="A277" t="str">
        <v>Marie Bourdeaud'hui</v>
      </c>
      <c r="B277" t="str">
        <v/>
      </c>
      <c r="C277" t="str">
        <v>32572791</v>
      </c>
      <c r="D277" t="str">
        <v>https://app.twizzit.com/public/photos/2182516/s/0d7291570c9e5cf142cd892c8fd7ace8c517270a.png</v>
      </c>
      <c r="E277" s="2">
        <v>714083</v>
      </c>
      <c r="F277" t="str">
        <v>M19 A Haantjes CERTIFISC Oudenaarde</v>
      </c>
      <c r="G277" t="str">
        <v>Speler</v>
      </c>
    </row>
    <row r="278" spans="1:7" x14ac:dyDescent="0.25">
      <c r="A278" t="str">
        <v>Lise Braem</v>
      </c>
      <c r="B278" t="str">
        <v>braem.filiep@outlook.be</v>
      </c>
      <c r="C278" t="str">
        <v/>
      </c>
      <c r="D278" t="str">
        <v>https://app.twizzit.com/public/photos/2182526/s/a821912bbd87d29337fbfbb0be2e91298bc55869.jpeg</v>
      </c>
      <c r="E278" s="2">
        <v>706640</v>
      </c>
      <c r="F278" t="str">
        <v>M19 A Haantjes CERTIFISC Oudenaarde</v>
      </c>
      <c r="G278" t="str">
        <v>Speler</v>
      </c>
    </row>
    <row r="279" spans="1:7" x14ac:dyDescent="0.25">
      <c r="A279" t="str">
        <v>Alice Cokelaere</v>
      </c>
      <c r="B279" t="str">
        <v>sofie.pattyn@telenet.be</v>
      </c>
      <c r="C279" t="str">
        <v>0477681738</v>
      </c>
      <c r="D279" t="str">
        <v/>
      </c>
      <c r="E279" s="2">
        <v>669074</v>
      </c>
      <c r="F279" t="str">
        <v>M19 A Haantjes CERTIFISC Oudenaarde</v>
      </c>
      <c r="G279" t="str">
        <v>Speler</v>
      </c>
    </row>
    <row r="280" spans="1:7" x14ac:dyDescent="0.25">
      <c r="A280" t="str">
        <v>Dieuwke Decroix</v>
      </c>
      <c r="B280" t="str">
        <v>decroix.willem@gmail.com</v>
      </c>
      <c r="C280" t="str">
        <v>0483596928</v>
      </c>
      <c r="D280" t="str">
        <v/>
      </c>
      <c r="E280" s="2">
        <v>752195</v>
      </c>
      <c r="F280" t="str">
        <v>M19 A Haantjes CERTIFISC Oudenaarde</v>
      </c>
      <c r="G280" t="str">
        <v>Speler</v>
      </c>
    </row>
    <row r="281" spans="1:7" x14ac:dyDescent="0.25">
      <c r="A281" t="str">
        <v>Lora Demets</v>
      </c>
      <c r="B281" t="str">
        <v>Lowie.demets@telenet.be</v>
      </c>
      <c r="C281" t="str">
        <v>0474450168</v>
      </c>
      <c r="D281" t="str">
        <v/>
      </c>
      <c r="E281" s="2">
        <v>741137</v>
      </c>
      <c r="F281" t="str">
        <v>M19 A Haantjes CERTIFISC Oudenaarde</v>
      </c>
      <c r="G281" t="str">
        <v>Speler</v>
      </c>
    </row>
    <row r="282" spans="1:7" x14ac:dyDescent="0.25">
      <c r="A282" t="str">
        <v>Kenneth Dhont</v>
      </c>
      <c r="B282" t="str">
        <v/>
      </c>
      <c r="C282" t="str">
        <v>0477485789</v>
      </c>
      <c r="D282" t="str">
        <v/>
      </c>
      <c r="E282" s="2">
        <v>50455</v>
      </c>
      <c r="F282" t="str">
        <v>M19 A Haantjes CERTIFISC Oudenaarde</v>
      </c>
      <c r="G282" t="str">
        <v>Coach</v>
      </c>
    </row>
    <row r="283" spans="1:7" x14ac:dyDescent="0.25">
      <c r="A283" t="str">
        <v>Heike Guenter</v>
      </c>
      <c r="B283" t="str">
        <v>Heike.guenter@telenet.be</v>
      </c>
      <c r="C283" t="str">
        <v>0474664394</v>
      </c>
      <c r="D283" t="str">
        <v/>
      </c>
      <c r="E283" s="2">
        <v>727038</v>
      </c>
      <c r="F283" t="str">
        <v>M19 A Haantjes CERTIFISC Oudenaarde</v>
      </c>
      <c r="G283" t="str">
        <v>Speler</v>
      </c>
    </row>
    <row r="284" spans="1:7" x14ac:dyDescent="0.25">
      <c r="A284" t="str">
        <v>Janne Vandriessche</v>
      </c>
      <c r="B284" t="str">
        <v>wout.vandriessche@telenet.be</v>
      </c>
      <c r="C284" t="str">
        <v>0474875556</v>
      </c>
      <c r="D284" t="str">
        <v/>
      </c>
      <c r="E284" s="2">
        <v>703875</v>
      </c>
      <c r="F284" t="str">
        <v>M19 A Haantjes CERTIFISC Oudenaarde</v>
      </c>
      <c r="G284" t="str">
        <v>Speler</v>
      </c>
    </row>
    <row r="285" spans="1:7" x14ac:dyDescent="0.25">
      <c r="A285" t="str">
        <v>Lente Verhaeghe</v>
      </c>
      <c r="B285" t="str">
        <v>achiel.en.hector@hotmail.com</v>
      </c>
      <c r="C285" t="str">
        <v/>
      </c>
      <c r="D285" t="str">
        <v>https://app.twizzit.com/public/photos/3706826/s/7283d518f82547e0fb530790cddedb0edf0a5785.jpeg</v>
      </c>
      <c r="E285" s="2" t="str">
        <v/>
      </c>
      <c r="F285" t="str">
        <v>M19 A Haantjes CERTIFISC Oudenaarde</v>
      </c>
      <c r="G285" t="str">
        <v>Speler</v>
      </c>
    </row>
    <row r="286" spans="1:7" x14ac:dyDescent="0.25">
      <c r="A286" t="str">
        <v>Lena Verschatse</v>
      </c>
      <c r="B286" t="str">
        <v/>
      </c>
      <c r="C286" t="str">
        <v>0468516883</v>
      </c>
      <c r="D286" t="str">
        <v/>
      </c>
      <c r="E286" s="2">
        <v>735282</v>
      </c>
      <c r="F286" t="str">
        <v>M19 A Haantjes CERTIFISC Oudenaarde</v>
      </c>
      <c r="G286" t="str">
        <v>Speler</v>
      </c>
    </row>
    <row r="287" spans="1:7" x14ac:dyDescent="0.25">
      <c r="A287" t="str">
        <v>Lily Adam</v>
      </c>
      <c r="B287" t="str">
        <v>Koenadam78@gmail.com</v>
      </c>
      <c r="C287" t="str">
        <v>0476837352</v>
      </c>
      <c r="D287" t="str">
        <v>https://app.twizzit.com/public/photos/2182441/s/eec7946e1a9e80461f26752840c4aedc7d235bab.jpeg</v>
      </c>
      <c r="E287" s="2">
        <v>728412</v>
      </c>
      <c r="F287" t="str">
        <v xml:space="preserve">Trainerspoule </v>
      </c>
      <c r="G287" t="str">
        <v>Coach</v>
      </c>
    </row>
    <row r="288" spans="1:7" x14ac:dyDescent="0.25">
      <c r="A288" t="str">
        <v>Kimberley De Smet</v>
      </c>
      <c r="B288" t="str">
        <v/>
      </c>
      <c r="C288" t="str">
        <v/>
      </c>
      <c r="D288" t="str">
        <v>https://app.twizzit.com/public/photos/2182696/s/b3404003062e85e1b45f5fca9b0565fe70029286.png</v>
      </c>
      <c r="E288" s="2">
        <v>266618</v>
      </c>
      <c r="F288" t="str">
        <v xml:space="preserve">Trainerspoule </v>
      </c>
      <c r="G288" t="str">
        <v>Coach</v>
      </c>
    </row>
    <row r="289" spans="1:7" x14ac:dyDescent="0.25">
      <c r="A289" t="str">
        <v>Tuur Genbrugge</v>
      </c>
      <c r="B289" t="str">
        <v/>
      </c>
      <c r="C289" t="str">
        <v>0486314030</v>
      </c>
      <c r="D289" t="str">
        <v/>
      </c>
      <c r="E289" s="2" t="str">
        <v/>
      </c>
      <c r="F289" t="str">
        <v xml:space="preserve">Trainerspoule </v>
      </c>
      <c r="G289" t="str">
        <v>Coach</v>
      </c>
    </row>
    <row r="290" spans="1:7" x14ac:dyDescent="0.25">
      <c r="A290" t="str">
        <v>Charlotte Van Moorleghem</v>
      </c>
      <c r="B290" t="str">
        <v>charlotte.vanmoorleghem1@gmail.com</v>
      </c>
      <c r="C290" t="str">
        <v/>
      </c>
      <c r="D290" t="str">
        <v/>
      </c>
      <c r="E290" s="2">
        <v>201618</v>
      </c>
      <c r="F290" t="str">
        <v xml:space="preserve">Trainerspoule </v>
      </c>
      <c r="G290" t="str">
        <v>Coach</v>
      </c>
    </row>
    <row r="291" spans="1:7" x14ac:dyDescent="0.25">
      <c r="A291" t="str">
        <v>Lily Adam</v>
      </c>
      <c r="B291" t="str">
        <v>Koenadam78@gmail.com</v>
      </c>
      <c r="C291" t="str">
        <v>0476837352</v>
      </c>
      <c r="D291" t="str">
        <v>https://app.twizzit.com/public/photos/2182441/s/eec7946e1a9e80461f26752840c4aedc7d235bab.jpeg</v>
      </c>
      <c r="E291" s="2">
        <v>728412</v>
      </c>
      <c r="F291" t="str">
        <v>Zomerstage 2026 (Blankenberge)</v>
      </c>
      <c r="G291" t="str">
        <v>Speler</v>
      </c>
    </row>
    <row r="292" spans="1:7" x14ac:dyDescent="0.25">
      <c r="A292" t="str">
        <v>Bent Anseeuw</v>
      </c>
      <c r="B292" t="str">
        <v>bent.anseeuw@gmail.com</v>
      </c>
      <c r="C292" t="str">
        <v>0497023380</v>
      </c>
      <c r="D292" t="str">
        <v>https://app.twizzit.com/public/photos/2182451/s/d40702514c4affc118f06eee4555b1ca966c4e65.png</v>
      </c>
      <c r="E292" s="2">
        <v>713666</v>
      </c>
      <c r="F292" t="str">
        <v>Zomerstage 2026 (Blankenberge)</v>
      </c>
      <c r="G292" t="str">
        <v>Speler</v>
      </c>
    </row>
    <row r="293" spans="1:7" x14ac:dyDescent="0.25">
      <c r="A293" t="str">
        <v>Mare Anseeuw</v>
      </c>
      <c r="B293" t="str">
        <v>matthias.anseeuw@telenet.be</v>
      </c>
      <c r="C293" t="str">
        <v>497023380</v>
      </c>
      <c r="D293" t="str">
        <v>https://app.twizzit.com/public/photos/2182456/s/112b54676bd1e925e699cce3ec7a25a94902a3a2.png</v>
      </c>
      <c r="E293" s="2">
        <v>735071</v>
      </c>
      <c r="F293" t="str">
        <v>Zomerstage 2026 (Blankenberge)</v>
      </c>
      <c r="G293" t="str">
        <v>Speler</v>
      </c>
    </row>
    <row r="294" spans="1:7" x14ac:dyDescent="0.25">
      <c r="A294" t="str">
        <v>Vince Beke</v>
      </c>
      <c r="B294" t="str">
        <v>wim.beke@telenet.be</v>
      </c>
      <c r="C294" t="str">
        <v>0494534565</v>
      </c>
      <c r="D294" t="str">
        <v>https://app.twizzit.com/public/photos/2182501/s/ff9efabb61fd27d35070a050abd98c15c9bfe6c5.png</v>
      </c>
      <c r="E294" s="2">
        <v>715506</v>
      </c>
      <c r="F294" t="str">
        <v>Zomerstage 2026 (Blankenberge)</v>
      </c>
      <c r="G294" t="str">
        <v>Speler</v>
      </c>
    </row>
    <row r="295" spans="1:7" x14ac:dyDescent="0.25">
      <c r="A295" t="str">
        <v>Celeste Blancke</v>
      </c>
      <c r="B295" t="str">
        <v/>
      </c>
      <c r="C295" t="str">
        <v>478385011</v>
      </c>
      <c r="D295" t="str">
        <v>https://app.twizzit.com/public/photos/3500953/s/601083ebf506787be01432d1e891039519c5d9b6.jpeg</v>
      </c>
      <c r="E295" s="2">
        <v>749419</v>
      </c>
      <c r="F295" t="str">
        <v>Zomerstage 2026 (Blankenberge)</v>
      </c>
      <c r="G295" t="str">
        <v>Speler</v>
      </c>
    </row>
    <row r="296" spans="1:7" x14ac:dyDescent="0.25">
      <c r="A296" t="str">
        <v>Merel Blancke</v>
      </c>
      <c r="B296" t="str">
        <v/>
      </c>
      <c r="C296" t="str">
        <v>0478385011</v>
      </c>
      <c r="D296" t="str">
        <v>https://app.twizzit.com/public/photos/5568565/s/d285ba208d969f77d6c249fb61359c50c614e6ac.png</v>
      </c>
      <c r="E296" s="2" t="str">
        <v/>
      </c>
      <c r="F296" t="str">
        <v>Zomerstage 2026 (Blankenberge)</v>
      </c>
      <c r="G296" t="str">
        <v>Speler</v>
      </c>
    </row>
    <row r="297" spans="1:7" x14ac:dyDescent="0.25">
      <c r="A297" t="str">
        <v>Luca Boullart</v>
      </c>
      <c r="B297" t="str">
        <v>maggy.hombecq@hotmail.com</v>
      </c>
      <c r="C297" t="str">
        <v>0475558448</v>
      </c>
      <c r="D297" t="str">
        <v/>
      </c>
      <c r="E297" s="2">
        <v>733968</v>
      </c>
      <c r="F297" t="str">
        <v>Zomerstage 2026 (Blankenberge)</v>
      </c>
      <c r="G297" t="str">
        <v>Speler</v>
      </c>
    </row>
    <row r="298" spans="1:7" x14ac:dyDescent="0.25">
      <c r="A298" t="str">
        <v>Marie Bourdeaud'hui</v>
      </c>
      <c r="B298" t="str">
        <v/>
      </c>
      <c r="C298" t="str">
        <v>32572791</v>
      </c>
      <c r="D298" t="str">
        <v>https://app.twizzit.com/public/photos/2182516/s/0d7291570c9e5cf142cd892c8fd7ace8c517270a.png</v>
      </c>
      <c r="E298" s="2">
        <v>714083</v>
      </c>
      <c r="F298" t="str">
        <v>Zomerstage 2026 (Blankenberge)</v>
      </c>
      <c r="G298" t="str">
        <v>Speler</v>
      </c>
    </row>
    <row r="299" spans="1:7" x14ac:dyDescent="0.25">
      <c r="A299" t="str">
        <v>Lise Braem</v>
      </c>
      <c r="B299" t="str">
        <v>braem.filiep@outlook.be</v>
      </c>
      <c r="C299" t="str">
        <v/>
      </c>
      <c r="D299" t="str">
        <v>https://app.twizzit.com/public/photos/2182526/s/a821912bbd87d29337fbfbb0be2e91298bc55869.jpeg</v>
      </c>
      <c r="E299" s="2">
        <v>706640</v>
      </c>
      <c r="F299" t="str">
        <v>Zomerstage 2026 (Blankenberge)</v>
      </c>
      <c r="G299" t="str">
        <v>Speler</v>
      </c>
    </row>
    <row r="300" spans="1:7" x14ac:dyDescent="0.25">
      <c r="A300" t="str">
        <v>Jonah Cattoir</v>
      </c>
      <c r="B300" t="str">
        <v/>
      </c>
      <c r="C300" t="str">
        <v/>
      </c>
      <c r="D300" t="str">
        <v/>
      </c>
      <c r="E300" s="2" t="str">
        <v/>
      </c>
      <c r="F300" t="str">
        <v>Zomerstage 2026 (Blankenberge)</v>
      </c>
      <c r="G300" t="str">
        <v>Speler</v>
      </c>
    </row>
    <row r="301" spans="1:7" x14ac:dyDescent="0.25">
      <c r="A301" t="str">
        <v>Alice Cokelaere</v>
      </c>
      <c r="B301" t="str">
        <v>sofie.pattyn@telenet.be</v>
      </c>
      <c r="C301" t="str">
        <v>0477681738</v>
      </c>
      <c r="D301" t="str">
        <v/>
      </c>
      <c r="E301" s="2">
        <v>669074</v>
      </c>
      <c r="F301" t="str">
        <v>Zomerstage 2026 (Blankenberge)</v>
      </c>
      <c r="G301" t="str">
        <v>Speler</v>
      </c>
    </row>
    <row r="302" spans="1:7" x14ac:dyDescent="0.25">
      <c r="A302" t="str">
        <v>Sofian D'Haenen</v>
      </c>
      <c r="B302" t="str">
        <v/>
      </c>
      <c r="C302" t="str">
        <v/>
      </c>
      <c r="D302" t="str">
        <v/>
      </c>
      <c r="E302" s="2" t="str">
        <v/>
      </c>
      <c r="F302" t="str">
        <v>Zomerstage 2026 (Blankenberge)</v>
      </c>
      <c r="G302" t="str">
        <v>Speler</v>
      </c>
    </row>
    <row r="303" spans="1:7" x14ac:dyDescent="0.25">
      <c r="A303" t="str">
        <v>Yunus D'Haenen</v>
      </c>
      <c r="B303" t="str">
        <v/>
      </c>
      <c r="C303" t="str">
        <v/>
      </c>
      <c r="D303" t="str">
        <v/>
      </c>
      <c r="E303" s="2" t="str">
        <v/>
      </c>
      <c r="F303" t="str">
        <v>Zomerstage 2026 (Blankenberge)</v>
      </c>
      <c r="G303" t="str">
        <v>Speler</v>
      </c>
    </row>
    <row r="304" spans="1:7" x14ac:dyDescent="0.25">
      <c r="A304" t="str">
        <v>Pip Dawyndt</v>
      </c>
      <c r="B304" t="str">
        <v/>
      </c>
      <c r="C304" t="str">
        <v>0473746819</v>
      </c>
      <c r="D304" t="str">
        <v/>
      </c>
      <c r="E304" s="2">
        <v>745355</v>
      </c>
      <c r="F304" t="str">
        <v>Zomerstage 2026 (Blankenberge)</v>
      </c>
      <c r="G304" t="str">
        <v>Speler</v>
      </c>
    </row>
    <row r="305" spans="1:7" x14ac:dyDescent="0.25">
      <c r="A305" t="str">
        <v>David De Brabander</v>
      </c>
      <c r="B305" t="str">
        <v/>
      </c>
      <c r="C305" t="str">
        <v>0478251758</v>
      </c>
      <c r="D305" t="str">
        <v>https://app.twizzit.com/public/photos/4024795/s/7af12ff114d5d53515b4f220ddc6cdb6ff121519.png</v>
      </c>
      <c r="E305" s="2">
        <v>32746</v>
      </c>
      <c r="F305" t="str">
        <v>Zomerstage 2026 (Blankenberge)</v>
      </c>
      <c r="G305" t="str">
        <v>Coach</v>
      </c>
    </row>
    <row r="306" spans="1:7" x14ac:dyDescent="0.25">
      <c r="A306" t="str">
        <v>Len De Coussemaker</v>
      </c>
      <c r="B306" t="str">
        <v>kristien.vdv@telenet.be</v>
      </c>
      <c r="C306" t="str">
        <v>32468280854</v>
      </c>
      <c r="D306" t="str">
        <v>https://app.twizzit.com/public/photos/2182636/s/ac8133dfa6021f95e4cb86240c3d9e68218f8a83.png</v>
      </c>
      <c r="E306" s="2">
        <v>717356</v>
      </c>
      <c r="F306" t="str">
        <v>Zomerstage 2026 (Blankenberge)</v>
      </c>
      <c r="G306" t="str">
        <v>Speler</v>
      </c>
    </row>
    <row r="307" spans="1:7" x14ac:dyDescent="0.25">
      <c r="A307" t="str">
        <v>Niels De Coussemaker</v>
      </c>
      <c r="B307" t="str">
        <v>kristien@coussies.be</v>
      </c>
      <c r="C307" t="str">
        <v>32490195438</v>
      </c>
      <c r="D307" t="str">
        <v>https://app.twizzit.com/public/photos/2182641/s/bc2ed87ccb6bf61129b3522eabde4c5cff856719.png</v>
      </c>
      <c r="E307" s="2">
        <v>708695</v>
      </c>
      <c r="F307" t="str">
        <v>Zomerstage 2026 (Blankenberge)</v>
      </c>
      <c r="G307" t="str">
        <v>Speler</v>
      </c>
    </row>
    <row r="308" spans="1:7" x14ac:dyDescent="0.25">
      <c r="A308" t="str">
        <v>Limme De Zitter</v>
      </c>
      <c r="B308" t="str">
        <v>de.zitter.steve@gmail.com</v>
      </c>
      <c r="C308" t="str">
        <v>473423222</v>
      </c>
      <c r="D308" t="str">
        <v/>
      </c>
      <c r="E308" s="2">
        <v>742327</v>
      </c>
      <c r="F308" t="str">
        <v>Zomerstage 2026 (Blankenberge)</v>
      </c>
      <c r="G308" t="str">
        <v>Speler</v>
      </c>
    </row>
    <row r="309" spans="1:7" x14ac:dyDescent="0.25">
      <c r="A309" t="str">
        <v>Jules Dekkar</v>
      </c>
      <c r="B309" t="str">
        <v>hakim.dekkar@icloud.com</v>
      </c>
      <c r="C309" t="str">
        <v>32499679978</v>
      </c>
      <c r="D309" t="str">
        <v>https://app.twizzit.com/public/photos/3451601/s/35fd5f537189934e8013cbeb18029ae3e97fcdcc.jpeg</v>
      </c>
      <c r="E309" s="2">
        <v>747253</v>
      </c>
      <c r="F309" t="str">
        <v>Zomerstage 2026 (Blankenberge)</v>
      </c>
      <c r="G309" t="str">
        <v>Speler</v>
      </c>
    </row>
    <row r="310" spans="1:7" x14ac:dyDescent="0.25">
      <c r="A310" t="str">
        <v>Mathias Delcroix</v>
      </c>
      <c r="B310" t="str">
        <v>Delcroix.dieter@hotmail.com</v>
      </c>
      <c r="C310" t="str">
        <v>0487106040</v>
      </c>
      <c r="D310" t="str">
        <v/>
      </c>
      <c r="E310" s="2" t="str">
        <v/>
      </c>
      <c r="F310" t="str">
        <v>Zomerstage 2026 (Blankenberge)</v>
      </c>
      <c r="G310" t="str">
        <v>Speler</v>
      </c>
    </row>
    <row r="311" spans="1:7" x14ac:dyDescent="0.25">
      <c r="A311" t="str">
        <v>Lora Demets</v>
      </c>
      <c r="B311" t="str">
        <v>Lowie.demets@telenet.be</v>
      </c>
      <c r="C311" t="str">
        <v>0474450168</v>
      </c>
      <c r="D311" t="str">
        <v/>
      </c>
      <c r="E311" s="2">
        <v>741137</v>
      </c>
      <c r="F311" t="str">
        <v>Zomerstage 2026 (Blankenberge)</v>
      </c>
      <c r="G311" t="str">
        <v>Speler</v>
      </c>
    </row>
    <row r="312" spans="1:7" x14ac:dyDescent="0.25">
      <c r="A312" t="str">
        <v>Omer Demets</v>
      </c>
      <c r="B312" t="str">
        <v>Lowie.demets@telenet.be</v>
      </c>
      <c r="C312" t="str">
        <v>0474450168</v>
      </c>
      <c r="D312" t="str">
        <v/>
      </c>
      <c r="E312" s="2" t="str">
        <v/>
      </c>
      <c r="F312" t="str">
        <v>Zomerstage 2026 (Blankenberge)</v>
      </c>
      <c r="G312" t="str">
        <v>Speler</v>
      </c>
    </row>
    <row r="313" spans="1:7" x14ac:dyDescent="0.25">
      <c r="A313" t="str">
        <v>Ode Desmet</v>
      </c>
      <c r="B313" t="str">
        <v>freyamalfait@icloud.com</v>
      </c>
      <c r="C313" t="str">
        <v>0472832063</v>
      </c>
      <c r="D313" t="str">
        <v>https://app.twizzit.com/public/photos/2650916/s/be89217f1fc3b11d85c4b13abcca39bae64798e5.png</v>
      </c>
      <c r="E313" s="2">
        <v>742234</v>
      </c>
      <c r="F313" t="str">
        <v>Zomerstage 2026 (Blankenberge)</v>
      </c>
      <c r="G313" t="str">
        <v>Speler</v>
      </c>
    </row>
    <row r="314" spans="1:7" x14ac:dyDescent="0.25">
      <c r="A314" t="str">
        <v>Tibo Despriet</v>
      </c>
      <c r="B314" t="str">
        <v>Tibo.despriet@gmail.com</v>
      </c>
      <c r="C314" t="str">
        <v/>
      </c>
      <c r="D314" t="str">
        <v>https://app.twizzit.com/public/photos/3884890/s/99828396af5826db82003655528894a4f299045f.jpeg</v>
      </c>
      <c r="E314" s="2" t="str">
        <v/>
      </c>
      <c r="F314" t="str">
        <v>Zomerstage 2026 (Blankenberge)</v>
      </c>
      <c r="G314" t="str">
        <v>Speler</v>
      </c>
    </row>
    <row r="315" spans="1:7" x14ac:dyDescent="0.25">
      <c r="A315" t="str">
        <v>Alexis Devos</v>
      </c>
      <c r="B315" t="str">
        <v/>
      </c>
      <c r="C315" t="str">
        <v>0495886987</v>
      </c>
      <c r="D315" t="str">
        <v>https://app.twizzit.com/public/photos/6106676/s/2ae43246aa8142b23f5743a7efbb9e280e512170.png</v>
      </c>
      <c r="E315" s="2">
        <v>763877</v>
      </c>
      <c r="F315" t="str">
        <v>Zomerstage 2026 (Blankenberge)</v>
      </c>
      <c r="G315" t="str">
        <v>Speler</v>
      </c>
    </row>
    <row r="316" spans="1:7" x14ac:dyDescent="0.25">
      <c r="A316" t="str">
        <v>Nathan Dewaele</v>
      </c>
      <c r="B316" t="str">
        <v>wesleydewaele@yahoo.co.uk</v>
      </c>
      <c r="C316" t="str">
        <v>478347087</v>
      </c>
      <c r="D316" t="str">
        <v>https://app.twizzit.com/public/photos/2182816/s/c00a73a61de05b1991d5eac8f8ad498e97a90e40.png</v>
      </c>
      <c r="E316" s="2">
        <v>718781</v>
      </c>
      <c r="F316" t="str">
        <v>Zomerstage 2026 (Blankenberge)</v>
      </c>
      <c r="G316" t="str">
        <v>Speler</v>
      </c>
    </row>
    <row r="317" spans="1:7" x14ac:dyDescent="0.25">
      <c r="A317" t="str">
        <v>Jules Dewilde</v>
      </c>
      <c r="B317" t="str">
        <v>niekdewilde@hotmail.be</v>
      </c>
      <c r="C317" t="str">
        <v>0472914166</v>
      </c>
      <c r="D317" t="str">
        <v/>
      </c>
      <c r="E317" s="2" t="str">
        <v/>
      </c>
      <c r="F317" t="str">
        <v>Zomerstage 2026 (Blankenberge)</v>
      </c>
      <c r="G317" t="str">
        <v>Speler</v>
      </c>
    </row>
    <row r="318" spans="1:7" x14ac:dyDescent="0.25">
      <c r="A318" t="str">
        <v>Kenneth Dhont</v>
      </c>
      <c r="B318" t="str">
        <v/>
      </c>
      <c r="C318" t="str">
        <v>0477485789</v>
      </c>
      <c r="D318" t="str">
        <v/>
      </c>
      <c r="E318" s="2">
        <v>50455</v>
      </c>
      <c r="F318" t="str">
        <v>Zomerstage 2026 (Blankenberge)</v>
      </c>
      <c r="G318" t="str">
        <v>Coach</v>
      </c>
    </row>
    <row r="319" spans="1:7" x14ac:dyDescent="0.25">
      <c r="A319" t="str">
        <v>Chloé Faelens</v>
      </c>
      <c r="B319" t="str">
        <v/>
      </c>
      <c r="C319" t="str">
        <v>0472960602</v>
      </c>
      <c r="D319" t="str">
        <v>https://app.twizzit.com/public/photos/4276094/s/88cd5d3554278fc03aae2c2a9989ae19589b1181.png</v>
      </c>
      <c r="E319" s="2" t="str">
        <v/>
      </c>
      <c r="F319" t="str">
        <v>Zomerstage 2026 (Blankenberge)</v>
      </c>
      <c r="G319" t="str">
        <v>Speler</v>
      </c>
    </row>
    <row r="320" spans="1:7" x14ac:dyDescent="0.25">
      <c r="A320" t="str">
        <v>Celeste Geenens</v>
      </c>
      <c r="B320" t="str">
        <v>stephengeenens@gmail.com</v>
      </c>
      <c r="C320" t="str">
        <v>0477248349</v>
      </c>
      <c r="D320" t="str">
        <v/>
      </c>
      <c r="E320" s="2" t="str">
        <v/>
      </c>
      <c r="F320" t="str">
        <v>Zomerstage 2026 (Blankenberge)</v>
      </c>
      <c r="G320" t="str">
        <v>Speler</v>
      </c>
    </row>
    <row r="321" spans="1:7" x14ac:dyDescent="0.25">
      <c r="A321" t="str">
        <v>Victor Geiregat</v>
      </c>
      <c r="B321" t="str">
        <v>jurgengeiregat@gmail.com</v>
      </c>
      <c r="C321" t="str">
        <v>0485242755</v>
      </c>
      <c r="D321" t="str">
        <v/>
      </c>
      <c r="E321" s="2" t="str">
        <v/>
      </c>
      <c r="F321" t="str">
        <v>Zomerstage 2026 (Blankenberge)</v>
      </c>
      <c r="G321" t="str">
        <v>Speler</v>
      </c>
    </row>
    <row r="322" spans="1:7" x14ac:dyDescent="0.25">
      <c r="A322" t="str">
        <v>Basiel Genbrugge</v>
      </c>
      <c r="B322" t="str">
        <v>basiel.genbrugge@gmail.com</v>
      </c>
      <c r="C322" t="str">
        <v>0486314030</v>
      </c>
      <c r="D322" t="str">
        <v>https://app.twizzit.com/public/photos/8579142/s/db8d4000b96831e0c69a1f9ee9bb0955ce673dba.png</v>
      </c>
      <c r="E322" s="2" t="str">
        <v/>
      </c>
      <c r="F322" t="str">
        <v>Zomerstage 2026 (Blankenberge)</v>
      </c>
      <c r="G322" t="str">
        <v>Speler</v>
      </c>
    </row>
    <row r="323" spans="1:7" x14ac:dyDescent="0.25">
      <c r="A323" t="str">
        <v>Briek Goossens</v>
      </c>
      <c r="B323" t="str">
        <v>dries.goossens@gmail.com</v>
      </c>
      <c r="C323" t="str">
        <v>320497948892</v>
      </c>
      <c r="D323" t="str">
        <v/>
      </c>
      <c r="E323" s="2">
        <v>735147</v>
      </c>
      <c r="F323" t="str">
        <v>Zomerstage 2026 (Blankenberge)</v>
      </c>
      <c r="G323" t="str">
        <v>Speler</v>
      </c>
    </row>
    <row r="324" spans="1:7" x14ac:dyDescent="0.25">
      <c r="A324" t="str">
        <v>Heike Guenter</v>
      </c>
      <c r="B324" t="str">
        <v>Heike.guenter@telenet.be</v>
      </c>
      <c r="C324" t="str">
        <v>0474664394</v>
      </c>
      <c r="D324" t="str">
        <v/>
      </c>
      <c r="E324" s="2">
        <v>727038</v>
      </c>
      <c r="F324" t="str">
        <v>Zomerstage 2026 (Blankenberge)</v>
      </c>
      <c r="G324" t="str">
        <v>Speler</v>
      </c>
    </row>
    <row r="325" spans="1:7" x14ac:dyDescent="0.25">
      <c r="A325" t="str">
        <v>Laura Hakuzimana</v>
      </c>
      <c r="B325" t="str">
        <v/>
      </c>
      <c r="C325" t="str">
        <v>0496950967</v>
      </c>
      <c r="D325" t="str">
        <v/>
      </c>
      <c r="E325" s="2">
        <v>721092</v>
      </c>
      <c r="F325" t="str">
        <v>Zomerstage 2026 (Blankenberge)</v>
      </c>
      <c r="G325" t="str">
        <v>Speler</v>
      </c>
    </row>
    <row r="326" spans="1:7" x14ac:dyDescent="0.25">
      <c r="A326" t="str">
        <v>Lennert Huys</v>
      </c>
      <c r="B326" t="str">
        <v/>
      </c>
      <c r="C326" t="str">
        <v>32498104852</v>
      </c>
      <c r="D326" t="str">
        <v/>
      </c>
      <c r="E326" s="2">
        <v>735041</v>
      </c>
      <c r="F326" t="str">
        <v>Zomerstage 2026 (Blankenberge)</v>
      </c>
      <c r="G326" t="str">
        <v>Speler</v>
      </c>
    </row>
    <row r="327" spans="1:7" x14ac:dyDescent="0.25">
      <c r="A327" t="str">
        <v>Vic Huysman</v>
      </c>
      <c r="B327" t="str">
        <v/>
      </c>
      <c r="C327" t="str">
        <v>474884540</v>
      </c>
      <c r="D327" t="str">
        <v>https://app.twizzit.com/public/photos/2936186/s/c4015a6cfb380c1e7090d66488ca6326fa9caa7a.png</v>
      </c>
      <c r="E327" s="2">
        <v>744354</v>
      </c>
      <c r="F327" t="str">
        <v>Zomerstage 2026 (Blankenberge)</v>
      </c>
      <c r="G327" t="str">
        <v>Speler</v>
      </c>
    </row>
    <row r="328" spans="1:7" x14ac:dyDescent="0.25">
      <c r="A328" t="str">
        <v>Leon L'Hommelet</v>
      </c>
      <c r="B328" t="str">
        <v>els.bourgois@gmail.com</v>
      </c>
      <c r="C328" t="str">
        <v>479376759</v>
      </c>
      <c r="D328" t="str">
        <v/>
      </c>
      <c r="E328" s="2">
        <v>733228</v>
      </c>
      <c r="F328" t="str">
        <v>Zomerstage 2026 (Blankenberge)</v>
      </c>
      <c r="G328" t="str">
        <v>Speler</v>
      </c>
    </row>
    <row r="329" spans="1:7" x14ac:dyDescent="0.25">
      <c r="A329" t="str">
        <v>Ruube Lagae</v>
      </c>
      <c r="B329" t="str">
        <v>Ruubelagae@gmail.com</v>
      </c>
      <c r="C329" t="str">
        <v>32486615053</v>
      </c>
      <c r="D329" t="str">
        <v/>
      </c>
      <c r="E329" s="2" t="str">
        <v/>
      </c>
      <c r="F329" t="str">
        <v>Zomerstage 2026 (Blankenberge)</v>
      </c>
      <c r="G329" t="str">
        <v>Speler</v>
      </c>
    </row>
    <row r="330" spans="1:7" x14ac:dyDescent="0.25">
      <c r="A330" t="str">
        <v>Thor Lessenne</v>
      </c>
      <c r="B330" t="str">
        <v>lessenne_frederic@yahoo.com</v>
      </c>
      <c r="C330" t="str">
        <v>0494240195</v>
      </c>
      <c r="D330" t="str">
        <v>https://app.twizzit.com/public/photos/4393791/s/f227f8ddb169feb6dded4f508fa8f0a8d6bc3bc4.jpeg</v>
      </c>
      <c r="E330" s="2">
        <v>758517</v>
      </c>
      <c r="F330" t="str">
        <v>Zomerstage 2026 (Blankenberge)</v>
      </c>
      <c r="G330" t="str">
        <v>Speler</v>
      </c>
    </row>
    <row r="331" spans="1:7" x14ac:dyDescent="0.25">
      <c r="A331" t="str">
        <v>Alexander Libert</v>
      </c>
      <c r="B331" t="str">
        <v>s_ardenois@hotmail.com</v>
      </c>
      <c r="C331" t="str">
        <v>0479788543</v>
      </c>
      <c r="D331" t="str">
        <v/>
      </c>
      <c r="E331" s="2">
        <v>723668</v>
      </c>
      <c r="F331" t="str">
        <v>Zomerstage 2026 (Blankenberge)</v>
      </c>
      <c r="G331" t="str">
        <v>Speler</v>
      </c>
    </row>
    <row r="332" spans="1:7" x14ac:dyDescent="0.25">
      <c r="A332" t="str">
        <v>Mathieu Libert</v>
      </c>
      <c r="B332" t="str">
        <v>s_ardenois@hotmail.com</v>
      </c>
      <c r="C332" t="str">
        <v>32474397512</v>
      </c>
      <c r="D332" t="str">
        <v/>
      </c>
      <c r="E332" s="2" t="str">
        <v/>
      </c>
      <c r="F332" t="str">
        <v>Zomerstage 2026 (Blankenberge)</v>
      </c>
      <c r="G332" t="str">
        <v>Speler</v>
      </c>
    </row>
    <row r="333" spans="1:7" x14ac:dyDescent="0.25">
      <c r="A333" t="str">
        <v>Sam Liekens</v>
      </c>
      <c r="B333" t="str">
        <v/>
      </c>
      <c r="C333" t="str">
        <v>0478888243</v>
      </c>
      <c r="D333" t="str">
        <v>https://app.twizzit.com/public/photos/3475283/s/e532263ea43cddb59650656f3777387ca04d2de4.jpeg</v>
      </c>
      <c r="E333" s="2">
        <v>749236</v>
      </c>
      <c r="F333" t="str">
        <v>Zomerstage 2026 (Blankenberge)</v>
      </c>
      <c r="G333" t="str">
        <v>Speler</v>
      </c>
    </row>
    <row r="334" spans="1:7" x14ac:dyDescent="0.25">
      <c r="A334" t="str">
        <v>Viktor L’Hommelet</v>
      </c>
      <c r="B334" t="str">
        <v>els.bourgois@gmail.com</v>
      </c>
      <c r="C334" t="str">
        <v>479376759</v>
      </c>
      <c r="D334" t="str">
        <v/>
      </c>
      <c r="E334" s="2">
        <v>714059</v>
      </c>
      <c r="F334" t="str">
        <v>Zomerstage 2026 (Blankenberge)</v>
      </c>
      <c r="G334" t="str">
        <v>Speler</v>
      </c>
    </row>
    <row r="335" spans="1:7" x14ac:dyDescent="0.25">
      <c r="A335" t="str">
        <v>Nathan Maenhout</v>
      </c>
      <c r="B335" t="str">
        <v>jokespies@hotmail.com</v>
      </c>
      <c r="C335" t="str">
        <v>0489178706</v>
      </c>
      <c r="D335" t="str">
        <v>https://app.twizzit.com/public/photos/9359547/s/0986374ba59a462685344af411da25079641e82d.jpeg</v>
      </c>
      <c r="E335" s="2" t="str">
        <v/>
      </c>
      <c r="F335" t="str">
        <v>Zomerstage 2026 (Blankenberge)</v>
      </c>
      <c r="G335" t="str">
        <v>Speler</v>
      </c>
    </row>
    <row r="336" spans="1:7" x14ac:dyDescent="0.25">
      <c r="A336" t="str">
        <v>Dréa Maes</v>
      </c>
      <c r="B336" t="str">
        <v>Joke.merlaen@gmail.com</v>
      </c>
      <c r="C336" t="str">
        <v/>
      </c>
      <c r="D336" t="str">
        <v>https://app.twizzit.com/public/photos/3412861/s/5d2322ba0de7264fd5ba0170cc29e82844de05d5.png</v>
      </c>
      <c r="E336" s="2" t="str">
        <v/>
      </c>
      <c r="F336" t="str">
        <v>Zomerstage 2026 (Blankenberge)</v>
      </c>
      <c r="G336" t="str">
        <v>Speler</v>
      </c>
    </row>
    <row r="337" spans="1:7" x14ac:dyDescent="0.25">
      <c r="A337" t="str">
        <v>Steppe Matthys</v>
      </c>
      <c r="B337" t="str">
        <v/>
      </c>
      <c r="C337" t="str">
        <v>0468429871</v>
      </c>
      <c r="D337" t="str">
        <v>https://app.twizzit.com/public/photos/10488364/s/177c95b9932dcdda23e09eda7b0298c34ca94551.jpeg</v>
      </c>
      <c r="E337" s="2" t="str">
        <v/>
      </c>
      <c r="F337" t="str">
        <v>Zomerstage 2026 (Blankenberge)</v>
      </c>
      <c r="G337" t="str">
        <v>Speler</v>
      </c>
    </row>
    <row r="338" spans="1:7" x14ac:dyDescent="0.25">
      <c r="A338" t="str">
        <v>Kasper Mees</v>
      </c>
      <c r="B338" t="str">
        <v/>
      </c>
      <c r="C338" t="str">
        <v>474721420</v>
      </c>
      <c r="D338" t="str">
        <v>https://app.twizzit.com/public/photos/2183112/s/07942e4161d7a20864d1fbcf54b9a6dda331637e.png</v>
      </c>
      <c r="E338" s="2">
        <v>732219</v>
      </c>
      <c r="F338" t="str">
        <v>Zomerstage 2026 (Blankenberge)</v>
      </c>
      <c r="G338" t="str">
        <v>Speler</v>
      </c>
    </row>
    <row r="339" spans="1:7" x14ac:dyDescent="0.25">
      <c r="A339" t="str">
        <v>Julie Orbie</v>
      </c>
      <c r="B339" t="str">
        <v/>
      </c>
      <c r="C339" t="str">
        <v>472656820</v>
      </c>
      <c r="D339" t="str">
        <v/>
      </c>
      <c r="E339" s="2">
        <v>746004</v>
      </c>
      <c r="F339" t="str">
        <v>Zomerstage 2026 (Blankenberge)</v>
      </c>
      <c r="G339" t="str">
        <v>Speler</v>
      </c>
    </row>
    <row r="340" spans="1:7" x14ac:dyDescent="0.25">
      <c r="A340" t="str">
        <v>Gust Ottevaere</v>
      </c>
      <c r="B340" t="str">
        <v>maaike.teirlinck@telenet.be</v>
      </c>
      <c r="C340" t="str">
        <v>320476260862</v>
      </c>
      <c r="D340" t="str">
        <v/>
      </c>
      <c r="E340" s="2" t="str">
        <v/>
      </c>
      <c r="F340" t="str">
        <v>Zomerstage 2026 (Blankenberge)</v>
      </c>
      <c r="G340" t="str">
        <v>Speler</v>
      </c>
    </row>
    <row r="341" spans="1:7" x14ac:dyDescent="0.25">
      <c r="A341" t="str">
        <v>Brent Pollet</v>
      </c>
      <c r="B341" t="str">
        <v>pollet.jelle@gmail.com</v>
      </c>
      <c r="C341" t="str">
        <v>0497503207</v>
      </c>
      <c r="D341" t="str">
        <v>https://app.twizzit.com/public/photos/3454870/s/e7fdcf5140d5e910d15662f873e9aafb78eb7d4f.jpeg</v>
      </c>
      <c r="E341" s="2">
        <v>756320</v>
      </c>
      <c r="F341" t="str">
        <v>Zomerstage 2026 (Blankenberge)</v>
      </c>
      <c r="G341" t="str">
        <v>Speler</v>
      </c>
    </row>
    <row r="342" spans="1:7" x14ac:dyDescent="0.25">
      <c r="A342" t="str">
        <v>Mats Renard</v>
      </c>
      <c r="B342" t="str">
        <v/>
      </c>
      <c r="C342" t="str">
        <v>0476752923</v>
      </c>
      <c r="D342" t="str">
        <v>https://app.twizzit.com/public/photos/2183172/s/365feecf0a3ae5a9392582a322a55ff1fee56899.png</v>
      </c>
      <c r="E342" s="2">
        <v>714465</v>
      </c>
      <c r="F342" t="str">
        <v>Zomerstage 2026 (Blankenberge)</v>
      </c>
      <c r="G342" t="str">
        <v>Speler</v>
      </c>
    </row>
    <row r="343" spans="1:7" x14ac:dyDescent="0.25">
      <c r="A343" t="str">
        <v>Emlin Rommens</v>
      </c>
      <c r="B343" t="str">
        <v>pieterrommens@hotmail.be</v>
      </c>
      <c r="C343" t="str">
        <v>32470513652</v>
      </c>
      <c r="D343" t="str">
        <v>https://app.twizzit.com/public/photos/2650641/s/248b205ecc69fd455c13ac7cc9deb76d11e361a0.png</v>
      </c>
      <c r="E343" s="2">
        <v>742358</v>
      </c>
      <c r="F343" t="str">
        <v>Zomerstage 2026 (Blankenberge)</v>
      </c>
      <c r="G343" t="str">
        <v>Speler</v>
      </c>
    </row>
    <row r="344" spans="1:7" x14ac:dyDescent="0.25">
      <c r="A344" t="str">
        <v>Elisabeth Saveyn</v>
      </c>
      <c r="B344" t="str">
        <v>moonvanneste@hotmail.com</v>
      </c>
      <c r="C344" t="str">
        <v>0496392369</v>
      </c>
      <c r="D344" t="str">
        <v/>
      </c>
      <c r="E344" s="2" t="str">
        <v/>
      </c>
      <c r="F344" t="str">
        <v>Zomerstage 2026 (Blankenberge)</v>
      </c>
      <c r="G344" t="str">
        <v>Speler</v>
      </c>
    </row>
    <row r="345" spans="1:7" x14ac:dyDescent="0.25">
      <c r="A345" t="str">
        <v>Nona Schmitt</v>
      </c>
      <c r="B345" t="str">
        <v>marie.boullart@hotmail.com</v>
      </c>
      <c r="C345" t="str">
        <v>0473761554</v>
      </c>
      <c r="D345" t="str">
        <v/>
      </c>
      <c r="E345" s="2" t="str">
        <v/>
      </c>
      <c r="F345" t="str">
        <v>Zomerstage 2026 (Blankenberge)</v>
      </c>
      <c r="G345" t="str">
        <v>Speler</v>
      </c>
    </row>
    <row r="346" spans="1:7" x14ac:dyDescent="0.25">
      <c r="A346" t="str">
        <v>Ziano Schoenmaekers</v>
      </c>
      <c r="B346" t="str">
        <v>pedro.schoenmaekers@hotmail.com</v>
      </c>
      <c r="C346" t="str">
        <v>0476935877</v>
      </c>
      <c r="D346" t="str">
        <v>https://app.twizzit.com/public/photos/2650796/s/806ce17769fd3d29fc435d865a5b302b6c25c6ca.png</v>
      </c>
      <c r="E346" s="2">
        <v>743241</v>
      </c>
      <c r="F346" t="str">
        <v>Zomerstage 2026 (Blankenberge)</v>
      </c>
      <c r="G346" t="str">
        <v>Speler</v>
      </c>
    </row>
    <row r="347" spans="1:7" x14ac:dyDescent="0.25">
      <c r="A347" t="str">
        <v>Merel Spiessens</v>
      </c>
      <c r="B347" t="str">
        <v>Me@opcd.net</v>
      </c>
      <c r="C347" t="str">
        <v>0474655154</v>
      </c>
      <c r="D347" t="str">
        <v>https://app.twizzit.com/public/photos/2183207/s/cd9fd40cf38cd1eb62df0198f102c2154c08c604.jpeg</v>
      </c>
      <c r="E347" s="2">
        <v>721093</v>
      </c>
      <c r="F347" t="str">
        <v>Zomerstage 2026 (Blankenberge)</v>
      </c>
      <c r="G347" t="str">
        <v>Speler</v>
      </c>
    </row>
    <row r="348" spans="1:7" x14ac:dyDescent="0.25">
      <c r="A348" t="str">
        <v>Jules Ternoot</v>
      </c>
      <c r="B348" t="str">
        <v/>
      </c>
      <c r="C348" t="str">
        <v>320472603499</v>
      </c>
      <c r="D348" t="str">
        <v>https://app.twizzit.com/public/photos/9499964/s/ff5f984b647838e4bd7563b356e5c206230b1763.jpeg</v>
      </c>
      <c r="E348" s="2">
        <v>743553</v>
      </c>
      <c r="F348" t="str">
        <v>Zomerstage 2026 (Blankenberge)</v>
      </c>
      <c r="G348" t="str">
        <v>Speler</v>
      </c>
    </row>
    <row r="349" spans="1:7" x14ac:dyDescent="0.25">
      <c r="A349" t="str">
        <v>Mattis Van Assche</v>
      </c>
      <c r="B349" t="str">
        <v/>
      </c>
      <c r="C349" t="str">
        <v>0497912121</v>
      </c>
      <c r="D349" t="str">
        <v>https://app.twizzit.com/public/photos/2183242/s/024b94ee0589d7797c4da7bd2e98266bcdb2677a.png</v>
      </c>
      <c r="E349" s="2">
        <v>729846</v>
      </c>
      <c r="F349" t="str">
        <v>Zomerstage 2026 (Blankenberge)</v>
      </c>
      <c r="G349" t="str">
        <v>Speler</v>
      </c>
    </row>
    <row r="350" spans="1:7" x14ac:dyDescent="0.25">
      <c r="A350" t="str">
        <v>Loes Van de Populiere</v>
      </c>
      <c r="B350" t="str">
        <v>biekemoone@hotmail.com</v>
      </c>
      <c r="C350" t="str">
        <v>320477353878</v>
      </c>
      <c r="D350" t="str">
        <v/>
      </c>
      <c r="E350" s="2" t="str">
        <v/>
      </c>
      <c r="F350" t="str">
        <v>Zomerstage 2026 (Blankenberge)</v>
      </c>
      <c r="G350" t="str">
        <v>Speler</v>
      </c>
    </row>
    <row r="351" spans="1:7" x14ac:dyDescent="0.25">
      <c r="A351" t="str">
        <v>Edouard Van de Weghe</v>
      </c>
      <c r="B351" t="str">
        <v/>
      </c>
      <c r="C351" t="str">
        <v>32479793011</v>
      </c>
      <c r="D351" t="str">
        <v/>
      </c>
      <c r="E351" s="2">
        <v>735070</v>
      </c>
      <c r="F351" t="str">
        <v>Zomerstage 2026 (Blankenberge)</v>
      </c>
      <c r="G351" t="str">
        <v>Speler</v>
      </c>
    </row>
    <row r="352" spans="1:7" x14ac:dyDescent="0.25">
      <c r="A352" t="str">
        <v>Jerome Van de Weghe</v>
      </c>
      <c r="B352" t="str">
        <v>pieter@combus.be</v>
      </c>
      <c r="C352" t="str">
        <v>0479793011</v>
      </c>
      <c r="D352" t="str">
        <v/>
      </c>
      <c r="E352" s="2">
        <v>758509</v>
      </c>
      <c r="F352" t="str">
        <v>Zomerstage 2026 (Blankenberge)</v>
      </c>
      <c r="G352" t="str">
        <v>Speler</v>
      </c>
    </row>
    <row r="353" spans="1:7" x14ac:dyDescent="0.25">
      <c r="A353" t="str">
        <v>Brecht Van Glabeke</v>
      </c>
      <c r="B353" t="str">
        <v/>
      </c>
      <c r="C353" t="str">
        <v>32470671727</v>
      </c>
      <c r="D353" t="str">
        <v/>
      </c>
      <c r="E353" s="2" t="str">
        <v/>
      </c>
      <c r="F353" t="str">
        <v>Zomerstage 2026 (Blankenberge)</v>
      </c>
      <c r="G353" t="str">
        <v>Speler</v>
      </c>
    </row>
    <row r="354" spans="1:7" x14ac:dyDescent="0.25">
      <c r="A354" t="str">
        <v>Maxime Van Herpe</v>
      </c>
      <c r="B354" t="str">
        <v/>
      </c>
      <c r="C354" t="str">
        <v>0494706960</v>
      </c>
      <c r="D354" t="str">
        <v/>
      </c>
      <c r="E354" s="2" t="str">
        <v/>
      </c>
      <c r="F354" t="str">
        <v>Zomerstage 2026 (Blankenberge)</v>
      </c>
      <c r="G354" t="str">
        <v>Speler</v>
      </c>
    </row>
    <row r="355" spans="1:7" x14ac:dyDescent="0.25">
      <c r="A355" t="str">
        <v>Olivia Vanbutsele</v>
      </c>
      <c r="B355" t="str">
        <v>Mike.vb@telenet.be</v>
      </c>
      <c r="C355" t="str">
        <v>0479484158</v>
      </c>
      <c r="D355" t="str">
        <v>https://app.twizzit.com/public/photos/4292310/s/063d2ce017539cf8df316f28e3a639739d1c1148.jpeg</v>
      </c>
      <c r="E355" s="2" t="str">
        <v/>
      </c>
      <c r="F355" t="str">
        <v>Zomerstage 2026 (Blankenberge)</v>
      </c>
      <c r="G355" t="str">
        <v>Speler</v>
      </c>
    </row>
    <row r="356" spans="1:7" x14ac:dyDescent="0.25">
      <c r="A356" t="str">
        <v>Lowie Vande Kerckhove</v>
      </c>
      <c r="B356" t="str">
        <v/>
      </c>
      <c r="C356" t="str">
        <v>0498621224</v>
      </c>
      <c r="D356" t="str">
        <v/>
      </c>
      <c r="E356" s="2">
        <v>705824</v>
      </c>
      <c r="F356" t="str">
        <v>Zomerstage 2026 (Blankenberge)</v>
      </c>
      <c r="G356" t="str">
        <v>Speler</v>
      </c>
    </row>
    <row r="357" spans="1:7" x14ac:dyDescent="0.25">
      <c r="A357" t="str">
        <v>Ilias Vander Beken</v>
      </c>
      <c r="B357" t="str">
        <v>tine_de_smet90@hotmail.com</v>
      </c>
      <c r="C357" t="str">
        <v>0468142508</v>
      </c>
      <c r="D357" t="str">
        <v>https://app.twizzit.com/public/photos/9469457/s/eb40348dfb8a2c0c9b13e74dd04369019dbd2f32.jpeg</v>
      </c>
      <c r="E357" s="2" t="str">
        <v/>
      </c>
      <c r="F357" t="str">
        <v>Zomerstage 2026 (Blankenberge)</v>
      </c>
      <c r="G357" t="str">
        <v>Speler</v>
      </c>
    </row>
    <row r="358" spans="1:7" x14ac:dyDescent="0.25">
      <c r="A358" t="str">
        <v>Lucas Vanderstraeten</v>
      </c>
      <c r="B358" t="str">
        <v/>
      </c>
      <c r="C358" t="str">
        <v>0496654860</v>
      </c>
      <c r="D358" t="str">
        <v>https://app.twizzit.com/public/photos/3447788/s/a21b510884c5e068d9fd07894f967e10ecef7568.png</v>
      </c>
      <c r="E358" s="2" t="str">
        <v/>
      </c>
      <c r="F358" t="str">
        <v>Zomerstage 2026 (Blankenberge)</v>
      </c>
      <c r="G358" t="str">
        <v>Speler</v>
      </c>
    </row>
    <row r="359" spans="1:7" x14ac:dyDescent="0.25">
      <c r="A359" t="str">
        <v>Anaïs Vanhessche</v>
      </c>
      <c r="B359" t="str">
        <v>miekevanderhaeghen@gmail.com</v>
      </c>
      <c r="C359" t="str">
        <v>0477741955</v>
      </c>
      <c r="D359" t="str">
        <v>https://app.twizzit.com/public/photos/2183392/s/3035381a43296f702255c02c3c99c4303bd9ab17.png</v>
      </c>
      <c r="E359" s="2">
        <v>730033</v>
      </c>
      <c r="F359" t="str">
        <v>Zomerstage 2026 (Blankenberge)</v>
      </c>
      <c r="G359" t="str">
        <v>Speler</v>
      </c>
    </row>
    <row r="360" spans="1:7" x14ac:dyDescent="0.25">
      <c r="A360" t="str">
        <v>Lente Verhaeghe</v>
      </c>
      <c r="B360" t="str">
        <v>achiel.en.hector@hotmail.com</v>
      </c>
      <c r="C360" t="str">
        <v/>
      </c>
      <c r="D360" t="str">
        <v>https://app.twizzit.com/public/photos/3706826/s/7283d518f82547e0fb530790cddedb0edf0a5785.jpeg</v>
      </c>
      <c r="E360" s="2" t="str">
        <v/>
      </c>
      <c r="F360" t="str">
        <v>Zomerstage 2026 (Blankenberge)</v>
      </c>
      <c r="G360" t="str">
        <v>Speler</v>
      </c>
    </row>
    <row r="361" spans="1:7" x14ac:dyDescent="0.25">
      <c r="A361" t="str">
        <v>Emma Verleyen</v>
      </c>
      <c r="B361" t="str">
        <v>emma.verleyen094@gmail.com</v>
      </c>
      <c r="C361" t="str">
        <v>0479607716</v>
      </c>
      <c r="D361" t="str">
        <v/>
      </c>
      <c r="E361" s="2" t="str">
        <v/>
      </c>
      <c r="F361" t="str">
        <v>Zomerstage 2026 (Blankenberge)</v>
      </c>
      <c r="G361" t="str">
        <v>Speler</v>
      </c>
    </row>
    <row r="362" spans="1:7" x14ac:dyDescent="0.25">
      <c r="A362" t="str">
        <v>Lucas Verlinden</v>
      </c>
      <c r="B362" t="str">
        <v/>
      </c>
      <c r="C362" t="str">
        <v>32486682066</v>
      </c>
      <c r="D362" t="str">
        <v/>
      </c>
      <c r="E362" s="2" t="str">
        <v/>
      </c>
      <c r="F362" t="str">
        <v>Zomerstage 2026 (Blankenberge)</v>
      </c>
      <c r="G362" t="str">
        <v>Speler</v>
      </c>
    </row>
    <row r="363" spans="1:7" x14ac:dyDescent="0.25">
      <c r="A363" t="str">
        <v>Nathan Vermassen</v>
      </c>
      <c r="B363" t="str">
        <v/>
      </c>
      <c r="C363" t="str">
        <v>0498493330</v>
      </c>
      <c r="D363" t="str">
        <v/>
      </c>
      <c r="E363" s="2" t="str">
        <v/>
      </c>
      <c r="F363" t="str">
        <v>Zomerstage 2026 (Blankenberge)</v>
      </c>
      <c r="G363" t="str">
        <v>Speler</v>
      </c>
    </row>
    <row r="364" spans="1:7" x14ac:dyDescent="0.25">
      <c r="A364" t="str">
        <v>Matz Vermeerschen</v>
      </c>
      <c r="B364" t="str">
        <v>charlotte.vanmoorleghem1@gmail.com</v>
      </c>
      <c r="C364" t="str">
        <v/>
      </c>
      <c r="D364" t="str">
        <v/>
      </c>
      <c r="E364" s="2">
        <v>729844</v>
      </c>
      <c r="F364" t="str">
        <v>Zomerstage 2026 (Blankenberge)</v>
      </c>
      <c r="G364" t="str">
        <v>Speler</v>
      </c>
    </row>
    <row r="365" spans="1:7" x14ac:dyDescent="0.25">
      <c r="A365" t="str">
        <v>Lena Verschatse</v>
      </c>
      <c r="B365" t="str">
        <v/>
      </c>
      <c r="C365" t="str">
        <v>0468516883</v>
      </c>
      <c r="D365" t="str">
        <v/>
      </c>
      <c r="E365" s="2">
        <v>735282</v>
      </c>
      <c r="F365" t="str">
        <v>Zomerstage 2026 (Blankenberge)</v>
      </c>
      <c r="G365" t="str">
        <v>Speler</v>
      </c>
    </row>
    <row r="366" spans="1:7" x14ac:dyDescent="0.25">
      <c r="A366" t="str">
        <v>Thomas Viaene</v>
      </c>
      <c r="B366" t="str">
        <v/>
      </c>
      <c r="C366" t="str">
        <v>0497313727</v>
      </c>
      <c r="D366" t="str">
        <v/>
      </c>
      <c r="E366" s="2">
        <v>739602</v>
      </c>
      <c r="F366" t="str">
        <v>Zomerstage 2026 (Blankenberge)</v>
      </c>
      <c r="G366" t="str">
        <v>Speler</v>
      </c>
    </row>
    <row r="367" spans="1:7" x14ac:dyDescent="0.25">
      <c r="A367" t="str">
        <v>Lenn Altruy</v>
      </c>
      <c r="B367" t="str">
        <v>David.altruy@outlook.be</v>
      </c>
      <c r="C367" t="str">
        <v>0479873979</v>
      </c>
      <c r="D367" t="str">
        <v/>
      </c>
      <c r="E367" s="2" t="str">
        <v/>
      </c>
      <c r="F367" t="str">
        <v>Zomerstage 2026 U10 &amp; U12 (Oudenaarde)</v>
      </c>
      <c r="G367" t="str">
        <v>Speler</v>
      </c>
    </row>
    <row r="368" spans="1:7" x14ac:dyDescent="0.25">
      <c r="A368" t="str">
        <v>Senn Anseeuw</v>
      </c>
      <c r="B368" t="str">
        <v>matthias.anseeuw@telenet.be</v>
      </c>
      <c r="C368" t="str">
        <v>0497023380</v>
      </c>
      <c r="D368" t="str">
        <v>https://app.twizzit.com/public/photos/4421954/s/39c1d6c08bc84b336f4c340a175719810e926066.png</v>
      </c>
      <c r="E368" s="2" t="str">
        <v/>
      </c>
      <c r="F368" t="str">
        <v>Zomerstage 2026 U10 &amp; U12 (Oudenaarde)</v>
      </c>
      <c r="G368" t="str">
        <v>Speler</v>
      </c>
    </row>
    <row r="369" spans="1:7" x14ac:dyDescent="0.25">
      <c r="A369" t="str">
        <v>Leon Castelain</v>
      </c>
      <c r="B369" t="str">
        <v/>
      </c>
      <c r="C369" t="str">
        <v>32495228616</v>
      </c>
      <c r="D369" t="str">
        <v>https://app.twizzit.com/public/photos/3486565/s/dbc5287e080bfa9acd16205b0ef6339800e0ffb6.png</v>
      </c>
      <c r="E369" s="2" t="str">
        <v xml:space="preserve">762623 </v>
      </c>
      <c r="F369" t="str">
        <v>Zomerstage 2026 U10 &amp; U12 (Oudenaarde)</v>
      </c>
      <c r="G369" t="str">
        <v>Speler</v>
      </c>
    </row>
    <row r="370" spans="1:7" x14ac:dyDescent="0.25">
      <c r="A370" t="str">
        <v>Renée Deraedt</v>
      </c>
      <c r="B370" t="str">
        <v/>
      </c>
      <c r="C370" t="str">
        <v>320477714035</v>
      </c>
      <c r="D370" t="str">
        <v>https://app.twizzit.com/public/photos/7328300/s/7e2d6dfb7100b0ca8feb8f22a68ce2009271348a.png</v>
      </c>
      <c r="E370" s="2" t="str">
        <v/>
      </c>
      <c r="F370" t="str">
        <v>Zomerstage 2026 U10 &amp; U12 (Oudenaarde)</v>
      </c>
      <c r="G370" t="str">
        <v>Speler</v>
      </c>
    </row>
    <row r="371" spans="1:7" x14ac:dyDescent="0.25">
      <c r="A371" t="str">
        <v>Vinke Derycke</v>
      </c>
      <c r="B371" t="str">
        <v>stevenderycke244@gmail.com</v>
      </c>
      <c r="C371" t="str">
        <v>32484679541</v>
      </c>
      <c r="D371" t="str">
        <v/>
      </c>
      <c r="E371" s="2" t="str">
        <v/>
      </c>
      <c r="F371" t="str">
        <v>Zomerstage 2026 U10 &amp; U12 (Oudenaarde)</v>
      </c>
      <c r="G371" t="str">
        <v>Speler</v>
      </c>
    </row>
    <row r="372" spans="1:7" x14ac:dyDescent="0.25">
      <c r="A372" t="str">
        <v>Kenneth Dhont</v>
      </c>
      <c r="B372" t="str">
        <v/>
      </c>
      <c r="C372" t="str">
        <v>0477485789</v>
      </c>
      <c r="D372" t="str">
        <v/>
      </c>
      <c r="E372" s="2">
        <v>50455</v>
      </c>
      <c r="F372" t="str">
        <v>Zomerstage 2026 U10 &amp; U12 (Oudenaarde)</v>
      </c>
      <c r="G372" t="str">
        <v>Coach</v>
      </c>
    </row>
    <row r="373" spans="1:7" x14ac:dyDescent="0.25">
      <c r="A373" t="str">
        <v>Miel Elyn</v>
      </c>
      <c r="B373" t="str">
        <v>Lievemoyaert@icloud.com</v>
      </c>
      <c r="C373" t="str">
        <v/>
      </c>
      <c r="D373" t="str">
        <v/>
      </c>
      <c r="E373" s="2" t="str">
        <v/>
      </c>
      <c r="F373" t="str">
        <v>Zomerstage 2026 U10 &amp; U12 (Oudenaarde)</v>
      </c>
      <c r="G373" t="str">
        <v>Speler</v>
      </c>
    </row>
    <row r="374" spans="1:7" x14ac:dyDescent="0.25">
      <c r="A374" t="str">
        <v>Alixe Geenens</v>
      </c>
      <c r="B374" t="str">
        <v>stephengeenens@gmail.com</v>
      </c>
      <c r="C374" t="str">
        <v>0477248349</v>
      </c>
      <c r="D374" t="str">
        <v/>
      </c>
      <c r="E374" s="2" t="str">
        <v/>
      </c>
      <c r="F374" t="str">
        <v>Zomerstage 2026 U10 &amp; U12 (Oudenaarde)</v>
      </c>
      <c r="G374" t="str">
        <v>Speler</v>
      </c>
    </row>
    <row r="375" spans="1:7" x14ac:dyDescent="0.25">
      <c r="A375" t="str">
        <v>Emiel Opsomer</v>
      </c>
      <c r="B375" t="str">
        <v>meirlaen.evelien@gmail.com</v>
      </c>
      <c r="C375" t="str">
        <v>0478767261</v>
      </c>
      <c r="D375" t="str">
        <v/>
      </c>
      <c r="E375" s="2">
        <v>757869</v>
      </c>
      <c r="F375" t="str">
        <v>Zomerstage 2026 U10 &amp; U12 (Oudenaarde)</v>
      </c>
      <c r="G375" t="str">
        <v>Speler</v>
      </c>
    </row>
    <row r="376" spans="1:7" x14ac:dyDescent="0.25">
      <c r="A376" t="str">
        <v>Brent Pollet</v>
      </c>
      <c r="B376" t="str">
        <v>pollet.jelle@gmail.com</v>
      </c>
      <c r="C376" t="str">
        <v>0497503207</v>
      </c>
      <c r="D376" t="str">
        <v>https://app.twizzit.com/public/photos/3454870/s/e7fdcf5140d5e910d15662f873e9aafb78eb7d4f.jpeg</v>
      </c>
      <c r="E376" s="2">
        <v>756320</v>
      </c>
      <c r="F376" t="str">
        <v>Zomerstage 2026 U10 &amp; U12 (Oudenaarde)</v>
      </c>
      <c r="G376" t="str">
        <v>Speler</v>
      </c>
    </row>
    <row r="377" spans="1:7" x14ac:dyDescent="0.25">
      <c r="A377" t="str">
        <v>Magalie Stevens</v>
      </c>
      <c r="B377" t="str">
        <v>safadorote3@gmail.com</v>
      </c>
      <c r="C377" t="str">
        <v>0477968913</v>
      </c>
      <c r="D377" t="str">
        <v/>
      </c>
      <c r="E377" s="2" t="str">
        <v/>
      </c>
      <c r="F377" t="str">
        <v>Zomerstage 2026 U10 &amp; U12 (Oudenaarde)</v>
      </c>
      <c r="G377" t="str">
        <v>Speler</v>
      </c>
    </row>
    <row r="378" spans="1:7" x14ac:dyDescent="0.25">
      <c r="A378" t="str">
        <v>Maiga Stevens</v>
      </c>
      <c r="B378" t="str">
        <v>safadorote3@gmail.com</v>
      </c>
      <c r="C378" t="str">
        <v>0477968913</v>
      </c>
      <c r="D378" t="str">
        <v/>
      </c>
      <c r="E378" s="2" t="str">
        <v/>
      </c>
      <c r="F378" t="str">
        <v>Zomerstage 2026 U10 &amp; U12 (Oudenaarde)</v>
      </c>
      <c r="G378" t="str">
        <v>Speler</v>
      </c>
    </row>
    <row r="379" spans="1:7" x14ac:dyDescent="0.25">
      <c r="A379" t="str">
        <v>Ella Van de zande</v>
      </c>
      <c r="B379" t="str">
        <v>piekske007@yahoo.com</v>
      </c>
      <c r="C379" t="str">
        <v>0486372617</v>
      </c>
      <c r="D379" t="str">
        <v>https://app.twizzit.com/public/photos/7665003/s/5ed58413208ebbb451d8f9179fc6141b44a190fa.png</v>
      </c>
      <c r="E379" s="2" t="str">
        <v/>
      </c>
      <c r="F379" t="str">
        <v>Zomerstage 2026 U10 &amp; U12 (Oudenaarde)</v>
      </c>
      <c r="G379" t="str">
        <v>Speler</v>
      </c>
    </row>
    <row r="380" spans="1:7" x14ac:dyDescent="0.25">
      <c r="A380" t="str">
        <v>Emma Van Nieuwenhuyze</v>
      </c>
      <c r="B380" t="str">
        <v>maaikeschiettecatte@gmail.com</v>
      </c>
      <c r="C380" t="str">
        <v>0477259667</v>
      </c>
      <c r="D380" t="str">
        <v/>
      </c>
      <c r="E380" s="2" t="str">
        <v/>
      </c>
      <c r="F380" t="str">
        <v>Zomerstage 2026 U10 &amp; U12 (Oudenaarde)</v>
      </c>
      <c r="G380" t="str">
        <v>Speler</v>
      </c>
    </row>
    <row r="381" spans="1:7" x14ac:dyDescent="0.25">
      <c r="A381" t="str">
        <v>Lucas Vanderstraeten</v>
      </c>
      <c r="B381" t="str">
        <v/>
      </c>
      <c r="C381" t="str">
        <v>0496654860</v>
      </c>
      <c r="D381" t="str">
        <v>https://app.twizzit.com/public/photos/3447788/s/a21b510884c5e068d9fd07894f967e10ecef7568.png</v>
      </c>
      <c r="E381" s="2" t="str">
        <v/>
      </c>
      <c r="F381" t="str">
        <v>Zomerstage 2026 U10 &amp; U12 (Oudenaarde)</v>
      </c>
      <c r="G381" t="str">
        <v>Speler</v>
      </c>
    </row>
    <row r="382" spans="1:7" x14ac:dyDescent="0.25">
      <c r="A382" t="str">
        <v>Nand Versmessen</v>
      </c>
      <c r="B382" t="str">
        <v>veerle_coussement@hotmail.com</v>
      </c>
      <c r="C382" t="str">
        <v>32499030802</v>
      </c>
      <c r="D382" t="str">
        <v>https://app.twizzit.com/public/photos/3447367/s/f6e635bb7022dfc6607d762d0f4b7b25a59a85c4.png</v>
      </c>
      <c r="E382" s="2" t="str">
        <v/>
      </c>
      <c r="F382" t="str">
        <v>Zomerstage 2026 U10 &amp; U12 (Oudenaarde)</v>
      </c>
      <c r="G382" t="str">
        <v>Speler</v>
      </c>
    </row>
    <row r="383" spans="1:7" x14ac:dyDescent="0.25">
      <c r="A383" t="str">
        <v>Maurice Boonaert</v>
      </c>
      <c r="B383" t="str">
        <v>reggyboonaert@outlook.be</v>
      </c>
      <c r="C383" t="str">
        <v>0478731137</v>
      </c>
      <c r="D383" t="str">
        <v/>
      </c>
      <c r="E383" s="2" t="str">
        <v/>
      </c>
      <c r="F383" t="str">
        <v>Zomerstage 2026 U8 (Oudenaarde)</v>
      </c>
      <c r="G383" t="str">
        <v>Speler</v>
      </c>
    </row>
    <row r="384" spans="1:7" x14ac:dyDescent="0.25">
      <c r="A384" t="str">
        <v>Lasse Cattoir</v>
      </c>
      <c r="B384" t="str">
        <v/>
      </c>
      <c r="C384" t="str">
        <v/>
      </c>
      <c r="D384" t="str">
        <v>https://app.twizzit.com/public/photos/9522553/s/70d508b65eaba88af49f20bd545e119d36420c07.png</v>
      </c>
      <c r="E384" s="2" t="str">
        <v/>
      </c>
      <c r="F384" t="str">
        <v>Zomerstage 2026 U8 (Oudenaarde)</v>
      </c>
      <c r="G384" t="str">
        <v>Speler</v>
      </c>
    </row>
    <row r="385" spans="1:7" x14ac:dyDescent="0.25">
      <c r="A385" t="str">
        <v>Tybe De Clercq</v>
      </c>
      <c r="B385" t="str">
        <v>freyadesmet@hotmail.com</v>
      </c>
      <c r="C385" t="str">
        <v>0476214551</v>
      </c>
      <c r="D385" t="str">
        <v/>
      </c>
      <c r="E385" s="2" t="str">
        <v/>
      </c>
      <c r="F385" t="str">
        <v>Zomerstage 2026 U8 (Oudenaarde)</v>
      </c>
      <c r="G385" t="str">
        <v>Speler</v>
      </c>
    </row>
    <row r="386" spans="1:7" x14ac:dyDescent="0.25">
      <c r="A386" t="str">
        <v>Elli De Zitter</v>
      </c>
      <c r="B386" t="str">
        <v>de.zitter.steve@gmail.com</v>
      </c>
      <c r="C386" t="str">
        <v>0473423222</v>
      </c>
      <c r="D386" t="str">
        <v/>
      </c>
      <c r="E386" s="2" t="str">
        <v/>
      </c>
      <c r="F386" t="str">
        <v>Zomerstage 2026 U8 (Oudenaarde)</v>
      </c>
      <c r="G386" t="str">
        <v>Speler</v>
      </c>
    </row>
    <row r="387" spans="1:7" x14ac:dyDescent="0.25">
      <c r="A387" t="str">
        <v>Kenneth Dhont</v>
      </c>
      <c r="B387" t="str">
        <v/>
      </c>
      <c r="C387" t="str">
        <v>0477485789</v>
      </c>
      <c r="D387" t="str">
        <v/>
      </c>
      <c r="E387" s="2">
        <v>50455</v>
      </c>
      <c r="F387" t="str">
        <v>Zomerstage 2026 U8 (Oudenaarde)</v>
      </c>
      <c r="G387" t="str">
        <v>Coach</v>
      </c>
    </row>
    <row r="388" spans="1:7" x14ac:dyDescent="0.25">
      <c r="A388" t="str">
        <v>Jef Lauwereins</v>
      </c>
      <c r="B388" t="str">
        <v>lauwereins.steven@gmail.com</v>
      </c>
      <c r="C388" t="str">
        <v>0474317844</v>
      </c>
      <c r="D388" t="str">
        <v/>
      </c>
      <c r="E388" s="2" t="str">
        <v/>
      </c>
      <c r="F388" t="str">
        <v>Zomerstage 2026 U8 (Oudenaarde)</v>
      </c>
      <c r="G388" t="str">
        <v>Speler</v>
      </c>
    </row>
    <row r="389" spans="1:7" x14ac:dyDescent="0.25">
      <c r="A389" t="str">
        <v>Rover Naessens</v>
      </c>
      <c r="B389" t="str">
        <v>deesnaessens@hotmail.com</v>
      </c>
      <c r="C389" t="str">
        <v>0495844733</v>
      </c>
      <c r="D389" t="str">
        <v>https://app.twizzit.com/public/photos/7328405/s/a238a3bac0fa83cb173f769b5ce64dd7bdebab6d.jpeg</v>
      </c>
      <c r="E389" s="2" t="str">
        <v/>
      </c>
      <c r="F389" t="str">
        <v>Zomerstage 2026 U8 (Oudenaarde)</v>
      </c>
      <c r="G389" t="str">
        <v>Speler</v>
      </c>
    </row>
    <row r="390" spans="1:7" x14ac:dyDescent="0.25">
      <c r="A390" t="str">
        <v>Théo Parmentier</v>
      </c>
      <c r="B390" t="str">
        <v>jensparmentier@gmail.com</v>
      </c>
      <c r="C390" t="str">
        <v>0498076133</v>
      </c>
      <c r="D390" t="str">
        <v/>
      </c>
      <c r="E390" s="2" t="str">
        <v/>
      </c>
      <c r="F390" t="str">
        <v>Zomerstage 2026 U8 (Oudenaarde)</v>
      </c>
      <c r="G390" t="str">
        <v>Speler</v>
      </c>
    </row>
    <row r="391" spans="1:7" x14ac:dyDescent="0.25">
      <c r="A391" t="str">
        <v>Lander Van De Maele</v>
      </c>
      <c r="B391" t="str">
        <v>jensvdmaele@gmail.com</v>
      </c>
      <c r="C391" t="str">
        <v>0479246218</v>
      </c>
      <c r="D391" t="str">
        <v>https://app.twizzit.com/public/photos/10715682/s/9ac40a7d3bcb76b36d9290dcb9c3bcdc167e2add.jpeg</v>
      </c>
      <c r="E391" s="2" t="str">
        <v/>
      </c>
      <c r="F391" t="str">
        <v>Zomerstage 2026 U8 (Oudenaarde)</v>
      </c>
      <c r="G391" t="str">
        <v>Speler</v>
      </c>
    </row>
    <row r="392" spans="1:7" x14ac:dyDescent="0.25">
      <c r="A392" t="str">
        <v>Mali-June Van Dorpe</v>
      </c>
      <c r="B392" t="str">
        <v>tracy.desmet@hotmail.com</v>
      </c>
      <c r="C392" t="str">
        <v>0485650671</v>
      </c>
      <c r="D392" t="str">
        <v/>
      </c>
      <c r="E392" s="2" t="str">
        <v/>
      </c>
      <c r="F392" t="str">
        <v>Zomerstage 2026 U8 (Oudenaarde)</v>
      </c>
      <c r="G392" t="str">
        <v>Speler</v>
      </c>
    </row>
    <row r="393" spans="1:7" x14ac:dyDescent="0.25">
      <c r="A393" t="str">
        <v>Lowie Van Nieuwenhuyze</v>
      </c>
      <c r="B393" t="str">
        <v>pietervannieuwenhuyze1984@gmail.com</v>
      </c>
      <c r="C393" t="str">
        <v>0499272428</v>
      </c>
      <c r="D393" t="str">
        <v/>
      </c>
      <c r="E393" s="2" t="str">
        <v/>
      </c>
      <c r="F393" t="str">
        <v>Zomerstage 2026 U8 (Oudenaarde)</v>
      </c>
      <c r="G393" t="str">
        <v>Speler</v>
      </c>
    </row>
    <row r="394" spans="1:7" x14ac:dyDescent="0.25">
      <c r="A394" t="str">
        <v>Ronan Vanneste</v>
      </c>
      <c r="B394" t="str">
        <v>Koen.vanneste.k@gmail.com</v>
      </c>
      <c r="C394" t="str">
        <v>0476974657</v>
      </c>
      <c r="D394" t="str">
        <v>https://app.twizzit.com/public/photos/7992424/s/7741759047d554aed7aaac84a694a4ea4a62b085.jpeg</v>
      </c>
      <c r="E394" s="2" t="str">
        <v/>
      </c>
      <c r="F394" t="str">
        <v>Zomerstage 2026 U8 (Oudenaarde)</v>
      </c>
      <c r="G394" t="str">
        <v>Speler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49C-F9FC-4793-82BE-DCF34FB00315}">
  <dimension ref="A1:D394"/>
  <sheetViews>
    <sheetView workbookViewId="0">
      <pane ySplit="1" topLeftCell="A56" activePane="bottomLeft" state="frozen"/>
      <selection pane="bottomLeft" activeCell="D1" sqref="D1"/>
    </sheetView>
  </sheetViews>
  <sheetFormatPr defaultRowHeight="15" x14ac:dyDescent="0.25"/>
  <cols>
    <col min="1" max="1" width="29.7109375" customWidth="1"/>
    <col min="2" max="2" width="51.85546875" customWidth="1"/>
    <col min="3" max="3" width="40.7109375" customWidth="1"/>
    <col min="4" max="4" width="27.7109375" customWidth="1"/>
  </cols>
  <sheetData>
    <row r="1" spans="1:4" x14ac:dyDescent="0.25">
      <c r="A1" s="1" t="s">
        <v>1</v>
      </c>
      <c r="B1" s="1" t="s">
        <v>29</v>
      </c>
      <c r="C1" s="1" t="s">
        <v>2884</v>
      </c>
      <c r="D1" s="1" t="s">
        <v>2885</v>
      </c>
    </row>
    <row r="2" spans="1:4" x14ac:dyDescent="0.25">
      <c r="A2" t="str" cm="1">
        <f t="array" ref="A2:C394">CHOOSE({1,2,3},'Sorted by Team'!A2:A394,'Sorted by Team'!D2:D394,'Sorted by Team'!F2:F394)</f>
        <v>Odet Castelain</v>
      </c>
      <c r="B2" t="str">
        <v/>
      </c>
      <c r="C2" t="str">
        <v>Balschool U6</v>
      </c>
      <c r="D2" t="str">
        <f>TRIM(SUBSTITUTE(SUBSTITUTE(SUBSTITUTE(SUBSTITUTE(TRIM(SUBSTITUTE(SUBSTITUTE(SUBSTITUTE(C2,"  "," "),"HAANTJES CERTIFISC OUDENAARDE",""),"Haantjes CERTIFISC Oudenaarde",""))," Geel","")," Blauw","")," Groen",""),"Haantjes Certifisc Oudenaarde",""))</f>
        <v>Balschool U6</v>
      </c>
    </row>
    <row r="3" spans="1:4" x14ac:dyDescent="0.25">
      <c r="A3" t="str">
        <v>Cécile De Groote Hoebeke</v>
      </c>
      <c r="B3" t="str">
        <v/>
      </c>
      <c r="C3" t="str">
        <v>Balschool U6</v>
      </c>
      <c r="D3" t="str">
        <f t="shared" ref="D3:D66" si="0">TRIM(SUBSTITUTE(SUBSTITUTE(SUBSTITUTE(SUBSTITUTE(TRIM(SUBSTITUTE(SUBSTITUTE(SUBSTITUTE(C3,"  "," "),"HAANTJES CERTIFISC OUDENAARDE",""),"Haantjes CERTIFISC Oudenaarde",""))," Geel","")," Blauw","")," Groen",""),"Haantjes Certifisc Oudenaarde",""))</f>
        <v>Balschool U6</v>
      </c>
    </row>
    <row r="4" spans="1:4" x14ac:dyDescent="0.25">
      <c r="A4" t="str">
        <v>Mauro De Leersnyder</v>
      </c>
      <c r="B4" t="str">
        <v/>
      </c>
      <c r="C4" t="str">
        <v>Balschool U6</v>
      </c>
      <c r="D4" t="str">
        <f t="shared" si="0"/>
        <v>Balschool U6</v>
      </c>
    </row>
    <row r="5" spans="1:4" x14ac:dyDescent="0.25">
      <c r="A5" t="str">
        <v>Rami Decock</v>
      </c>
      <c r="B5" t="str">
        <v/>
      </c>
      <c r="C5" t="str">
        <v>Balschool U6</v>
      </c>
      <c r="D5" t="str">
        <f t="shared" si="0"/>
        <v>Balschool U6</v>
      </c>
    </row>
    <row r="6" spans="1:4" x14ac:dyDescent="0.25">
      <c r="A6" t="str">
        <v>Jakob Delbaere</v>
      </c>
      <c r="B6" t="str">
        <v/>
      </c>
      <c r="C6" t="str">
        <v>Balschool U6</v>
      </c>
      <c r="D6" t="str">
        <f t="shared" si="0"/>
        <v>Balschool U6</v>
      </c>
    </row>
    <row r="7" spans="1:4" x14ac:dyDescent="0.25">
      <c r="A7" t="str">
        <v>Cérile Doublet</v>
      </c>
      <c r="B7" t="str">
        <v/>
      </c>
      <c r="C7" t="str">
        <v>Balschool U6</v>
      </c>
      <c r="D7" t="str">
        <f t="shared" si="0"/>
        <v>Balschool U6</v>
      </c>
    </row>
    <row r="8" spans="1:4" x14ac:dyDescent="0.25">
      <c r="A8" t="str">
        <v>Cas Elyn</v>
      </c>
      <c r="B8" t="str">
        <v/>
      </c>
      <c r="C8" t="str">
        <v>Balschool U6</v>
      </c>
      <c r="D8" t="str">
        <f t="shared" si="0"/>
        <v>Balschool U6</v>
      </c>
    </row>
    <row r="9" spans="1:4" x14ac:dyDescent="0.25">
      <c r="A9" t="str">
        <v>Tiaz Molly</v>
      </c>
      <c r="B9" t="str">
        <v/>
      </c>
      <c r="C9" t="str">
        <v>Balschool U6</v>
      </c>
      <c r="D9" t="str">
        <f t="shared" si="0"/>
        <v>Balschool U6</v>
      </c>
    </row>
    <row r="10" spans="1:4" x14ac:dyDescent="0.25">
      <c r="A10" t="str">
        <v>Alba Slembrouck</v>
      </c>
      <c r="B10" t="str">
        <v/>
      </c>
      <c r="C10" t="str">
        <v>Balschool U6</v>
      </c>
      <c r="D10" t="str">
        <f t="shared" si="0"/>
        <v>Balschool U6</v>
      </c>
    </row>
    <row r="11" spans="1:4" x14ac:dyDescent="0.25">
      <c r="A11" t="str">
        <v>Lily Adam</v>
      </c>
      <c r="B11" t="str">
        <v>https://app.twizzit.com/public/photos/2182441/s/eec7946e1a9e80461f26752840c4aedc7d235bab.jpeg</v>
      </c>
      <c r="C11" t="str">
        <v>DSE A Haantjes Certifisc Oudenaarde</v>
      </c>
      <c r="D11" t="str">
        <f t="shared" si="0"/>
        <v>DSE A</v>
      </c>
    </row>
    <row r="12" spans="1:4" x14ac:dyDescent="0.25">
      <c r="A12" t="str">
        <v>Janna Bauters</v>
      </c>
      <c r="B12" t="str">
        <v>https://app.twizzit.com/public/photos/2182476/s/d120dcfc0ec82f0d803829f917b4287681f3dd01.png</v>
      </c>
      <c r="C12" t="str">
        <v>DSE A Haantjes Certifisc Oudenaarde</v>
      </c>
      <c r="D12" t="str">
        <f t="shared" si="0"/>
        <v>DSE A</v>
      </c>
    </row>
    <row r="13" spans="1:4" x14ac:dyDescent="0.25">
      <c r="A13" t="str">
        <v>Marie Bourdeaud'hui</v>
      </c>
      <c r="B13" t="str">
        <v>https://app.twizzit.com/public/photos/2182516/s/0d7291570c9e5cf142cd892c8fd7ace8c517270a.png</v>
      </c>
      <c r="C13" t="str">
        <v>DSE A Haantjes Certifisc Oudenaarde</v>
      </c>
      <c r="D13" t="str">
        <f t="shared" si="0"/>
        <v>DSE A</v>
      </c>
    </row>
    <row r="14" spans="1:4" x14ac:dyDescent="0.25">
      <c r="A14" t="str">
        <v>Aishatu Lieve Buadee</v>
      </c>
      <c r="B14" t="str">
        <v/>
      </c>
      <c r="C14" t="str">
        <v>DSE A Haantjes Certifisc Oudenaarde</v>
      </c>
      <c r="D14" t="str">
        <f t="shared" si="0"/>
        <v>DSE A</v>
      </c>
    </row>
    <row r="15" spans="1:4" x14ac:dyDescent="0.25">
      <c r="A15" t="str">
        <v>Iris Calewaert</v>
      </c>
      <c r="B15" t="str">
        <v/>
      </c>
      <c r="C15" t="str">
        <v>DSE A Haantjes Certifisc Oudenaarde</v>
      </c>
      <c r="D15" t="str">
        <f t="shared" si="0"/>
        <v>DSE A</v>
      </c>
    </row>
    <row r="16" spans="1:4" x14ac:dyDescent="0.25">
      <c r="A16" t="str">
        <v>Bart Cattoir</v>
      </c>
      <c r="B16" t="str">
        <v/>
      </c>
      <c r="C16" t="str">
        <v>DSE A Haantjes Certifisc Oudenaarde</v>
      </c>
      <c r="D16" t="str">
        <f t="shared" si="0"/>
        <v>DSE A</v>
      </c>
    </row>
    <row r="17" spans="1:4" x14ac:dyDescent="0.25">
      <c r="A17" t="str">
        <v>Alice Cokelaere</v>
      </c>
      <c r="B17" t="str">
        <v/>
      </c>
      <c r="C17" t="str">
        <v>DSE A Haantjes Certifisc Oudenaarde</v>
      </c>
      <c r="D17" t="str">
        <f t="shared" si="0"/>
        <v>DSE A</v>
      </c>
    </row>
    <row r="18" spans="1:4" x14ac:dyDescent="0.25">
      <c r="A18" t="str">
        <v>Karen Dans</v>
      </c>
      <c r="B18" t="str">
        <v>https://app.twizzit.com/public/photos/2182586/s/3c061ecaa7eb60b4e8b27f2490fa3fff24778b0c.png</v>
      </c>
      <c r="C18" t="str">
        <v>DSE A Haantjes Certifisc Oudenaarde</v>
      </c>
      <c r="D18" t="str">
        <f t="shared" si="0"/>
        <v>DSE A</v>
      </c>
    </row>
    <row r="19" spans="1:4" x14ac:dyDescent="0.25">
      <c r="A19" t="str">
        <v>Kimberley De Smet</v>
      </c>
      <c r="B19" t="str">
        <v>https://app.twizzit.com/public/photos/2182696/s/b3404003062e85e1b45f5fca9b0565fe70029286.png</v>
      </c>
      <c r="C19" t="str">
        <v>DSE A Haantjes Certifisc Oudenaarde</v>
      </c>
      <c r="D19" t="str">
        <f t="shared" si="0"/>
        <v>DSE A</v>
      </c>
    </row>
    <row r="20" spans="1:4" x14ac:dyDescent="0.25">
      <c r="A20" t="str">
        <v>Heike Guenter</v>
      </c>
      <c r="B20" t="str">
        <v/>
      </c>
      <c r="C20" t="str">
        <v>DSE A Haantjes Certifisc Oudenaarde</v>
      </c>
      <c r="D20" t="str">
        <f t="shared" si="0"/>
        <v>DSE A</v>
      </c>
    </row>
    <row r="21" spans="1:4" x14ac:dyDescent="0.25">
      <c r="A21" t="str">
        <v>Lente Verhaeghe</v>
      </c>
      <c r="B21" t="str">
        <v>https://app.twizzit.com/public/photos/3706826/s/7283d518f82547e0fb530790cddedb0edf0a5785.jpeg</v>
      </c>
      <c r="C21" t="str">
        <v>DSE A Haantjes Certifisc Oudenaarde</v>
      </c>
      <c r="D21" t="str">
        <f t="shared" si="0"/>
        <v>DSE A</v>
      </c>
    </row>
    <row r="22" spans="1:4" x14ac:dyDescent="0.25">
      <c r="A22" t="str">
        <v>Tybe De Clercq</v>
      </c>
      <c r="B22" t="str">
        <v/>
      </c>
      <c r="C22" t="str">
        <v>G08 Blauw HAANTJES CERTIFISC OUDENAARDE</v>
      </c>
      <c r="D22" t="str">
        <f t="shared" si="0"/>
        <v>G08</v>
      </c>
    </row>
    <row r="23" spans="1:4" x14ac:dyDescent="0.25">
      <c r="A23" t="str">
        <v>Jef Lauwereins</v>
      </c>
      <c r="B23" t="str">
        <v/>
      </c>
      <c r="C23" t="str">
        <v>G08 Blauw HAANTJES CERTIFISC OUDENAARDE</v>
      </c>
      <c r="D23" t="str">
        <f t="shared" si="0"/>
        <v>G08</v>
      </c>
    </row>
    <row r="24" spans="1:4" x14ac:dyDescent="0.25">
      <c r="A24" t="str">
        <v>Juul Messeeuw</v>
      </c>
      <c r="B24" t="str">
        <v/>
      </c>
      <c r="C24" t="str">
        <v>G08 Blauw HAANTJES CERTIFISC OUDENAARDE</v>
      </c>
      <c r="D24" t="str">
        <f t="shared" si="0"/>
        <v>G08</v>
      </c>
    </row>
    <row r="25" spans="1:4" x14ac:dyDescent="0.25">
      <c r="A25" t="str">
        <v>Rover Naessens</v>
      </c>
      <c r="B25" t="str">
        <v>https://app.twizzit.com/public/photos/7328405/s/a238a3bac0fa83cb173f769b5ce64dd7bdebab6d.jpeg</v>
      </c>
      <c r="C25" t="str">
        <v>G08 Blauw HAANTJES CERTIFISC OUDENAARDE</v>
      </c>
      <c r="D25" t="str">
        <f t="shared" si="0"/>
        <v>G08</v>
      </c>
    </row>
    <row r="26" spans="1:4" x14ac:dyDescent="0.25">
      <c r="A26" t="str">
        <v>Théo Parmentier</v>
      </c>
      <c r="B26" t="str">
        <v/>
      </c>
      <c r="C26" t="str">
        <v>G08 Blauw HAANTJES CERTIFISC OUDENAARDE</v>
      </c>
      <c r="D26" t="str">
        <f t="shared" si="0"/>
        <v>G08</v>
      </c>
    </row>
    <row r="27" spans="1:4" x14ac:dyDescent="0.25">
      <c r="A27" t="str">
        <v>Thibaut Sadaune</v>
      </c>
      <c r="B27" t="str">
        <v>https://app.twizzit.com/public/photos/8418475/s/c44854e7fe4ecdd14617bb0fe2e99a30f0cedc15.jpeg</v>
      </c>
      <c r="C27" t="str">
        <v>G08 Blauw HAANTJES CERTIFISC OUDENAARDE</v>
      </c>
      <c r="D27" t="str">
        <f t="shared" si="0"/>
        <v>G08</v>
      </c>
    </row>
    <row r="28" spans="1:4" x14ac:dyDescent="0.25">
      <c r="A28" t="str">
        <v>Aster Van Cauwenberghe</v>
      </c>
      <c r="B28" t="str">
        <v>https://app.twizzit.com/public/photos/6080950/s/e37d4499e2422d263ca72ca5adc1adb614aa1f40.jpeg</v>
      </c>
      <c r="C28" t="str">
        <v>G08 Blauw HAANTJES CERTIFISC OUDENAARDE</v>
      </c>
      <c r="D28" t="str">
        <f t="shared" si="0"/>
        <v>G08</v>
      </c>
    </row>
    <row r="29" spans="1:4" x14ac:dyDescent="0.25">
      <c r="A29" t="str">
        <v>Lander Van De Maele</v>
      </c>
      <c r="B29" t="str">
        <v>https://app.twizzit.com/public/photos/10715682/s/9ac40a7d3bcb76b36d9290dcb9c3bcdc167e2add.jpeg</v>
      </c>
      <c r="C29" t="str">
        <v>G08 Blauw HAANTJES CERTIFISC OUDENAARDE</v>
      </c>
      <c r="D29" t="str">
        <f t="shared" si="0"/>
        <v>G08</v>
      </c>
    </row>
    <row r="30" spans="1:4" x14ac:dyDescent="0.25">
      <c r="A30" t="str">
        <v>Ronan Vanneste</v>
      </c>
      <c r="B30" t="str">
        <v>https://app.twizzit.com/public/photos/7992424/s/7741759047d554aed7aaac84a694a4ea4a62b085.jpeg</v>
      </c>
      <c r="C30" t="str">
        <v>G08 Blauw HAANTJES CERTIFISC OUDENAARDE</v>
      </c>
      <c r="D30" t="str">
        <f t="shared" si="0"/>
        <v>G08</v>
      </c>
    </row>
    <row r="31" spans="1:4" x14ac:dyDescent="0.25">
      <c r="A31" t="str">
        <v>Océane Wisbecq</v>
      </c>
      <c r="B31" t="str">
        <v/>
      </c>
      <c r="C31" t="str">
        <v>G08 Blauw HAANTJES CERTIFISC OUDENAARDE</v>
      </c>
      <c r="D31" t="str">
        <f t="shared" si="0"/>
        <v>G08</v>
      </c>
    </row>
    <row r="32" spans="1:4" x14ac:dyDescent="0.25">
      <c r="A32" t="str">
        <v>Joppe Beeckman</v>
      </c>
      <c r="B32" t="str">
        <v>https://app.twizzit.com/public/photos/7329719/s/3900de37cfdf557a3c2ce4dcb1b36ecfefd6df85.png</v>
      </c>
      <c r="C32" t="str">
        <v>G08 Geel HAANTJES CERTIFISC OUDENAARDE</v>
      </c>
      <c r="D32" t="str">
        <f t="shared" si="0"/>
        <v>G08</v>
      </c>
    </row>
    <row r="33" spans="1:4" x14ac:dyDescent="0.25">
      <c r="A33" t="str">
        <v>Leon Boone</v>
      </c>
      <c r="B33" t="str">
        <v/>
      </c>
      <c r="C33" t="str">
        <v>G08 Geel HAANTJES CERTIFISC OUDENAARDE</v>
      </c>
      <c r="D33" t="str">
        <f t="shared" si="0"/>
        <v>G08</v>
      </c>
    </row>
    <row r="34" spans="1:4" x14ac:dyDescent="0.25">
      <c r="A34" t="str">
        <v>Jonah Cattoir</v>
      </c>
      <c r="B34" t="str">
        <v/>
      </c>
      <c r="C34" t="str">
        <v>G08 Geel HAANTJES CERTIFISC OUDENAARDE</v>
      </c>
      <c r="D34" t="str">
        <f t="shared" si="0"/>
        <v>G08</v>
      </c>
    </row>
    <row r="35" spans="1:4" x14ac:dyDescent="0.25">
      <c r="A35" t="str">
        <v>Lasse Cattoir</v>
      </c>
      <c r="B35" t="str">
        <v>https://app.twizzit.com/public/photos/9522553/s/70d508b65eaba88af49f20bd545e119d36420c07.png</v>
      </c>
      <c r="C35" t="str">
        <v>G08 Geel HAANTJES CERTIFISC OUDENAARDE</v>
      </c>
      <c r="D35" t="str">
        <f t="shared" si="0"/>
        <v>G08</v>
      </c>
    </row>
    <row r="36" spans="1:4" x14ac:dyDescent="0.25">
      <c r="A36" t="str">
        <v>Madelein De Groote Hoebeke</v>
      </c>
      <c r="B36" t="str">
        <v>https://app.twizzit.com/public/photos/7992432/s/9093b3c321ebca1981daea541211e5a7f8dcd3e7.png</v>
      </c>
      <c r="C36" t="str">
        <v>G08 Geel HAANTJES CERTIFISC OUDENAARDE</v>
      </c>
      <c r="D36" t="str">
        <f t="shared" si="0"/>
        <v>G08</v>
      </c>
    </row>
    <row r="37" spans="1:4" x14ac:dyDescent="0.25">
      <c r="A37" t="str">
        <v>Elli De Zitter</v>
      </c>
      <c r="B37" t="str">
        <v/>
      </c>
      <c r="C37" t="str">
        <v>G08 Geel HAANTJES CERTIFISC OUDENAARDE</v>
      </c>
      <c r="D37" t="str">
        <f t="shared" si="0"/>
        <v>G08</v>
      </c>
    </row>
    <row r="38" spans="1:4" x14ac:dyDescent="0.25">
      <c r="A38" t="str">
        <v>Gust Dupont</v>
      </c>
      <c r="B38" t="str">
        <v/>
      </c>
      <c r="C38" t="str">
        <v>G08 Geel HAANTJES CERTIFISC OUDENAARDE</v>
      </c>
      <c r="D38" t="str">
        <f t="shared" si="0"/>
        <v>G08</v>
      </c>
    </row>
    <row r="39" spans="1:4" x14ac:dyDescent="0.25">
      <c r="A39" t="str">
        <v>Robin Elyn</v>
      </c>
      <c r="B39" t="str">
        <v/>
      </c>
      <c r="C39" t="str">
        <v>G08 Geel HAANTJES CERTIFISC OUDENAARDE</v>
      </c>
      <c r="D39" t="str">
        <f t="shared" si="0"/>
        <v>G08</v>
      </c>
    </row>
    <row r="40" spans="1:4" x14ac:dyDescent="0.25">
      <c r="A40" t="str">
        <v>Oskar Luyten</v>
      </c>
      <c r="B40" t="str">
        <v>https://app.twizzit.com/public/photos/6067218/s/05d3b6d34153ded2c11249ae66f232311ce5df9d.jpeg</v>
      </c>
      <c r="C40" t="str">
        <v>G08 Geel HAANTJES CERTIFISC OUDENAARDE</v>
      </c>
      <c r="D40" t="str">
        <f t="shared" si="0"/>
        <v>G08</v>
      </c>
    </row>
    <row r="41" spans="1:4" x14ac:dyDescent="0.25">
      <c r="A41" t="str">
        <v>Ilaï Van De Walle</v>
      </c>
      <c r="B41" t="str">
        <v/>
      </c>
      <c r="C41" t="str">
        <v>G08 Geel HAANTJES CERTIFISC OUDENAARDE</v>
      </c>
      <c r="D41" t="str">
        <f t="shared" si="0"/>
        <v>G08</v>
      </c>
    </row>
    <row r="42" spans="1:4" x14ac:dyDescent="0.25">
      <c r="A42" t="str">
        <v>Lowie Van Nieuwenhuyze</v>
      </c>
      <c r="B42" t="str">
        <v/>
      </c>
      <c r="C42" t="str">
        <v>G08 Geel HAANTJES CERTIFISC OUDENAARDE</v>
      </c>
      <c r="D42" t="str">
        <f t="shared" si="0"/>
        <v>G08</v>
      </c>
    </row>
    <row r="43" spans="1:4" x14ac:dyDescent="0.25">
      <c r="A43" t="str">
        <v>Auguste Vanderschueren</v>
      </c>
      <c r="B43" t="str">
        <v/>
      </c>
      <c r="C43" t="str">
        <v>G08 Geel HAANTJES CERTIFISC OUDENAARDE</v>
      </c>
      <c r="D43" t="str">
        <f t="shared" si="0"/>
        <v>G08</v>
      </c>
    </row>
    <row r="44" spans="1:4" x14ac:dyDescent="0.25">
      <c r="A44" t="str">
        <v>Debbie Verhelst</v>
      </c>
      <c r="B44" t="str">
        <v/>
      </c>
      <c r="C44" t="str">
        <v>G08 Geel HAANTJES CERTIFISC OUDENAARDE</v>
      </c>
      <c r="D44" t="str">
        <f t="shared" si="0"/>
        <v>G08</v>
      </c>
    </row>
    <row r="45" spans="1:4" x14ac:dyDescent="0.25">
      <c r="A45" t="str">
        <v>Basiel Vossen</v>
      </c>
      <c r="B45" t="str">
        <v/>
      </c>
      <c r="C45" t="str">
        <v>G08 Geel HAANTJES CERTIFISC OUDENAARDE</v>
      </c>
      <c r="D45" t="str">
        <f t="shared" si="0"/>
        <v>G08</v>
      </c>
    </row>
    <row r="46" spans="1:4" x14ac:dyDescent="0.25">
      <c r="A46" t="str">
        <v>Maurice Boonaert</v>
      </c>
      <c r="B46" t="str">
        <v/>
      </c>
      <c r="C46" t="str">
        <v>G08 Groen HAANTJES CERTIFISC OUDENAARDE</v>
      </c>
      <c r="D46" t="str">
        <f t="shared" si="0"/>
        <v>G08</v>
      </c>
    </row>
    <row r="47" spans="1:4" x14ac:dyDescent="0.25">
      <c r="A47" t="str">
        <v>Tille Debouverie</v>
      </c>
      <c r="B47" t="str">
        <v>https://app.twizzit.com/public/photos/10452578/s/292aacecec7d92bf38572d240646cc8a5ea5dc01.png</v>
      </c>
      <c r="C47" t="str">
        <v>G08 Groen HAANTJES CERTIFISC OUDENAARDE</v>
      </c>
      <c r="D47" t="str">
        <f t="shared" si="0"/>
        <v>G08</v>
      </c>
    </row>
    <row r="48" spans="1:4" x14ac:dyDescent="0.25">
      <c r="A48" t="str">
        <v>Julian Moerman</v>
      </c>
      <c r="B48" t="str">
        <v/>
      </c>
      <c r="C48" t="str">
        <v>G08 Groen HAANTJES CERTIFISC OUDENAARDE</v>
      </c>
      <c r="D48" t="str">
        <f t="shared" si="0"/>
        <v>G08</v>
      </c>
    </row>
    <row r="49" spans="1:4" x14ac:dyDescent="0.25">
      <c r="A49" t="str">
        <v>George O'Reilly</v>
      </c>
      <c r="B49" t="str">
        <v/>
      </c>
      <c r="C49" t="str">
        <v>G08 Groen HAANTJES CERTIFISC OUDENAARDE</v>
      </c>
      <c r="D49" t="str">
        <f t="shared" si="0"/>
        <v>G08</v>
      </c>
    </row>
    <row r="50" spans="1:4" x14ac:dyDescent="0.25">
      <c r="A50" t="str">
        <v>Romée Slembrouck</v>
      </c>
      <c r="B50" t="str">
        <v>https://app.twizzit.com/public/photos/7328316/s/d832d97a4d222f65f11eb5051494f0f7bb0f899d.png</v>
      </c>
      <c r="C50" t="str">
        <v>G08 Groen HAANTJES CERTIFISC OUDENAARDE</v>
      </c>
      <c r="D50" t="str">
        <f t="shared" si="0"/>
        <v>G08</v>
      </c>
    </row>
    <row r="51" spans="1:4" x14ac:dyDescent="0.25">
      <c r="A51" t="str">
        <v>Juul Torrekens</v>
      </c>
      <c r="B51" t="str">
        <v>https://app.twizzit.com/public/photos/10452742/s/6c5cf54cdc2121df9ea81aa430b2b5f8abe2c81a.jpeg</v>
      </c>
      <c r="C51" t="str">
        <v>G08 Groen HAANTJES CERTIFISC OUDENAARDE</v>
      </c>
      <c r="D51" t="str">
        <f t="shared" si="0"/>
        <v>G08</v>
      </c>
    </row>
    <row r="52" spans="1:4" x14ac:dyDescent="0.25">
      <c r="A52" t="str">
        <v>Mali-June Van Dorpe</v>
      </c>
      <c r="B52" t="str">
        <v/>
      </c>
      <c r="C52" t="str">
        <v>G08 Groen HAANTJES CERTIFISC OUDENAARDE</v>
      </c>
      <c r="D52" t="str">
        <f t="shared" si="0"/>
        <v>G08</v>
      </c>
    </row>
    <row r="53" spans="1:4" x14ac:dyDescent="0.25">
      <c r="A53" t="str">
        <v>Flo Vandewege</v>
      </c>
      <c r="B53" t="str">
        <v>https://app.twizzit.com/public/photos/10452584/s/5f2777167147a40d5e0cdf16d10044b2680e0e8c.png</v>
      </c>
      <c r="C53" t="str">
        <v>G08 Groen HAANTJES CERTIFISC OUDENAARDE</v>
      </c>
      <c r="D53" t="str">
        <f t="shared" si="0"/>
        <v>G08</v>
      </c>
    </row>
    <row r="54" spans="1:4" x14ac:dyDescent="0.25">
      <c r="A54" t="str">
        <v>Charlotte Verschueren</v>
      </c>
      <c r="B54" t="str">
        <v>https://app.twizzit.com/public/photos/2183447/s/1f201bfdf86762e0642c70c1aa487baf5ab852bb.png</v>
      </c>
      <c r="C54" t="str">
        <v>G08 Groen HAANTJES CERTIFISC OUDENAARDE</v>
      </c>
      <c r="D54" t="str">
        <f t="shared" si="0"/>
        <v>G08</v>
      </c>
    </row>
    <row r="55" spans="1:4" x14ac:dyDescent="0.25">
      <c r="A55" t="str">
        <v>Senn Anseeuw</v>
      </c>
      <c r="B55" t="str">
        <v>https://app.twizzit.com/public/photos/4421954/s/39c1d6c08bc84b336f4c340a175719810e926066.png</v>
      </c>
      <c r="C55" t="str">
        <v>G10 Blauw HAANTJES CERTIFISC OUDENAARDE</v>
      </c>
      <c r="D55" t="str">
        <f t="shared" si="0"/>
        <v>G10</v>
      </c>
    </row>
    <row r="56" spans="1:4" x14ac:dyDescent="0.25">
      <c r="A56" t="str">
        <v>Arthur Crombez</v>
      </c>
      <c r="B56" t="str">
        <v>https://app.twizzit.com/public/photos/7501921/s/cda3c2c21188914d3908db110c011be3c8f5a13d.png</v>
      </c>
      <c r="C56" t="str">
        <v>G10 Blauw HAANTJES CERTIFISC OUDENAARDE</v>
      </c>
      <c r="D56" t="str">
        <f t="shared" si="0"/>
        <v>G10</v>
      </c>
    </row>
    <row r="57" spans="1:4" x14ac:dyDescent="0.25">
      <c r="A57" t="str">
        <v>Maurice Debels</v>
      </c>
      <c r="B57" t="str">
        <v>https://app.twizzit.com/public/photos/7307064/s/62a20fb436e1f6920a77ad9e4cd715a7e88bd1d1.png</v>
      </c>
      <c r="C57" t="str">
        <v>G10 Blauw HAANTJES CERTIFISC OUDENAARDE</v>
      </c>
      <c r="D57" t="str">
        <f t="shared" si="0"/>
        <v>G10</v>
      </c>
    </row>
    <row r="58" spans="1:4" x14ac:dyDescent="0.25">
      <c r="A58" t="str">
        <v>Egemen Durhan</v>
      </c>
      <c r="B58" t="str">
        <v>https://app.twizzit.com/public/photos/5748750/s/6a03612f72e189fb2a542ac535552aede78aad3f.png</v>
      </c>
      <c r="C58" t="str">
        <v>G10 Blauw HAANTJES CERTIFISC OUDENAARDE</v>
      </c>
      <c r="D58" t="str">
        <f t="shared" si="0"/>
        <v>G10</v>
      </c>
    </row>
    <row r="59" spans="1:4" x14ac:dyDescent="0.25">
      <c r="A59" t="str">
        <v>Viktor Guillaume</v>
      </c>
      <c r="B59" t="str">
        <v/>
      </c>
      <c r="C59" t="str">
        <v>G10 Blauw HAANTJES CERTIFISC OUDENAARDE</v>
      </c>
      <c r="D59" t="str">
        <f t="shared" si="0"/>
        <v>G10</v>
      </c>
    </row>
    <row r="60" spans="1:4" x14ac:dyDescent="0.25">
      <c r="A60" t="str">
        <v>Lothar Lemaire</v>
      </c>
      <c r="B60" t="str">
        <v>https://app.twizzit.com/public/photos/9680220/s/630006e9802fd7af81a6784302b397c8d31a519e.jpeg</v>
      </c>
      <c r="C60" t="str">
        <v>G10 Blauw HAANTJES CERTIFISC OUDENAARDE</v>
      </c>
      <c r="D60" t="str">
        <f t="shared" si="0"/>
        <v>G10</v>
      </c>
    </row>
    <row r="61" spans="1:4" x14ac:dyDescent="0.25">
      <c r="A61" t="str">
        <v>Victor Libert</v>
      </c>
      <c r="B61" t="str">
        <v>https://app.twizzit.com/public/photos/7493172/s/6235261693b78c2a6b1d4ecbb92a61770437eca9.jpeg</v>
      </c>
      <c r="C61" t="str">
        <v>G10 Blauw HAANTJES CERTIFISC OUDENAARDE</v>
      </c>
      <c r="D61" t="str">
        <f t="shared" si="0"/>
        <v>G10</v>
      </c>
    </row>
    <row r="62" spans="1:4" x14ac:dyDescent="0.25">
      <c r="A62" t="str">
        <v>Marte Mechant</v>
      </c>
      <c r="B62" t="str">
        <v/>
      </c>
      <c r="C62" t="str">
        <v>G10 Blauw HAANTJES CERTIFISC OUDENAARDE</v>
      </c>
      <c r="D62" t="str">
        <f t="shared" si="0"/>
        <v>G10</v>
      </c>
    </row>
    <row r="63" spans="1:4" x14ac:dyDescent="0.25">
      <c r="A63" t="str">
        <v>Lucas Molly</v>
      </c>
      <c r="B63" t="str">
        <v>https://app.twizzit.com/public/photos/3485821/s/5f632eac97edae595ea1c86f4260b88c5b95d8cd.jpeg</v>
      </c>
      <c r="C63" t="str">
        <v>G10 Blauw HAANTJES CERTIFISC OUDENAARDE</v>
      </c>
      <c r="D63" t="str">
        <f t="shared" si="0"/>
        <v>G10</v>
      </c>
    </row>
    <row r="64" spans="1:4" x14ac:dyDescent="0.25">
      <c r="A64" t="str">
        <v>Manu Van de Casteele</v>
      </c>
      <c r="B64" t="str">
        <v/>
      </c>
      <c r="C64" t="str">
        <v>G10 Blauw HAANTJES CERTIFISC OUDENAARDE</v>
      </c>
      <c r="D64" t="str">
        <f t="shared" si="0"/>
        <v>G10</v>
      </c>
    </row>
    <row r="65" spans="1:4" x14ac:dyDescent="0.25">
      <c r="A65" t="str">
        <v>Vic Vanden Hautte</v>
      </c>
      <c r="B65" t="str">
        <v>https://app.twizzit.com/public/photos/10733442/s/de71a0feaf3ea4a6afe343b706af319962bb20c0.jpeg</v>
      </c>
      <c r="C65" t="str">
        <v>G10 Blauw HAANTJES CERTIFISC OUDENAARDE</v>
      </c>
      <c r="D65" t="str">
        <f t="shared" si="0"/>
        <v>G10</v>
      </c>
    </row>
    <row r="66" spans="1:4" x14ac:dyDescent="0.25">
      <c r="A66" t="str">
        <v>Nand Versmessen</v>
      </c>
      <c r="B66" t="str">
        <v>https://app.twizzit.com/public/photos/3447367/s/f6e635bb7022dfc6607d762d0f4b7b25a59a85c4.png</v>
      </c>
      <c r="C66" t="str">
        <v>G10 Blauw HAANTJES CERTIFISC OUDENAARDE</v>
      </c>
      <c r="D66" t="str">
        <f t="shared" si="0"/>
        <v>G10</v>
      </c>
    </row>
    <row r="67" spans="1:4" x14ac:dyDescent="0.25">
      <c r="A67" t="str">
        <v>Matteo Vunck</v>
      </c>
      <c r="B67" t="str">
        <v>https://app.twizzit.com/public/photos/8418462/s/4cd851c617ea9849ca7ba85a62a0807b8b769b48.jpeg</v>
      </c>
      <c r="C67" t="str">
        <v>G10 Blauw HAANTJES CERTIFISC OUDENAARDE</v>
      </c>
      <c r="D67" t="str">
        <f t="shared" ref="D67:D130" si="1">TRIM(SUBSTITUTE(SUBSTITUTE(SUBSTITUTE(SUBSTITUTE(TRIM(SUBSTITUTE(SUBSTITUTE(SUBSTITUTE(C67,"  "," "),"HAANTJES CERTIFISC OUDENAARDE",""),"Haantjes CERTIFISC Oudenaarde",""))," Geel","")," Blauw","")," Groen",""),"Haantjes Certifisc Oudenaarde",""))</f>
        <v>G10</v>
      </c>
    </row>
    <row r="68" spans="1:4" x14ac:dyDescent="0.25">
      <c r="A68" t="str">
        <v>Lenn Altruy</v>
      </c>
      <c r="B68" t="str">
        <v/>
      </c>
      <c r="C68" t="str">
        <v>G10 Geel HAANTJES CERTIFISC OUDENAARDE</v>
      </c>
      <c r="D68" t="str">
        <f t="shared" si="1"/>
        <v>G10</v>
      </c>
    </row>
    <row r="69" spans="1:4" x14ac:dyDescent="0.25">
      <c r="A69" t="str">
        <v>Vic Blommaert</v>
      </c>
      <c r="B69" t="str">
        <v>https://app.twizzit.com/public/photos/7328384/s/880c055e18cd3fa9e57719da7306434e04eaf905.png</v>
      </c>
      <c r="C69" t="str">
        <v>G10 Geel HAANTJES CERTIFISC OUDENAARDE</v>
      </c>
      <c r="D69" t="str">
        <f t="shared" si="1"/>
        <v>G10</v>
      </c>
    </row>
    <row r="70" spans="1:4" x14ac:dyDescent="0.25">
      <c r="A70" t="str">
        <v>Leon Castelain</v>
      </c>
      <c r="B70" t="str">
        <v>https://app.twizzit.com/public/photos/3486565/s/dbc5287e080bfa9acd16205b0ef6339800e0ffb6.png</v>
      </c>
      <c r="C70" t="str">
        <v>G10 Geel HAANTJES CERTIFISC OUDENAARDE</v>
      </c>
      <c r="D70" t="str">
        <f t="shared" si="1"/>
        <v>G10</v>
      </c>
    </row>
    <row r="71" spans="1:4" x14ac:dyDescent="0.25">
      <c r="A71" t="str">
        <v>Nand Colpaert</v>
      </c>
      <c r="B71" t="str">
        <v/>
      </c>
      <c r="C71" t="str">
        <v>G10 Geel HAANTJES CERTIFISC OUDENAARDE</v>
      </c>
      <c r="D71" t="str">
        <f t="shared" si="1"/>
        <v>G10</v>
      </c>
    </row>
    <row r="72" spans="1:4" x14ac:dyDescent="0.25">
      <c r="A72" t="str">
        <v>Ryan Debouverie</v>
      </c>
      <c r="B72" t="str">
        <v/>
      </c>
      <c r="C72" t="str">
        <v>G10 Geel HAANTJES CERTIFISC OUDENAARDE</v>
      </c>
      <c r="D72" t="str">
        <f t="shared" si="1"/>
        <v>G10</v>
      </c>
    </row>
    <row r="73" spans="1:4" x14ac:dyDescent="0.25">
      <c r="A73" t="str">
        <v>Seb Debouverie</v>
      </c>
      <c r="B73" t="str">
        <v>https://app.twizzit.com/public/photos/3470113/s/d4f4d56826c6eb1d41480a49a2f8240682b337d2.png</v>
      </c>
      <c r="C73" t="str">
        <v>G10 Geel HAANTJES CERTIFISC OUDENAARDE</v>
      </c>
      <c r="D73" t="str">
        <f t="shared" si="1"/>
        <v>G10</v>
      </c>
    </row>
    <row r="74" spans="1:4" x14ac:dyDescent="0.25">
      <c r="A74" t="str">
        <v>Miel Elyn</v>
      </c>
      <c r="B74" t="str">
        <v/>
      </c>
      <c r="C74" t="str">
        <v>G10 Geel HAANTJES CERTIFISC OUDENAARDE</v>
      </c>
      <c r="D74" t="str">
        <f t="shared" si="1"/>
        <v>G10</v>
      </c>
    </row>
    <row r="75" spans="1:4" x14ac:dyDescent="0.25">
      <c r="A75" t="str">
        <v>Wolf Lessenne</v>
      </c>
      <c r="B75" t="str">
        <v>https://app.twizzit.com/public/photos/3580747/s/157853967ede68629434e8db7d36b6d860f7ea97.jpeg</v>
      </c>
      <c r="C75" t="str">
        <v>G10 Geel HAANTJES CERTIFISC OUDENAARDE</v>
      </c>
      <c r="D75" t="str">
        <f t="shared" si="1"/>
        <v>G10</v>
      </c>
    </row>
    <row r="76" spans="1:4" x14ac:dyDescent="0.25">
      <c r="A76" t="str">
        <v>Boris Luyten</v>
      </c>
      <c r="B76" t="str">
        <v>https://app.twizzit.com/public/photos/3437308/s/ee02af9294d7823dae37d6eb7126b435ef764909.png</v>
      </c>
      <c r="C76" t="str">
        <v>G10 Geel HAANTJES CERTIFISC OUDENAARDE</v>
      </c>
      <c r="D76" t="str">
        <f t="shared" si="1"/>
        <v>G10</v>
      </c>
    </row>
    <row r="77" spans="1:4" x14ac:dyDescent="0.25">
      <c r="A77" t="str">
        <v>Jack Saerens</v>
      </c>
      <c r="B77" t="str">
        <v>https://app.twizzit.com/public/photos/3475134/s/78bd944a9e8b36fe65d592312d1522f18bbf3e32.png</v>
      </c>
      <c r="C77" t="str">
        <v>G10 Geel HAANTJES CERTIFISC OUDENAARDE</v>
      </c>
      <c r="D77" t="str">
        <f t="shared" si="1"/>
        <v>G10</v>
      </c>
    </row>
    <row r="78" spans="1:4" x14ac:dyDescent="0.25">
      <c r="A78" t="str">
        <v>Lias Velghe</v>
      </c>
      <c r="B78" t="str">
        <v>https://app.twizzit.com/public/photos/3445768/s/4c884b157432a6deaaa18542df061bd432646fa3.png</v>
      </c>
      <c r="C78" t="str">
        <v>G10 Geel HAANTJES CERTIFISC OUDENAARDE</v>
      </c>
      <c r="D78" t="str">
        <f t="shared" si="1"/>
        <v>G10</v>
      </c>
    </row>
    <row r="79" spans="1:4" x14ac:dyDescent="0.25">
      <c r="A79" t="str">
        <v>Basile Verbrugghe</v>
      </c>
      <c r="B79" t="str">
        <v/>
      </c>
      <c r="C79" t="str">
        <v>G10 Geel HAANTJES CERTIFISC OUDENAARDE</v>
      </c>
      <c r="D79" t="str">
        <f t="shared" si="1"/>
        <v>G10</v>
      </c>
    </row>
    <row r="80" spans="1:4" x14ac:dyDescent="0.25">
      <c r="A80" t="str">
        <v>Gaston Waelkens</v>
      </c>
      <c r="B80" t="str">
        <v>https://app.twizzit.com/public/photos/3437289/s/570cbbb3ba40336fabf43491384c678cfbbf4db4.png</v>
      </c>
      <c r="C80" t="str">
        <v>G10 Geel HAANTJES CERTIFISC OUDENAARDE</v>
      </c>
      <c r="D80" t="str">
        <f t="shared" si="1"/>
        <v>G10</v>
      </c>
    </row>
    <row r="81" spans="1:4" x14ac:dyDescent="0.25">
      <c r="A81" t="str">
        <v>Arsen Anar</v>
      </c>
      <c r="B81" t="str">
        <v>https://app.twizzit.com/public/photos/11272034/s/339c8f61eeb207a0a7ef82edab3f88fc90d76b77.jpeg</v>
      </c>
      <c r="C81" t="str">
        <v>G12 Blauw HAANTJES CERTIFISC OUDENAARDE</v>
      </c>
      <c r="D81" t="str">
        <f t="shared" si="1"/>
        <v>G12</v>
      </c>
    </row>
    <row r="82" spans="1:4" x14ac:dyDescent="0.25">
      <c r="A82" t="str">
        <v>Mark Anar</v>
      </c>
      <c r="B82" t="str">
        <v>https://app.twizzit.com/public/photos/11272030/s/d97169c55e4278dd5f5452138091d993430ca8ab.jpeg</v>
      </c>
      <c r="C82" t="str">
        <v>G12 Blauw HAANTJES CERTIFISC OUDENAARDE</v>
      </c>
      <c r="D82" t="str">
        <f t="shared" si="1"/>
        <v>G12</v>
      </c>
    </row>
    <row r="83" spans="1:4" x14ac:dyDescent="0.25">
      <c r="A83" t="str">
        <v>Marsel Anar</v>
      </c>
      <c r="B83" t="str">
        <v>https://app.twizzit.com/public/photos/11272039/s/667db68e153309a064042452d0f619e8acb011fa.jpeg</v>
      </c>
      <c r="C83" t="str">
        <v>G12 Blauw HAANTJES CERTIFISC OUDENAARDE</v>
      </c>
      <c r="D83" t="str">
        <f t="shared" si="1"/>
        <v>G12</v>
      </c>
    </row>
    <row r="84" spans="1:4" x14ac:dyDescent="0.25">
      <c r="A84" t="str">
        <v>Mathias Delcroix</v>
      </c>
      <c r="B84" t="str">
        <v/>
      </c>
      <c r="C84" t="str">
        <v>G12 Blauw HAANTJES CERTIFISC OUDENAARDE</v>
      </c>
      <c r="D84" t="str">
        <f t="shared" si="1"/>
        <v>G12</v>
      </c>
    </row>
    <row r="85" spans="1:4" x14ac:dyDescent="0.25">
      <c r="A85" t="str">
        <v>Kenneth Dhont</v>
      </c>
      <c r="B85" t="str">
        <v/>
      </c>
      <c r="C85" t="str">
        <v>G12 Blauw HAANTJES CERTIFISC OUDENAARDE</v>
      </c>
      <c r="D85" t="str">
        <f t="shared" si="1"/>
        <v>G12</v>
      </c>
    </row>
    <row r="86" spans="1:4" x14ac:dyDescent="0.25">
      <c r="A86" t="str">
        <v>Lou Geenens</v>
      </c>
      <c r="B86" t="str">
        <v>https://app.twizzit.com/public/photos/10377574/s/62e9c970b54f4ce753f6fe1b02a81459ce0f4576.png</v>
      </c>
      <c r="C86" t="str">
        <v>G12 Blauw HAANTJES CERTIFISC OUDENAARDE</v>
      </c>
      <c r="D86" t="str">
        <f t="shared" si="1"/>
        <v>G12</v>
      </c>
    </row>
    <row r="87" spans="1:4" x14ac:dyDescent="0.25">
      <c r="A87" t="str">
        <v>Lowie Malfait</v>
      </c>
      <c r="B87" t="str">
        <v/>
      </c>
      <c r="C87" t="str">
        <v>G12 Blauw HAANTJES CERTIFISC OUDENAARDE</v>
      </c>
      <c r="D87" t="str">
        <f t="shared" si="1"/>
        <v>G12</v>
      </c>
    </row>
    <row r="88" spans="1:4" x14ac:dyDescent="0.25">
      <c r="A88" t="str">
        <v>Omer Nachtergaele</v>
      </c>
      <c r="B88" t="str">
        <v>https://app.twizzit.com/public/photos/3526587/s/d9cd2de281e5d48997de87a634d3e25b996ae478.png</v>
      </c>
      <c r="C88" t="str">
        <v>G12 Blauw HAANTJES CERTIFISC OUDENAARDE</v>
      </c>
      <c r="D88" t="str">
        <f t="shared" si="1"/>
        <v>G12</v>
      </c>
    </row>
    <row r="89" spans="1:4" x14ac:dyDescent="0.25">
      <c r="A89" t="str">
        <v>Maxime Van Herpe</v>
      </c>
      <c r="B89" t="str">
        <v/>
      </c>
      <c r="C89" t="str">
        <v>G12 Blauw HAANTJES CERTIFISC OUDENAARDE</v>
      </c>
      <c r="D89" t="str">
        <f t="shared" si="1"/>
        <v>G12</v>
      </c>
    </row>
    <row r="90" spans="1:4" x14ac:dyDescent="0.25">
      <c r="A90" t="str">
        <v>Lucas Vanderstraeten</v>
      </c>
      <c r="B90" t="str">
        <v>https://app.twizzit.com/public/photos/3447788/s/a21b510884c5e068d9fd07894f967e10ecef7568.png</v>
      </c>
      <c r="C90" t="str">
        <v>G12 Blauw HAANTJES CERTIFISC OUDENAARDE</v>
      </c>
      <c r="D90" t="str">
        <f t="shared" si="1"/>
        <v>G12</v>
      </c>
    </row>
    <row r="91" spans="1:4" x14ac:dyDescent="0.25">
      <c r="A91" t="str">
        <v>Nathan Vermassen</v>
      </c>
      <c r="B91" t="str">
        <v/>
      </c>
      <c r="C91" t="str">
        <v>G12 Blauw HAANTJES CERTIFISC OUDENAARDE</v>
      </c>
      <c r="D91" t="str">
        <f t="shared" si="1"/>
        <v>G12</v>
      </c>
    </row>
    <row r="92" spans="1:4" x14ac:dyDescent="0.25">
      <c r="A92" t="str">
        <v>Niels De Lepeleire</v>
      </c>
      <c r="B92" t="str">
        <v/>
      </c>
      <c r="C92" t="str">
        <v>G12 Geel HAANTJES CERTIFISC OUDENAARDE</v>
      </c>
      <c r="D92" t="str">
        <f t="shared" si="1"/>
        <v>G12</v>
      </c>
    </row>
    <row r="93" spans="1:4" x14ac:dyDescent="0.25">
      <c r="A93" t="str">
        <v>Omer Demets</v>
      </c>
      <c r="B93" t="str">
        <v/>
      </c>
      <c r="C93" t="str">
        <v>G12 Geel HAANTJES CERTIFISC OUDENAARDE</v>
      </c>
      <c r="D93" t="str">
        <f t="shared" si="1"/>
        <v>G12</v>
      </c>
    </row>
    <row r="94" spans="1:4" x14ac:dyDescent="0.25">
      <c r="A94" t="str">
        <v>Vinke Derycke</v>
      </c>
      <c r="B94" t="str">
        <v/>
      </c>
      <c r="C94" t="str">
        <v>G12 Geel HAANTJES CERTIFISC OUDENAARDE</v>
      </c>
      <c r="D94" t="str">
        <f t="shared" si="1"/>
        <v>G12</v>
      </c>
    </row>
    <row r="95" spans="1:4" x14ac:dyDescent="0.25">
      <c r="A95" t="str">
        <v>Thor Lessenne</v>
      </c>
      <c r="B95" t="str">
        <v>https://app.twizzit.com/public/photos/4393791/s/f227f8ddb169feb6dded4f508fa8f0a8d6bc3bc4.jpeg</v>
      </c>
      <c r="C95" t="str">
        <v>G12 Geel HAANTJES CERTIFISC OUDENAARDE</v>
      </c>
      <c r="D95" t="str">
        <f t="shared" si="1"/>
        <v>G12</v>
      </c>
    </row>
    <row r="96" spans="1:4" x14ac:dyDescent="0.25">
      <c r="A96" t="str">
        <v>Mathieu Libert</v>
      </c>
      <c r="B96" t="str">
        <v/>
      </c>
      <c r="C96" t="str">
        <v>G12 Geel HAANTJES CERTIFISC OUDENAARDE</v>
      </c>
      <c r="D96" t="str">
        <f t="shared" si="1"/>
        <v>G12</v>
      </c>
    </row>
    <row r="97" spans="1:4" x14ac:dyDescent="0.25">
      <c r="A97" t="str">
        <v>Emiel Opsomer</v>
      </c>
      <c r="B97" t="str">
        <v/>
      </c>
      <c r="C97" t="str">
        <v>G12 Geel HAANTJES CERTIFISC OUDENAARDE</v>
      </c>
      <c r="D97" t="str">
        <f t="shared" si="1"/>
        <v>G12</v>
      </c>
    </row>
    <row r="98" spans="1:4" x14ac:dyDescent="0.25">
      <c r="A98" t="str">
        <v>Brent Pollet</v>
      </c>
      <c r="B98" t="str">
        <v>https://app.twizzit.com/public/photos/3454870/s/e7fdcf5140d5e910d15662f873e9aafb78eb7d4f.jpeg</v>
      </c>
      <c r="C98" t="str">
        <v>G12 Geel HAANTJES CERTIFISC OUDENAARDE</v>
      </c>
      <c r="D98" t="str">
        <f t="shared" si="1"/>
        <v>G12</v>
      </c>
    </row>
    <row r="99" spans="1:4" x14ac:dyDescent="0.25">
      <c r="A99" t="str">
        <v>Jerome Van de Weghe</v>
      </c>
      <c r="B99" t="str">
        <v/>
      </c>
      <c r="C99" t="str">
        <v>G12 Geel HAANTJES CERTIFISC OUDENAARDE</v>
      </c>
      <c r="D99" t="str">
        <f t="shared" si="1"/>
        <v>G12</v>
      </c>
    </row>
    <row r="100" spans="1:4" x14ac:dyDescent="0.25">
      <c r="A100" t="str">
        <v>Ilias Vander Beken</v>
      </c>
      <c r="B100" t="str">
        <v>https://app.twizzit.com/public/photos/9469457/s/eb40348dfb8a2c0c9b13e74dd04369019dbd2f32.jpeg</v>
      </c>
      <c r="C100" t="str">
        <v>G12 Geel HAANTJES CERTIFISC OUDENAARDE</v>
      </c>
      <c r="D100" t="str">
        <f t="shared" si="1"/>
        <v>G12</v>
      </c>
    </row>
    <row r="101" spans="1:4" x14ac:dyDescent="0.25">
      <c r="A101" t="str">
        <v>Lucas Verlinden</v>
      </c>
      <c r="B101" t="str">
        <v/>
      </c>
      <c r="C101" t="str">
        <v>G12 Geel HAANTJES CERTIFISC OUDENAARDE</v>
      </c>
      <c r="D101" t="str">
        <f t="shared" si="1"/>
        <v>G12</v>
      </c>
    </row>
    <row r="102" spans="1:4" x14ac:dyDescent="0.25">
      <c r="A102" t="str">
        <v>Lander Verschatse</v>
      </c>
      <c r="B102" t="str">
        <v>https://app.twizzit.com/public/photos/3557796/s/59f2bc8b383bb3e65d902c435f70a74103c4138d.png</v>
      </c>
      <c r="C102" t="str">
        <v>G12 Geel HAANTJES CERTIFISC OUDENAARDE</v>
      </c>
      <c r="D102" t="str">
        <f t="shared" si="1"/>
        <v>G12</v>
      </c>
    </row>
    <row r="103" spans="1:4" x14ac:dyDescent="0.25">
      <c r="A103" t="str">
        <v>Kledion Alia</v>
      </c>
      <c r="B103" t="str">
        <v>https://app.twizzit.com/public/photos/2650601/s/f885f644ea63bcfe0579c08cf537df8dcbb43ecc.png</v>
      </c>
      <c r="C103" t="str">
        <v>G14 A Haantjes CERTIFISC Oudenaarde</v>
      </c>
      <c r="D103" t="str">
        <f t="shared" si="1"/>
        <v>G14 A</v>
      </c>
    </row>
    <row r="104" spans="1:4" x14ac:dyDescent="0.25">
      <c r="A104" t="str">
        <v>Jules Dekkar</v>
      </c>
      <c r="B104" t="str">
        <v>https://app.twizzit.com/public/photos/3451601/s/35fd5f537189934e8013cbeb18029ae3e97fcdcc.jpeg</v>
      </c>
      <c r="C104" t="str">
        <v>G14 A Haantjes CERTIFISC Oudenaarde</v>
      </c>
      <c r="D104" t="str">
        <f t="shared" si="1"/>
        <v>G14 A</v>
      </c>
    </row>
    <row r="105" spans="1:4" x14ac:dyDescent="0.25">
      <c r="A105" t="str">
        <v>Jules Dewilde</v>
      </c>
      <c r="B105" t="str">
        <v/>
      </c>
      <c r="C105" t="str">
        <v>G14 A Haantjes CERTIFISC Oudenaarde</v>
      </c>
      <c r="D105" t="str">
        <f t="shared" si="1"/>
        <v>G14 A</v>
      </c>
    </row>
    <row r="106" spans="1:4" x14ac:dyDescent="0.25">
      <c r="A106" t="str">
        <v>Kobe Espeel</v>
      </c>
      <c r="B106" t="str">
        <v/>
      </c>
      <c r="C106" t="str">
        <v>G14 A Haantjes CERTIFISC Oudenaarde</v>
      </c>
      <c r="D106" t="str">
        <f t="shared" si="1"/>
        <v>G14 A</v>
      </c>
    </row>
    <row r="107" spans="1:4" x14ac:dyDescent="0.25">
      <c r="A107" t="str">
        <v>Lennert Huys</v>
      </c>
      <c r="B107" t="str">
        <v/>
      </c>
      <c r="C107" t="str">
        <v>G14 A Haantjes CERTIFISC Oudenaarde</v>
      </c>
      <c r="D107" t="str">
        <f t="shared" si="1"/>
        <v>G14 A</v>
      </c>
    </row>
    <row r="108" spans="1:4" x14ac:dyDescent="0.25">
      <c r="A108" t="str">
        <v>Filip L'Hommelet</v>
      </c>
      <c r="B108" t="str">
        <v/>
      </c>
      <c r="C108" t="str">
        <v>G14 A Haantjes CERTIFISC Oudenaarde</v>
      </c>
      <c r="D108" t="str">
        <f t="shared" si="1"/>
        <v>G14 A</v>
      </c>
    </row>
    <row r="109" spans="1:4" x14ac:dyDescent="0.25">
      <c r="A109" t="str">
        <v>Leon L'Hommelet</v>
      </c>
      <c r="B109" t="str">
        <v/>
      </c>
      <c r="C109" t="str">
        <v>G14 A Haantjes CERTIFISC Oudenaarde</v>
      </c>
      <c r="D109" t="str">
        <f t="shared" si="1"/>
        <v>G14 A</v>
      </c>
    </row>
    <row r="110" spans="1:4" x14ac:dyDescent="0.25">
      <c r="A110" t="str">
        <v>Ruube Lagae</v>
      </c>
      <c r="B110" t="str">
        <v/>
      </c>
      <c r="C110" t="str">
        <v>G14 A Haantjes CERTIFISC Oudenaarde</v>
      </c>
      <c r="D110" t="str">
        <f t="shared" si="1"/>
        <v>G14 A</v>
      </c>
    </row>
    <row r="111" spans="1:4" x14ac:dyDescent="0.25">
      <c r="A111" t="str">
        <v>Nathan Maenhout</v>
      </c>
      <c r="B111" t="str">
        <v>https://app.twizzit.com/public/photos/9359547/s/0986374ba59a462685344af411da25079641e82d.jpeg</v>
      </c>
      <c r="C111" t="str">
        <v>G14 A Haantjes CERTIFISC Oudenaarde</v>
      </c>
      <c r="D111" t="str">
        <f t="shared" si="1"/>
        <v>G14 A</v>
      </c>
    </row>
    <row r="112" spans="1:4" x14ac:dyDescent="0.25">
      <c r="A112" t="str">
        <v>Jules Ternoot</v>
      </c>
      <c r="B112" t="str">
        <v>https://app.twizzit.com/public/photos/9499964/s/ff5f984b647838e4bd7563b356e5c206230b1763.jpeg</v>
      </c>
      <c r="C112" t="str">
        <v>G14 A Haantjes CERTIFISC Oudenaarde</v>
      </c>
      <c r="D112" t="str">
        <f t="shared" si="1"/>
        <v>G14 A</v>
      </c>
    </row>
    <row r="113" spans="1:4" x14ac:dyDescent="0.25">
      <c r="A113" t="str">
        <v>Mattis Van Assche</v>
      </c>
      <c r="B113" t="str">
        <v>https://app.twizzit.com/public/photos/2183242/s/024b94ee0589d7797c4da7bd2e98266bcdb2677a.png</v>
      </c>
      <c r="C113" t="str">
        <v>G14 A Haantjes CERTIFISC Oudenaarde</v>
      </c>
      <c r="D113" t="str">
        <f t="shared" si="1"/>
        <v>G14 A</v>
      </c>
    </row>
    <row r="114" spans="1:4" x14ac:dyDescent="0.25">
      <c r="A114" t="str">
        <v>Edouard Van de Weghe</v>
      </c>
      <c r="B114" t="str">
        <v/>
      </c>
      <c r="C114" t="str">
        <v>G14 A Haantjes CERTIFISC Oudenaarde</v>
      </c>
      <c r="D114" t="str">
        <f t="shared" si="1"/>
        <v>G14 A</v>
      </c>
    </row>
    <row r="115" spans="1:4" x14ac:dyDescent="0.25">
      <c r="A115" t="str">
        <v>Matz Vermeerschen</v>
      </c>
      <c r="B115" t="str">
        <v/>
      </c>
      <c r="C115" t="str">
        <v>G14 A Haantjes CERTIFISC Oudenaarde</v>
      </c>
      <c r="D115" t="str">
        <f t="shared" si="1"/>
        <v>G14 A</v>
      </c>
    </row>
    <row r="116" spans="1:4" x14ac:dyDescent="0.25">
      <c r="A116" t="str">
        <v>Kors Altruy</v>
      </c>
      <c r="B116" t="str">
        <v/>
      </c>
      <c r="C116" t="str">
        <v>G14 B Haantjes CERTIFISC Oudenaarde</v>
      </c>
      <c r="D116" t="str">
        <f t="shared" si="1"/>
        <v>G14 B</v>
      </c>
    </row>
    <row r="117" spans="1:4" x14ac:dyDescent="0.25">
      <c r="A117" t="str">
        <v>Matisse Buda Meirlaen</v>
      </c>
      <c r="B117" t="str">
        <v>https://app.twizzit.com/public/photos/7666112/s/28beee7a2b02560648d49ec2140a1cc079666b2a.png</v>
      </c>
      <c r="C117" t="str">
        <v>G14 B Haantjes CERTIFISC Oudenaarde</v>
      </c>
      <c r="D117" t="str">
        <f t="shared" si="1"/>
        <v>G14 B</v>
      </c>
    </row>
    <row r="118" spans="1:4" x14ac:dyDescent="0.25">
      <c r="A118" t="str">
        <v>Niklas Creteur</v>
      </c>
      <c r="B118" t="str">
        <v/>
      </c>
      <c r="C118" t="str">
        <v>G14 B Haantjes CERTIFISC Oudenaarde</v>
      </c>
      <c r="D118" t="str">
        <f t="shared" si="1"/>
        <v>G14 B</v>
      </c>
    </row>
    <row r="119" spans="1:4" x14ac:dyDescent="0.25">
      <c r="A119" t="str">
        <v>Mauro Darragas</v>
      </c>
      <c r="B119" t="str">
        <v/>
      </c>
      <c r="C119" t="str">
        <v>G14 B Haantjes CERTIFISC Oudenaarde</v>
      </c>
      <c r="D119" t="str">
        <f t="shared" si="1"/>
        <v>G14 B</v>
      </c>
    </row>
    <row r="120" spans="1:4" x14ac:dyDescent="0.25">
      <c r="A120" t="str">
        <v>Arthur Debisschop</v>
      </c>
      <c r="B120" t="str">
        <v/>
      </c>
      <c r="C120" t="str">
        <v>G14 B Haantjes CERTIFISC Oudenaarde</v>
      </c>
      <c r="D120" t="str">
        <f t="shared" si="1"/>
        <v>G14 B</v>
      </c>
    </row>
    <row r="121" spans="1:4" x14ac:dyDescent="0.25">
      <c r="A121" t="str">
        <v>Alexis Devos</v>
      </c>
      <c r="B121" t="str">
        <v>https://app.twizzit.com/public/photos/6106676/s/2ae43246aa8142b23f5743a7efbb9e280e512170.png</v>
      </c>
      <c r="C121" t="str">
        <v>G14 B Haantjes CERTIFISC Oudenaarde</v>
      </c>
      <c r="D121" t="str">
        <f t="shared" si="1"/>
        <v>G14 B</v>
      </c>
    </row>
    <row r="122" spans="1:4" x14ac:dyDescent="0.25">
      <c r="A122" t="str">
        <v>Oben Godpower</v>
      </c>
      <c r="B122" t="str">
        <v/>
      </c>
      <c r="C122" t="str">
        <v>G14 B Haantjes CERTIFISC Oudenaarde</v>
      </c>
      <c r="D122" t="str">
        <f t="shared" si="1"/>
        <v>G14 B</v>
      </c>
    </row>
    <row r="123" spans="1:4" x14ac:dyDescent="0.25">
      <c r="A123" t="str">
        <v>Tuur Goossens</v>
      </c>
      <c r="B123" t="str">
        <v/>
      </c>
      <c r="C123" t="str">
        <v>G14 B Haantjes CERTIFISC Oudenaarde</v>
      </c>
      <c r="D123" t="str">
        <f t="shared" si="1"/>
        <v>G14 B</v>
      </c>
    </row>
    <row r="124" spans="1:4" x14ac:dyDescent="0.25">
      <c r="A124" t="str">
        <v>Steppe Matthys</v>
      </c>
      <c r="B124" t="str">
        <v>https://app.twizzit.com/public/photos/10488364/s/177c95b9932dcdda23e09eda7b0298c34ca94551.jpeg</v>
      </c>
      <c r="C124" t="str">
        <v>G14 B Haantjes CERTIFISC Oudenaarde</v>
      </c>
      <c r="D124" t="str">
        <f t="shared" si="1"/>
        <v>G14 B</v>
      </c>
    </row>
    <row r="125" spans="1:4" x14ac:dyDescent="0.25">
      <c r="A125" t="str">
        <v>Mauro Van Sande</v>
      </c>
      <c r="B125" t="str">
        <v>https://app.twizzit.com/public/photos/2650608/s/9cebeb89f0d68fff18c1faf3be6be5621d757adb.png</v>
      </c>
      <c r="C125" t="str">
        <v>G14 B Haantjes CERTIFISC Oudenaarde</v>
      </c>
      <c r="D125" t="str">
        <f t="shared" si="1"/>
        <v>G14 B</v>
      </c>
    </row>
    <row r="126" spans="1:4" x14ac:dyDescent="0.25">
      <c r="A126" t="str">
        <v>Viek Verhoeyen</v>
      </c>
      <c r="B126" t="str">
        <v/>
      </c>
      <c r="C126" t="str">
        <v>G14 B Haantjes CERTIFISC Oudenaarde</v>
      </c>
      <c r="D126" t="str">
        <f t="shared" si="1"/>
        <v>G14 B</v>
      </c>
    </row>
    <row r="127" spans="1:4" x14ac:dyDescent="0.25">
      <c r="A127" t="str">
        <v>Mauro Vermassen</v>
      </c>
      <c r="B127" t="str">
        <v/>
      </c>
      <c r="C127" t="str">
        <v>G14 B Haantjes CERTIFISC Oudenaarde</v>
      </c>
      <c r="D127" t="str">
        <f t="shared" si="1"/>
        <v>G14 B</v>
      </c>
    </row>
    <row r="128" spans="1:4" x14ac:dyDescent="0.25">
      <c r="A128" t="str">
        <v>Jules Cokelaere</v>
      </c>
      <c r="B128" t="str">
        <v/>
      </c>
      <c r="C128" t="str">
        <v>HSE  C Haantjes Certifisc Oudenaarde</v>
      </c>
      <c r="D128" t="str">
        <f t="shared" si="1"/>
        <v>HSE C</v>
      </c>
    </row>
    <row r="129" spans="1:4" x14ac:dyDescent="0.25">
      <c r="A129" t="str">
        <v>Louis De Baere</v>
      </c>
      <c r="B129" t="str">
        <v/>
      </c>
      <c r="C129" t="str">
        <v>HSE  C Haantjes Certifisc Oudenaarde</v>
      </c>
      <c r="D129" t="str">
        <f t="shared" si="1"/>
        <v>HSE C</v>
      </c>
    </row>
    <row r="130" spans="1:4" x14ac:dyDescent="0.25">
      <c r="A130" t="str">
        <v xml:space="preserve">Camiel De Clercq </v>
      </c>
      <c r="B130" t="str">
        <v/>
      </c>
      <c r="C130" t="str">
        <v>HSE  C Haantjes Certifisc Oudenaarde</v>
      </c>
      <c r="D130" t="str">
        <f t="shared" si="1"/>
        <v>HSE C</v>
      </c>
    </row>
    <row r="131" spans="1:4" x14ac:dyDescent="0.25">
      <c r="A131" t="str">
        <v>Robbe De Clercq</v>
      </c>
      <c r="B131" t="str">
        <v/>
      </c>
      <c r="C131" t="str">
        <v>HSE  C Haantjes Certifisc Oudenaarde</v>
      </c>
      <c r="D131" t="str">
        <f t="shared" ref="D131:D194" si="2">TRIM(SUBSTITUTE(SUBSTITUTE(SUBSTITUTE(SUBSTITUTE(TRIM(SUBSTITUTE(SUBSTITUTE(SUBSTITUTE(C131,"  "," "),"HAANTJES CERTIFISC OUDENAARDE",""),"Haantjes CERTIFISC Oudenaarde",""))," Geel","")," Blauw","")," Groen",""),"Haantjes Certifisc Oudenaarde",""))</f>
        <v>HSE C</v>
      </c>
    </row>
    <row r="132" spans="1:4" x14ac:dyDescent="0.25">
      <c r="A132" t="str">
        <v>Siebe De Meyer</v>
      </c>
      <c r="B132" t="str">
        <v/>
      </c>
      <c r="C132" t="str">
        <v>HSE  C Haantjes Certifisc Oudenaarde</v>
      </c>
      <c r="D132" t="str">
        <f t="shared" si="2"/>
        <v>HSE C</v>
      </c>
    </row>
    <row r="133" spans="1:4" x14ac:dyDescent="0.25">
      <c r="A133" t="str">
        <v>Ryan Debouverie</v>
      </c>
      <c r="B133" t="str">
        <v/>
      </c>
      <c r="C133" t="str">
        <v>HSE  C Haantjes Certifisc Oudenaarde</v>
      </c>
      <c r="D133" t="str">
        <f t="shared" si="2"/>
        <v>HSE C</v>
      </c>
    </row>
    <row r="134" spans="1:4" x14ac:dyDescent="0.25">
      <c r="A134" t="str">
        <v>Quentin Debruyne</v>
      </c>
      <c r="B134" t="str">
        <v/>
      </c>
      <c r="C134" t="str">
        <v>HSE  C Haantjes Certifisc Oudenaarde</v>
      </c>
      <c r="D134" t="str">
        <f t="shared" si="2"/>
        <v>HSE C</v>
      </c>
    </row>
    <row r="135" spans="1:4" x14ac:dyDescent="0.25">
      <c r="A135" t="str">
        <v>Jarno Dhont</v>
      </c>
      <c r="B135" t="str">
        <v/>
      </c>
      <c r="C135" t="str">
        <v>HSE  C Haantjes Certifisc Oudenaarde</v>
      </c>
      <c r="D135" t="str">
        <f t="shared" si="2"/>
        <v>HSE C</v>
      </c>
    </row>
    <row r="136" spans="1:4" x14ac:dyDescent="0.25">
      <c r="A136" t="str">
        <v>Mathis Dhont</v>
      </c>
      <c r="B136" t="str">
        <v/>
      </c>
      <c r="C136" t="str">
        <v>HSE  C Haantjes Certifisc Oudenaarde</v>
      </c>
      <c r="D136" t="str">
        <f t="shared" si="2"/>
        <v>HSE C</v>
      </c>
    </row>
    <row r="137" spans="1:4" x14ac:dyDescent="0.25">
      <c r="A137" t="str">
        <v>Joël Peeters</v>
      </c>
      <c r="B137" t="str">
        <v/>
      </c>
      <c r="C137" t="str">
        <v>HSE  C Haantjes Certifisc Oudenaarde</v>
      </c>
      <c r="D137" t="str">
        <f t="shared" si="2"/>
        <v>HSE C</v>
      </c>
    </row>
    <row r="138" spans="1:4" x14ac:dyDescent="0.25">
      <c r="A138" t="str">
        <v>Tristan Van Meenen</v>
      </c>
      <c r="B138" t="str">
        <v/>
      </c>
      <c r="C138" t="str">
        <v>HSE  C Haantjes Certifisc Oudenaarde</v>
      </c>
      <c r="D138" t="str">
        <f t="shared" si="2"/>
        <v>HSE C</v>
      </c>
    </row>
    <row r="139" spans="1:4" x14ac:dyDescent="0.25">
      <c r="A139" t="str">
        <v>Giles Van Merhaeghe</v>
      </c>
      <c r="B139" t="str">
        <v/>
      </c>
      <c r="C139" t="str">
        <v>HSE  C Haantjes Certifisc Oudenaarde</v>
      </c>
      <c r="D139" t="str">
        <f t="shared" si="2"/>
        <v>HSE C</v>
      </c>
    </row>
    <row r="140" spans="1:4" x14ac:dyDescent="0.25">
      <c r="A140" t="str">
        <v>Kenny Volkaert</v>
      </c>
      <c r="B140" t="str">
        <v/>
      </c>
      <c r="C140" t="str">
        <v>HSE  C Haantjes Certifisc Oudenaarde</v>
      </c>
      <c r="D140" t="str">
        <f t="shared" si="2"/>
        <v>HSE C</v>
      </c>
    </row>
    <row r="141" spans="1:4" x14ac:dyDescent="0.25">
      <c r="A141" t="str">
        <v>Niels De Lepeleire</v>
      </c>
      <c r="B141" t="str">
        <v/>
      </c>
      <c r="C141" t="str">
        <v>HSE A Haantjes Certifisc Oudenaarde</v>
      </c>
      <c r="D141" t="str">
        <f t="shared" si="2"/>
        <v>HSE A</v>
      </c>
    </row>
    <row r="142" spans="1:4" x14ac:dyDescent="0.25">
      <c r="A142" t="str">
        <v>Quinten Derous</v>
      </c>
      <c r="B142" t="str">
        <v/>
      </c>
      <c r="C142" t="str">
        <v>HSE A Haantjes Certifisc Oudenaarde</v>
      </c>
      <c r="D142" t="str">
        <f t="shared" si="2"/>
        <v>HSE A</v>
      </c>
    </row>
    <row r="143" spans="1:4" x14ac:dyDescent="0.25">
      <c r="A143" t="str">
        <v>Marco Dick</v>
      </c>
      <c r="B143" t="str">
        <v/>
      </c>
      <c r="C143" t="str">
        <v>HSE A Haantjes Certifisc Oudenaarde</v>
      </c>
      <c r="D143" t="str">
        <f t="shared" si="2"/>
        <v>HSE A</v>
      </c>
    </row>
    <row r="144" spans="1:4" x14ac:dyDescent="0.25">
      <c r="A144" t="str">
        <v>Ukeme Essien</v>
      </c>
      <c r="B144" t="str">
        <v/>
      </c>
      <c r="C144" t="str">
        <v>HSE A Haantjes Certifisc Oudenaarde</v>
      </c>
      <c r="D144" t="str">
        <f t="shared" si="2"/>
        <v>HSE A</v>
      </c>
    </row>
    <row r="145" spans="1:4" x14ac:dyDescent="0.25">
      <c r="A145" t="str">
        <v>Andreas Lippens</v>
      </c>
      <c r="B145" t="str">
        <v/>
      </c>
      <c r="C145" t="str">
        <v>HSE A Haantjes Certifisc Oudenaarde</v>
      </c>
      <c r="D145" t="str">
        <f t="shared" si="2"/>
        <v>HSE A</v>
      </c>
    </row>
    <row r="146" spans="1:4" x14ac:dyDescent="0.25">
      <c r="A146" t="str">
        <v>Jakob Marcou</v>
      </c>
      <c r="B146" t="str">
        <v/>
      </c>
      <c r="C146" t="str">
        <v>HSE A Haantjes Certifisc Oudenaarde</v>
      </c>
      <c r="D146" t="str">
        <f t="shared" si="2"/>
        <v>HSE A</v>
      </c>
    </row>
    <row r="147" spans="1:4" x14ac:dyDescent="0.25">
      <c r="A147" t="str">
        <v>Bleys Maxime</v>
      </c>
      <c r="B147" t="str">
        <v/>
      </c>
      <c r="C147" t="str">
        <v>HSE A Haantjes Certifisc Oudenaarde</v>
      </c>
      <c r="D147" t="str">
        <f t="shared" si="2"/>
        <v>HSE A</v>
      </c>
    </row>
    <row r="148" spans="1:4" x14ac:dyDescent="0.25">
      <c r="A148" t="str">
        <v>Robin Spaens</v>
      </c>
      <c r="B148" t="str">
        <v/>
      </c>
      <c r="C148" t="str">
        <v>HSE A Haantjes Certifisc Oudenaarde</v>
      </c>
      <c r="D148" t="str">
        <f t="shared" si="2"/>
        <v>HSE A</v>
      </c>
    </row>
    <row r="149" spans="1:4" x14ac:dyDescent="0.25">
      <c r="A149" t="str">
        <v>Bram Van Wyngene</v>
      </c>
      <c r="B149" t="str">
        <v/>
      </c>
      <c r="C149" t="str">
        <v>HSE A Haantjes Certifisc Oudenaarde</v>
      </c>
      <c r="D149" t="str">
        <f t="shared" si="2"/>
        <v>HSE A</v>
      </c>
    </row>
    <row r="150" spans="1:4" x14ac:dyDescent="0.25">
      <c r="A150" t="str">
        <v>Cedric Watteyn</v>
      </c>
      <c r="B150" t="str">
        <v/>
      </c>
      <c r="C150" t="str">
        <v>HSE A Haantjes Certifisc Oudenaarde</v>
      </c>
      <c r="D150" t="str">
        <f t="shared" si="2"/>
        <v>HSE A</v>
      </c>
    </row>
    <row r="151" spans="1:4" x14ac:dyDescent="0.25">
      <c r="A151" t="str">
        <v>Rémi Bauters</v>
      </c>
      <c r="B151" t="str">
        <v/>
      </c>
      <c r="C151" t="str">
        <v>HSE B Haantjes Certifisc Oudenaarde</v>
      </c>
      <c r="D151" t="str">
        <f t="shared" si="2"/>
        <v>HSE B</v>
      </c>
    </row>
    <row r="152" spans="1:4" x14ac:dyDescent="0.25">
      <c r="A152" t="str">
        <v>Matti Bogaert</v>
      </c>
      <c r="B152" t="str">
        <v/>
      </c>
      <c r="C152" t="str">
        <v>HSE B Haantjes Certifisc Oudenaarde</v>
      </c>
      <c r="D152" t="str">
        <f t="shared" si="2"/>
        <v>HSE B</v>
      </c>
    </row>
    <row r="153" spans="1:4" x14ac:dyDescent="0.25">
      <c r="A153" t="str">
        <v>Dylann Bufkens</v>
      </c>
      <c r="B153" t="str">
        <v/>
      </c>
      <c r="C153" t="str">
        <v>HSE B Haantjes Certifisc Oudenaarde</v>
      </c>
      <c r="D153" t="str">
        <f t="shared" si="2"/>
        <v>HSE B</v>
      </c>
    </row>
    <row r="154" spans="1:4" x14ac:dyDescent="0.25">
      <c r="A154" t="str">
        <v>Sofian D'Haenen</v>
      </c>
      <c r="B154" t="str">
        <v/>
      </c>
      <c r="C154" t="str">
        <v>HSE B Haantjes Certifisc Oudenaarde</v>
      </c>
      <c r="D154" t="str">
        <f t="shared" si="2"/>
        <v>HSE B</v>
      </c>
    </row>
    <row r="155" spans="1:4" x14ac:dyDescent="0.25">
      <c r="A155" t="str">
        <v>David De Brabander</v>
      </c>
      <c r="B155" t="str">
        <v>https://app.twizzit.com/public/photos/4024795/s/7af12ff114d5d53515b4f220ddc6cdb6ff121519.png</v>
      </c>
      <c r="C155" t="str">
        <v>HSE B Haantjes Certifisc Oudenaarde</v>
      </c>
      <c r="D155" t="str">
        <f t="shared" si="2"/>
        <v>HSE B</v>
      </c>
    </row>
    <row r="156" spans="1:4" x14ac:dyDescent="0.25">
      <c r="A156" t="str">
        <v>Milan De Brabander</v>
      </c>
      <c r="B156" t="str">
        <v>https://app.twizzit.com/public/photos/3519915/s/cb4bbdba90c700302dcd9548901e284ce021df92.jpeg</v>
      </c>
      <c r="C156" t="str">
        <v>HSE B Haantjes Certifisc Oudenaarde</v>
      </c>
      <c r="D156" t="str">
        <f t="shared" si="2"/>
        <v>HSE B</v>
      </c>
    </row>
    <row r="157" spans="1:4" x14ac:dyDescent="0.25">
      <c r="A157" t="str">
        <v>Mathieu De Clercq</v>
      </c>
      <c r="B157" t="str">
        <v/>
      </c>
      <c r="C157" t="str">
        <v>HSE B Haantjes Certifisc Oudenaarde</v>
      </c>
      <c r="D157" t="str">
        <f t="shared" si="2"/>
        <v>HSE B</v>
      </c>
    </row>
    <row r="158" spans="1:4" x14ac:dyDescent="0.25">
      <c r="A158" t="str">
        <v>Ryan Debouverie</v>
      </c>
      <c r="B158" t="str">
        <v/>
      </c>
      <c r="C158" t="str">
        <v>HSE B Haantjes Certifisc Oudenaarde</v>
      </c>
      <c r="D158" t="str">
        <f t="shared" si="2"/>
        <v>HSE B</v>
      </c>
    </row>
    <row r="159" spans="1:4" x14ac:dyDescent="0.25">
      <c r="A159" t="str">
        <v>Yves Bellard Giriteka</v>
      </c>
      <c r="B159" t="str">
        <v/>
      </c>
      <c r="C159" t="str">
        <v>HSE B Haantjes Certifisc Oudenaarde</v>
      </c>
      <c r="D159" t="str">
        <f t="shared" si="2"/>
        <v>HSE B</v>
      </c>
    </row>
    <row r="160" spans="1:4" x14ac:dyDescent="0.25">
      <c r="A160" t="str">
        <v>Thomas Goossens</v>
      </c>
      <c r="B160" t="str">
        <v>https://app.twizzit.com/public/photos/2182921/s/d5ec4bbccbaf575bfa3a597df60827a1e6809d4b.png</v>
      </c>
      <c r="C160" t="str">
        <v>HSE B Haantjes Certifisc Oudenaarde</v>
      </c>
      <c r="D160" t="str">
        <f t="shared" si="2"/>
        <v>HSE B</v>
      </c>
    </row>
    <row r="161" spans="1:4" x14ac:dyDescent="0.25">
      <c r="A161" t="str">
        <v>Sander Hakuzimana</v>
      </c>
      <c r="B161" t="str">
        <v/>
      </c>
      <c r="C161" t="str">
        <v>HSE B Haantjes Certifisc Oudenaarde</v>
      </c>
      <c r="D161" t="str">
        <f t="shared" si="2"/>
        <v>HSE B</v>
      </c>
    </row>
    <row r="162" spans="1:4" x14ac:dyDescent="0.25">
      <c r="A162" t="str">
        <v>Arno Heyerick</v>
      </c>
      <c r="B162" t="str">
        <v/>
      </c>
      <c r="C162" t="str">
        <v>HSE B Haantjes Certifisc Oudenaarde</v>
      </c>
      <c r="D162" t="str">
        <f t="shared" si="2"/>
        <v>HSE B</v>
      </c>
    </row>
    <row r="163" spans="1:4" x14ac:dyDescent="0.25">
      <c r="A163" t="str">
        <v>Vic Huysman</v>
      </c>
      <c r="B163" t="str">
        <v>https://app.twizzit.com/public/photos/2936186/s/c4015a6cfb380c1e7090d66488ca6326fa9caa7a.png</v>
      </c>
      <c r="C163" t="str">
        <v>HSE B Haantjes Certifisc Oudenaarde</v>
      </c>
      <c r="D163" t="str">
        <f t="shared" si="2"/>
        <v>HSE B</v>
      </c>
    </row>
    <row r="164" spans="1:4" x14ac:dyDescent="0.25">
      <c r="A164" t="str">
        <v>Aleksandr Kazmenko</v>
      </c>
      <c r="B164" t="str">
        <v/>
      </c>
      <c r="C164" t="str">
        <v>HSE B Haantjes Certifisc Oudenaarde</v>
      </c>
      <c r="D164" t="str">
        <f t="shared" si="2"/>
        <v>HSE B</v>
      </c>
    </row>
    <row r="165" spans="1:4" x14ac:dyDescent="0.25">
      <c r="A165" t="str">
        <v>Brecht Van Glabeke</v>
      </c>
      <c r="B165" t="str">
        <v/>
      </c>
      <c r="C165" t="str">
        <v>HSE B Haantjes Certifisc Oudenaarde</v>
      </c>
      <c r="D165" t="str">
        <f t="shared" si="2"/>
        <v>HSE B</v>
      </c>
    </row>
    <row r="166" spans="1:4" x14ac:dyDescent="0.25">
      <c r="A166" t="str">
        <v>Thomas Viaene</v>
      </c>
      <c r="B166" t="str">
        <v/>
      </c>
      <c r="C166" t="str">
        <v>HSE B Haantjes Certifisc Oudenaarde</v>
      </c>
      <c r="D166" t="str">
        <f t="shared" si="2"/>
        <v>HSE B</v>
      </c>
    </row>
    <row r="167" spans="1:4" x14ac:dyDescent="0.25">
      <c r="A167" t="str">
        <v>Torre Beeckman</v>
      </c>
      <c r="B167" t="str">
        <v>https://app.twizzit.com/public/photos/2182491/s/9cf26edd91096e59f19c665e2f0a4528adc17aa7.png</v>
      </c>
      <c r="C167" t="str">
        <v>J16 A Haantjes CERTIFISC Oudenaarde</v>
      </c>
      <c r="D167" t="str">
        <f t="shared" si="2"/>
        <v>J16 A</v>
      </c>
    </row>
    <row r="168" spans="1:4" x14ac:dyDescent="0.25">
      <c r="A168" t="str">
        <v>Liam Bufkens</v>
      </c>
      <c r="B168" t="str">
        <v/>
      </c>
      <c r="C168" t="str">
        <v>J16 A Haantjes CERTIFISC Oudenaarde</v>
      </c>
      <c r="D168" t="str">
        <f t="shared" si="2"/>
        <v>J16 A</v>
      </c>
    </row>
    <row r="169" spans="1:4" x14ac:dyDescent="0.25">
      <c r="A169" t="str">
        <v>Jonah Cattoir</v>
      </c>
      <c r="B169" t="str">
        <v/>
      </c>
      <c r="C169" t="str">
        <v>J16 A Haantjes CERTIFISC Oudenaarde</v>
      </c>
      <c r="D169" t="str">
        <f t="shared" si="2"/>
        <v>J16 A</v>
      </c>
    </row>
    <row r="170" spans="1:4" x14ac:dyDescent="0.25">
      <c r="A170" t="str">
        <v>Tibo Despriet</v>
      </c>
      <c r="B170" t="str">
        <v>https://app.twizzit.com/public/photos/3884890/s/99828396af5826db82003655528894a4f299045f.jpeg</v>
      </c>
      <c r="C170" t="str">
        <v>J16 A Haantjes CERTIFISC Oudenaarde</v>
      </c>
      <c r="D170" t="str">
        <f t="shared" si="2"/>
        <v>J16 A</v>
      </c>
    </row>
    <row r="171" spans="1:4" x14ac:dyDescent="0.25">
      <c r="A171" t="str">
        <v>Nathan Dewaele</v>
      </c>
      <c r="B171" t="str">
        <v>https://app.twizzit.com/public/photos/2182816/s/c00a73a61de05b1991d5eac8f8ad498e97a90e40.png</v>
      </c>
      <c r="C171" t="str">
        <v>J16 A Haantjes CERTIFISC Oudenaarde</v>
      </c>
      <c r="D171" t="str">
        <f t="shared" si="2"/>
        <v>J16 A</v>
      </c>
    </row>
    <row r="172" spans="1:4" x14ac:dyDescent="0.25">
      <c r="A172" t="str">
        <v>Basiel Genbrugge</v>
      </c>
      <c r="B172" t="str">
        <v>https://app.twizzit.com/public/photos/8579142/s/db8d4000b96831e0c69a1f9ee9bb0955ce673dba.png</v>
      </c>
      <c r="C172" t="str">
        <v>J16 A Haantjes CERTIFISC Oudenaarde</v>
      </c>
      <c r="D172" t="str">
        <f t="shared" si="2"/>
        <v>J16 A</v>
      </c>
    </row>
    <row r="173" spans="1:4" x14ac:dyDescent="0.25">
      <c r="A173" t="str">
        <v>Briek Goossens</v>
      </c>
      <c r="B173" t="str">
        <v/>
      </c>
      <c r="C173" t="str">
        <v>J16 A Haantjes CERTIFISC Oudenaarde</v>
      </c>
      <c r="D173" t="str">
        <f t="shared" si="2"/>
        <v>J16 A</v>
      </c>
    </row>
    <row r="174" spans="1:4" x14ac:dyDescent="0.25">
      <c r="A174" t="str">
        <v>Viktor L’Hommelet</v>
      </c>
      <c r="B174" t="str">
        <v/>
      </c>
      <c r="C174" t="str">
        <v>J16 A Haantjes CERTIFISC Oudenaarde</v>
      </c>
      <c r="D174" t="str">
        <f t="shared" si="2"/>
        <v>J16 A</v>
      </c>
    </row>
    <row r="175" spans="1:4" x14ac:dyDescent="0.25">
      <c r="A175" t="str">
        <v>Kasper Mees</v>
      </c>
      <c r="B175" t="str">
        <v>https://app.twizzit.com/public/photos/2183112/s/07942e4161d7a20864d1fbcf54b9a6dda331637e.png</v>
      </c>
      <c r="C175" t="str">
        <v>J16 A Haantjes CERTIFISC Oudenaarde</v>
      </c>
      <c r="D175" t="str">
        <f t="shared" si="2"/>
        <v>J16 A</v>
      </c>
    </row>
    <row r="176" spans="1:4" x14ac:dyDescent="0.25">
      <c r="A176" t="str">
        <v>Gust Ottevaere</v>
      </c>
      <c r="B176" t="str">
        <v/>
      </c>
      <c r="C176" t="str">
        <v>J16 A Haantjes CERTIFISC Oudenaarde</v>
      </c>
      <c r="D176" t="str">
        <f t="shared" si="2"/>
        <v>J16 A</v>
      </c>
    </row>
    <row r="177" spans="1:4" x14ac:dyDescent="0.25">
      <c r="A177" t="str">
        <v>Anoek Van Caeneghem</v>
      </c>
      <c r="B177" t="str">
        <v>https://app.twizzit.com/public/photos/11917018/s/e098521fbafba2a80a9ddb8d7c06f83cdbae52a9.png</v>
      </c>
      <c r="C177" t="str">
        <v>J16 A Haantjes CERTIFISC Oudenaarde</v>
      </c>
      <c r="D177" t="str">
        <f t="shared" si="2"/>
        <v>J16 A</v>
      </c>
    </row>
    <row r="178" spans="1:4" x14ac:dyDescent="0.25">
      <c r="A178" t="str">
        <v>Joao Arickx</v>
      </c>
      <c r="B178" t="str">
        <v/>
      </c>
      <c r="C178" t="str">
        <v>J16 B Haantjes CERTIFISC Oudenaarde</v>
      </c>
      <c r="D178" t="str">
        <f t="shared" si="2"/>
        <v>J16 B</v>
      </c>
    </row>
    <row r="179" spans="1:4" x14ac:dyDescent="0.25">
      <c r="A179" t="str">
        <v>Jasper Baert</v>
      </c>
      <c r="B179" t="str">
        <v>https://app.twizzit.com/public/photos/2650780/s/77c3f1ac992ce48307c6c7ab431ab89e2bd37774.png</v>
      </c>
      <c r="C179" t="str">
        <v>J16 B Haantjes CERTIFISC Oudenaarde</v>
      </c>
      <c r="D179" t="str">
        <f t="shared" si="2"/>
        <v>J16 B</v>
      </c>
    </row>
    <row r="180" spans="1:4" x14ac:dyDescent="0.25">
      <c r="A180" t="str">
        <v>Emile Berkvens</v>
      </c>
      <c r="B180" t="str">
        <v>https://app.twizzit.com/public/photos/2650778/s/15d2f475817dbbc2474d7d1a8b8b6a06ed3f6c72.png</v>
      </c>
      <c r="C180" t="str">
        <v>J16 B Haantjes CERTIFISC Oudenaarde</v>
      </c>
      <c r="D180" t="str">
        <f t="shared" si="2"/>
        <v>J16 B</v>
      </c>
    </row>
    <row r="181" spans="1:4" x14ac:dyDescent="0.25">
      <c r="A181" t="str">
        <v>Len De Coussemaker</v>
      </c>
      <c r="B181" t="str">
        <v>https://app.twizzit.com/public/photos/2182636/s/ac8133dfa6021f95e4cb86240c3d9e68218f8a83.png</v>
      </c>
      <c r="C181" t="str">
        <v>J16 B Haantjes CERTIFISC Oudenaarde</v>
      </c>
      <c r="D181" t="str">
        <f t="shared" si="2"/>
        <v>J16 B</v>
      </c>
    </row>
    <row r="182" spans="1:4" x14ac:dyDescent="0.25">
      <c r="A182" t="str">
        <v>Niels De Lepeleire</v>
      </c>
      <c r="B182" t="str">
        <v/>
      </c>
      <c r="C182" t="str">
        <v>J16 B Haantjes CERTIFISC Oudenaarde</v>
      </c>
      <c r="D182" t="str">
        <f t="shared" si="2"/>
        <v>J16 B</v>
      </c>
    </row>
    <row r="183" spans="1:4" x14ac:dyDescent="0.25">
      <c r="A183" t="str">
        <v>Emmanuel Dull</v>
      </c>
      <c r="B183" t="str">
        <v/>
      </c>
      <c r="C183" t="str">
        <v>J16 B Haantjes CERTIFISC Oudenaarde</v>
      </c>
      <c r="D183" t="str">
        <f t="shared" si="2"/>
        <v>J16 B</v>
      </c>
    </row>
    <row r="184" spans="1:4" x14ac:dyDescent="0.25">
      <c r="A184" t="str">
        <v>Victor Geiregat</v>
      </c>
      <c r="B184" t="str">
        <v/>
      </c>
      <c r="C184" t="str">
        <v>J16 B Haantjes CERTIFISC Oudenaarde</v>
      </c>
      <c r="D184" t="str">
        <f t="shared" si="2"/>
        <v>J16 B</v>
      </c>
    </row>
    <row r="185" spans="1:4" x14ac:dyDescent="0.25">
      <c r="A185" t="str">
        <v>Alexander Libert</v>
      </c>
      <c r="B185" t="str">
        <v/>
      </c>
      <c r="C185" t="str">
        <v>J16 B Haantjes CERTIFISC Oudenaarde</v>
      </c>
      <c r="D185" t="str">
        <f t="shared" si="2"/>
        <v>J16 B</v>
      </c>
    </row>
    <row r="186" spans="1:4" x14ac:dyDescent="0.25">
      <c r="A186" t="str">
        <v>Jean-Reno Neyrinck</v>
      </c>
      <c r="B186" t="str">
        <v>https://app.twizzit.com/public/photos/3543437/s/4b4d34aba7c38171a5f39885d89d2a702bb4c5c8.jpeg</v>
      </c>
      <c r="C186" t="str">
        <v>J16 B Haantjes CERTIFISC Oudenaarde</v>
      </c>
      <c r="D186" t="str">
        <f t="shared" si="2"/>
        <v>J16 B</v>
      </c>
    </row>
    <row r="187" spans="1:4" x14ac:dyDescent="0.25">
      <c r="A187" t="str">
        <v>Maro Thas</v>
      </c>
      <c r="B187" t="str">
        <v>https://app.twizzit.com/public/photos/3451572/s/f7bd7e0dc5dd014e64108bf9fe43059bbb6a9a41.png</v>
      </c>
      <c r="C187" t="str">
        <v>J16 B Haantjes CERTIFISC Oudenaarde</v>
      </c>
      <c r="D187" t="str">
        <f t="shared" si="2"/>
        <v>J16 B</v>
      </c>
    </row>
    <row r="188" spans="1:4" x14ac:dyDescent="0.25">
      <c r="A188" t="str">
        <v>Kobe Vandaele</v>
      </c>
      <c r="B188" t="str">
        <v/>
      </c>
      <c r="C188" t="str">
        <v>J16 B Haantjes CERTIFISC Oudenaarde</v>
      </c>
      <c r="D188" t="str">
        <f t="shared" si="2"/>
        <v>J16 B</v>
      </c>
    </row>
    <row r="189" spans="1:4" x14ac:dyDescent="0.25">
      <c r="A189" t="str">
        <v>Lukas Vandemaele</v>
      </c>
      <c r="B189" t="str">
        <v/>
      </c>
      <c r="C189" t="str">
        <v>J16 B Haantjes CERTIFISC Oudenaarde</v>
      </c>
      <c r="D189" t="str">
        <f t="shared" si="2"/>
        <v>J16 B</v>
      </c>
    </row>
    <row r="190" spans="1:4" x14ac:dyDescent="0.25">
      <c r="A190" t="str">
        <v>Mats Verstraeten</v>
      </c>
      <c r="B190" t="str">
        <v/>
      </c>
      <c r="C190" t="str">
        <v>J16 B Haantjes CERTIFISC Oudenaarde</v>
      </c>
      <c r="D190" t="str">
        <f t="shared" si="2"/>
        <v>J16 B</v>
      </c>
    </row>
    <row r="191" spans="1:4" x14ac:dyDescent="0.25">
      <c r="A191" t="str">
        <v>Matti Bogaert</v>
      </c>
      <c r="B191" t="str">
        <v/>
      </c>
      <c r="C191" t="str">
        <v>J18 A Haantjes CERTIFISC Oudenaarde</v>
      </c>
      <c r="D191" t="str">
        <f t="shared" si="2"/>
        <v>J18 A</v>
      </c>
    </row>
    <row r="192" spans="1:4" x14ac:dyDescent="0.25">
      <c r="A192" t="str">
        <v>Sofian D'Haenen</v>
      </c>
      <c r="B192" t="str">
        <v/>
      </c>
      <c r="C192" t="str">
        <v>J18 A Haantjes CERTIFISC Oudenaarde</v>
      </c>
      <c r="D192" t="str">
        <f t="shared" si="2"/>
        <v>J18 A</v>
      </c>
    </row>
    <row r="193" spans="1:4" x14ac:dyDescent="0.25">
      <c r="A193" t="str">
        <v>Yunus D'Haenen</v>
      </c>
      <c r="B193" t="str">
        <v/>
      </c>
      <c r="C193" t="str">
        <v>J18 A Haantjes CERTIFISC Oudenaarde</v>
      </c>
      <c r="D193" t="str">
        <f t="shared" si="2"/>
        <v>J18 A</v>
      </c>
    </row>
    <row r="194" spans="1:4" x14ac:dyDescent="0.25">
      <c r="A194" t="str">
        <v>David De Brabander</v>
      </c>
      <c r="B194" t="str">
        <v>https://app.twizzit.com/public/photos/4024795/s/7af12ff114d5d53515b4f220ddc6cdb6ff121519.png</v>
      </c>
      <c r="C194" t="str">
        <v>J18 A Haantjes CERTIFISC Oudenaarde</v>
      </c>
      <c r="D194" t="str">
        <f t="shared" si="2"/>
        <v>J18 A</v>
      </c>
    </row>
    <row r="195" spans="1:4" x14ac:dyDescent="0.25">
      <c r="A195" t="str">
        <v>Milan De Brabander</v>
      </c>
      <c r="B195" t="str">
        <v>https://app.twizzit.com/public/photos/3519915/s/cb4bbdba90c700302dcd9548901e284ce021df92.jpeg</v>
      </c>
      <c r="C195" t="str">
        <v>J18 A Haantjes CERTIFISC Oudenaarde</v>
      </c>
      <c r="D195" t="str">
        <f t="shared" ref="D195:D258" si="3">TRIM(SUBSTITUTE(SUBSTITUTE(SUBSTITUTE(SUBSTITUTE(TRIM(SUBSTITUTE(SUBSTITUTE(SUBSTITUTE(C195,"  "," "),"HAANTJES CERTIFISC OUDENAARDE",""),"Haantjes CERTIFISC Oudenaarde",""))," Geel","")," Blauw","")," Groen",""),"Haantjes Certifisc Oudenaarde",""))</f>
        <v>J18 A</v>
      </c>
    </row>
    <row r="196" spans="1:4" x14ac:dyDescent="0.25">
      <c r="A196" t="str">
        <v>Emile-Louis De Windt</v>
      </c>
      <c r="B196" t="str">
        <v>https://app.twizzit.com/public/photos/3463928/s/65ba284a6aa8f67e5b08f396e397206e4afd6e82.png</v>
      </c>
      <c r="C196" t="str">
        <v>J18 A Haantjes CERTIFISC Oudenaarde</v>
      </c>
      <c r="D196" t="str">
        <f t="shared" si="3"/>
        <v>J18 A</v>
      </c>
    </row>
    <row r="197" spans="1:4" x14ac:dyDescent="0.25">
      <c r="A197" t="str">
        <v>Jasper Espeel</v>
      </c>
      <c r="B197" t="str">
        <v/>
      </c>
      <c r="C197" t="str">
        <v>J18 A Haantjes CERTIFISC Oudenaarde</v>
      </c>
      <c r="D197" t="str">
        <f t="shared" si="3"/>
        <v>J18 A</v>
      </c>
    </row>
    <row r="198" spans="1:4" x14ac:dyDescent="0.25">
      <c r="A198" t="str">
        <v>Vic Huysman</v>
      </c>
      <c r="B198" t="str">
        <v>https://app.twizzit.com/public/photos/2936186/s/c4015a6cfb380c1e7090d66488ca6326fa9caa7a.png</v>
      </c>
      <c r="C198" t="str">
        <v>J18 A Haantjes CERTIFISC Oudenaarde</v>
      </c>
      <c r="D198" t="str">
        <f t="shared" si="3"/>
        <v>J18 A</v>
      </c>
    </row>
    <row r="199" spans="1:4" x14ac:dyDescent="0.25">
      <c r="A199" t="str">
        <v>Rayan Lebrouchi Poddubnaya</v>
      </c>
      <c r="B199" t="str">
        <v/>
      </c>
      <c r="C199" t="str">
        <v>J18 A Haantjes CERTIFISC Oudenaarde</v>
      </c>
      <c r="D199" t="str">
        <f t="shared" si="3"/>
        <v>J18 A</v>
      </c>
    </row>
    <row r="200" spans="1:4" x14ac:dyDescent="0.25">
      <c r="A200" t="str">
        <v>Brecht Van Glabeke</v>
      </c>
      <c r="B200" t="str">
        <v/>
      </c>
      <c r="C200" t="str">
        <v>J18 A Haantjes CERTIFISC Oudenaarde</v>
      </c>
      <c r="D200" t="str">
        <f t="shared" si="3"/>
        <v>J18 A</v>
      </c>
    </row>
    <row r="201" spans="1:4" x14ac:dyDescent="0.25">
      <c r="A201" t="str">
        <v>Miro Van Schoorisse</v>
      </c>
      <c r="B201" t="str">
        <v/>
      </c>
      <c r="C201" t="str">
        <v>J18 A Haantjes CERTIFISC Oudenaarde</v>
      </c>
      <c r="D201" t="str">
        <f t="shared" si="3"/>
        <v>J18 A</v>
      </c>
    </row>
    <row r="202" spans="1:4" x14ac:dyDescent="0.25">
      <c r="A202" t="str">
        <v>Bram Van Wyngene</v>
      </c>
      <c r="B202" t="str">
        <v/>
      </c>
      <c r="C202" t="str">
        <v>J18 A Haantjes CERTIFISC Oudenaarde</v>
      </c>
      <c r="D202" t="str">
        <f t="shared" si="3"/>
        <v>J18 A</v>
      </c>
    </row>
    <row r="203" spans="1:4" x14ac:dyDescent="0.25">
      <c r="A203" t="str">
        <v>Lowie Vande Kerckhove</v>
      </c>
      <c r="B203" t="str">
        <v/>
      </c>
      <c r="C203" t="str">
        <v>J18 A Haantjes CERTIFISC Oudenaarde</v>
      </c>
      <c r="D203" t="str">
        <f t="shared" si="3"/>
        <v>J18 A</v>
      </c>
    </row>
    <row r="204" spans="1:4" x14ac:dyDescent="0.25">
      <c r="A204" t="str">
        <v>Thomas Viaene</v>
      </c>
      <c r="B204" t="str">
        <v/>
      </c>
      <c r="C204" t="str">
        <v>J18 A Haantjes CERTIFISC Oudenaarde</v>
      </c>
      <c r="D204" t="str">
        <f t="shared" si="3"/>
        <v>J18 A</v>
      </c>
    </row>
    <row r="205" spans="1:4" x14ac:dyDescent="0.25">
      <c r="A205" t="str">
        <v>Bent Anseeuw</v>
      </c>
      <c r="B205" t="str">
        <v>https://app.twizzit.com/public/photos/2182451/s/d40702514c4affc118f06eee4555b1ca966c4e65.png</v>
      </c>
      <c r="C205" t="str">
        <v>J18 B Haantjes CERTIFISC Oudenaarde</v>
      </c>
      <c r="D205" t="str">
        <f t="shared" si="3"/>
        <v>J18 B</v>
      </c>
    </row>
    <row r="206" spans="1:4" x14ac:dyDescent="0.25">
      <c r="A206" t="str">
        <v>Vince Beke</v>
      </c>
      <c r="B206" t="str">
        <v>https://app.twizzit.com/public/photos/2182501/s/ff9efabb61fd27d35070a050abd98c15c9bfe6c5.png</v>
      </c>
      <c r="C206" t="str">
        <v>J18 B Haantjes CERTIFISC Oudenaarde</v>
      </c>
      <c r="D206" t="str">
        <f t="shared" si="3"/>
        <v>J18 B</v>
      </c>
    </row>
    <row r="207" spans="1:4" x14ac:dyDescent="0.25">
      <c r="A207" t="str">
        <v>Quinten Benoot</v>
      </c>
      <c r="B207" t="str">
        <v>https://app.twizzit.com/public/photos/4080393/s/fc77b80b0f519cf2bcaae55fec7f11c92e5c4d9f.jpeg</v>
      </c>
      <c r="C207" t="str">
        <v>J18 B Haantjes CERTIFISC Oudenaarde</v>
      </c>
      <c r="D207" t="str">
        <f t="shared" si="3"/>
        <v>J18 B</v>
      </c>
    </row>
    <row r="208" spans="1:4" x14ac:dyDescent="0.25">
      <c r="A208" t="str">
        <v>Liam Bourgeois</v>
      </c>
      <c r="B208" t="str">
        <v/>
      </c>
      <c r="C208" t="str">
        <v>J18 B Haantjes CERTIFISC Oudenaarde</v>
      </c>
      <c r="D208" t="str">
        <f t="shared" si="3"/>
        <v>J18 B</v>
      </c>
    </row>
    <row r="209" spans="1:4" x14ac:dyDescent="0.25">
      <c r="A209" t="str">
        <v>Kobe Boutmans</v>
      </c>
      <c r="B209" t="str">
        <v/>
      </c>
      <c r="C209" t="str">
        <v>J18 B Haantjes CERTIFISC Oudenaarde</v>
      </c>
      <c r="D209" t="str">
        <f t="shared" si="3"/>
        <v>J18 B</v>
      </c>
    </row>
    <row r="210" spans="1:4" x14ac:dyDescent="0.25">
      <c r="A210" t="str">
        <v>Dylann Bufkens</v>
      </c>
      <c r="B210" t="str">
        <v/>
      </c>
      <c r="C210" t="str">
        <v>J18 B Haantjes CERTIFISC Oudenaarde</v>
      </c>
      <c r="D210" t="str">
        <f t="shared" si="3"/>
        <v>J18 B</v>
      </c>
    </row>
    <row r="211" spans="1:4" x14ac:dyDescent="0.25">
      <c r="A211" t="str">
        <v>Mathis Cromheeke</v>
      </c>
      <c r="B211" t="str">
        <v/>
      </c>
      <c r="C211" t="str">
        <v>J18 B Haantjes CERTIFISC Oudenaarde</v>
      </c>
      <c r="D211" t="str">
        <f t="shared" si="3"/>
        <v>J18 B</v>
      </c>
    </row>
    <row r="212" spans="1:4" x14ac:dyDescent="0.25">
      <c r="A212" t="str">
        <v>Niels De Coussemaker</v>
      </c>
      <c r="B212" t="str">
        <v>https://app.twizzit.com/public/photos/2182641/s/bc2ed87ccb6bf61129b3522eabde4c5cff856719.png</v>
      </c>
      <c r="C212" t="str">
        <v>J18 B Haantjes CERTIFISC Oudenaarde</v>
      </c>
      <c r="D212" t="str">
        <f t="shared" si="3"/>
        <v>J18 B</v>
      </c>
    </row>
    <row r="213" spans="1:4" x14ac:dyDescent="0.25">
      <c r="A213" t="str">
        <v>Sam Liekens</v>
      </c>
      <c r="B213" t="str">
        <v>https://app.twizzit.com/public/photos/3475283/s/e532263ea43cddb59650656f3777387ca04d2de4.jpeg</v>
      </c>
      <c r="C213" t="str">
        <v>J18 B Haantjes CERTIFISC Oudenaarde</v>
      </c>
      <c r="D213" t="str">
        <f t="shared" si="3"/>
        <v>J18 B</v>
      </c>
    </row>
    <row r="214" spans="1:4" x14ac:dyDescent="0.25">
      <c r="A214" t="str">
        <v>Kamiel Mahieu</v>
      </c>
      <c r="B214" t="str">
        <v/>
      </c>
      <c r="C214" t="str">
        <v>J18 B Haantjes CERTIFISC Oudenaarde</v>
      </c>
      <c r="D214" t="str">
        <f t="shared" si="3"/>
        <v>J18 B</v>
      </c>
    </row>
    <row r="215" spans="1:4" x14ac:dyDescent="0.25">
      <c r="A215" t="str">
        <v>Ziano Schoenmaekers</v>
      </c>
      <c r="B215" t="str">
        <v>https://app.twizzit.com/public/photos/2650796/s/806ce17769fd3d29fc435d865a5b302b6c25c6ca.png</v>
      </c>
      <c r="C215" t="str">
        <v>J18 B Haantjes CERTIFISC Oudenaarde</v>
      </c>
      <c r="D215" t="str">
        <f t="shared" si="3"/>
        <v>J18 B</v>
      </c>
    </row>
    <row r="216" spans="1:4" x14ac:dyDescent="0.25">
      <c r="A216" t="str">
        <v>Jaimie Van Marcke</v>
      </c>
      <c r="B216" t="str">
        <v>https://app.twizzit.com/public/photos/4080394/s/a0a6f7a1f3c9650e7b60b7c90fcc741fdb018fb0.png</v>
      </c>
      <c r="C216" t="str">
        <v>J18 B Haantjes CERTIFISC Oudenaarde</v>
      </c>
      <c r="D216" t="str">
        <f t="shared" si="3"/>
        <v>J18 B</v>
      </c>
    </row>
    <row r="217" spans="1:4" x14ac:dyDescent="0.25">
      <c r="A217" t="str">
        <v>Emiel Verlinden</v>
      </c>
      <c r="B217" t="str">
        <v/>
      </c>
      <c r="C217" t="str">
        <v>J18 B Haantjes CERTIFISC Oudenaarde</v>
      </c>
      <c r="D217" t="str">
        <f t="shared" si="3"/>
        <v>J18 B</v>
      </c>
    </row>
    <row r="218" spans="1:4" x14ac:dyDescent="0.25">
      <c r="A218" t="str">
        <v>Rémi Bauters</v>
      </c>
      <c r="B218" t="str">
        <v/>
      </c>
      <c r="C218" t="str">
        <v>J21 A HAANTJES CERTIFISC OUDENAARDE</v>
      </c>
      <c r="D218" t="str">
        <f t="shared" si="3"/>
        <v>J21 A</v>
      </c>
    </row>
    <row r="219" spans="1:4" x14ac:dyDescent="0.25">
      <c r="A219" t="str">
        <v>Luka Coryn</v>
      </c>
      <c r="B219" t="str">
        <v/>
      </c>
      <c r="C219" t="str">
        <v>J21 A HAANTJES CERTIFISC OUDENAARDE</v>
      </c>
      <c r="D219" t="str">
        <f t="shared" si="3"/>
        <v>J21 A</v>
      </c>
    </row>
    <row r="220" spans="1:4" x14ac:dyDescent="0.25">
      <c r="A220" t="str">
        <v>Tanguy Creteur</v>
      </c>
      <c r="B220" t="str">
        <v/>
      </c>
      <c r="C220" t="str">
        <v>J21 A HAANTJES CERTIFISC OUDENAARDE</v>
      </c>
      <c r="D220" t="str">
        <f t="shared" si="3"/>
        <v>J21 A</v>
      </c>
    </row>
    <row r="221" spans="1:4" x14ac:dyDescent="0.25">
      <c r="A221" t="str">
        <v>David De Brabander</v>
      </c>
      <c r="B221" t="str">
        <v>https://app.twizzit.com/public/photos/4024795/s/7af12ff114d5d53515b4f220ddc6cdb6ff121519.png</v>
      </c>
      <c r="C221" t="str">
        <v>J21 A HAANTJES CERTIFISC OUDENAARDE</v>
      </c>
      <c r="D221" t="str">
        <f t="shared" si="3"/>
        <v>J21 A</v>
      </c>
    </row>
    <row r="222" spans="1:4" x14ac:dyDescent="0.25">
      <c r="A222" t="str">
        <v>Pieter Diependaele</v>
      </c>
      <c r="B222" t="str">
        <v>https://app.twizzit.com/public/photos/3239965/s/944ad53074c1441abd98efedc98fef813d2f093f.png</v>
      </c>
      <c r="C222" t="str">
        <v>J21 A HAANTJES CERTIFISC OUDENAARDE</v>
      </c>
      <c r="D222" t="str">
        <f t="shared" si="3"/>
        <v>J21 A</v>
      </c>
    </row>
    <row r="223" spans="1:4" x14ac:dyDescent="0.25">
      <c r="A223" t="str">
        <v>Thomas Goossens</v>
      </c>
      <c r="B223" t="str">
        <v>https://app.twizzit.com/public/photos/2182921/s/d5ec4bbccbaf575bfa3a597df60827a1e6809d4b.png</v>
      </c>
      <c r="C223" t="str">
        <v>J21 A HAANTJES CERTIFISC OUDENAARDE</v>
      </c>
      <c r="D223" t="str">
        <f t="shared" si="3"/>
        <v>J21 A</v>
      </c>
    </row>
    <row r="224" spans="1:4" x14ac:dyDescent="0.25">
      <c r="A224" t="str">
        <v>Sander Hakuzimana</v>
      </c>
      <c r="B224" t="str">
        <v/>
      </c>
      <c r="C224" t="str">
        <v>J21 A HAANTJES CERTIFISC OUDENAARDE</v>
      </c>
      <c r="D224" t="str">
        <f t="shared" si="3"/>
        <v>J21 A</v>
      </c>
    </row>
    <row r="225" spans="1:4" x14ac:dyDescent="0.25">
      <c r="A225" t="str">
        <v>Arno Heyerick</v>
      </c>
      <c r="B225" t="str">
        <v/>
      </c>
      <c r="C225" t="str">
        <v>J21 A HAANTJES CERTIFISC OUDENAARDE</v>
      </c>
      <c r="D225" t="str">
        <f t="shared" si="3"/>
        <v>J21 A</v>
      </c>
    </row>
    <row r="226" spans="1:4" x14ac:dyDescent="0.25">
      <c r="A226" t="str">
        <v>Rayan Lebrouchi Poddubnaya</v>
      </c>
      <c r="B226" t="str">
        <v/>
      </c>
      <c r="C226" t="str">
        <v>J21 A HAANTJES CERTIFISC OUDENAARDE</v>
      </c>
      <c r="D226" t="str">
        <f t="shared" si="3"/>
        <v>J21 A</v>
      </c>
    </row>
    <row r="227" spans="1:4" x14ac:dyDescent="0.25">
      <c r="A227" t="str">
        <v>Emiel Vanderhelstraeten</v>
      </c>
      <c r="B227" t="str">
        <v/>
      </c>
      <c r="C227" t="str">
        <v>J21 A HAANTJES CERTIFISC OUDENAARDE</v>
      </c>
      <c r="D227" t="str">
        <f t="shared" si="3"/>
        <v>J21 A</v>
      </c>
    </row>
    <row r="228" spans="1:4" x14ac:dyDescent="0.25">
      <c r="A228" t="str">
        <v>Bogdan Verstraete</v>
      </c>
      <c r="B228" t="str">
        <v/>
      </c>
      <c r="C228" t="str">
        <v>J21 A HAANTJES CERTIFISC OUDENAARDE</v>
      </c>
      <c r="D228" t="str">
        <f t="shared" si="3"/>
        <v>J21 A</v>
      </c>
    </row>
    <row r="229" spans="1:4" x14ac:dyDescent="0.25">
      <c r="A229" t="str">
        <v>Bo Bauters</v>
      </c>
      <c r="B229" t="str">
        <v>https://app.twizzit.com/public/photos/3472864/s/02d5da48533f12868f14fb4b62a0634d769bf8a7.png</v>
      </c>
      <c r="C229" t="str">
        <v>M10 HAANTJES CERTIFISC OUDENAARDE</v>
      </c>
      <c r="D229" t="str">
        <f t="shared" si="3"/>
        <v>M10</v>
      </c>
    </row>
    <row r="230" spans="1:4" x14ac:dyDescent="0.25">
      <c r="A230" t="str">
        <v>Karen Dans</v>
      </c>
      <c r="B230" t="str">
        <v>https://app.twizzit.com/public/photos/2182586/s/3c061ecaa7eb60b4e8b27f2490fa3fff24778b0c.png</v>
      </c>
      <c r="C230" t="str">
        <v>M10 HAANTJES CERTIFISC OUDENAARDE</v>
      </c>
      <c r="D230" t="str">
        <f t="shared" si="3"/>
        <v>M10</v>
      </c>
    </row>
    <row r="231" spans="1:4" x14ac:dyDescent="0.25">
      <c r="A231" t="str">
        <v>Camille De vreese</v>
      </c>
      <c r="B231" t="str">
        <v>https://app.twizzit.com/public/photos/7284534/s/89166ad605bd29d54909fd3e80a34843f88650ec.png</v>
      </c>
      <c r="C231" t="str">
        <v>M10 HAANTJES CERTIFISC OUDENAARDE</v>
      </c>
      <c r="D231" t="str">
        <f t="shared" si="3"/>
        <v>M10</v>
      </c>
    </row>
    <row r="232" spans="1:4" x14ac:dyDescent="0.25">
      <c r="A232" t="str">
        <v>Renée Deraedt</v>
      </c>
      <c r="B232" t="str">
        <v>https://app.twizzit.com/public/photos/7328300/s/7e2d6dfb7100b0ca8feb8f22a68ce2009271348a.png</v>
      </c>
      <c r="C232" t="str">
        <v>M10 HAANTJES CERTIFISC OUDENAARDE</v>
      </c>
      <c r="D232" t="str">
        <f t="shared" si="3"/>
        <v>M10</v>
      </c>
    </row>
    <row r="233" spans="1:4" x14ac:dyDescent="0.25">
      <c r="A233" t="str">
        <v>Fadila Ettijrini</v>
      </c>
      <c r="B233" t="str">
        <v/>
      </c>
      <c r="C233" t="str">
        <v>M10 HAANTJES CERTIFISC OUDENAARDE</v>
      </c>
      <c r="D233" t="str">
        <f t="shared" si="3"/>
        <v>M10</v>
      </c>
    </row>
    <row r="234" spans="1:4" x14ac:dyDescent="0.25">
      <c r="A234" t="str">
        <v>Alixe Geenens</v>
      </c>
      <c r="B234" t="str">
        <v/>
      </c>
      <c r="C234" t="str">
        <v>M10 HAANTJES CERTIFISC OUDENAARDE</v>
      </c>
      <c r="D234" t="str">
        <f t="shared" si="3"/>
        <v>M10</v>
      </c>
    </row>
    <row r="235" spans="1:4" x14ac:dyDescent="0.25">
      <c r="A235" t="str">
        <v>Dea Gocaj</v>
      </c>
      <c r="B235" t="str">
        <v/>
      </c>
      <c r="C235" t="str">
        <v>M10 HAANTJES CERTIFISC OUDENAARDE</v>
      </c>
      <c r="D235" t="str">
        <f t="shared" si="3"/>
        <v>M10</v>
      </c>
    </row>
    <row r="236" spans="1:4" x14ac:dyDescent="0.25">
      <c r="A236" t="str">
        <v>Magalie Stevens</v>
      </c>
      <c r="B236" t="str">
        <v/>
      </c>
      <c r="C236" t="str">
        <v>M10 HAANTJES CERTIFISC OUDENAARDE</v>
      </c>
      <c r="D236" t="str">
        <f t="shared" si="3"/>
        <v>M10</v>
      </c>
    </row>
    <row r="237" spans="1:4" x14ac:dyDescent="0.25">
      <c r="A237" t="str">
        <v>Maiga Stevens</v>
      </c>
      <c r="B237" t="str">
        <v/>
      </c>
      <c r="C237" t="str">
        <v>M10 HAANTJES CERTIFISC OUDENAARDE</v>
      </c>
      <c r="D237" t="str">
        <f t="shared" si="3"/>
        <v>M10</v>
      </c>
    </row>
    <row r="238" spans="1:4" x14ac:dyDescent="0.25">
      <c r="A238" t="str">
        <v>Ella Van de zande</v>
      </c>
      <c r="B238" t="str">
        <v>https://app.twizzit.com/public/photos/7665003/s/5ed58413208ebbb451d8f9179fc6141b44a190fa.png</v>
      </c>
      <c r="C238" t="str">
        <v>M10 HAANTJES CERTIFISC OUDENAARDE</v>
      </c>
      <c r="D238" t="str">
        <f t="shared" si="3"/>
        <v>M10</v>
      </c>
    </row>
    <row r="239" spans="1:4" x14ac:dyDescent="0.25">
      <c r="A239" t="str">
        <v>Jeanne Waelkens</v>
      </c>
      <c r="B239" t="str">
        <v>https://app.twizzit.com/public/photos/3437291/s/f3577d619164c0e4ca4ac15321e6e9e51e00ea9d.png</v>
      </c>
      <c r="C239" t="str">
        <v>M10 HAANTJES CERTIFISC OUDENAARDE</v>
      </c>
      <c r="D239" t="str">
        <f t="shared" si="3"/>
        <v>M10</v>
      </c>
    </row>
    <row r="240" spans="1:4" x14ac:dyDescent="0.25">
      <c r="A240" t="str">
        <v>Noa Bauters</v>
      </c>
      <c r="B240" t="str">
        <v>https://app.twizzit.com/public/photos/11846410/s/0498863fb0a62c783eced92596a817e3339dca11.jpeg</v>
      </c>
      <c r="C240" t="str">
        <v>M12 A HAANTJES CERTIFISC OUDENAARDE</v>
      </c>
      <c r="D240" t="str">
        <f t="shared" si="3"/>
        <v>M12 A</v>
      </c>
    </row>
    <row r="241" spans="1:4" x14ac:dyDescent="0.25">
      <c r="A241" t="str">
        <v>Iris Calewaert</v>
      </c>
      <c r="B241" t="str">
        <v/>
      </c>
      <c r="C241" t="str">
        <v>M12 A HAANTJES CERTIFISC OUDENAARDE</v>
      </c>
      <c r="D241" t="str">
        <f t="shared" si="3"/>
        <v>M12 A</v>
      </c>
    </row>
    <row r="242" spans="1:4" x14ac:dyDescent="0.25">
      <c r="A242" t="str">
        <v>Minne De Coninck</v>
      </c>
      <c r="B242" t="str">
        <v/>
      </c>
      <c r="C242" t="str">
        <v>M12 A HAANTJES CERTIFISC OUDENAARDE</v>
      </c>
      <c r="D242" t="str">
        <f t="shared" si="3"/>
        <v>M12 A</v>
      </c>
    </row>
    <row r="243" spans="1:4" x14ac:dyDescent="0.25">
      <c r="A243" t="str">
        <v>Mary-Lou De Keukeleire</v>
      </c>
      <c r="B243" t="str">
        <v>https://app.twizzit.com/public/photos/7663442/s/a1e4c1d99d71fda9ac80bca383a3ddb377005195.png</v>
      </c>
      <c r="C243" t="str">
        <v>M12 A HAANTJES CERTIFISC OUDENAARDE</v>
      </c>
      <c r="D243" t="str">
        <f t="shared" si="3"/>
        <v>M12 A</v>
      </c>
    </row>
    <row r="244" spans="1:4" x14ac:dyDescent="0.25">
      <c r="A244" t="str">
        <v>Gaëlle de la Rivière</v>
      </c>
      <c r="B244" t="str">
        <v/>
      </c>
      <c r="C244" t="str">
        <v>M12 A HAANTJES CERTIFISC OUDENAARDE</v>
      </c>
      <c r="D244" t="str">
        <f t="shared" si="3"/>
        <v>M12 A</v>
      </c>
    </row>
    <row r="245" spans="1:4" x14ac:dyDescent="0.25">
      <c r="A245" t="str">
        <v>Emmanuelle Dewaele</v>
      </c>
      <c r="B245" t="str">
        <v/>
      </c>
      <c r="C245" t="str">
        <v>M12 A HAANTJES CERTIFISC OUDENAARDE</v>
      </c>
      <c r="D245" t="str">
        <f t="shared" si="3"/>
        <v>M12 A</v>
      </c>
    </row>
    <row r="246" spans="1:4" x14ac:dyDescent="0.25">
      <c r="A246" t="str">
        <v>Maud Lacres</v>
      </c>
      <c r="B246" t="str">
        <v>https://app.twizzit.com/public/photos/7284400/s/788dc5308deee743b8d2d9764e0824010b7633fe.png</v>
      </c>
      <c r="C246" t="str">
        <v>M12 A HAANTJES CERTIFISC OUDENAARDE</v>
      </c>
      <c r="D246" t="str">
        <f t="shared" si="3"/>
        <v>M12 A</v>
      </c>
    </row>
    <row r="247" spans="1:4" x14ac:dyDescent="0.25">
      <c r="A247" t="str">
        <v>Babet Laurez</v>
      </c>
      <c r="B247" t="str">
        <v/>
      </c>
      <c r="C247" t="str">
        <v>M12 A HAANTJES CERTIFISC OUDENAARDE</v>
      </c>
      <c r="D247" t="str">
        <f t="shared" si="3"/>
        <v>M12 A</v>
      </c>
    </row>
    <row r="248" spans="1:4" x14ac:dyDescent="0.25">
      <c r="A248" t="str">
        <v>Felice Libert</v>
      </c>
      <c r="B248" t="str">
        <v>https://app.twizzit.com/public/photos/7279180/s/1c5d9fda02031baa486ebec940b4c251ec4b6762.png</v>
      </c>
      <c r="C248" t="str">
        <v>M12 A HAANTJES CERTIFISC OUDENAARDE</v>
      </c>
      <c r="D248" t="str">
        <f t="shared" si="3"/>
        <v>M12 A</v>
      </c>
    </row>
    <row r="249" spans="1:4" x14ac:dyDescent="0.25">
      <c r="A249" t="str">
        <v>Loes Van de Populiere</v>
      </c>
      <c r="B249" t="str">
        <v/>
      </c>
      <c r="C249" t="str">
        <v>M12 A HAANTJES CERTIFISC OUDENAARDE</v>
      </c>
      <c r="D249" t="str">
        <f t="shared" si="3"/>
        <v>M12 A</v>
      </c>
    </row>
    <row r="250" spans="1:4" x14ac:dyDescent="0.25">
      <c r="A250" t="str">
        <v>Emma Van Nieuwenhuyze</v>
      </c>
      <c r="B250" t="str">
        <v/>
      </c>
      <c r="C250" t="str">
        <v>M12 A HAANTJES CERTIFISC OUDENAARDE</v>
      </c>
      <c r="D250" t="str">
        <f t="shared" si="3"/>
        <v>M12 A</v>
      </c>
    </row>
    <row r="251" spans="1:4" x14ac:dyDescent="0.25">
      <c r="A251" t="str">
        <v>Joselien Vannieuwenhuyze</v>
      </c>
      <c r="B251" t="str">
        <v>https://app.twizzit.com/public/photos/7500726/s/2eff7ed0f6739149e998067c7d82dda70894fc63.png</v>
      </c>
      <c r="C251" t="str">
        <v>M12 A HAANTJES CERTIFISC OUDENAARDE</v>
      </c>
      <c r="D251" t="str">
        <f t="shared" si="3"/>
        <v>M12 A</v>
      </c>
    </row>
    <row r="252" spans="1:4" x14ac:dyDescent="0.25">
      <c r="A252" t="str">
        <v>Mare Anseeuw</v>
      </c>
      <c r="B252" t="str">
        <v>https://app.twizzit.com/public/photos/2182456/s/112b54676bd1e925e699cce3ec7a25a94902a3a2.png</v>
      </c>
      <c r="C252" t="str">
        <v>M14 A Haantjes CERTIFISC  Oudenaarde</v>
      </c>
      <c r="D252" t="str">
        <f t="shared" si="3"/>
        <v>M14 A</v>
      </c>
    </row>
    <row r="253" spans="1:4" x14ac:dyDescent="0.25">
      <c r="A253" t="str">
        <v>Janna Bauters</v>
      </c>
      <c r="B253" t="str">
        <v>https://app.twizzit.com/public/photos/2182476/s/d120dcfc0ec82f0d803829f917b4287681f3dd01.png</v>
      </c>
      <c r="C253" t="str">
        <v>M14 A Haantjes CERTIFISC  Oudenaarde</v>
      </c>
      <c r="D253" t="str">
        <f t="shared" si="3"/>
        <v>M14 A</v>
      </c>
    </row>
    <row r="254" spans="1:4" x14ac:dyDescent="0.25">
      <c r="A254" t="str">
        <v>Celeste Blancke</v>
      </c>
      <c r="B254" t="str">
        <v>https://app.twizzit.com/public/photos/3500953/s/601083ebf506787be01432d1e891039519c5d9b6.jpeg</v>
      </c>
      <c r="C254" t="str">
        <v>M14 A Haantjes CERTIFISC  Oudenaarde</v>
      </c>
      <c r="D254" t="str">
        <f t="shared" si="3"/>
        <v>M14 A</v>
      </c>
    </row>
    <row r="255" spans="1:4" x14ac:dyDescent="0.25">
      <c r="A255" t="str">
        <v>Ella-Marie Crombez</v>
      </c>
      <c r="B255" t="str">
        <v/>
      </c>
      <c r="C255" t="str">
        <v>M14 A Haantjes CERTIFISC  Oudenaarde</v>
      </c>
      <c r="D255" t="str">
        <f t="shared" si="3"/>
        <v>M14 A</v>
      </c>
    </row>
    <row r="256" spans="1:4" x14ac:dyDescent="0.25">
      <c r="A256" t="str">
        <v>Limme De Zitter</v>
      </c>
      <c r="B256" t="str">
        <v/>
      </c>
      <c r="C256" t="str">
        <v>M14 A Haantjes CERTIFISC  Oudenaarde</v>
      </c>
      <c r="D256" t="str">
        <f t="shared" si="3"/>
        <v>M14 A</v>
      </c>
    </row>
    <row r="257" spans="1:4" x14ac:dyDescent="0.25">
      <c r="A257" t="str">
        <v>Ode Desmet</v>
      </c>
      <c r="B257" t="str">
        <v>https://app.twizzit.com/public/photos/2650916/s/be89217f1fc3b11d85c4b13abcca39bae64798e5.png</v>
      </c>
      <c r="C257" t="str">
        <v>M14 A Haantjes CERTIFISC  Oudenaarde</v>
      </c>
      <c r="D257" t="str">
        <f t="shared" si="3"/>
        <v>M14 A</v>
      </c>
    </row>
    <row r="258" spans="1:4" x14ac:dyDescent="0.25">
      <c r="A258" t="str">
        <v>Celeste Geenens</v>
      </c>
      <c r="B258" t="str">
        <v/>
      </c>
      <c r="C258" t="str">
        <v>M14 A Haantjes CERTIFISC  Oudenaarde</v>
      </c>
      <c r="D258" t="str">
        <f t="shared" si="3"/>
        <v>M14 A</v>
      </c>
    </row>
    <row r="259" spans="1:4" x14ac:dyDescent="0.25">
      <c r="A259" t="str">
        <v>Julie Orbie</v>
      </c>
      <c r="B259" t="str">
        <v/>
      </c>
      <c r="C259" t="str">
        <v>M14 A Haantjes CERTIFISC  Oudenaarde</v>
      </c>
      <c r="D259" t="str">
        <f t="shared" ref="D259:D322" si="4">TRIM(SUBSTITUTE(SUBSTITUTE(SUBSTITUTE(SUBSTITUTE(TRIM(SUBSTITUTE(SUBSTITUTE(SUBSTITUTE(C259,"  "," "),"HAANTJES CERTIFISC OUDENAARDE",""),"Haantjes CERTIFISC Oudenaarde",""))," Geel","")," Blauw","")," Groen",""),"Haantjes Certifisc Oudenaarde",""))</f>
        <v>M14 A</v>
      </c>
    </row>
    <row r="260" spans="1:4" x14ac:dyDescent="0.25">
      <c r="A260" t="str">
        <v>Emlin Rommens</v>
      </c>
      <c r="B260" t="str">
        <v>https://app.twizzit.com/public/photos/2650641/s/248b205ecc69fd455c13ac7cc9deb76d11e361a0.png</v>
      </c>
      <c r="C260" t="str">
        <v>M14 A Haantjes CERTIFISC  Oudenaarde</v>
      </c>
      <c r="D260" t="str">
        <f t="shared" si="4"/>
        <v>M14 A</v>
      </c>
    </row>
    <row r="261" spans="1:4" x14ac:dyDescent="0.25">
      <c r="A261" t="str">
        <v>Merel Spiessens</v>
      </c>
      <c r="B261" t="str">
        <v>https://app.twizzit.com/public/photos/2183207/s/cd9fd40cf38cd1eb62df0198f102c2154c08c604.jpeg</v>
      </c>
      <c r="C261" t="str">
        <v>M14 A Haantjes CERTIFISC  Oudenaarde</v>
      </c>
      <c r="D261" t="str">
        <f t="shared" si="4"/>
        <v>M14 A</v>
      </c>
    </row>
    <row r="262" spans="1:4" x14ac:dyDescent="0.25">
      <c r="A262" t="str">
        <v>Olivia Vanbutsele</v>
      </c>
      <c r="B262" t="str">
        <v>https://app.twizzit.com/public/photos/4292310/s/063d2ce017539cf8df316f28e3a639739d1c1148.jpeg</v>
      </c>
      <c r="C262" t="str">
        <v>M14 A Haantjes CERTIFISC  Oudenaarde</v>
      </c>
      <c r="D262" t="str">
        <f t="shared" si="4"/>
        <v>M14 A</v>
      </c>
    </row>
    <row r="263" spans="1:4" x14ac:dyDescent="0.25">
      <c r="A263" t="str">
        <v>Isa Ameloot-Vanhove</v>
      </c>
      <c r="B263" t="str">
        <v>https://app.twizzit.com/public/photos/5115343/s/0e6908415a8d44c9a80019c8bc87b39596577cc5.jpeg</v>
      </c>
      <c r="C263" t="str">
        <v>M16 A Haantjes CERTIFISC  Oudenaarde</v>
      </c>
      <c r="D263" t="str">
        <f t="shared" si="4"/>
        <v>M16 A</v>
      </c>
    </row>
    <row r="264" spans="1:4" x14ac:dyDescent="0.25">
      <c r="A264" t="str">
        <v>Merel Blancke</v>
      </c>
      <c r="B264" t="str">
        <v>https://app.twizzit.com/public/photos/5568565/s/d285ba208d969f77d6c249fb61359c50c614e6ac.png</v>
      </c>
      <c r="C264" t="str">
        <v>M16 A Haantjes CERTIFISC  Oudenaarde</v>
      </c>
      <c r="D264" t="str">
        <f t="shared" si="4"/>
        <v>M16 A</v>
      </c>
    </row>
    <row r="265" spans="1:4" x14ac:dyDescent="0.25">
      <c r="A265" t="str">
        <v>Luca Boullart</v>
      </c>
      <c r="B265" t="str">
        <v/>
      </c>
      <c r="C265" t="str">
        <v>M16 A Haantjes CERTIFISC  Oudenaarde</v>
      </c>
      <c r="D265" t="str">
        <f t="shared" si="4"/>
        <v>M16 A</v>
      </c>
    </row>
    <row r="266" spans="1:4" x14ac:dyDescent="0.25">
      <c r="A266" t="str">
        <v>Pip Dawyndt</v>
      </c>
      <c r="B266" t="str">
        <v/>
      </c>
      <c r="C266" t="str">
        <v>M16 A Haantjes CERTIFISC  Oudenaarde</v>
      </c>
      <c r="D266" t="str">
        <f t="shared" si="4"/>
        <v>M16 A</v>
      </c>
    </row>
    <row r="267" spans="1:4" x14ac:dyDescent="0.25">
      <c r="A267" t="str">
        <v>Maure De Coen</v>
      </c>
      <c r="B267" t="str">
        <v/>
      </c>
      <c r="C267" t="str">
        <v>M16 A Haantjes CERTIFISC  Oudenaarde</v>
      </c>
      <c r="D267" t="str">
        <f t="shared" si="4"/>
        <v>M16 A</v>
      </c>
    </row>
    <row r="268" spans="1:4" x14ac:dyDescent="0.25">
      <c r="A268" t="str">
        <v>Jamila Ettijrini</v>
      </c>
      <c r="B268" t="str">
        <v/>
      </c>
      <c r="C268" t="str">
        <v>M16 A Haantjes CERTIFISC  Oudenaarde</v>
      </c>
      <c r="D268" t="str">
        <f t="shared" si="4"/>
        <v>M16 A</v>
      </c>
    </row>
    <row r="269" spans="1:4" x14ac:dyDescent="0.25">
      <c r="A269" t="str">
        <v>Chloé Faelens</v>
      </c>
      <c r="B269" t="str">
        <v>https://app.twizzit.com/public/photos/4276094/s/88cd5d3554278fc03aae2c2a9989ae19589b1181.png</v>
      </c>
      <c r="C269" t="str">
        <v>M16 A Haantjes CERTIFISC  Oudenaarde</v>
      </c>
      <c r="D269" t="str">
        <f t="shared" si="4"/>
        <v>M16 A</v>
      </c>
    </row>
    <row r="270" spans="1:4" x14ac:dyDescent="0.25">
      <c r="A270" t="str">
        <v>Laura Hakuzimana</v>
      </c>
      <c r="B270" t="str">
        <v/>
      </c>
      <c r="C270" t="str">
        <v>M16 A Haantjes CERTIFISC  Oudenaarde</v>
      </c>
      <c r="D270" t="str">
        <f t="shared" si="4"/>
        <v>M16 A</v>
      </c>
    </row>
    <row r="271" spans="1:4" x14ac:dyDescent="0.25">
      <c r="A271" t="str">
        <v>Ron Heestermans</v>
      </c>
      <c r="B271" t="str">
        <v/>
      </c>
      <c r="C271" t="str">
        <v>M16 A Haantjes CERTIFISC  Oudenaarde</v>
      </c>
      <c r="D271" t="str">
        <f t="shared" si="4"/>
        <v>M16 A</v>
      </c>
    </row>
    <row r="272" spans="1:4" x14ac:dyDescent="0.25">
      <c r="A272" t="str">
        <v>Dréa Maes</v>
      </c>
      <c r="B272" t="str">
        <v>https://app.twizzit.com/public/photos/3412861/s/5d2322ba0de7264fd5ba0170cc29e82844de05d5.png</v>
      </c>
      <c r="C272" t="str">
        <v>M16 A Haantjes CERTIFISC  Oudenaarde</v>
      </c>
      <c r="D272" t="str">
        <f t="shared" si="4"/>
        <v>M16 A</v>
      </c>
    </row>
    <row r="273" spans="1:4" x14ac:dyDescent="0.25">
      <c r="A273" t="str">
        <v>Elisabeth Saveyn</v>
      </c>
      <c r="B273" t="str">
        <v/>
      </c>
      <c r="C273" t="str">
        <v>M16 A Haantjes CERTIFISC  Oudenaarde</v>
      </c>
      <c r="D273" t="str">
        <f t="shared" si="4"/>
        <v>M16 A</v>
      </c>
    </row>
    <row r="274" spans="1:4" x14ac:dyDescent="0.25">
      <c r="A274" t="str">
        <v>Nona Schmitt</v>
      </c>
      <c r="B274" t="str">
        <v/>
      </c>
      <c r="C274" t="str">
        <v>M16 A Haantjes CERTIFISC  Oudenaarde</v>
      </c>
      <c r="D274" t="str">
        <f t="shared" si="4"/>
        <v>M16 A</v>
      </c>
    </row>
    <row r="275" spans="1:4" x14ac:dyDescent="0.25">
      <c r="A275" t="str">
        <v>Anaïs Vanhessche</v>
      </c>
      <c r="B275" t="str">
        <v>https://app.twizzit.com/public/photos/2183392/s/3035381a43296f702255c02c3c99c4303bd9ab17.png</v>
      </c>
      <c r="C275" t="str">
        <v>M16 A Haantjes CERTIFISC  Oudenaarde</v>
      </c>
      <c r="D275" t="str">
        <f t="shared" si="4"/>
        <v>M16 A</v>
      </c>
    </row>
    <row r="276" spans="1:4" x14ac:dyDescent="0.25">
      <c r="A276" t="str">
        <v>Emma Verleyen</v>
      </c>
      <c r="B276" t="str">
        <v/>
      </c>
      <c r="C276" t="str">
        <v>M16 A Haantjes CERTIFISC  Oudenaarde</v>
      </c>
      <c r="D276" t="str">
        <f t="shared" si="4"/>
        <v>M16 A</v>
      </c>
    </row>
    <row r="277" spans="1:4" x14ac:dyDescent="0.25">
      <c r="A277" t="str">
        <v>Marie Bourdeaud'hui</v>
      </c>
      <c r="B277" t="str">
        <v>https://app.twizzit.com/public/photos/2182516/s/0d7291570c9e5cf142cd892c8fd7ace8c517270a.png</v>
      </c>
      <c r="C277" t="str">
        <v>M19 A Haantjes CERTIFISC Oudenaarde</v>
      </c>
      <c r="D277" t="str">
        <f t="shared" si="4"/>
        <v>M19 A</v>
      </c>
    </row>
    <row r="278" spans="1:4" x14ac:dyDescent="0.25">
      <c r="A278" t="str">
        <v>Lise Braem</v>
      </c>
      <c r="B278" t="str">
        <v>https://app.twizzit.com/public/photos/2182526/s/a821912bbd87d29337fbfbb0be2e91298bc55869.jpeg</v>
      </c>
      <c r="C278" t="str">
        <v>M19 A Haantjes CERTIFISC Oudenaarde</v>
      </c>
      <c r="D278" t="str">
        <f t="shared" si="4"/>
        <v>M19 A</v>
      </c>
    </row>
    <row r="279" spans="1:4" x14ac:dyDescent="0.25">
      <c r="A279" t="str">
        <v>Alice Cokelaere</v>
      </c>
      <c r="B279" t="str">
        <v/>
      </c>
      <c r="C279" t="str">
        <v>M19 A Haantjes CERTIFISC Oudenaarde</v>
      </c>
      <c r="D279" t="str">
        <f t="shared" si="4"/>
        <v>M19 A</v>
      </c>
    </row>
    <row r="280" spans="1:4" x14ac:dyDescent="0.25">
      <c r="A280" t="str">
        <v>Dieuwke Decroix</v>
      </c>
      <c r="B280" t="str">
        <v/>
      </c>
      <c r="C280" t="str">
        <v>M19 A Haantjes CERTIFISC Oudenaarde</v>
      </c>
      <c r="D280" t="str">
        <f t="shared" si="4"/>
        <v>M19 A</v>
      </c>
    </row>
    <row r="281" spans="1:4" x14ac:dyDescent="0.25">
      <c r="A281" t="str">
        <v>Lora Demets</v>
      </c>
      <c r="B281" t="str">
        <v/>
      </c>
      <c r="C281" t="str">
        <v>M19 A Haantjes CERTIFISC Oudenaarde</v>
      </c>
      <c r="D281" t="str">
        <f t="shared" si="4"/>
        <v>M19 A</v>
      </c>
    </row>
    <row r="282" spans="1:4" x14ac:dyDescent="0.25">
      <c r="A282" t="str">
        <v>Kenneth Dhont</v>
      </c>
      <c r="B282" t="str">
        <v/>
      </c>
      <c r="C282" t="str">
        <v>M19 A Haantjes CERTIFISC Oudenaarde</v>
      </c>
      <c r="D282" t="str">
        <f t="shared" si="4"/>
        <v>M19 A</v>
      </c>
    </row>
    <row r="283" spans="1:4" x14ac:dyDescent="0.25">
      <c r="A283" t="str">
        <v>Heike Guenter</v>
      </c>
      <c r="B283" t="str">
        <v/>
      </c>
      <c r="C283" t="str">
        <v>M19 A Haantjes CERTIFISC Oudenaarde</v>
      </c>
      <c r="D283" t="str">
        <f t="shared" si="4"/>
        <v>M19 A</v>
      </c>
    </row>
    <row r="284" spans="1:4" x14ac:dyDescent="0.25">
      <c r="A284" t="str">
        <v>Janne Vandriessche</v>
      </c>
      <c r="B284" t="str">
        <v/>
      </c>
      <c r="C284" t="str">
        <v>M19 A Haantjes CERTIFISC Oudenaarde</v>
      </c>
      <c r="D284" t="str">
        <f t="shared" si="4"/>
        <v>M19 A</v>
      </c>
    </row>
    <row r="285" spans="1:4" x14ac:dyDescent="0.25">
      <c r="A285" t="str">
        <v>Lente Verhaeghe</v>
      </c>
      <c r="B285" t="str">
        <v>https://app.twizzit.com/public/photos/3706826/s/7283d518f82547e0fb530790cddedb0edf0a5785.jpeg</v>
      </c>
      <c r="C285" t="str">
        <v>M19 A Haantjes CERTIFISC Oudenaarde</v>
      </c>
      <c r="D285" t="str">
        <f t="shared" si="4"/>
        <v>M19 A</v>
      </c>
    </row>
    <row r="286" spans="1:4" x14ac:dyDescent="0.25">
      <c r="A286" t="str">
        <v>Lena Verschatse</v>
      </c>
      <c r="B286" t="str">
        <v/>
      </c>
      <c r="C286" t="str">
        <v>M19 A Haantjes CERTIFISC Oudenaarde</v>
      </c>
      <c r="D286" t="str">
        <f t="shared" si="4"/>
        <v>M19 A</v>
      </c>
    </row>
    <row r="287" spans="1:4" x14ac:dyDescent="0.25">
      <c r="A287" t="str">
        <v>Lily Adam</v>
      </c>
      <c r="B287" t="str">
        <v>https://app.twizzit.com/public/photos/2182441/s/eec7946e1a9e80461f26752840c4aedc7d235bab.jpeg</v>
      </c>
      <c r="C287" t="str">
        <v xml:space="preserve">Trainerspoule </v>
      </c>
      <c r="D287" t="str">
        <f t="shared" si="4"/>
        <v>Trainerspoule</v>
      </c>
    </row>
    <row r="288" spans="1:4" x14ac:dyDescent="0.25">
      <c r="A288" t="str">
        <v>Kimberley De Smet</v>
      </c>
      <c r="B288" t="str">
        <v>https://app.twizzit.com/public/photos/2182696/s/b3404003062e85e1b45f5fca9b0565fe70029286.png</v>
      </c>
      <c r="C288" t="str">
        <v xml:space="preserve">Trainerspoule </v>
      </c>
      <c r="D288" t="str">
        <f t="shared" si="4"/>
        <v>Trainerspoule</v>
      </c>
    </row>
    <row r="289" spans="1:4" x14ac:dyDescent="0.25">
      <c r="A289" t="str">
        <v>Tuur Genbrugge</v>
      </c>
      <c r="B289" t="str">
        <v/>
      </c>
      <c r="C289" t="str">
        <v xml:space="preserve">Trainerspoule </v>
      </c>
      <c r="D289" t="str">
        <f t="shared" si="4"/>
        <v>Trainerspoule</v>
      </c>
    </row>
    <row r="290" spans="1:4" x14ac:dyDescent="0.25">
      <c r="A290" t="str">
        <v>Charlotte Van Moorleghem</v>
      </c>
      <c r="B290" t="str">
        <v/>
      </c>
      <c r="C290" t="str">
        <v xml:space="preserve">Trainerspoule </v>
      </c>
      <c r="D290" t="str">
        <f t="shared" si="4"/>
        <v>Trainerspoule</v>
      </c>
    </row>
    <row r="291" spans="1:4" x14ac:dyDescent="0.25">
      <c r="A291" t="str">
        <v>Lily Adam</v>
      </c>
      <c r="B291" t="str">
        <v>https://app.twizzit.com/public/photos/2182441/s/eec7946e1a9e80461f26752840c4aedc7d235bab.jpeg</v>
      </c>
      <c r="C291" t="str">
        <v>Zomerstage 2026 (Blankenberge)</v>
      </c>
      <c r="D291" t="str">
        <f t="shared" si="4"/>
        <v>Zomerstage 2026 (Blankenberge)</v>
      </c>
    </row>
    <row r="292" spans="1:4" x14ac:dyDescent="0.25">
      <c r="A292" t="str">
        <v>Bent Anseeuw</v>
      </c>
      <c r="B292" t="str">
        <v>https://app.twizzit.com/public/photos/2182451/s/d40702514c4affc118f06eee4555b1ca966c4e65.png</v>
      </c>
      <c r="C292" t="str">
        <v>Zomerstage 2026 (Blankenberge)</v>
      </c>
      <c r="D292" t="str">
        <f t="shared" si="4"/>
        <v>Zomerstage 2026 (Blankenberge)</v>
      </c>
    </row>
    <row r="293" spans="1:4" x14ac:dyDescent="0.25">
      <c r="A293" t="str">
        <v>Mare Anseeuw</v>
      </c>
      <c r="B293" t="str">
        <v>https://app.twizzit.com/public/photos/2182456/s/112b54676bd1e925e699cce3ec7a25a94902a3a2.png</v>
      </c>
      <c r="C293" t="str">
        <v>Zomerstage 2026 (Blankenberge)</v>
      </c>
      <c r="D293" t="str">
        <f t="shared" si="4"/>
        <v>Zomerstage 2026 (Blankenberge)</v>
      </c>
    </row>
    <row r="294" spans="1:4" x14ac:dyDescent="0.25">
      <c r="A294" t="str">
        <v>Vince Beke</v>
      </c>
      <c r="B294" t="str">
        <v>https://app.twizzit.com/public/photos/2182501/s/ff9efabb61fd27d35070a050abd98c15c9bfe6c5.png</v>
      </c>
      <c r="C294" t="str">
        <v>Zomerstage 2026 (Blankenberge)</v>
      </c>
      <c r="D294" t="str">
        <f t="shared" si="4"/>
        <v>Zomerstage 2026 (Blankenberge)</v>
      </c>
    </row>
    <row r="295" spans="1:4" x14ac:dyDescent="0.25">
      <c r="A295" t="str">
        <v>Celeste Blancke</v>
      </c>
      <c r="B295" t="str">
        <v>https://app.twizzit.com/public/photos/3500953/s/601083ebf506787be01432d1e891039519c5d9b6.jpeg</v>
      </c>
      <c r="C295" t="str">
        <v>Zomerstage 2026 (Blankenberge)</v>
      </c>
      <c r="D295" t="str">
        <f t="shared" si="4"/>
        <v>Zomerstage 2026 (Blankenberge)</v>
      </c>
    </row>
    <row r="296" spans="1:4" x14ac:dyDescent="0.25">
      <c r="A296" t="str">
        <v>Merel Blancke</v>
      </c>
      <c r="B296" t="str">
        <v>https://app.twizzit.com/public/photos/5568565/s/d285ba208d969f77d6c249fb61359c50c614e6ac.png</v>
      </c>
      <c r="C296" t="str">
        <v>Zomerstage 2026 (Blankenberge)</v>
      </c>
      <c r="D296" t="str">
        <f t="shared" si="4"/>
        <v>Zomerstage 2026 (Blankenberge)</v>
      </c>
    </row>
    <row r="297" spans="1:4" x14ac:dyDescent="0.25">
      <c r="A297" t="str">
        <v>Luca Boullart</v>
      </c>
      <c r="B297" t="str">
        <v/>
      </c>
      <c r="C297" t="str">
        <v>Zomerstage 2026 (Blankenberge)</v>
      </c>
      <c r="D297" t="str">
        <f t="shared" si="4"/>
        <v>Zomerstage 2026 (Blankenberge)</v>
      </c>
    </row>
    <row r="298" spans="1:4" x14ac:dyDescent="0.25">
      <c r="A298" t="str">
        <v>Marie Bourdeaud'hui</v>
      </c>
      <c r="B298" t="str">
        <v>https://app.twizzit.com/public/photos/2182516/s/0d7291570c9e5cf142cd892c8fd7ace8c517270a.png</v>
      </c>
      <c r="C298" t="str">
        <v>Zomerstage 2026 (Blankenberge)</v>
      </c>
      <c r="D298" t="str">
        <f t="shared" si="4"/>
        <v>Zomerstage 2026 (Blankenberge)</v>
      </c>
    </row>
    <row r="299" spans="1:4" x14ac:dyDescent="0.25">
      <c r="A299" t="str">
        <v>Lise Braem</v>
      </c>
      <c r="B299" t="str">
        <v>https://app.twizzit.com/public/photos/2182526/s/a821912bbd87d29337fbfbb0be2e91298bc55869.jpeg</v>
      </c>
      <c r="C299" t="str">
        <v>Zomerstage 2026 (Blankenberge)</v>
      </c>
      <c r="D299" t="str">
        <f t="shared" si="4"/>
        <v>Zomerstage 2026 (Blankenberge)</v>
      </c>
    </row>
    <row r="300" spans="1:4" x14ac:dyDescent="0.25">
      <c r="A300" t="str">
        <v>Jonah Cattoir</v>
      </c>
      <c r="B300" t="str">
        <v/>
      </c>
      <c r="C300" t="str">
        <v>Zomerstage 2026 (Blankenberge)</v>
      </c>
      <c r="D300" t="str">
        <f t="shared" si="4"/>
        <v>Zomerstage 2026 (Blankenberge)</v>
      </c>
    </row>
    <row r="301" spans="1:4" x14ac:dyDescent="0.25">
      <c r="A301" t="str">
        <v>Alice Cokelaere</v>
      </c>
      <c r="B301" t="str">
        <v/>
      </c>
      <c r="C301" t="str">
        <v>Zomerstage 2026 (Blankenberge)</v>
      </c>
      <c r="D301" t="str">
        <f t="shared" si="4"/>
        <v>Zomerstage 2026 (Blankenberge)</v>
      </c>
    </row>
    <row r="302" spans="1:4" x14ac:dyDescent="0.25">
      <c r="A302" t="str">
        <v>Sofian D'Haenen</v>
      </c>
      <c r="B302" t="str">
        <v/>
      </c>
      <c r="C302" t="str">
        <v>Zomerstage 2026 (Blankenberge)</v>
      </c>
      <c r="D302" t="str">
        <f t="shared" si="4"/>
        <v>Zomerstage 2026 (Blankenberge)</v>
      </c>
    </row>
    <row r="303" spans="1:4" x14ac:dyDescent="0.25">
      <c r="A303" t="str">
        <v>Yunus D'Haenen</v>
      </c>
      <c r="B303" t="str">
        <v/>
      </c>
      <c r="C303" t="str">
        <v>Zomerstage 2026 (Blankenberge)</v>
      </c>
      <c r="D303" t="str">
        <f t="shared" si="4"/>
        <v>Zomerstage 2026 (Blankenberge)</v>
      </c>
    </row>
    <row r="304" spans="1:4" x14ac:dyDescent="0.25">
      <c r="A304" t="str">
        <v>Pip Dawyndt</v>
      </c>
      <c r="B304" t="str">
        <v/>
      </c>
      <c r="C304" t="str">
        <v>Zomerstage 2026 (Blankenberge)</v>
      </c>
      <c r="D304" t="str">
        <f t="shared" si="4"/>
        <v>Zomerstage 2026 (Blankenberge)</v>
      </c>
    </row>
    <row r="305" spans="1:4" x14ac:dyDescent="0.25">
      <c r="A305" t="str">
        <v>David De Brabander</v>
      </c>
      <c r="B305" t="str">
        <v>https://app.twizzit.com/public/photos/4024795/s/7af12ff114d5d53515b4f220ddc6cdb6ff121519.png</v>
      </c>
      <c r="C305" t="str">
        <v>Zomerstage 2026 (Blankenberge)</v>
      </c>
      <c r="D305" t="str">
        <f t="shared" si="4"/>
        <v>Zomerstage 2026 (Blankenberge)</v>
      </c>
    </row>
    <row r="306" spans="1:4" x14ac:dyDescent="0.25">
      <c r="A306" t="str">
        <v>Len De Coussemaker</v>
      </c>
      <c r="B306" t="str">
        <v>https://app.twizzit.com/public/photos/2182636/s/ac8133dfa6021f95e4cb86240c3d9e68218f8a83.png</v>
      </c>
      <c r="C306" t="str">
        <v>Zomerstage 2026 (Blankenberge)</v>
      </c>
      <c r="D306" t="str">
        <f t="shared" si="4"/>
        <v>Zomerstage 2026 (Blankenberge)</v>
      </c>
    </row>
    <row r="307" spans="1:4" x14ac:dyDescent="0.25">
      <c r="A307" t="str">
        <v>Niels De Coussemaker</v>
      </c>
      <c r="B307" t="str">
        <v>https://app.twizzit.com/public/photos/2182641/s/bc2ed87ccb6bf61129b3522eabde4c5cff856719.png</v>
      </c>
      <c r="C307" t="str">
        <v>Zomerstage 2026 (Blankenberge)</v>
      </c>
      <c r="D307" t="str">
        <f t="shared" si="4"/>
        <v>Zomerstage 2026 (Blankenberge)</v>
      </c>
    </row>
    <row r="308" spans="1:4" x14ac:dyDescent="0.25">
      <c r="A308" t="str">
        <v>Limme De Zitter</v>
      </c>
      <c r="B308" t="str">
        <v/>
      </c>
      <c r="C308" t="str">
        <v>Zomerstage 2026 (Blankenberge)</v>
      </c>
      <c r="D308" t="str">
        <f t="shared" si="4"/>
        <v>Zomerstage 2026 (Blankenberge)</v>
      </c>
    </row>
    <row r="309" spans="1:4" x14ac:dyDescent="0.25">
      <c r="A309" t="str">
        <v>Jules Dekkar</v>
      </c>
      <c r="B309" t="str">
        <v>https://app.twizzit.com/public/photos/3451601/s/35fd5f537189934e8013cbeb18029ae3e97fcdcc.jpeg</v>
      </c>
      <c r="C309" t="str">
        <v>Zomerstage 2026 (Blankenberge)</v>
      </c>
      <c r="D309" t="str">
        <f t="shared" si="4"/>
        <v>Zomerstage 2026 (Blankenberge)</v>
      </c>
    </row>
    <row r="310" spans="1:4" x14ac:dyDescent="0.25">
      <c r="A310" t="str">
        <v>Mathias Delcroix</v>
      </c>
      <c r="B310" t="str">
        <v/>
      </c>
      <c r="C310" t="str">
        <v>Zomerstage 2026 (Blankenberge)</v>
      </c>
      <c r="D310" t="str">
        <f t="shared" si="4"/>
        <v>Zomerstage 2026 (Blankenberge)</v>
      </c>
    </row>
    <row r="311" spans="1:4" x14ac:dyDescent="0.25">
      <c r="A311" t="str">
        <v>Lora Demets</v>
      </c>
      <c r="B311" t="str">
        <v/>
      </c>
      <c r="C311" t="str">
        <v>Zomerstage 2026 (Blankenberge)</v>
      </c>
      <c r="D311" t="str">
        <f t="shared" si="4"/>
        <v>Zomerstage 2026 (Blankenberge)</v>
      </c>
    </row>
    <row r="312" spans="1:4" x14ac:dyDescent="0.25">
      <c r="A312" t="str">
        <v>Omer Demets</v>
      </c>
      <c r="B312" t="str">
        <v/>
      </c>
      <c r="C312" t="str">
        <v>Zomerstage 2026 (Blankenberge)</v>
      </c>
      <c r="D312" t="str">
        <f t="shared" si="4"/>
        <v>Zomerstage 2026 (Blankenberge)</v>
      </c>
    </row>
    <row r="313" spans="1:4" x14ac:dyDescent="0.25">
      <c r="A313" t="str">
        <v>Ode Desmet</v>
      </c>
      <c r="B313" t="str">
        <v>https://app.twizzit.com/public/photos/2650916/s/be89217f1fc3b11d85c4b13abcca39bae64798e5.png</v>
      </c>
      <c r="C313" t="str">
        <v>Zomerstage 2026 (Blankenberge)</v>
      </c>
      <c r="D313" t="str">
        <f t="shared" si="4"/>
        <v>Zomerstage 2026 (Blankenberge)</v>
      </c>
    </row>
    <row r="314" spans="1:4" x14ac:dyDescent="0.25">
      <c r="A314" t="str">
        <v>Tibo Despriet</v>
      </c>
      <c r="B314" t="str">
        <v>https://app.twizzit.com/public/photos/3884890/s/99828396af5826db82003655528894a4f299045f.jpeg</v>
      </c>
      <c r="C314" t="str">
        <v>Zomerstage 2026 (Blankenberge)</v>
      </c>
      <c r="D314" t="str">
        <f t="shared" si="4"/>
        <v>Zomerstage 2026 (Blankenberge)</v>
      </c>
    </row>
    <row r="315" spans="1:4" x14ac:dyDescent="0.25">
      <c r="A315" t="str">
        <v>Alexis Devos</v>
      </c>
      <c r="B315" t="str">
        <v>https://app.twizzit.com/public/photos/6106676/s/2ae43246aa8142b23f5743a7efbb9e280e512170.png</v>
      </c>
      <c r="C315" t="str">
        <v>Zomerstage 2026 (Blankenberge)</v>
      </c>
      <c r="D315" t="str">
        <f t="shared" si="4"/>
        <v>Zomerstage 2026 (Blankenberge)</v>
      </c>
    </row>
    <row r="316" spans="1:4" x14ac:dyDescent="0.25">
      <c r="A316" t="str">
        <v>Nathan Dewaele</v>
      </c>
      <c r="B316" t="str">
        <v>https://app.twizzit.com/public/photos/2182816/s/c00a73a61de05b1991d5eac8f8ad498e97a90e40.png</v>
      </c>
      <c r="C316" t="str">
        <v>Zomerstage 2026 (Blankenberge)</v>
      </c>
      <c r="D316" t="str">
        <f t="shared" si="4"/>
        <v>Zomerstage 2026 (Blankenberge)</v>
      </c>
    </row>
    <row r="317" spans="1:4" x14ac:dyDescent="0.25">
      <c r="A317" t="str">
        <v>Jules Dewilde</v>
      </c>
      <c r="B317" t="str">
        <v/>
      </c>
      <c r="C317" t="str">
        <v>Zomerstage 2026 (Blankenberge)</v>
      </c>
      <c r="D317" t="str">
        <f t="shared" si="4"/>
        <v>Zomerstage 2026 (Blankenberge)</v>
      </c>
    </row>
    <row r="318" spans="1:4" x14ac:dyDescent="0.25">
      <c r="A318" t="str">
        <v>Kenneth Dhont</v>
      </c>
      <c r="B318" t="str">
        <v/>
      </c>
      <c r="C318" t="str">
        <v>Zomerstage 2026 (Blankenberge)</v>
      </c>
      <c r="D318" t="str">
        <f t="shared" si="4"/>
        <v>Zomerstage 2026 (Blankenberge)</v>
      </c>
    </row>
    <row r="319" spans="1:4" x14ac:dyDescent="0.25">
      <c r="A319" t="str">
        <v>Chloé Faelens</v>
      </c>
      <c r="B319" t="str">
        <v>https://app.twizzit.com/public/photos/4276094/s/88cd5d3554278fc03aae2c2a9989ae19589b1181.png</v>
      </c>
      <c r="C319" t="str">
        <v>Zomerstage 2026 (Blankenberge)</v>
      </c>
      <c r="D319" t="str">
        <f t="shared" si="4"/>
        <v>Zomerstage 2026 (Blankenberge)</v>
      </c>
    </row>
    <row r="320" spans="1:4" x14ac:dyDescent="0.25">
      <c r="A320" t="str">
        <v>Celeste Geenens</v>
      </c>
      <c r="B320" t="str">
        <v/>
      </c>
      <c r="C320" t="str">
        <v>Zomerstage 2026 (Blankenberge)</v>
      </c>
      <c r="D320" t="str">
        <f t="shared" si="4"/>
        <v>Zomerstage 2026 (Blankenberge)</v>
      </c>
    </row>
    <row r="321" spans="1:4" x14ac:dyDescent="0.25">
      <c r="A321" t="str">
        <v>Victor Geiregat</v>
      </c>
      <c r="B321" t="str">
        <v/>
      </c>
      <c r="C321" t="str">
        <v>Zomerstage 2026 (Blankenberge)</v>
      </c>
      <c r="D321" t="str">
        <f t="shared" si="4"/>
        <v>Zomerstage 2026 (Blankenberge)</v>
      </c>
    </row>
    <row r="322" spans="1:4" x14ac:dyDescent="0.25">
      <c r="A322" t="str">
        <v>Basiel Genbrugge</v>
      </c>
      <c r="B322" t="str">
        <v>https://app.twizzit.com/public/photos/8579142/s/db8d4000b96831e0c69a1f9ee9bb0955ce673dba.png</v>
      </c>
      <c r="C322" t="str">
        <v>Zomerstage 2026 (Blankenberge)</v>
      </c>
      <c r="D322" t="str">
        <f t="shared" si="4"/>
        <v>Zomerstage 2026 (Blankenberge)</v>
      </c>
    </row>
    <row r="323" spans="1:4" x14ac:dyDescent="0.25">
      <c r="A323" t="str">
        <v>Briek Goossens</v>
      </c>
      <c r="B323" t="str">
        <v/>
      </c>
      <c r="C323" t="str">
        <v>Zomerstage 2026 (Blankenberge)</v>
      </c>
      <c r="D323" t="str">
        <f t="shared" ref="D323:D386" si="5">TRIM(SUBSTITUTE(SUBSTITUTE(SUBSTITUTE(SUBSTITUTE(TRIM(SUBSTITUTE(SUBSTITUTE(SUBSTITUTE(C323,"  "," "),"HAANTJES CERTIFISC OUDENAARDE",""),"Haantjes CERTIFISC Oudenaarde",""))," Geel","")," Blauw","")," Groen",""),"Haantjes Certifisc Oudenaarde",""))</f>
        <v>Zomerstage 2026 (Blankenberge)</v>
      </c>
    </row>
    <row r="324" spans="1:4" x14ac:dyDescent="0.25">
      <c r="A324" t="str">
        <v>Heike Guenter</v>
      </c>
      <c r="B324" t="str">
        <v/>
      </c>
      <c r="C324" t="str">
        <v>Zomerstage 2026 (Blankenberge)</v>
      </c>
      <c r="D324" t="str">
        <f t="shared" si="5"/>
        <v>Zomerstage 2026 (Blankenberge)</v>
      </c>
    </row>
    <row r="325" spans="1:4" x14ac:dyDescent="0.25">
      <c r="A325" t="str">
        <v>Laura Hakuzimana</v>
      </c>
      <c r="B325" t="str">
        <v/>
      </c>
      <c r="C325" t="str">
        <v>Zomerstage 2026 (Blankenberge)</v>
      </c>
      <c r="D325" t="str">
        <f t="shared" si="5"/>
        <v>Zomerstage 2026 (Blankenberge)</v>
      </c>
    </row>
    <row r="326" spans="1:4" x14ac:dyDescent="0.25">
      <c r="A326" t="str">
        <v>Lennert Huys</v>
      </c>
      <c r="B326" t="str">
        <v/>
      </c>
      <c r="C326" t="str">
        <v>Zomerstage 2026 (Blankenberge)</v>
      </c>
      <c r="D326" t="str">
        <f t="shared" si="5"/>
        <v>Zomerstage 2026 (Blankenberge)</v>
      </c>
    </row>
    <row r="327" spans="1:4" x14ac:dyDescent="0.25">
      <c r="A327" t="str">
        <v>Vic Huysman</v>
      </c>
      <c r="B327" t="str">
        <v>https://app.twizzit.com/public/photos/2936186/s/c4015a6cfb380c1e7090d66488ca6326fa9caa7a.png</v>
      </c>
      <c r="C327" t="str">
        <v>Zomerstage 2026 (Blankenberge)</v>
      </c>
      <c r="D327" t="str">
        <f t="shared" si="5"/>
        <v>Zomerstage 2026 (Blankenberge)</v>
      </c>
    </row>
    <row r="328" spans="1:4" x14ac:dyDescent="0.25">
      <c r="A328" t="str">
        <v>Leon L'Hommelet</v>
      </c>
      <c r="B328" t="str">
        <v/>
      </c>
      <c r="C328" t="str">
        <v>Zomerstage 2026 (Blankenberge)</v>
      </c>
      <c r="D328" t="str">
        <f t="shared" si="5"/>
        <v>Zomerstage 2026 (Blankenberge)</v>
      </c>
    </row>
    <row r="329" spans="1:4" x14ac:dyDescent="0.25">
      <c r="A329" t="str">
        <v>Ruube Lagae</v>
      </c>
      <c r="B329" t="str">
        <v/>
      </c>
      <c r="C329" t="str">
        <v>Zomerstage 2026 (Blankenberge)</v>
      </c>
      <c r="D329" t="str">
        <f t="shared" si="5"/>
        <v>Zomerstage 2026 (Blankenberge)</v>
      </c>
    </row>
    <row r="330" spans="1:4" x14ac:dyDescent="0.25">
      <c r="A330" t="str">
        <v>Thor Lessenne</v>
      </c>
      <c r="B330" t="str">
        <v>https://app.twizzit.com/public/photos/4393791/s/f227f8ddb169feb6dded4f508fa8f0a8d6bc3bc4.jpeg</v>
      </c>
      <c r="C330" t="str">
        <v>Zomerstage 2026 (Blankenberge)</v>
      </c>
      <c r="D330" t="str">
        <f t="shared" si="5"/>
        <v>Zomerstage 2026 (Blankenberge)</v>
      </c>
    </row>
    <row r="331" spans="1:4" x14ac:dyDescent="0.25">
      <c r="A331" t="str">
        <v>Alexander Libert</v>
      </c>
      <c r="B331" t="str">
        <v/>
      </c>
      <c r="C331" t="str">
        <v>Zomerstage 2026 (Blankenberge)</v>
      </c>
      <c r="D331" t="str">
        <f t="shared" si="5"/>
        <v>Zomerstage 2026 (Blankenberge)</v>
      </c>
    </row>
    <row r="332" spans="1:4" x14ac:dyDescent="0.25">
      <c r="A332" t="str">
        <v>Mathieu Libert</v>
      </c>
      <c r="B332" t="str">
        <v/>
      </c>
      <c r="C332" t="str">
        <v>Zomerstage 2026 (Blankenberge)</v>
      </c>
      <c r="D332" t="str">
        <f t="shared" si="5"/>
        <v>Zomerstage 2026 (Blankenberge)</v>
      </c>
    </row>
    <row r="333" spans="1:4" x14ac:dyDescent="0.25">
      <c r="A333" t="str">
        <v>Sam Liekens</v>
      </c>
      <c r="B333" t="str">
        <v>https://app.twizzit.com/public/photos/3475283/s/e532263ea43cddb59650656f3777387ca04d2de4.jpeg</v>
      </c>
      <c r="C333" t="str">
        <v>Zomerstage 2026 (Blankenberge)</v>
      </c>
      <c r="D333" t="str">
        <f t="shared" si="5"/>
        <v>Zomerstage 2026 (Blankenberge)</v>
      </c>
    </row>
    <row r="334" spans="1:4" x14ac:dyDescent="0.25">
      <c r="A334" t="str">
        <v>Viktor L’Hommelet</v>
      </c>
      <c r="B334" t="str">
        <v/>
      </c>
      <c r="C334" t="str">
        <v>Zomerstage 2026 (Blankenberge)</v>
      </c>
      <c r="D334" t="str">
        <f t="shared" si="5"/>
        <v>Zomerstage 2026 (Blankenberge)</v>
      </c>
    </row>
    <row r="335" spans="1:4" x14ac:dyDescent="0.25">
      <c r="A335" t="str">
        <v>Nathan Maenhout</v>
      </c>
      <c r="B335" t="str">
        <v>https://app.twizzit.com/public/photos/9359547/s/0986374ba59a462685344af411da25079641e82d.jpeg</v>
      </c>
      <c r="C335" t="str">
        <v>Zomerstage 2026 (Blankenberge)</v>
      </c>
      <c r="D335" t="str">
        <f t="shared" si="5"/>
        <v>Zomerstage 2026 (Blankenberge)</v>
      </c>
    </row>
    <row r="336" spans="1:4" x14ac:dyDescent="0.25">
      <c r="A336" t="str">
        <v>Dréa Maes</v>
      </c>
      <c r="B336" t="str">
        <v>https://app.twizzit.com/public/photos/3412861/s/5d2322ba0de7264fd5ba0170cc29e82844de05d5.png</v>
      </c>
      <c r="C336" t="str">
        <v>Zomerstage 2026 (Blankenberge)</v>
      </c>
      <c r="D336" t="str">
        <f t="shared" si="5"/>
        <v>Zomerstage 2026 (Blankenberge)</v>
      </c>
    </row>
    <row r="337" spans="1:4" x14ac:dyDescent="0.25">
      <c r="A337" t="str">
        <v>Steppe Matthys</v>
      </c>
      <c r="B337" t="str">
        <v>https://app.twizzit.com/public/photos/10488364/s/177c95b9932dcdda23e09eda7b0298c34ca94551.jpeg</v>
      </c>
      <c r="C337" t="str">
        <v>Zomerstage 2026 (Blankenberge)</v>
      </c>
      <c r="D337" t="str">
        <f t="shared" si="5"/>
        <v>Zomerstage 2026 (Blankenberge)</v>
      </c>
    </row>
    <row r="338" spans="1:4" x14ac:dyDescent="0.25">
      <c r="A338" t="str">
        <v>Kasper Mees</v>
      </c>
      <c r="B338" t="str">
        <v>https://app.twizzit.com/public/photos/2183112/s/07942e4161d7a20864d1fbcf54b9a6dda331637e.png</v>
      </c>
      <c r="C338" t="str">
        <v>Zomerstage 2026 (Blankenberge)</v>
      </c>
      <c r="D338" t="str">
        <f t="shared" si="5"/>
        <v>Zomerstage 2026 (Blankenberge)</v>
      </c>
    </row>
    <row r="339" spans="1:4" x14ac:dyDescent="0.25">
      <c r="A339" t="str">
        <v>Julie Orbie</v>
      </c>
      <c r="B339" t="str">
        <v/>
      </c>
      <c r="C339" t="str">
        <v>Zomerstage 2026 (Blankenberge)</v>
      </c>
      <c r="D339" t="str">
        <f t="shared" si="5"/>
        <v>Zomerstage 2026 (Blankenberge)</v>
      </c>
    </row>
    <row r="340" spans="1:4" x14ac:dyDescent="0.25">
      <c r="A340" t="str">
        <v>Gust Ottevaere</v>
      </c>
      <c r="B340" t="str">
        <v/>
      </c>
      <c r="C340" t="str">
        <v>Zomerstage 2026 (Blankenberge)</v>
      </c>
      <c r="D340" t="str">
        <f t="shared" si="5"/>
        <v>Zomerstage 2026 (Blankenberge)</v>
      </c>
    </row>
    <row r="341" spans="1:4" x14ac:dyDescent="0.25">
      <c r="A341" t="str">
        <v>Brent Pollet</v>
      </c>
      <c r="B341" t="str">
        <v>https://app.twizzit.com/public/photos/3454870/s/e7fdcf5140d5e910d15662f873e9aafb78eb7d4f.jpeg</v>
      </c>
      <c r="C341" t="str">
        <v>Zomerstage 2026 (Blankenberge)</v>
      </c>
      <c r="D341" t="str">
        <f t="shared" si="5"/>
        <v>Zomerstage 2026 (Blankenberge)</v>
      </c>
    </row>
    <row r="342" spans="1:4" x14ac:dyDescent="0.25">
      <c r="A342" t="str">
        <v>Mats Renard</v>
      </c>
      <c r="B342" t="str">
        <v>https://app.twizzit.com/public/photos/2183172/s/365feecf0a3ae5a9392582a322a55ff1fee56899.png</v>
      </c>
      <c r="C342" t="str">
        <v>Zomerstage 2026 (Blankenberge)</v>
      </c>
      <c r="D342" t="str">
        <f t="shared" si="5"/>
        <v>Zomerstage 2026 (Blankenberge)</v>
      </c>
    </row>
    <row r="343" spans="1:4" x14ac:dyDescent="0.25">
      <c r="A343" t="str">
        <v>Emlin Rommens</v>
      </c>
      <c r="B343" t="str">
        <v>https://app.twizzit.com/public/photos/2650641/s/248b205ecc69fd455c13ac7cc9deb76d11e361a0.png</v>
      </c>
      <c r="C343" t="str">
        <v>Zomerstage 2026 (Blankenberge)</v>
      </c>
      <c r="D343" t="str">
        <f t="shared" si="5"/>
        <v>Zomerstage 2026 (Blankenberge)</v>
      </c>
    </row>
    <row r="344" spans="1:4" x14ac:dyDescent="0.25">
      <c r="A344" t="str">
        <v>Elisabeth Saveyn</v>
      </c>
      <c r="B344" t="str">
        <v/>
      </c>
      <c r="C344" t="str">
        <v>Zomerstage 2026 (Blankenberge)</v>
      </c>
      <c r="D344" t="str">
        <f t="shared" si="5"/>
        <v>Zomerstage 2026 (Blankenberge)</v>
      </c>
    </row>
    <row r="345" spans="1:4" x14ac:dyDescent="0.25">
      <c r="A345" t="str">
        <v>Nona Schmitt</v>
      </c>
      <c r="B345" t="str">
        <v/>
      </c>
      <c r="C345" t="str">
        <v>Zomerstage 2026 (Blankenberge)</v>
      </c>
      <c r="D345" t="str">
        <f t="shared" si="5"/>
        <v>Zomerstage 2026 (Blankenberge)</v>
      </c>
    </row>
    <row r="346" spans="1:4" x14ac:dyDescent="0.25">
      <c r="A346" t="str">
        <v>Ziano Schoenmaekers</v>
      </c>
      <c r="B346" t="str">
        <v>https://app.twizzit.com/public/photos/2650796/s/806ce17769fd3d29fc435d865a5b302b6c25c6ca.png</v>
      </c>
      <c r="C346" t="str">
        <v>Zomerstage 2026 (Blankenberge)</v>
      </c>
      <c r="D346" t="str">
        <f t="shared" si="5"/>
        <v>Zomerstage 2026 (Blankenberge)</v>
      </c>
    </row>
    <row r="347" spans="1:4" x14ac:dyDescent="0.25">
      <c r="A347" t="str">
        <v>Merel Spiessens</v>
      </c>
      <c r="B347" t="str">
        <v>https://app.twizzit.com/public/photos/2183207/s/cd9fd40cf38cd1eb62df0198f102c2154c08c604.jpeg</v>
      </c>
      <c r="C347" t="str">
        <v>Zomerstage 2026 (Blankenberge)</v>
      </c>
      <c r="D347" t="str">
        <f t="shared" si="5"/>
        <v>Zomerstage 2026 (Blankenberge)</v>
      </c>
    </row>
    <row r="348" spans="1:4" x14ac:dyDescent="0.25">
      <c r="A348" t="str">
        <v>Jules Ternoot</v>
      </c>
      <c r="B348" t="str">
        <v>https://app.twizzit.com/public/photos/9499964/s/ff5f984b647838e4bd7563b356e5c206230b1763.jpeg</v>
      </c>
      <c r="C348" t="str">
        <v>Zomerstage 2026 (Blankenberge)</v>
      </c>
      <c r="D348" t="str">
        <f t="shared" si="5"/>
        <v>Zomerstage 2026 (Blankenberge)</v>
      </c>
    </row>
    <row r="349" spans="1:4" x14ac:dyDescent="0.25">
      <c r="A349" t="str">
        <v>Mattis Van Assche</v>
      </c>
      <c r="B349" t="str">
        <v>https://app.twizzit.com/public/photos/2183242/s/024b94ee0589d7797c4da7bd2e98266bcdb2677a.png</v>
      </c>
      <c r="C349" t="str">
        <v>Zomerstage 2026 (Blankenberge)</v>
      </c>
      <c r="D349" t="str">
        <f t="shared" si="5"/>
        <v>Zomerstage 2026 (Blankenberge)</v>
      </c>
    </row>
    <row r="350" spans="1:4" x14ac:dyDescent="0.25">
      <c r="A350" t="str">
        <v>Loes Van de Populiere</v>
      </c>
      <c r="B350" t="str">
        <v/>
      </c>
      <c r="C350" t="str">
        <v>Zomerstage 2026 (Blankenberge)</v>
      </c>
      <c r="D350" t="str">
        <f t="shared" si="5"/>
        <v>Zomerstage 2026 (Blankenberge)</v>
      </c>
    </row>
    <row r="351" spans="1:4" x14ac:dyDescent="0.25">
      <c r="A351" t="str">
        <v>Edouard Van de Weghe</v>
      </c>
      <c r="B351" t="str">
        <v/>
      </c>
      <c r="C351" t="str">
        <v>Zomerstage 2026 (Blankenberge)</v>
      </c>
      <c r="D351" t="str">
        <f t="shared" si="5"/>
        <v>Zomerstage 2026 (Blankenberge)</v>
      </c>
    </row>
    <row r="352" spans="1:4" x14ac:dyDescent="0.25">
      <c r="A352" t="str">
        <v>Jerome Van de Weghe</v>
      </c>
      <c r="B352" t="str">
        <v/>
      </c>
      <c r="C352" t="str">
        <v>Zomerstage 2026 (Blankenberge)</v>
      </c>
      <c r="D352" t="str">
        <f t="shared" si="5"/>
        <v>Zomerstage 2026 (Blankenberge)</v>
      </c>
    </row>
    <row r="353" spans="1:4" x14ac:dyDescent="0.25">
      <c r="A353" t="str">
        <v>Brecht Van Glabeke</v>
      </c>
      <c r="B353" t="str">
        <v/>
      </c>
      <c r="C353" t="str">
        <v>Zomerstage 2026 (Blankenberge)</v>
      </c>
      <c r="D353" t="str">
        <f t="shared" si="5"/>
        <v>Zomerstage 2026 (Blankenberge)</v>
      </c>
    </row>
    <row r="354" spans="1:4" x14ac:dyDescent="0.25">
      <c r="A354" t="str">
        <v>Maxime Van Herpe</v>
      </c>
      <c r="B354" t="str">
        <v/>
      </c>
      <c r="C354" t="str">
        <v>Zomerstage 2026 (Blankenberge)</v>
      </c>
      <c r="D354" t="str">
        <f t="shared" si="5"/>
        <v>Zomerstage 2026 (Blankenberge)</v>
      </c>
    </row>
    <row r="355" spans="1:4" x14ac:dyDescent="0.25">
      <c r="A355" t="str">
        <v>Olivia Vanbutsele</v>
      </c>
      <c r="B355" t="str">
        <v>https://app.twizzit.com/public/photos/4292310/s/063d2ce017539cf8df316f28e3a639739d1c1148.jpeg</v>
      </c>
      <c r="C355" t="str">
        <v>Zomerstage 2026 (Blankenberge)</v>
      </c>
      <c r="D355" t="str">
        <f t="shared" si="5"/>
        <v>Zomerstage 2026 (Blankenberge)</v>
      </c>
    </row>
    <row r="356" spans="1:4" x14ac:dyDescent="0.25">
      <c r="A356" t="str">
        <v>Lowie Vande Kerckhove</v>
      </c>
      <c r="B356" t="str">
        <v/>
      </c>
      <c r="C356" t="str">
        <v>Zomerstage 2026 (Blankenberge)</v>
      </c>
      <c r="D356" t="str">
        <f t="shared" si="5"/>
        <v>Zomerstage 2026 (Blankenberge)</v>
      </c>
    </row>
    <row r="357" spans="1:4" x14ac:dyDescent="0.25">
      <c r="A357" t="str">
        <v>Ilias Vander Beken</v>
      </c>
      <c r="B357" t="str">
        <v>https://app.twizzit.com/public/photos/9469457/s/eb40348dfb8a2c0c9b13e74dd04369019dbd2f32.jpeg</v>
      </c>
      <c r="C357" t="str">
        <v>Zomerstage 2026 (Blankenberge)</v>
      </c>
      <c r="D357" t="str">
        <f t="shared" si="5"/>
        <v>Zomerstage 2026 (Blankenberge)</v>
      </c>
    </row>
    <row r="358" spans="1:4" x14ac:dyDescent="0.25">
      <c r="A358" t="str">
        <v>Lucas Vanderstraeten</v>
      </c>
      <c r="B358" t="str">
        <v>https://app.twizzit.com/public/photos/3447788/s/a21b510884c5e068d9fd07894f967e10ecef7568.png</v>
      </c>
      <c r="C358" t="str">
        <v>Zomerstage 2026 (Blankenberge)</v>
      </c>
      <c r="D358" t="str">
        <f t="shared" si="5"/>
        <v>Zomerstage 2026 (Blankenberge)</v>
      </c>
    </row>
    <row r="359" spans="1:4" x14ac:dyDescent="0.25">
      <c r="A359" t="str">
        <v>Anaïs Vanhessche</v>
      </c>
      <c r="B359" t="str">
        <v>https://app.twizzit.com/public/photos/2183392/s/3035381a43296f702255c02c3c99c4303bd9ab17.png</v>
      </c>
      <c r="C359" t="str">
        <v>Zomerstage 2026 (Blankenberge)</v>
      </c>
      <c r="D359" t="str">
        <f t="shared" si="5"/>
        <v>Zomerstage 2026 (Blankenberge)</v>
      </c>
    </row>
    <row r="360" spans="1:4" x14ac:dyDescent="0.25">
      <c r="A360" t="str">
        <v>Lente Verhaeghe</v>
      </c>
      <c r="B360" t="str">
        <v>https://app.twizzit.com/public/photos/3706826/s/7283d518f82547e0fb530790cddedb0edf0a5785.jpeg</v>
      </c>
      <c r="C360" t="str">
        <v>Zomerstage 2026 (Blankenberge)</v>
      </c>
      <c r="D360" t="str">
        <f t="shared" si="5"/>
        <v>Zomerstage 2026 (Blankenberge)</v>
      </c>
    </row>
    <row r="361" spans="1:4" x14ac:dyDescent="0.25">
      <c r="A361" t="str">
        <v>Emma Verleyen</v>
      </c>
      <c r="B361" t="str">
        <v/>
      </c>
      <c r="C361" t="str">
        <v>Zomerstage 2026 (Blankenberge)</v>
      </c>
      <c r="D361" t="str">
        <f t="shared" si="5"/>
        <v>Zomerstage 2026 (Blankenberge)</v>
      </c>
    </row>
    <row r="362" spans="1:4" x14ac:dyDescent="0.25">
      <c r="A362" t="str">
        <v>Lucas Verlinden</v>
      </c>
      <c r="B362" t="str">
        <v/>
      </c>
      <c r="C362" t="str">
        <v>Zomerstage 2026 (Blankenberge)</v>
      </c>
      <c r="D362" t="str">
        <f t="shared" si="5"/>
        <v>Zomerstage 2026 (Blankenberge)</v>
      </c>
    </row>
    <row r="363" spans="1:4" x14ac:dyDescent="0.25">
      <c r="A363" t="str">
        <v>Nathan Vermassen</v>
      </c>
      <c r="B363" t="str">
        <v/>
      </c>
      <c r="C363" t="str">
        <v>Zomerstage 2026 (Blankenberge)</v>
      </c>
      <c r="D363" t="str">
        <f t="shared" si="5"/>
        <v>Zomerstage 2026 (Blankenberge)</v>
      </c>
    </row>
    <row r="364" spans="1:4" x14ac:dyDescent="0.25">
      <c r="A364" t="str">
        <v>Matz Vermeerschen</v>
      </c>
      <c r="B364" t="str">
        <v/>
      </c>
      <c r="C364" t="str">
        <v>Zomerstage 2026 (Blankenberge)</v>
      </c>
      <c r="D364" t="str">
        <f t="shared" si="5"/>
        <v>Zomerstage 2026 (Blankenberge)</v>
      </c>
    </row>
    <row r="365" spans="1:4" x14ac:dyDescent="0.25">
      <c r="A365" t="str">
        <v>Lena Verschatse</v>
      </c>
      <c r="B365" t="str">
        <v/>
      </c>
      <c r="C365" t="str">
        <v>Zomerstage 2026 (Blankenberge)</v>
      </c>
      <c r="D365" t="str">
        <f t="shared" si="5"/>
        <v>Zomerstage 2026 (Blankenberge)</v>
      </c>
    </row>
    <row r="366" spans="1:4" x14ac:dyDescent="0.25">
      <c r="A366" t="str">
        <v>Thomas Viaene</v>
      </c>
      <c r="B366" t="str">
        <v/>
      </c>
      <c r="C366" t="str">
        <v>Zomerstage 2026 (Blankenberge)</v>
      </c>
      <c r="D366" t="str">
        <f t="shared" si="5"/>
        <v>Zomerstage 2026 (Blankenberge)</v>
      </c>
    </row>
    <row r="367" spans="1:4" x14ac:dyDescent="0.25">
      <c r="A367" t="str">
        <v>Lenn Altruy</v>
      </c>
      <c r="B367" t="str">
        <v/>
      </c>
      <c r="C367" t="str">
        <v>Zomerstage 2026 U10 &amp; U12 (Oudenaarde)</v>
      </c>
      <c r="D367" t="str">
        <f t="shared" si="5"/>
        <v>Zomerstage 2026 U10 &amp; U12 (Oudenaarde)</v>
      </c>
    </row>
    <row r="368" spans="1:4" x14ac:dyDescent="0.25">
      <c r="A368" t="str">
        <v>Senn Anseeuw</v>
      </c>
      <c r="B368" t="str">
        <v>https://app.twizzit.com/public/photos/4421954/s/39c1d6c08bc84b336f4c340a175719810e926066.png</v>
      </c>
      <c r="C368" t="str">
        <v>Zomerstage 2026 U10 &amp; U12 (Oudenaarde)</v>
      </c>
      <c r="D368" t="str">
        <f t="shared" si="5"/>
        <v>Zomerstage 2026 U10 &amp; U12 (Oudenaarde)</v>
      </c>
    </row>
    <row r="369" spans="1:4" x14ac:dyDescent="0.25">
      <c r="A369" t="str">
        <v>Leon Castelain</v>
      </c>
      <c r="B369" t="str">
        <v>https://app.twizzit.com/public/photos/3486565/s/dbc5287e080bfa9acd16205b0ef6339800e0ffb6.png</v>
      </c>
      <c r="C369" t="str">
        <v>Zomerstage 2026 U10 &amp; U12 (Oudenaarde)</v>
      </c>
      <c r="D369" t="str">
        <f t="shared" si="5"/>
        <v>Zomerstage 2026 U10 &amp; U12 (Oudenaarde)</v>
      </c>
    </row>
    <row r="370" spans="1:4" x14ac:dyDescent="0.25">
      <c r="A370" t="str">
        <v>Renée Deraedt</v>
      </c>
      <c r="B370" t="str">
        <v>https://app.twizzit.com/public/photos/7328300/s/7e2d6dfb7100b0ca8feb8f22a68ce2009271348a.png</v>
      </c>
      <c r="C370" t="str">
        <v>Zomerstage 2026 U10 &amp; U12 (Oudenaarde)</v>
      </c>
      <c r="D370" t="str">
        <f t="shared" si="5"/>
        <v>Zomerstage 2026 U10 &amp; U12 (Oudenaarde)</v>
      </c>
    </row>
    <row r="371" spans="1:4" x14ac:dyDescent="0.25">
      <c r="A371" t="str">
        <v>Vinke Derycke</v>
      </c>
      <c r="B371" t="str">
        <v/>
      </c>
      <c r="C371" t="str">
        <v>Zomerstage 2026 U10 &amp; U12 (Oudenaarde)</v>
      </c>
      <c r="D371" t="str">
        <f t="shared" si="5"/>
        <v>Zomerstage 2026 U10 &amp; U12 (Oudenaarde)</v>
      </c>
    </row>
    <row r="372" spans="1:4" x14ac:dyDescent="0.25">
      <c r="A372" t="str">
        <v>Kenneth Dhont</v>
      </c>
      <c r="B372" t="str">
        <v/>
      </c>
      <c r="C372" t="str">
        <v>Zomerstage 2026 U10 &amp; U12 (Oudenaarde)</v>
      </c>
      <c r="D372" t="str">
        <f t="shared" si="5"/>
        <v>Zomerstage 2026 U10 &amp; U12 (Oudenaarde)</v>
      </c>
    </row>
    <row r="373" spans="1:4" x14ac:dyDescent="0.25">
      <c r="A373" t="str">
        <v>Miel Elyn</v>
      </c>
      <c r="B373" t="str">
        <v/>
      </c>
      <c r="C373" t="str">
        <v>Zomerstage 2026 U10 &amp; U12 (Oudenaarde)</v>
      </c>
      <c r="D373" t="str">
        <f t="shared" si="5"/>
        <v>Zomerstage 2026 U10 &amp; U12 (Oudenaarde)</v>
      </c>
    </row>
    <row r="374" spans="1:4" x14ac:dyDescent="0.25">
      <c r="A374" t="str">
        <v>Alixe Geenens</v>
      </c>
      <c r="B374" t="str">
        <v/>
      </c>
      <c r="C374" t="str">
        <v>Zomerstage 2026 U10 &amp; U12 (Oudenaarde)</v>
      </c>
      <c r="D374" t="str">
        <f t="shared" si="5"/>
        <v>Zomerstage 2026 U10 &amp; U12 (Oudenaarde)</v>
      </c>
    </row>
    <row r="375" spans="1:4" x14ac:dyDescent="0.25">
      <c r="A375" t="str">
        <v>Emiel Opsomer</v>
      </c>
      <c r="B375" t="str">
        <v/>
      </c>
      <c r="C375" t="str">
        <v>Zomerstage 2026 U10 &amp; U12 (Oudenaarde)</v>
      </c>
      <c r="D375" t="str">
        <f t="shared" si="5"/>
        <v>Zomerstage 2026 U10 &amp; U12 (Oudenaarde)</v>
      </c>
    </row>
    <row r="376" spans="1:4" x14ac:dyDescent="0.25">
      <c r="A376" t="str">
        <v>Brent Pollet</v>
      </c>
      <c r="B376" t="str">
        <v>https://app.twizzit.com/public/photos/3454870/s/e7fdcf5140d5e910d15662f873e9aafb78eb7d4f.jpeg</v>
      </c>
      <c r="C376" t="str">
        <v>Zomerstage 2026 U10 &amp; U12 (Oudenaarde)</v>
      </c>
      <c r="D376" t="str">
        <f t="shared" si="5"/>
        <v>Zomerstage 2026 U10 &amp; U12 (Oudenaarde)</v>
      </c>
    </row>
    <row r="377" spans="1:4" x14ac:dyDescent="0.25">
      <c r="A377" t="str">
        <v>Magalie Stevens</v>
      </c>
      <c r="B377" t="str">
        <v/>
      </c>
      <c r="C377" t="str">
        <v>Zomerstage 2026 U10 &amp; U12 (Oudenaarde)</v>
      </c>
      <c r="D377" t="str">
        <f t="shared" si="5"/>
        <v>Zomerstage 2026 U10 &amp; U12 (Oudenaarde)</v>
      </c>
    </row>
    <row r="378" spans="1:4" x14ac:dyDescent="0.25">
      <c r="A378" t="str">
        <v>Maiga Stevens</v>
      </c>
      <c r="B378" t="str">
        <v/>
      </c>
      <c r="C378" t="str">
        <v>Zomerstage 2026 U10 &amp; U12 (Oudenaarde)</v>
      </c>
      <c r="D378" t="str">
        <f t="shared" si="5"/>
        <v>Zomerstage 2026 U10 &amp; U12 (Oudenaarde)</v>
      </c>
    </row>
    <row r="379" spans="1:4" x14ac:dyDescent="0.25">
      <c r="A379" t="str">
        <v>Ella Van de zande</v>
      </c>
      <c r="B379" t="str">
        <v>https://app.twizzit.com/public/photos/7665003/s/5ed58413208ebbb451d8f9179fc6141b44a190fa.png</v>
      </c>
      <c r="C379" t="str">
        <v>Zomerstage 2026 U10 &amp; U12 (Oudenaarde)</v>
      </c>
      <c r="D379" t="str">
        <f t="shared" si="5"/>
        <v>Zomerstage 2026 U10 &amp; U12 (Oudenaarde)</v>
      </c>
    </row>
    <row r="380" spans="1:4" x14ac:dyDescent="0.25">
      <c r="A380" t="str">
        <v>Emma Van Nieuwenhuyze</v>
      </c>
      <c r="B380" t="str">
        <v/>
      </c>
      <c r="C380" t="str">
        <v>Zomerstage 2026 U10 &amp; U12 (Oudenaarde)</v>
      </c>
      <c r="D380" t="str">
        <f t="shared" si="5"/>
        <v>Zomerstage 2026 U10 &amp; U12 (Oudenaarde)</v>
      </c>
    </row>
    <row r="381" spans="1:4" x14ac:dyDescent="0.25">
      <c r="A381" t="str">
        <v>Lucas Vanderstraeten</v>
      </c>
      <c r="B381" t="str">
        <v>https://app.twizzit.com/public/photos/3447788/s/a21b510884c5e068d9fd07894f967e10ecef7568.png</v>
      </c>
      <c r="C381" t="str">
        <v>Zomerstage 2026 U10 &amp; U12 (Oudenaarde)</v>
      </c>
      <c r="D381" t="str">
        <f t="shared" si="5"/>
        <v>Zomerstage 2026 U10 &amp; U12 (Oudenaarde)</v>
      </c>
    </row>
    <row r="382" spans="1:4" x14ac:dyDescent="0.25">
      <c r="A382" t="str">
        <v>Nand Versmessen</v>
      </c>
      <c r="B382" t="str">
        <v>https://app.twizzit.com/public/photos/3447367/s/f6e635bb7022dfc6607d762d0f4b7b25a59a85c4.png</v>
      </c>
      <c r="C382" t="str">
        <v>Zomerstage 2026 U10 &amp; U12 (Oudenaarde)</v>
      </c>
      <c r="D382" t="str">
        <f t="shared" si="5"/>
        <v>Zomerstage 2026 U10 &amp; U12 (Oudenaarde)</v>
      </c>
    </row>
    <row r="383" spans="1:4" x14ac:dyDescent="0.25">
      <c r="A383" t="str">
        <v>Maurice Boonaert</v>
      </c>
      <c r="B383" t="str">
        <v/>
      </c>
      <c r="C383" t="str">
        <v>Zomerstage 2026 U8 (Oudenaarde)</v>
      </c>
      <c r="D383" t="str">
        <f t="shared" si="5"/>
        <v>Zomerstage 2026 U8 (Oudenaarde)</v>
      </c>
    </row>
    <row r="384" spans="1:4" x14ac:dyDescent="0.25">
      <c r="A384" t="str">
        <v>Lasse Cattoir</v>
      </c>
      <c r="B384" t="str">
        <v>https://app.twizzit.com/public/photos/9522553/s/70d508b65eaba88af49f20bd545e119d36420c07.png</v>
      </c>
      <c r="C384" t="str">
        <v>Zomerstage 2026 U8 (Oudenaarde)</v>
      </c>
      <c r="D384" t="str">
        <f t="shared" si="5"/>
        <v>Zomerstage 2026 U8 (Oudenaarde)</v>
      </c>
    </row>
    <row r="385" spans="1:4" x14ac:dyDescent="0.25">
      <c r="A385" t="str">
        <v>Tybe De Clercq</v>
      </c>
      <c r="B385" t="str">
        <v/>
      </c>
      <c r="C385" t="str">
        <v>Zomerstage 2026 U8 (Oudenaarde)</v>
      </c>
      <c r="D385" t="str">
        <f t="shared" si="5"/>
        <v>Zomerstage 2026 U8 (Oudenaarde)</v>
      </c>
    </row>
    <row r="386" spans="1:4" x14ac:dyDescent="0.25">
      <c r="A386" t="str">
        <v>Elli De Zitter</v>
      </c>
      <c r="B386" t="str">
        <v/>
      </c>
      <c r="C386" t="str">
        <v>Zomerstage 2026 U8 (Oudenaarde)</v>
      </c>
      <c r="D386" t="str">
        <f t="shared" si="5"/>
        <v>Zomerstage 2026 U8 (Oudenaarde)</v>
      </c>
    </row>
    <row r="387" spans="1:4" x14ac:dyDescent="0.25">
      <c r="A387" t="str">
        <v>Kenneth Dhont</v>
      </c>
      <c r="B387" t="str">
        <v/>
      </c>
      <c r="C387" t="str">
        <v>Zomerstage 2026 U8 (Oudenaarde)</v>
      </c>
      <c r="D387" t="str">
        <f t="shared" ref="D387:D394" si="6">TRIM(SUBSTITUTE(SUBSTITUTE(SUBSTITUTE(SUBSTITUTE(TRIM(SUBSTITUTE(SUBSTITUTE(SUBSTITUTE(C387,"  "," "),"HAANTJES CERTIFISC OUDENAARDE",""),"Haantjes CERTIFISC Oudenaarde",""))," Geel","")," Blauw","")," Groen",""),"Haantjes Certifisc Oudenaarde",""))</f>
        <v>Zomerstage 2026 U8 (Oudenaarde)</v>
      </c>
    </row>
    <row r="388" spans="1:4" x14ac:dyDescent="0.25">
      <c r="A388" t="str">
        <v>Jef Lauwereins</v>
      </c>
      <c r="B388" t="str">
        <v/>
      </c>
      <c r="C388" t="str">
        <v>Zomerstage 2026 U8 (Oudenaarde)</v>
      </c>
      <c r="D388" t="str">
        <f t="shared" si="6"/>
        <v>Zomerstage 2026 U8 (Oudenaarde)</v>
      </c>
    </row>
    <row r="389" spans="1:4" x14ac:dyDescent="0.25">
      <c r="A389" t="str">
        <v>Rover Naessens</v>
      </c>
      <c r="B389" t="str">
        <v>https://app.twizzit.com/public/photos/7328405/s/a238a3bac0fa83cb173f769b5ce64dd7bdebab6d.jpeg</v>
      </c>
      <c r="C389" t="str">
        <v>Zomerstage 2026 U8 (Oudenaarde)</v>
      </c>
      <c r="D389" t="str">
        <f t="shared" si="6"/>
        <v>Zomerstage 2026 U8 (Oudenaarde)</v>
      </c>
    </row>
    <row r="390" spans="1:4" x14ac:dyDescent="0.25">
      <c r="A390" t="str">
        <v>Théo Parmentier</v>
      </c>
      <c r="B390" t="str">
        <v/>
      </c>
      <c r="C390" t="str">
        <v>Zomerstage 2026 U8 (Oudenaarde)</v>
      </c>
      <c r="D390" t="str">
        <f t="shared" si="6"/>
        <v>Zomerstage 2026 U8 (Oudenaarde)</v>
      </c>
    </row>
    <row r="391" spans="1:4" x14ac:dyDescent="0.25">
      <c r="A391" t="str">
        <v>Lander Van De Maele</v>
      </c>
      <c r="B391" t="str">
        <v>https://app.twizzit.com/public/photos/10715682/s/9ac40a7d3bcb76b36d9290dcb9c3bcdc167e2add.jpeg</v>
      </c>
      <c r="C391" t="str">
        <v>Zomerstage 2026 U8 (Oudenaarde)</v>
      </c>
      <c r="D391" t="str">
        <f t="shared" si="6"/>
        <v>Zomerstage 2026 U8 (Oudenaarde)</v>
      </c>
    </row>
    <row r="392" spans="1:4" x14ac:dyDescent="0.25">
      <c r="A392" t="str">
        <v>Mali-June Van Dorpe</v>
      </c>
      <c r="B392" t="str">
        <v/>
      </c>
      <c r="C392" t="str">
        <v>Zomerstage 2026 U8 (Oudenaarde)</v>
      </c>
      <c r="D392" t="str">
        <f t="shared" si="6"/>
        <v>Zomerstage 2026 U8 (Oudenaarde)</v>
      </c>
    </row>
    <row r="393" spans="1:4" x14ac:dyDescent="0.25">
      <c r="A393" t="str">
        <v>Lowie Van Nieuwenhuyze</v>
      </c>
      <c r="B393" t="str">
        <v/>
      </c>
      <c r="C393" t="str">
        <v>Zomerstage 2026 U8 (Oudenaarde)</v>
      </c>
      <c r="D393" t="str">
        <f t="shared" si="6"/>
        <v>Zomerstage 2026 U8 (Oudenaarde)</v>
      </c>
    </row>
    <row r="394" spans="1:4" x14ac:dyDescent="0.25">
      <c r="A394" t="str">
        <v>Ronan Vanneste</v>
      </c>
      <c r="B394" t="str">
        <v>https://app.twizzit.com/public/photos/7992424/s/7741759047d554aed7aaac84a694a4ea4a62b085.jpeg</v>
      </c>
      <c r="C394" t="str">
        <v>Zomerstage 2026 U8 (Oudenaarde)</v>
      </c>
      <c r="D394" t="str">
        <f t="shared" si="6"/>
        <v>Zomerstage 2026 U8 (Oudenaarde)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5B8A-C4E7-495F-BFC8-4DB2B08B1A1F}">
  <dimension ref="A1:D201"/>
  <sheetViews>
    <sheetView workbookViewId="0">
      <pane ySplit="1" topLeftCell="A152" activePane="bottomLeft" state="frozen"/>
      <selection pane="bottomLeft" activeCell="B3" sqref="B3"/>
    </sheetView>
  </sheetViews>
  <sheetFormatPr defaultRowHeight="15" x14ac:dyDescent="0.25"/>
  <cols>
    <col min="1" max="1" width="29.7109375" customWidth="1"/>
    <col min="2" max="2" width="51.85546875" customWidth="1"/>
    <col min="3" max="3" width="40.7109375" customWidth="1"/>
    <col min="4" max="4" width="27.7109375" customWidth="1"/>
  </cols>
  <sheetData>
    <row r="1" spans="1:4" x14ac:dyDescent="0.25">
      <c r="A1" s="1" t="s">
        <v>1</v>
      </c>
      <c r="B1" s="1" t="s">
        <v>29</v>
      </c>
      <c r="C1" s="1" t="s">
        <v>2884</v>
      </c>
      <c r="D1" s="1" t="s">
        <v>2885</v>
      </c>
    </row>
    <row r="2" spans="1:4" x14ac:dyDescent="0.25">
      <c r="A2" t="str" cm="1">
        <f t="array" ref="A2:D201">_xlfn._xlws.FILTER('Naam-Foto-Ploeg'!A2:D394,((ISNUMBER(SEARCH("G08",'Naam-Foto-Ploeg'!D2:D394))+ISNUMBER(SEARCH("G10",'Naam-Foto-Ploeg'!D2:D394))+ISNUMBER(SEARCH("G12",'Naam-Foto-Ploeg'!D2:D394))+ISNUMBER(SEARCH("Balschool",'Naam-Foto-Ploeg'!D2:D394))+ISNUMBER(SEARCH("Zomerstage",'Naam-Foto-Ploeg'!D2:D394))+ISNUMBER(SEARCH("M10",'Naam-Foto-Ploeg'!D2:D394)))=0)+('Sorted by Team'!G2:G394="Coach")&gt;0)</f>
        <v>Lily Adam</v>
      </c>
      <c r="B2" t="str">
        <v>https://app.twizzit.com/public/photos/2182441/s/eec7946e1a9e80461f26752840c4aedc7d235bab.jpeg</v>
      </c>
      <c r="C2" t="str">
        <v>DSE A Haantjes Certifisc Oudenaarde</v>
      </c>
      <c r="D2" t="str">
        <v>DSE A</v>
      </c>
    </row>
    <row r="3" spans="1:4" x14ac:dyDescent="0.25">
      <c r="A3" t="str">
        <v>Janna Bauters</v>
      </c>
      <c r="B3" t="str">
        <v>https://app.twizzit.com/public/photos/2182476/s/d120dcfc0ec82f0d803829f917b4287681f3dd01.png</v>
      </c>
      <c r="C3" t="str">
        <v>DSE A Haantjes Certifisc Oudenaarde</v>
      </c>
      <c r="D3" t="str">
        <v>DSE A</v>
      </c>
    </row>
    <row r="4" spans="1:4" x14ac:dyDescent="0.25">
      <c r="A4" t="str">
        <v>Marie Bourdeaud'hui</v>
      </c>
      <c r="B4" t="str">
        <v>https://app.twizzit.com/public/photos/2182516/s/0d7291570c9e5cf142cd892c8fd7ace8c517270a.png</v>
      </c>
      <c r="C4" t="str">
        <v>DSE A Haantjes Certifisc Oudenaarde</v>
      </c>
      <c r="D4" t="str">
        <v>DSE A</v>
      </c>
    </row>
    <row r="5" spans="1:4" x14ac:dyDescent="0.25">
      <c r="A5" t="str">
        <v>Aishatu Lieve Buadee</v>
      </c>
      <c r="B5" t="str">
        <v/>
      </c>
      <c r="C5" t="str">
        <v>DSE A Haantjes Certifisc Oudenaarde</v>
      </c>
      <c r="D5" t="str">
        <v>DSE A</v>
      </c>
    </row>
    <row r="6" spans="1:4" x14ac:dyDescent="0.25">
      <c r="A6" t="str">
        <v>Iris Calewaert</v>
      </c>
      <c r="B6" t="str">
        <v/>
      </c>
      <c r="C6" t="str">
        <v>DSE A Haantjes Certifisc Oudenaarde</v>
      </c>
      <c r="D6" t="str">
        <v>DSE A</v>
      </c>
    </row>
    <row r="7" spans="1:4" x14ac:dyDescent="0.25">
      <c r="A7" t="str">
        <v>Bart Cattoir</v>
      </c>
      <c r="B7" t="str">
        <v/>
      </c>
      <c r="C7" t="str">
        <v>DSE A Haantjes Certifisc Oudenaarde</v>
      </c>
      <c r="D7" t="str">
        <v>DSE A</v>
      </c>
    </row>
    <row r="8" spans="1:4" x14ac:dyDescent="0.25">
      <c r="A8" t="str">
        <v>Alice Cokelaere</v>
      </c>
      <c r="B8" t="str">
        <v/>
      </c>
      <c r="C8" t="str">
        <v>DSE A Haantjes Certifisc Oudenaarde</v>
      </c>
      <c r="D8" t="str">
        <v>DSE A</v>
      </c>
    </row>
    <row r="9" spans="1:4" x14ac:dyDescent="0.25">
      <c r="A9" t="str">
        <v>Karen Dans</v>
      </c>
      <c r="B9" t="str">
        <v>https://app.twizzit.com/public/photos/2182586/s/3c061ecaa7eb60b4e8b27f2490fa3fff24778b0c.png</v>
      </c>
      <c r="C9" t="str">
        <v>DSE A Haantjes Certifisc Oudenaarde</v>
      </c>
      <c r="D9" t="str">
        <v>DSE A</v>
      </c>
    </row>
    <row r="10" spans="1:4" x14ac:dyDescent="0.25">
      <c r="A10" t="str">
        <v>Kimberley De Smet</v>
      </c>
      <c r="B10" t="str">
        <v>https://app.twizzit.com/public/photos/2182696/s/b3404003062e85e1b45f5fca9b0565fe70029286.png</v>
      </c>
      <c r="C10" t="str">
        <v>DSE A Haantjes Certifisc Oudenaarde</v>
      </c>
      <c r="D10" t="str">
        <v>DSE A</v>
      </c>
    </row>
    <row r="11" spans="1:4" x14ac:dyDescent="0.25">
      <c r="A11" t="str">
        <v>Heike Guenter</v>
      </c>
      <c r="B11" t="str">
        <v/>
      </c>
      <c r="C11" t="str">
        <v>DSE A Haantjes Certifisc Oudenaarde</v>
      </c>
      <c r="D11" t="str">
        <v>DSE A</v>
      </c>
    </row>
    <row r="12" spans="1:4" x14ac:dyDescent="0.25">
      <c r="A12" t="str">
        <v>Lente Verhaeghe</v>
      </c>
      <c r="B12" t="str">
        <v>https://app.twizzit.com/public/photos/3706826/s/7283d518f82547e0fb530790cddedb0edf0a5785.jpeg</v>
      </c>
      <c r="C12" t="str">
        <v>DSE A Haantjes Certifisc Oudenaarde</v>
      </c>
      <c r="D12" t="str">
        <v>DSE A</v>
      </c>
    </row>
    <row r="13" spans="1:4" x14ac:dyDescent="0.25">
      <c r="A13" t="str">
        <v>Jonah Cattoir</v>
      </c>
      <c r="B13" t="str">
        <v/>
      </c>
      <c r="C13" t="str">
        <v>G08 Geel HAANTJES CERTIFISC OUDENAARDE</v>
      </c>
      <c r="D13" t="str">
        <v>G08</v>
      </c>
    </row>
    <row r="14" spans="1:4" x14ac:dyDescent="0.25">
      <c r="A14" t="str">
        <v>Debbie Verhelst</v>
      </c>
      <c r="B14" t="str">
        <v/>
      </c>
      <c r="C14" t="str">
        <v>G08 Geel HAANTJES CERTIFISC OUDENAARDE</v>
      </c>
      <c r="D14" t="str">
        <v>G08</v>
      </c>
    </row>
    <row r="15" spans="1:4" x14ac:dyDescent="0.25">
      <c r="A15" t="str">
        <v>Charlotte Verschueren</v>
      </c>
      <c r="B15" t="str">
        <v>https://app.twizzit.com/public/photos/2183447/s/1f201bfdf86762e0642c70c1aa487baf5ab852bb.png</v>
      </c>
      <c r="C15" t="str">
        <v>G08 Groen HAANTJES CERTIFISC OUDENAARDE</v>
      </c>
      <c r="D15" t="str">
        <v>G08</v>
      </c>
    </row>
    <row r="16" spans="1:4" x14ac:dyDescent="0.25">
      <c r="A16" t="str">
        <v>Marte Mechant</v>
      </c>
      <c r="B16" t="str">
        <v/>
      </c>
      <c r="C16" t="str">
        <v>G10 Blauw HAANTJES CERTIFISC OUDENAARDE</v>
      </c>
      <c r="D16" t="str">
        <v>G10</v>
      </c>
    </row>
    <row r="17" spans="1:4" x14ac:dyDescent="0.25">
      <c r="A17" t="str">
        <v>Ryan Debouverie</v>
      </c>
      <c r="B17" t="str">
        <v/>
      </c>
      <c r="C17" t="str">
        <v>G10 Geel HAANTJES CERTIFISC OUDENAARDE</v>
      </c>
      <c r="D17" t="str">
        <v>G10</v>
      </c>
    </row>
    <row r="18" spans="1:4" x14ac:dyDescent="0.25">
      <c r="A18" t="str">
        <v>Kenneth Dhont</v>
      </c>
      <c r="B18" t="str">
        <v/>
      </c>
      <c r="C18" t="str">
        <v>G12 Blauw HAANTJES CERTIFISC OUDENAARDE</v>
      </c>
      <c r="D18" t="str">
        <v>G12</v>
      </c>
    </row>
    <row r="19" spans="1:4" x14ac:dyDescent="0.25">
      <c r="A19" t="str">
        <v>Niels De Lepeleire</v>
      </c>
      <c r="B19" t="str">
        <v/>
      </c>
      <c r="C19" t="str">
        <v>G12 Geel HAANTJES CERTIFISC OUDENAARDE</v>
      </c>
      <c r="D19" t="str">
        <v>G12</v>
      </c>
    </row>
    <row r="20" spans="1:4" x14ac:dyDescent="0.25">
      <c r="A20" t="str">
        <v>Kledion Alia</v>
      </c>
      <c r="B20" t="str">
        <v>https://app.twizzit.com/public/photos/2650601/s/f885f644ea63bcfe0579c08cf537df8dcbb43ecc.png</v>
      </c>
      <c r="C20" t="str">
        <v>G14 A Haantjes CERTIFISC Oudenaarde</v>
      </c>
      <c r="D20" t="str">
        <v>G14 A</v>
      </c>
    </row>
    <row r="21" spans="1:4" x14ac:dyDescent="0.25">
      <c r="A21" t="str">
        <v>Jules Dekkar</v>
      </c>
      <c r="B21" t="str">
        <v>https://app.twizzit.com/public/photos/3451601/s/35fd5f537189934e8013cbeb18029ae3e97fcdcc.jpeg</v>
      </c>
      <c r="C21" t="str">
        <v>G14 A Haantjes CERTIFISC Oudenaarde</v>
      </c>
      <c r="D21" t="str">
        <v>G14 A</v>
      </c>
    </row>
    <row r="22" spans="1:4" x14ac:dyDescent="0.25">
      <c r="A22" t="str">
        <v>Jules Dewilde</v>
      </c>
      <c r="B22" t="str">
        <v/>
      </c>
      <c r="C22" t="str">
        <v>G14 A Haantjes CERTIFISC Oudenaarde</v>
      </c>
      <c r="D22" t="str">
        <v>G14 A</v>
      </c>
    </row>
    <row r="23" spans="1:4" x14ac:dyDescent="0.25">
      <c r="A23" t="str">
        <v>Kobe Espeel</v>
      </c>
      <c r="B23" t="str">
        <v/>
      </c>
      <c r="C23" t="str">
        <v>G14 A Haantjes CERTIFISC Oudenaarde</v>
      </c>
      <c r="D23" t="str">
        <v>G14 A</v>
      </c>
    </row>
    <row r="24" spans="1:4" x14ac:dyDescent="0.25">
      <c r="A24" t="str">
        <v>Lennert Huys</v>
      </c>
      <c r="B24" t="str">
        <v/>
      </c>
      <c r="C24" t="str">
        <v>G14 A Haantjes CERTIFISC Oudenaarde</v>
      </c>
      <c r="D24" t="str">
        <v>G14 A</v>
      </c>
    </row>
    <row r="25" spans="1:4" x14ac:dyDescent="0.25">
      <c r="A25" t="str">
        <v>Filip L'Hommelet</v>
      </c>
      <c r="B25" t="str">
        <v/>
      </c>
      <c r="C25" t="str">
        <v>G14 A Haantjes CERTIFISC Oudenaarde</v>
      </c>
      <c r="D25" t="str">
        <v>G14 A</v>
      </c>
    </row>
    <row r="26" spans="1:4" x14ac:dyDescent="0.25">
      <c r="A26" t="str">
        <v>Leon L'Hommelet</v>
      </c>
      <c r="B26" t="str">
        <v/>
      </c>
      <c r="C26" t="str">
        <v>G14 A Haantjes CERTIFISC Oudenaarde</v>
      </c>
      <c r="D26" t="str">
        <v>G14 A</v>
      </c>
    </row>
    <row r="27" spans="1:4" x14ac:dyDescent="0.25">
      <c r="A27" t="str">
        <v>Ruube Lagae</v>
      </c>
      <c r="B27" t="str">
        <v/>
      </c>
      <c r="C27" t="str">
        <v>G14 A Haantjes CERTIFISC Oudenaarde</v>
      </c>
      <c r="D27" t="str">
        <v>G14 A</v>
      </c>
    </row>
    <row r="28" spans="1:4" x14ac:dyDescent="0.25">
      <c r="A28" t="str">
        <v>Nathan Maenhout</v>
      </c>
      <c r="B28" t="str">
        <v>https://app.twizzit.com/public/photos/9359547/s/0986374ba59a462685344af411da25079641e82d.jpeg</v>
      </c>
      <c r="C28" t="str">
        <v>G14 A Haantjes CERTIFISC Oudenaarde</v>
      </c>
      <c r="D28" t="str">
        <v>G14 A</v>
      </c>
    </row>
    <row r="29" spans="1:4" x14ac:dyDescent="0.25">
      <c r="A29" t="str">
        <v>Jules Ternoot</v>
      </c>
      <c r="B29" t="str">
        <v>https://app.twizzit.com/public/photos/9499964/s/ff5f984b647838e4bd7563b356e5c206230b1763.jpeg</v>
      </c>
      <c r="C29" t="str">
        <v>G14 A Haantjes CERTIFISC Oudenaarde</v>
      </c>
      <c r="D29" t="str">
        <v>G14 A</v>
      </c>
    </row>
    <row r="30" spans="1:4" x14ac:dyDescent="0.25">
      <c r="A30" t="str">
        <v>Mattis Van Assche</v>
      </c>
      <c r="B30" t="str">
        <v>https://app.twizzit.com/public/photos/2183242/s/024b94ee0589d7797c4da7bd2e98266bcdb2677a.png</v>
      </c>
      <c r="C30" t="str">
        <v>G14 A Haantjes CERTIFISC Oudenaarde</v>
      </c>
      <c r="D30" t="str">
        <v>G14 A</v>
      </c>
    </row>
    <row r="31" spans="1:4" x14ac:dyDescent="0.25">
      <c r="A31" t="str">
        <v>Edouard Van de Weghe</v>
      </c>
      <c r="B31" t="str">
        <v/>
      </c>
      <c r="C31" t="str">
        <v>G14 A Haantjes CERTIFISC Oudenaarde</v>
      </c>
      <c r="D31" t="str">
        <v>G14 A</v>
      </c>
    </row>
    <row r="32" spans="1:4" x14ac:dyDescent="0.25">
      <c r="A32" t="str">
        <v>Matz Vermeerschen</v>
      </c>
      <c r="B32" t="str">
        <v/>
      </c>
      <c r="C32" t="str">
        <v>G14 A Haantjes CERTIFISC Oudenaarde</v>
      </c>
      <c r="D32" t="str">
        <v>G14 A</v>
      </c>
    </row>
    <row r="33" spans="1:4" x14ac:dyDescent="0.25">
      <c r="A33" t="str">
        <v>Kors Altruy</v>
      </c>
      <c r="B33" t="str">
        <v/>
      </c>
      <c r="C33" t="str">
        <v>G14 B Haantjes CERTIFISC Oudenaarde</v>
      </c>
      <c r="D33" t="str">
        <v>G14 B</v>
      </c>
    </row>
    <row r="34" spans="1:4" x14ac:dyDescent="0.25">
      <c r="A34" t="str">
        <v>Matisse Buda Meirlaen</v>
      </c>
      <c r="B34" t="str">
        <v>https://app.twizzit.com/public/photos/7666112/s/28beee7a2b02560648d49ec2140a1cc079666b2a.png</v>
      </c>
      <c r="C34" t="str">
        <v>G14 B Haantjes CERTIFISC Oudenaarde</v>
      </c>
      <c r="D34" t="str">
        <v>G14 B</v>
      </c>
    </row>
    <row r="35" spans="1:4" x14ac:dyDescent="0.25">
      <c r="A35" t="str">
        <v>Niklas Creteur</v>
      </c>
      <c r="B35" t="str">
        <v/>
      </c>
      <c r="C35" t="str">
        <v>G14 B Haantjes CERTIFISC Oudenaarde</v>
      </c>
      <c r="D35" t="str">
        <v>G14 B</v>
      </c>
    </row>
    <row r="36" spans="1:4" x14ac:dyDescent="0.25">
      <c r="A36" t="str">
        <v>Mauro Darragas</v>
      </c>
      <c r="B36" t="str">
        <v/>
      </c>
      <c r="C36" t="str">
        <v>G14 B Haantjes CERTIFISC Oudenaarde</v>
      </c>
      <c r="D36" t="str">
        <v>G14 B</v>
      </c>
    </row>
    <row r="37" spans="1:4" x14ac:dyDescent="0.25">
      <c r="A37" t="str">
        <v>Arthur Debisschop</v>
      </c>
      <c r="B37" t="str">
        <v/>
      </c>
      <c r="C37" t="str">
        <v>G14 B Haantjes CERTIFISC Oudenaarde</v>
      </c>
      <c r="D37" t="str">
        <v>G14 B</v>
      </c>
    </row>
    <row r="38" spans="1:4" x14ac:dyDescent="0.25">
      <c r="A38" t="str">
        <v>Alexis Devos</v>
      </c>
      <c r="B38" t="str">
        <v>https://app.twizzit.com/public/photos/6106676/s/2ae43246aa8142b23f5743a7efbb9e280e512170.png</v>
      </c>
      <c r="C38" t="str">
        <v>G14 B Haantjes CERTIFISC Oudenaarde</v>
      </c>
      <c r="D38" t="str">
        <v>G14 B</v>
      </c>
    </row>
    <row r="39" spans="1:4" x14ac:dyDescent="0.25">
      <c r="A39" t="str">
        <v>Oben Godpower</v>
      </c>
      <c r="B39" t="str">
        <v/>
      </c>
      <c r="C39" t="str">
        <v>G14 B Haantjes CERTIFISC Oudenaarde</v>
      </c>
      <c r="D39" t="str">
        <v>G14 B</v>
      </c>
    </row>
    <row r="40" spans="1:4" x14ac:dyDescent="0.25">
      <c r="A40" t="str">
        <v>Tuur Goossens</v>
      </c>
      <c r="B40" t="str">
        <v/>
      </c>
      <c r="C40" t="str">
        <v>G14 B Haantjes CERTIFISC Oudenaarde</v>
      </c>
      <c r="D40" t="str">
        <v>G14 B</v>
      </c>
    </row>
    <row r="41" spans="1:4" x14ac:dyDescent="0.25">
      <c r="A41" t="str">
        <v>Steppe Matthys</v>
      </c>
      <c r="B41" t="str">
        <v>https://app.twizzit.com/public/photos/10488364/s/177c95b9932dcdda23e09eda7b0298c34ca94551.jpeg</v>
      </c>
      <c r="C41" t="str">
        <v>G14 B Haantjes CERTIFISC Oudenaarde</v>
      </c>
      <c r="D41" t="str">
        <v>G14 B</v>
      </c>
    </row>
    <row r="42" spans="1:4" x14ac:dyDescent="0.25">
      <c r="A42" t="str">
        <v>Mauro Van Sande</v>
      </c>
      <c r="B42" t="str">
        <v>https://app.twizzit.com/public/photos/2650608/s/9cebeb89f0d68fff18c1faf3be6be5621d757adb.png</v>
      </c>
      <c r="C42" t="str">
        <v>G14 B Haantjes CERTIFISC Oudenaarde</v>
      </c>
      <c r="D42" t="str">
        <v>G14 B</v>
      </c>
    </row>
    <row r="43" spans="1:4" x14ac:dyDescent="0.25">
      <c r="A43" t="str">
        <v>Viek Verhoeyen</v>
      </c>
      <c r="B43" t="str">
        <v/>
      </c>
      <c r="C43" t="str">
        <v>G14 B Haantjes CERTIFISC Oudenaarde</v>
      </c>
      <c r="D43" t="str">
        <v>G14 B</v>
      </c>
    </row>
    <row r="44" spans="1:4" x14ac:dyDescent="0.25">
      <c r="A44" t="str">
        <v>Mauro Vermassen</v>
      </c>
      <c r="B44" t="str">
        <v/>
      </c>
      <c r="C44" t="str">
        <v>G14 B Haantjes CERTIFISC Oudenaarde</v>
      </c>
      <c r="D44" t="str">
        <v>G14 B</v>
      </c>
    </row>
    <row r="45" spans="1:4" x14ac:dyDescent="0.25">
      <c r="A45" t="str">
        <v>Jules Cokelaere</v>
      </c>
      <c r="B45" t="str">
        <v/>
      </c>
      <c r="C45" t="str">
        <v>HSE  C Haantjes Certifisc Oudenaarde</v>
      </c>
      <c r="D45" t="str">
        <v>HSE C</v>
      </c>
    </row>
    <row r="46" spans="1:4" x14ac:dyDescent="0.25">
      <c r="A46" t="str">
        <v>Louis De Baere</v>
      </c>
      <c r="B46" t="str">
        <v/>
      </c>
      <c r="C46" t="str">
        <v>HSE  C Haantjes Certifisc Oudenaarde</v>
      </c>
      <c r="D46" t="str">
        <v>HSE C</v>
      </c>
    </row>
    <row r="47" spans="1:4" x14ac:dyDescent="0.25">
      <c r="A47" t="str">
        <v xml:space="preserve">Camiel De Clercq </v>
      </c>
      <c r="B47" t="str">
        <v/>
      </c>
      <c r="C47" t="str">
        <v>HSE  C Haantjes Certifisc Oudenaarde</v>
      </c>
      <c r="D47" t="str">
        <v>HSE C</v>
      </c>
    </row>
    <row r="48" spans="1:4" x14ac:dyDescent="0.25">
      <c r="A48" t="str">
        <v>Robbe De Clercq</v>
      </c>
      <c r="B48" t="str">
        <v/>
      </c>
      <c r="C48" t="str">
        <v>HSE  C Haantjes Certifisc Oudenaarde</v>
      </c>
      <c r="D48" t="str">
        <v>HSE C</v>
      </c>
    </row>
    <row r="49" spans="1:4" x14ac:dyDescent="0.25">
      <c r="A49" t="str">
        <v>Siebe De Meyer</v>
      </c>
      <c r="B49" t="str">
        <v/>
      </c>
      <c r="C49" t="str">
        <v>HSE  C Haantjes Certifisc Oudenaarde</v>
      </c>
      <c r="D49" t="str">
        <v>HSE C</v>
      </c>
    </row>
    <row r="50" spans="1:4" x14ac:dyDescent="0.25">
      <c r="A50" t="str">
        <v>Ryan Debouverie</v>
      </c>
      <c r="B50" t="str">
        <v/>
      </c>
      <c r="C50" t="str">
        <v>HSE  C Haantjes Certifisc Oudenaarde</v>
      </c>
      <c r="D50" t="str">
        <v>HSE C</v>
      </c>
    </row>
    <row r="51" spans="1:4" x14ac:dyDescent="0.25">
      <c r="A51" t="str">
        <v>Quentin Debruyne</v>
      </c>
      <c r="B51" t="str">
        <v/>
      </c>
      <c r="C51" t="str">
        <v>HSE  C Haantjes Certifisc Oudenaarde</v>
      </c>
      <c r="D51" t="str">
        <v>HSE C</v>
      </c>
    </row>
    <row r="52" spans="1:4" x14ac:dyDescent="0.25">
      <c r="A52" t="str">
        <v>Jarno Dhont</v>
      </c>
      <c r="B52" t="str">
        <v/>
      </c>
      <c r="C52" t="str">
        <v>HSE  C Haantjes Certifisc Oudenaarde</v>
      </c>
      <c r="D52" t="str">
        <v>HSE C</v>
      </c>
    </row>
    <row r="53" spans="1:4" x14ac:dyDescent="0.25">
      <c r="A53" t="str">
        <v>Mathis Dhont</v>
      </c>
      <c r="B53" t="str">
        <v/>
      </c>
      <c r="C53" t="str">
        <v>HSE  C Haantjes Certifisc Oudenaarde</v>
      </c>
      <c r="D53" t="str">
        <v>HSE C</v>
      </c>
    </row>
    <row r="54" spans="1:4" x14ac:dyDescent="0.25">
      <c r="A54" t="str">
        <v>Joël Peeters</v>
      </c>
      <c r="B54" t="str">
        <v/>
      </c>
      <c r="C54" t="str">
        <v>HSE  C Haantjes Certifisc Oudenaarde</v>
      </c>
      <c r="D54" t="str">
        <v>HSE C</v>
      </c>
    </row>
    <row r="55" spans="1:4" x14ac:dyDescent="0.25">
      <c r="A55" t="str">
        <v>Tristan Van Meenen</v>
      </c>
      <c r="B55" t="str">
        <v/>
      </c>
      <c r="C55" t="str">
        <v>HSE  C Haantjes Certifisc Oudenaarde</v>
      </c>
      <c r="D55" t="str">
        <v>HSE C</v>
      </c>
    </row>
    <row r="56" spans="1:4" x14ac:dyDescent="0.25">
      <c r="A56" t="str">
        <v>Giles Van Merhaeghe</v>
      </c>
      <c r="B56" t="str">
        <v/>
      </c>
      <c r="C56" t="str">
        <v>HSE  C Haantjes Certifisc Oudenaarde</v>
      </c>
      <c r="D56" t="str">
        <v>HSE C</v>
      </c>
    </row>
    <row r="57" spans="1:4" x14ac:dyDescent="0.25">
      <c r="A57" t="str">
        <v>Kenny Volkaert</v>
      </c>
      <c r="B57" t="str">
        <v/>
      </c>
      <c r="C57" t="str">
        <v>HSE  C Haantjes Certifisc Oudenaarde</v>
      </c>
      <c r="D57" t="str">
        <v>HSE C</v>
      </c>
    </row>
    <row r="58" spans="1:4" x14ac:dyDescent="0.25">
      <c r="A58" t="str">
        <v>Niels De Lepeleire</v>
      </c>
      <c r="B58" t="str">
        <v/>
      </c>
      <c r="C58" t="str">
        <v>HSE A Haantjes Certifisc Oudenaarde</v>
      </c>
      <c r="D58" t="str">
        <v>HSE A</v>
      </c>
    </row>
    <row r="59" spans="1:4" x14ac:dyDescent="0.25">
      <c r="A59" t="str">
        <v>Quinten Derous</v>
      </c>
      <c r="B59" t="str">
        <v/>
      </c>
      <c r="C59" t="str">
        <v>HSE A Haantjes Certifisc Oudenaarde</v>
      </c>
      <c r="D59" t="str">
        <v>HSE A</v>
      </c>
    </row>
    <row r="60" spans="1:4" x14ac:dyDescent="0.25">
      <c r="A60" t="str">
        <v>Marco Dick</v>
      </c>
      <c r="B60" t="str">
        <v/>
      </c>
      <c r="C60" t="str">
        <v>HSE A Haantjes Certifisc Oudenaarde</v>
      </c>
      <c r="D60" t="str">
        <v>HSE A</v>
      </c>
    </row>
    <row r="61" spans="1:4" x14ac:dyDescent="0.25">
      <c r="A61" t="str">
        <v>Ukeme Essien</v>
      </c>
      <c r="B61" t="str">
        <v/>
      </c>
      <c r="C61" t="str">
        <v>HSE A Haantjes Certifisc Oudenaarde</v>
      </c>
      <c r="D61" t="str">
        <v>HSE A</v>
      </c>
    </row>
    <row r="62" spans="1:4" x14ac:dyDescent="0.25">
      <c r="A62" t="str">
        <v>Andreas Lippens</v>
      </c>
      <c r="B62" t="str">
        <v/>
      </c>
      <c r="C62" t="str">
        <v>HSE A Haantjes Certifisc Oudenaarde</v>
      </c>
      <c r="D62" t="str">
        <v>HSE A</v>
      </c>
    </row>
    <row r="63" spans="1:4" x14ac:dyDescent="0.25">
      <c r="A63" t="str">
        <v>Jakob Marcou</v>
      </c>
      <c r="B63" t="str">
        <v/>
      </c>
      <c r="C63" t="str">
        <v>HSE A Haantjes Certifisc Oudenaarde</v>
      </c>
      <c r="D63" t="str">
        <v>HSE A</v>
      </c>
    </row>
    <row r="64" spans="1:4" x14ac:dyDescent="0.25">
      <c r="A64" t="str">
        <v>Bleys Maxime</v>
      </c>
      <c r="B64" t="str">
        <v/>
      </c>
      <c r="C64" t="str">
        <v>HSE A Haantjes Certifisc Oudenaarde</v>
      </c>
      <c r="D64" t="str">
        <v>HSE A</v>
      </c>
    </row>
    <row r="65" spans="1:4" x14ac:dyDescent="0.25">
      <c r="A65" t="str">
        <v>Robin Spaens</v>
      </c>
      <c r="B65" t="str">
        <v/>
      </c>
      <c r="C65" t="str">
        <v>HSE A Haantjes Certifisc Oudenaarde</v>
      </c>
      <c r="D65" t="str">
        <v>HSE A</v>
      </c>
    </row>
    <row r="66" spans="1:4" x14ac:dyDescent="0.25">
      <c r="A66" t="str">
        <v>Bram Van Wyngene</v>
      </c>
      <c r="B66" t="str">
        <v/>
      </c>
      <c r="C66" t="str">
        <v>HSE A Haantjes Certifisc Oudenaarde</v>
      </c>
      <c r="D66" t="str">
        <v>HSE A</v>
      </c>
    </row>
    <row r="67" spans="1:4" x14ac:dyDescent="0.25">
      <c r="A67" t="str">
        <v>Cedric Watteyn</v>
      </c>
      <c r="B67" t="str">
        <v/>
      </c>
      <c r="C67" t="str">
        <v>HSE A Haantjes Certifisc Oudenaarde</v>
      </c>
      <c r="D67" t="str">
        <v>HSE A</v>
      </c>
    </row>
    <row r="68" spans="1:4" x14ac:dyDescent="0.25">
      <c r="A68" t="str">
        <v>Rémi Bauters</v>
      </c>
      <c r="B68" t="str">
        <v/>
      </c>
      <c r="C68" t="str">
        <v>HSE B Haantjes Certifisc Oudenaarde</v>
      </c>
      <c r="D68" t="str">
        <v>HSE B</v>
      </c>
    </row>
    <row r="69" spans="1:4" x14ac:dyDescent="0.25">
      <c r="A69" t="str">
        <v>Matti Bogaert</v>
      </c>
      <c r="B69" t="str">
        <v/>
      </c>
      <c r="C69" t="str">
        <v>HSE B Haantjes Certifisc Oudenaarde</v>
      </c>
      <c r="D69" t="str">
        <v>HSE B</v>
      </c>
    </row>
    <row r="70" spans="1:4" x14ac:dyDescent="0.25">
      <c r="A70" t="str">
        <v>Dylann Bufkens</v>
      </c>
      <c r="B70" t="str">
        <v/>
      </c>
      <c r="C70" t="str">
        <v>HSE B Haantjes Certifisc Oudenaarde</v>
      </c>
      <c r="D70" t="str">
        <v>HSE B</v>
      </c>
    </row>
    <row r="71" spans="1:4" x14ac:dyDescent="0.25">
      <c r="A71" t="str">
        <v>Sofian D'Haenen</v>
      </c>
      <c r="B71" t="str">
        <v/>
      </c>
      <c r="C71" t="str">
        <v>HSE B Haantjes Certifisc Oudenaarde</v>
      </c>
      <c r="D71" t="str">
        <v>HSE B</v>
      </c>
    </row>
    <row r="72" spans="1:4" x14ac:dyDescent="0.25">
      <c r="A72" t="str">
        <v>David De Brabander</v>
      </c>
      <c r="B72" t="str">
        <v>https://app.twizzit.com/public/photos/4024795/s/7af12ff114d5d53515b4f220ddc6cdb6ff121519.png</v>
      </c>
      <c r="C72" t="str">
        <v>HSE B Haantjes Certifisc Oudenaarde</v>
      </c>
      <c r="D72" t="str">
        <v>HSE B</v>
      </c>
    </row>
    <row r="73" spans="1:4" x14ac:dyDescent="0.25">
      <c r="A73" t="str">
        <v>Milan De Brabander</v>
      </c>
      <c r="B73" t="str">
        <v>https://app.twizzit.com/public/photos/3519915/s/cb4bbdba90c700302dcd9548901e284ce021df92.jpeg</v>
      </c>
      <c r="C73" t="str">
        <v>HSE B Haantjes Certifisc Oudenaarde</v>
      </c>
      <c r="D73" t="str">
        <v>HSE B</v>
      </c>
    </row>
    <row r="74" spans="1:4" x14ac:dyDescent="0.25">
      <c r="A74" t="str">
        <v>Mathieu De Clercq</v>
      </c>
      <c r="B74" t="str">
        <v/>
      </c>
      <c r="C74" t="str">
        <v>HSE B Haantjes Certifisc Oudenaarde</v>
      </c>
      <c r="D74" t="str">
        <v>HSE B</v>
      </c>
    </row>
    <row r="75" spans="1:4" x14ac:dyDescent="0.25">
      <c r="A75" t="str">
        <v>Ryan Debouverie</v>
      </c>
      <c r="B75" t="str">
        <v/>
      </c>
      <c r="C75" t="str">
        <v>HSE B Haantjes Certifisc Oudenaarde</v>
      </c>
      <c r="D75" t="str">
        <v>HSE B</v>
      </c>
    </row>
    <row r="76" spans="1:4" x14ac:dyDescent="0.25">
      <c r="A76" t="str">
        <v>Yves Bellard Giriteka</v>
      </c>
      <c r="B76" t="str">
        <v/>
      </c>
      <c r="C76" t="str">
        <v>HSE B Haantjes Certifisc Oudenaarde</v>
      </c>
      <c r="D76" t="str">
        <v>HSE B</v>
      </c>
    </row>
    <row r="77" spans="1:4" x14ac:dyDescent="0.25">
      <c r="A77" t="str">
        <v>Thomas Goossens</v>
      </c>
      <c r="B77" t="str">
        <v>https://app.twizzit.com/public/photos/2182921/s/d5ec4bbccbaf575bfa3a597df60827a1e6809d4b.png</v>
      </c>
      <c r="C77" t="str">
        <v>HSE B Haantjes Certifisc Oudenaarde</v>
      </c>
      <c r="D77" t="str">
        <v>HSE B</v>
      </c>
    </row>
    <row r="78" spans="1:4" x14ac:dyDescent="0.25">
      <c r="A78" t="str">
        <v>Sander Hakuzimana</v>
      </c>
      <c r="B78" t="str">
        <v/>
      </c>
      <c r="C78" t="str">
        <v>HSE B Haantjes Certifisc Oudenaarde</v>
      </c>
      <c r="D78" t="str">
        <v>HSE B</v>
      </c>
    </row>
    <row r="79" spans="1:4" x14ac:dyDescent="0.25">
      <c r="A79" t="str">
        <v>Arno Heyerick</v>
      </c>
      <c r="B79" t="str">
        <v/>
      </c>
      <c r="C79" t="str">
        <v>HSE B Haantjes Certifisc Oudenaarde</v>
      </c>
      <c r="D79" t="str">
        <v>HSE B</v>
      </c>
    </row>
    <row r="80" spans="1:4" x14ac:dyDescent="0.25">
      <c r="A80" t="str">
        <v>Vic Huysman</v>
      </c>
      <c r="B80" t="str">
        <v>https://app.twizzit.com/public/photos/2936186/s/c4015a6cfb380c1e7090d66488ca6326fa9caa7a.png</v>
      </c>
      <c r="C80" t="str">
        <v>HSE B Haantjes Certifisc Oudenaarde</v>
      </c>
      <c r="D80" t="str">
        <v>HSE B</v>
      </c>
    </row>
    <row r="81" spans="1:4" x14ac:dyDescent="0.25">
      <c r="A81" t="str">
        <v>Aleksandr Kazmenko</v>
      </c>
      <c r="B81" t="str">
        <v/>
      </c>
      <c r="C81" t="str">
        <v>HSE B Haantjes Certifisc Oudenaarde</v>
      </c>
      <c r="D81" t="str">
        <v>HSE B</v>
      </c>
    </row>
    <row r="82" spans="1:4" x14ac:dyDescent="0.25">
      <c r="A82" t="str">
        <v>Brecht Van Glabeke</v>
      </c>
      <c r="B82" t="str">
        <v/>
      </c>
      <c r="C82" t="str">
        <v>HSE B Haantjes Certifisc Oudenaarde</v>
      </c>
      <c r="D82" t="str">
        <v>HSE B</v>
      </c>
    </row>
    <row r="83" spans="1:4" x14ac:dyDescent="0.25">
      <c r="A83" t="str">
        <v>Thomas Viaene</v>
      </c>
      <c r="B83" t="str">
        <v/>
      </c>
      <c r="C83" t="str">
        <v>HSE B Haantjes Certifisc Oudenaarde</v>
      </c>
      <c r="D83" t="str">
        <v>HSE B</v>
      </c>
    </row>
    <row r="84" spans="1:4" x14ac:dyDescent="0.25">
      <c r="A84" t="str">
        <v>Torre Beeckman</v>
      </c>
      <c r="B84" t="str">
        <v>https://app.twizzit.com/public/photos/2182491/s/9cf26edd91096e59f19c665e2f0a4528adc17aa7.png</v>
      </c>
      <c r="C84" t="str">
        <v>J16 A Haantjes CERTIFISC Oudenaarde</v>
      </c>
      <c r="D84" t="str">
        <v>J16 A</v>
      </c>
    </row>
    <row r="85" spans="1:4" x14ac:dyDescent="0.25">
      <c r="A85" t="str">
        <v>Liam Bufkens</v>
      </c>
      <c r="B85" t="str">
        <v/>
      </c>
      <c r="C85" t="str">
        <v>J16 A Haantjes CERTIFISC Oudenaarde</v>
      </c>
      <c r="D85" t="str">
        <v>J16 A</v>
      </c>
    </row>
    <row r="86" spans="1:4" x14ac:dyDescent="0.25">
      <c r="A86" t="str">
        <v>Jonah Cattoir</v>
      </c>
      <c r="B86" t="str">
        <v/>
      </c>
      <c r="C86" t="str">
        <v>J16 A Haantjes CERTIFISC Oudenaarde</v>
      </c>
      <c r="D86" t="str">
        <v>J16 A</v>
      </c>
    </row>
    <row r="87" spans="1:4" x14ac:dyDescent="0.25">
      <c r="A87" t="str">
        <v>Tibo Despriet</v>
      </c>
      <c r="B87" t="str">
        <v>https://app.twizzit.com/public/photos/3884890/s/99828396af5826db82003655528894a4f299045f.jpeg</v>
      </c>
      <c r="C87" t="str">
        <v>J16 A Haantjes CERTIFISC Oudenaarde</v>
      </c>
      <c r="D87" t="str">
        <v>J16 A</v>
      </c>
    </row>
    <row r="88" spans="1:4" x14ac:dyDescent="0.25">
      <c r="A88" t="str">
        <v>Nathan Dewaele</v>
      </c>
      <c r="B88" t="str">
        <v>https://app.twizzit.com/public/photos/2182816/s/c00a73a61de05b1991d5eac8f8ad498e97a90e40.png</v>
      </c>
      <c r="C88" t="str">
        <v>J16 A Haantjes CERTIFISC Oudenaarde</v>
      </c>
      <c r="D88" t="str">
        <v>J16 A</v>
      </c>
    </row>
    <row r="89" spans="1:4" x14ac:dyDescent="0.25">
      <c r="A89" t="str">
        <v>Basiel Genbrugge</v>
      </c>
      <c r="B89" t="str">
        <v>https://app.twizzit.com/public/photos/8579142/s/db8d4000b96831e0c69a1f9ee9bb0955ce673dba.png</v>
      </c>
      <c r="C89" t="str">
        <v>J16 A Haantjes CERTIFISC Oudenaarde</v>
      </c>
      <c r="D89" t="str">
        <v>J16 A</v>
      </c>
    </row>
    <row r="90" spans="1:4" x14ac:dyDescent="0.25">
      <c r="A90" t="str">
        <v>Briek Goossens</v>
      </c>
      <c r="B90" t="str">
        <v/>
      </c>
      <c r="C90" t="str">
        <v>J16 A Haantjes CERTIFISC Oudenaarde</v>
      </c>
      <c r="D90" t="str">
        <v>J16 A</v>
      </c>
    </row>
    <row r="91" spans="1:4" x14ac:dyDescent="0.25">
      <c r="A91" t="str">
        <v>Viktor L’Hommelet</v>
      </c>
      <c r="B91" t="str">
        <v/>
      </c>
      <c r="C91" t="str">
        <v>J16 A Haantjes CERTIFISC Oudenaarde</v>
      </c>
      <c r="D91" t="str">
        <v>J16 A</v>
      </c>
    </row>
    <row r="92" spans="1:4" x14ac:dyDescent="0.25">
      <c r="A92" t="str">
        <v>Kasper Mees</v>
      </c>
      <c r="B92" t="str">
        <v>https://app.twizzit.com/public/photos/2183112/s/07942e4161d7a20864d1fbcf54b9a6dda331637e.png</v>
      </c>
      <c r="C92" t="str">
        <v>J16 A Haantjes CERTIFISC Oudenaarde</v>
      </c>
      <c r="D92" t="str">
        <v>J16 A</v>
      </c>
    </row>
    <row r="93" spans="1:4" x14ac:dyDescent="0.25">
      <c r="A93" t="str">
        <v>Gust Ottevaere</v>
      </c>
      <c r="B93" t="str">
        <v/>
      </c>
      <c r="C93" t="str">
        <v>J16 A Haantjes CERTIFISC Oudenaarde</v>
      </c>
      <c r="D93" t="str">
        <v>J16 A</v>
      </c>
    </row>
    <row r="94" spans="1:4" x14ac:dyDescent="0.25">
      <c r="A94" t="str">
        <v>Anoek Van Caeneghem</v>
      </c>
      <c r="B94" t="str">
        <v>https://app.twizzit.com/public/photos/11917018/s/e098521fbafba2a80a9ddb8d7c06f83cdbae52a9.png</v>
      </c>
      <c r="C94" t="str">
        <v>J16 A Haantjes CERTIFISC Oudenaarde</v>
      </c>
      <c r="D94" t="str">
        <v>J16 A</v>
      </c>
    </row>
    <row r="95" spans="1:4" x14ac:dyDescent="0.25">
      <c r="A95" t="str">
        <v>Joao Arickx</v>
      </c>
      <c r="B95" t="str">
        <v/>
      </c>
      <c r="C95" t="str">
        <v>J16 B Haantjes CERTIFISC Oudenaarde</v>
      </c>
      <c r="D95" t="str">
        <v>J16 B</v>
      </c>
    </row>
    <row r="96" spans="1:4" x14ac:dyDescent="0.25">
      <c r="A96" t="str">
        <v>Jasper Baert</v>
      </c>
      <c r="B96" t="str">
        <v>https://app.twizzit.com/public/photos/2650780/s/77c3f1ac992ce48307c6c7ab431ab89e2bd37774.png</v>
      </c>
      <c r="C96" t="str">
        <v>J16 B Haantjes CERTIFISC Oudenaarde</v>
      </c>
      <c r="D96" t="str">
        <v>J16 B</v>
      </c>
    </row>
    <row r="97" spans="1:4" x14ac:dyDescent="0.25">
      <c r="A97" t="str">
        <v>Emile Berkvens</v>
      </c>
      <c r="B97" t="str">
        <v>https://app.twizzit.com/public/photos/2650778/s/15d2f475817dbbc2474d7d1a8b8b6a06ed3f6c72.png</v>
      </c>
      <c r="C97" t="str">
        <v>J16 B Haantjes CERTIFISC Oudenaarde</v>
      </c>
      <c r="D97" t="str">
        <v>J16 B</v>
      </c>
    </row>
    <row r="98" spans="1:4" x14ac:dyDescent="0.25">
      <c r="A98" t="str">
        <v>Len De Coussemaker</v>
      </c>
      <c r="B98" t="str">
        <v>https://app.twizzit.com/public/photos/2182636/s/ac8133dfa6021f95e4cb86240c3d9e68218f8a83.png</v>
      </c>
      <c r="C98" t="str">
        <v>J16 B Haantjes CERTIFISC Oudenaarde</v>
      </c>
      <c r="D98" t="str">
        <v>J16 B</v>
      </c>
    </row>
    <row r="99" spans="1:4" x14ac:dyDescent="0.25">
      <c r="A99" t="str">
        <v>Niels De Lepeleire</v>
      </c>
      <c r="B99" t="str">
        <v/>
      </c>
      <c r="C99" t="str">
        <v>J16 B Haantjes CERTIFISC Oudenaarde</v>
      </c>
      <c r="D99" t="str">
        <v>J16 B</v>
      </c>
    </row>
    <row r="100" spans="1:4" x14ac:dyDescent="0.25">
      <c r="A100" t="str">
        <v>Emmanuel Dull</v>
      </c>
      <c r="B100" t="str">
        <v/>
      </c>
      <c r="C100" t="str">
        <v>J16 B Haantjes CERTIFISC Oudenaarde</v>
      </c>
      <c r="D100" t="str">
        <v>J16 B</v>
      </c>
    </row>
    <row r="101" spans="1:4" x14ac:dyDescent="0.25">
      <c r="A101" t="str">
        <v>Victor Geiregat</v>
      </c>
      <c r="B101" t="str">
        <v/>
      </c>
      <c r="C101" t="str">
        <v>J16 B Haantjes CERTIFISC Oudenaarde</v>
      </c>
      <c r="D101" t="str">
        <v>J16 B</v>
      </c>
    </row>
    <row r="102" spans="1:4" x14ac:dyDescent="0.25">
      <c r="A102" t="str">
        <v>Alexander Libert</v>
      </c>
      <c r="B102" t="str">
        <v/>
      </c>
      <c r="C102" t="str">
        <v>J16 B Haantjes CERTIFISC Oudenaarde</v>
      </c>
      <c r="D102" t="str">
        <v>J16 B</v>
      </c>
    </row>
    <row r="103" spans="1:4" x14ac:dyDescent="0.25">
      <c r="A103" t="str">
        <v>Jean-Reno Neyrinck</v>
      </c>
      <c r="B103" t="str">
        <v>https://app.twizzit.com/public/photos/3543437/s/4b4d34aba7c38171a5f39885d89d2a702bb4c5c8.jpeg</v>
      </c>
      <c r="C103" t="str">
        <v>J16 B Haantjes CERTIFISC Oudenaarde</v>
      </c>
      <c r="D103" t="str">
        <v>J16 B</v>
      </c>
    </row>
    <row r="104" spans="1:4" x14ac:dyDescent="0.25">
      <c r="A104" t="str">
        <v>Maro Thas</v>
      </c>
      <c r="B104" t="str">
        <v>https://app.twizzit.com/public/photos/3451572/s/f7bd7e0dc5dd014e64108bf9fe43059bbb6a9a41.png</v>
      </c>
      <c r="C104" t="str">
        <v>J16 B Haantjes CERTIFISC Oudenaarde</v>
      </c>
      <c r="D104" t="str">
        <v>J16 B</v>
      </c>
    </row>
    <row r="105" spans="1:4" x14ac:dyDescent="0.25">
      <c r="A105" t="str">
        <v>Kobe Vandaele</v>
      </c>
      <c r="B105" t="str">
        <v/>
      </c>
      <c r="C105" t="str">
        <v>J16 B Haantjes CERTIFISC Oudenaarde</v>
      </c>
      <c r="D105" t="str">
        <v>J16 B</v>
      </c>
    </row>
    <row r="106" spans="1:4" x14ac:dyDescent="0.25">
      <c r="A106" t="str">
        <v>Lukas Vandemaele</v>
      </c>
      <c r="B106" t="str">
        <v/>
      </c>
      <c r="C106" t="str">
        <v>J16 B Haantjes CERTIFISC Oudenaarde</v>
      </c>
      <c r="D106" t="str">
        <v>J16 B</v>
      </c>
    </row>
    <row r="107" spans="1:4" x14ac:dyDescent="0.25">
      <c r="A107" t="str">
        <v>Mats Verstraeten</v>
      </c>
      <c r="B107" t="str">
        <v/>
      </c>
      <c r="C107" t="str">
        <v>J16 B Haantjes CERTIFISC Oudenaarde</v>
      </c>
      <c r="D107" t="str">
        <v>J16 B</v>
      </c>
    </row>
    <row r="108" spans="1:4" x14ac:dyDescent="0.25">
      <c r="A108" t="str">
        <v>Matti Bogaert</v>
      </c>
      <c r="B108" t="str">
        <v/>
      </c>
      <c r="C108" t="str">
        <v>J18 A Haantjes CERTIFISC Oudenaarde</v>
      </c>
      <c r="D108" t="str">
        <v>J18 A</v>
      </c>
    </row>
    <row r="109" spans="1:4" x14ac:dyDescent="0.25">
      <c r="A109" t="str">
        <v>Sofian D'Haenen</v>
      </c>
      <c r="B109" t="str">
        <v/>
      </c>
      <c r="C109" t="str">
        <v>J18 A Haantjes CERTIFISC Oudenaarde</v>
      </c>
      <c r="D109" t="str">
        <v>J18 A</v>
      </c>
    </row>
    <row r="110" spans="1:4" x14ac:dyDescent="0.25">
      <c r="A110" t="str">
        <v>Yunus D'Haenen</v>
      </c>
      <c r="B110" t="str">
        <v/>
      </c>
      <c r="C110" t="str">
        <v>J18 A Haantjes CERTIFISC Oudenaarde</v>
      </c>
      <c r="D110" t="str">
        <v>J18 A</v>
      </c>
    </row>
    <row r="111" spans="1:4" x14ac:dyDescent="0.25">
      <c r="A111" t="str">
        <v>David De Brabander</v>
      </c>
      <c r="B111" t="str">
        <v>https://app.twizzit.com/public/photos/4024795/s/7af12ff114d5d53515b4f220ddc6cdb6ff121519.png</v>
      </c>
      <c r="C111" t="str">
        <v>J18 A Haantjes CERTIFISC Oudenaarde</v>
      </c>
      <c r="D111" t="str">
        <v>J18 A</v>
      </c>
    </row>
    <row r="112" spans="1:4" x14ac:dyDescent="0.25">
      <c r="A112" t="str">
        <v>Milan De Brabander</v>
      </c>
      <c r="B112" t="str">
        <v>https://app.twizzit.com/public/photos/3519915/s/cb4bbdba90c700302dcd9548901e284ce021df92.jpeg</v>
      </c>
      <c r="C112" t="str">
        <v>J18 A Haantjes CERTIFISC Oudenaarde</v>
      </c>
      <c r="D112" t="str">
        <v>J18 A</v>
      </c>
    </row>
    <row r="113" spans="1:4" x14ac:dyDescent="0.25">
      <c r="A113" t="str">
        <v>Emile-Louis De Windt</v>
      </c>
      <c r="B113" t="str">
        <v>https://app.twizzit.com/public/photos/3463928/s/65ba284a6aa8f67e5b08f396e397206e4afd6e82.png</v>
      </c>
      <c r="C113" t="str">
        <v>J18 A Haantjes CERTIFISC Oudenaarde</v>
      </c>
      <c r="D113" t="str">
        <v>J18 A</v>
      </c>
    </row>
    <row r="114" spans="1:4" x14ac:dyDescent="0.25">
      <c r="A114" t="str">
        <v>Jasper Espeel</v>
      </c>
      <c r="B114" t="str">
        <v/>
      </c>
      <c r="C114" t="str">
        <v>J18 A Haantjes CERTIFISC Oudenaarde</v>
      </c>
      <c r="D114" t="str">
        <v>J18 A</v>
      </c>
    </row>
    <row r="115" spans="1:4" x14ac:dyDescent="0.25">
      <c r="A115" t="str">
        <v>Vic Huysman</v>
      </c>
      <c r="B115" t="str">
        <v>https://app.twizzit.com/public/photos/2936186/s/c4015a6cfb380c1e7090d66488ca6326fa9caa7a.png</v>
      </c>
      <c r="C115" t="str">
        <v>J18 A Haantjes CERTIFISC Oudenaarde</v>
      </c>
      <c r="D115" t="str">
        <v>J18 A</v>
      </c>
    </row>
    <row r="116" spans="1:4" x14ac:dyDescent="0.25">
      <c r="A116" t="str">
        <v>Rayan Lebrouchi Poddubnaya</v>
      </c>
      <c r="B116" t="str">
        <v/>
      </c>
      <c r="C116" t="str">
        <v>J18 A Haantjes CERTIFISC Oudenaarde</v>
      </c>
      <c r="D116" t="str">
        <v>J18 A</v>
      </c>
    </row>
    <row r="117" spans="1:4" x14ac:dyDescent="0.25">
      <c r="A117" t="str">
        <v>Brecht Van Glabeke</v>
      </c>
      <c r="B117" t="str">
        <v/>
      </c>
      <c r="C117" t="str">
        <v>J18 A Haantjes CERTIFISC Oudenaarde</v>
      </c>
      <c r="D117" t="str">
        <v>J18 A</v>
      </c>
    </row>
    <row r="118" spans="1:4" x14ac:dyDescent="0.25">
      <c r="A118" t="str">
        <v>Miro Van Schoorisse</v>
      </c>
      <c r="B118" t="str">
        <v/>
      </c>
      <c r="C118" t="str">
        <v>J18 A Haantjes CERTIFISC Oudenaarde</v>
      </c>
      <c r="D118" t="str">
        <v>J18 A</v>
      </c>
    </row>
    <row r="119" spans="1:4" x14ac:dyDescent="0.25">
      <c r="A119" t="str">
        <v>Bram Van Wyngene</v>
      </c>
      <c r="B119" t="str">
        <v/>
      </c>
      <c r="C119" t="str">
        <v>J18 A Haantjes CERTIFISC Oudenaarde</v>
      </c>
      <c r="D119" t="str">
        <v>J18 A</v>
      </c>
    </row>
    <row r="120" spans="1:4" x14ac:dyDescent="0.25">
      <c r="A120" t="str">
        <v>Lowie Vande Kerckhove</v>
      </c>
      <c r="B120" t="str">
        <v/>
      </c>
      <c r="C120" t="str">
        <v>J18 A Haantjes CERTIFISC Oudenaarde</v>
      </c>
      <c r="D120" t="str">
        <v>J18 A</v>
      </c>
    </row>
    <row r="121" spans="1:4" x14ac:dyDescent="0.25">
      <c r="A121" t="str">
        <v>Thomas Viaene</v>
      </c>
      <c r="B121" t="str">
        <v/>
      </c>
      <c r="C121" t="str">
        <v>J18 A Haantjes CERTIFISC Oudenaarde</v>
      </c>
      <c r="D121" t="str">
        <v>J18 A</v>
      </c>
    </row>
    <row r="122" spans="1:4" x14ac:dyDescent="0.25">
      <c r="A122" t="str">
        <v>Bent Anseeuw</v>
      </c>
      <c r="B122" t="str">
        <v>https://app.twizzit.com/public/photos/2182451/s/d40702514c4affc118f06eee4555b1ca966c4e65.png</v>
      </c>
      <c r="C122" t="str">
        <v>J18 B Haantjes CERTIFISC Oudenaarde</v>
      </c>
      <c r="D122" t="str">
        <v>J18 B</v>
      </c>
    </row>
    <row r="123" spans="1:4" x14ac:dyDescent="0.25">
      <c r="A123" t="str">
        <v>Vince Beke</v>
      </c>
      <c r="B123" t="str">
        <v>https://app.twizzit.com/public/photos/2182501/s/ff9efabb61fd27d35070a050abd98c15c9bfe6c5.png</v>
      </c>
      <c r="C123" t="str">
        <v>J18 B Haantjes CERTIFISC Oudenaarde</v>
      </c>
      <c r="D123" t="str">
        <v>J18 B</v>
      </c>
    </row>
    <row r="124" spans="1:4" x14ac:dyDescent="0.25">
      <c r="A124" t="str">
        <v>Quinten Benoot</v>
      </c>
      <c r="B124" t="str">
        <v>https://app.twizzit.com/public/photos/4080393/s/fc77b80b0f519cf2bcaae55fec7f11c92e5c4d9f.jpeg</v>
      </c>
      <c r="C124" t="str">
        <v>J18 B Haantjes CERTIFISC Oudenaarde</v>
      </c>
      <c r="D124" t="str">
        <v>J18 B</v>
      </c>
    </row>
    <row r="125" spans="1:4" x14ac:dyDescent="0.25">
      <c r="A125" t="str">
        <v>Liam Bourgeois</v>
      </c>
      <c r="B125" t="str">
        <v/>
      </c>
      <c r="C125" t="str">
        <v>J18 B Haantjes CERTIFISC Oudenaarde</v>
      </c>
      <c r="D125" t="str">
        <v>J18 B</v>
      </c>
    </row>
    <row r="126" spans="1:4" x14ac:dyDescent="0.25">
      <c r="A126" t="str">
        <v>Kobe Boutmans</v>
      </c>
      <c r="B126" t="str">
        <v/>
      </c>
      <c r="C126" t="str">
        <v>J18 B Haantjes CERTIFISC Oudenaarde</v>
      </c>
      <c r="D126" t="str">
        <v>J18 B</v>
      </c>
    </row>
    <row r="127" spans="1:4" x14ac:dyDescent="0.25">
      <c r="A127" t="str">
        <v>Dylann Bufkens</v>
      </c>
      <c r="B127" t="str">
        <v/>
      </c>
      <c r="C127" t="str">
        <v>J18 B Haantjes CERTIFISC Oudenaarde</v>
      </c>
      <c r="D127" t="str">
        <v>J18 B</v>
      </c>
    </row>
    <row r="128" spans="1:4" x14ac:dyDescent="0.25">
      <c r="A128" t="str">
        <v>Mathis Cromheeke</v>
      </c>
      <c r="B128" t="str">
        <v/>
      </c>
      <c r="C128" t="str">
        <v>J18 B Haantjes CERTIFISC Oudenaarde</v>
      </c>
      <c r="D128" t="str">
        <v>J18 B</v>
      </c>
    </row>
    <row r="129" spans="1:4" x14ac:dyDescent="0.25">
      <c r="A129" t="str">
        <v>Niels De Coussemaker</v>
      </c>
      <c r="B129" t="str">
        <v>https://app.twizzit.com/public/photos/2182641/s/bc2ed87ccb6bf61129b3522eabde4c5cff856719.png</v>
      </c>
      <c r="C129" t="str">
        <v>J18 B Haantjes CERTIFISC Oudenaarde</v>
      </c>
      <c r="D129" t="str">
        <v>J18 B</v>
      </c>
    </row>
    <row r="130" spans="1:4" x14ac:dyDescent="0.25">
      <c r="A130" t="str">
        <v>Sam Liekens</v>
      </c>
      <c r="B130" t="str">
        <v>https://app.twizzit.com/public/photos/3475283/s/e532263ea43cddb59650656f3777387ca04d2de4.jpeg</v>
      </c>
      <c r="C130" t="str">
        <v>J18 B Haantjes CERTIFISC Oudenaarde</v>
      </c>
      <c r="D130" t="str">
        <v>J18 B</v>
      </c>
    </row>
    <row r="131" spans="1:4" x14ac:dyDescent="0.25">
      <c r="A131" t="str">
        <v>Kamiel Mahieu</v>
      </c>
      <c r="B131" t="str">
        <v/>
      </c>
      <c r="C131" t="str">
        <v>J18 B Haantjes CERTIFISC Oudenaarde</v>
      </c>
      <c r="D131" t="str">
        <v>J18 B</v>
      </c>
    </row>
    <row r="132" spans="1:4" x14ac:dyDescent="0.25">
      <c r="A132" t="str">
        <v>Ziano Schoenmaekers</v>
      </c>
      <c r="B132" t="str">
        <v>https://app.twizzit.com/public/photos/2650796/s/806ce17769fd3d29fc435d865a5b302b6c25c6ca.png</v>
      </c>
      <c r="C132" t="str">
        <v>J18 B Haantjes CERTIFISC Oudenaarde</v>
      </c>
      <c r="D132" t="str">
        <v>J18 B</v>
      </c>
    </row>
    <row r="133" spans="1:4" x14ac:dyDescent="0.25">
      <c r="A133" t="str">
        <v>Jaimie Van Marcke</v>
      </c>
      <c r="B133" t="str">
        <v>https://app.twizzit.com/public/photos/4080394/s/a0a6f7a1f3c9650e7b60b7c90fcc741fdb018fb0.png</v>
      </c>
      <c r="C133" t="str">
        <v>J18 B Haantjes CERTIFISC Oudenaarde</v>
      </c>
      <c r="D133" t="str">
        <v>J18 B</v>
      </c>
    </row>
    <row r="134" spans="1:4" x14ac:dyDescent="0.25">
      <c r="A134" t="str">
        <v>Emiel Verlinden</v>
      </c>
      <c r="B134" t="str">
        <v/>
      </c>
      <c r="C134" t="str">
        <v>J18 B Haantjes CERTIFISC Oudenaarde</v>
      </c>
      <c r="D134" t="str">
        <v>J18 B</v>
      </c>
    </row>
    <row r="135" spans="1:4" x14ac:dyDescent="0.25">
      <c r="A135" t="str">
        <v>Rémi Bauters</v>
      </c>
      <c r="B135" t="str">
        <v/>
      </c>
      <c r="C135" t="str">
        <v>J21 A HAANTJES CERTIFISC OUDENAARDE</v>
      </c>
      <c r="D135" t="str">
        <v>J21 A</v>
      </c>
    </row>
    <row r="136" spans="1:4" x14ac:dyDescent="0.25">
      <c r="A136" t="str">
        <v>Luka Coryn</v>
      </c>
      <c r="B136" t="str">
        <v/>
      </c>
      <c r="C136" t="str">
        <v>J21 A HAANTJES CERTIFISC OUDENAARDE</v>
      </c>
      <c r="D136" t="str">
        <v>J21 A</v>
      </c>
    </row>
    <row r="137" spans="1:4" x14ac:dyDescent="0.25">
      <c r="A137" t="str">
        <v>Tanguy Creteur</v>
      </c>
      <c r="B137" t="str">
        <v/>
      </c>
      <c r="C137" t="str">
        <v>J21 A HAANTJES CERTIFISC OUDENAARDE</v>
      </c>
      <c r="D137" t="str">
        <v>J21 A</v>
      </c>
    </row>
    <row r="138" spans="1:4" x14ac:dyDescent="0.25">
      <c r="A138" t="str">
        <v>David De Brabander</v>
      </c>
      <c r="B138" t="str">
        <v>https://app.twizzit.com/public/photos/4024795/s/7af12ff114d5d53515b4f220ddc6cdb6ff121519.png</v>
      </c>
      <c r="C138" t="str">
        <v>J21 A HAANTJES CERTIFISC OUDENAARDE</v>
      </c>
      <c r="D138" t="str">
        <v>J21 A</v>
      </c>
    </row>
    <row r="139" spans="1:4" x14ac:dyDescent="0.25">
      <c r="A139" t="str">
        <v>Pieter Diependaele</v>
      </c>
      <c r="B139" t="str">
        <v>https://app.twizzit.com/public/photos/3239965/s/944ad53074c1441abd98efedc98fef813d2f093f.png</v>
      </c>
      <c r="C139" t="str">
        <v>J21 A HAANTJES CERTIFISC OUDENAARDE</v>
      </c>
      <c r="D139" t="str">
        <v>J21 A</v>
      </c>
    </row>
    <row r="140" spans="1:4" x14ac:dyDescent="0.25">
      <c r="A140" t="str">
        <v>Thomas Goossens</v>
      </c>
      <c r="B140" t="str">
        <v>https://app.twizzit.com/public/photos/2182921/s/d5ec4bbccbaf575bfa3a597df60827a1e6809d4b.png</v>
      </c>
      <c r="C140" t="str">
        <v>J21 A HAANTJES CERTIFISC OUDENAARDE</v>
      </c>
      <c r="D140" t="str">
        <v>J21 A</v>
      </c>
    </row>
    <row r="141" spans="1:4" x14ac:dyDescent="0.25">
      <c r="A141" t="str">
        <v>Sander Hakuzimana</v>
      </c>
      <c r="B141" t="str">
        <v/>
      </c>
      <c r="C141" t="str">
        <v>J21 A HAANTJES CERTIFISC OUDENAARDE</v>
      </c>
      <c r="D141" t="str">
        <v>J21 A</v>
      </c>
    </row>
    <row r="142" spans="1:4" x14ac:dyDescent="0.25">
      <c r="A142" t="str">
        <v>Arno Heyerick</v>
      </c>
      <c r="B142" t="str">
        <v/>
      </c>
      <c r="C142" t="str">
        <v>J21 A HAANTJES CERTIFISC OUDENAARDE</v>
      </c>
      <c r="D142" t="str">
        <v>J21 A</v>
      </c>
    </row>
    <row r="143" spans="1:4" x14ac:dyDescent="0.25">
      <c r="A143" t="str">
        <v>Rayan Lebrouchi Poddubnaya</v>
      </c>
      <c r="B143" t="str">
        <v/>
      </c>
      <c r="C143" t="str">
        <v>J21 A HAANTJES CERTIFISC OUDENAARDE</v>
      </c>
      <c r="D143" t="str">
        <v>J21 A</v>
      </c>
    </row>
    <row r="144" spans="1:4" x14ac:dyDescent="0.25">
      <c r="A144" t="str">
        <v>Emiel Vanderhelstraeten</v>
      </c>
      <c r="B144" t="str">
        <v/>
      </c>
      <c r="C144" t="str">
        <v>J21 A HAANTJES CERTIFISC OUDENAARDE</v>
      </c>
      <c r="D144" t="str">
        <v>J21 A</v>
      </c>
    </row>
    <row r="145" spans="1:4" x14ac:dyDescent="0.25">
      <c r="A145" t="str">
        <v>Bogdan Verstraete</v>
      </c>
      <c r="B145" t="str">
        <v/>
      </c>
      <c r="C145" t="str">
        <v>J21 A HAANTJES CERTIFISC OUDENAARDE</v>
      </c>
      <c r="D145" t="str">
        <v>J21 A</v>
      </c>
    </row>
    <row r="146" spans="1:4" x14ac:dyDescent="0.25">
      <c r="A146" t="str">
        <v>Karen Dans</v>
      </c>
      <c r="B146" t="str">
        <v>https://app.twizzit.com/public/photos/2182586/s/3c061ecaa7eb60b4e8b27f2490fa3fff24778b0c.png</v>
      </c>
      <c r="C146" t="str">
        <v>M10 HAANTJES CERTIFISC OUDENAARDE</v>
      </c>
      <c r="D146" t="str">
        <v>M10</v>
      </c>
    </row>
    <row r="147" spans="1:4" x14ac:dyDescent="0.25">
      <c r="A147" t="str">
        <v>Noa Bauters</v>
      </c>
      <c r="B147" t="str">
        <v>https://app.twizzit.com/public/photos/11846410/s/0498863fb0a62c783eced92596a817e3339dca11.jpeg</v>
      </c>
      <c r="C147" t="str">
        <v>M12 A HAANTJES CERTIFISC OUDENAARDE</v>
      </c>
      <c r="D147" t="str">
        <v>M12 A</v>
      </c>
    </row>
    <row r="148" spans="1:4" x14ac:dyDescent="0.25">
      <c r="A148" t="str">
        <v>Iris Calewaert</v>
      </c>
      <c r="B148" t="str">
        <v/>
      </c>
      <c r="C148" t="str">
        <v>M12 A HAANTJES CERTIFISC OUDENAARDE</v>
      </c>
      <c r="D148" t="str">
        <v>M12 A</v>
      </c>
    </row>
    <row r="149" spans="1:4" x14ac:dyDescent="0.25">
      <c r="A149" t="str">
        <v>Minne De Coninck</v>
      </c>
      <c r="B149" t="str">
        <v/>
      </c>
      <c r="C149" t="str">
        <v>M12 A HAANTJES CERTIFISC OUDENAARDE</v>
      </c>
      <c r="D149" t="str">
        <v>M12 A</v>
      </c>
    </row>
    <row r="150" spans="1:4" x14ac:dyDescent="0.25">
      <c r="A150" t="str">
        <v>Mary-Lou De Keukeleire</v>
      </c>
      <c r="B150" t="str">
        <v>https://app.twizzit.com/public/photos/7663442/s/a1e4c1d99d71fda9ac80bca383a3ddb377005195.png</v>
      </c>
      <c r="C150" t="str">
        <v>M12 A HAANTJES CERTIFISC OUDENAARDE</v>
      </c>
      <c r="D150" t="str">
        <v>M12 A</v>
      </c>
    </row>
    <row r="151" spans="1:4" x14ac:dyDescent="0.25">
      <c r="A151" t="str">
        <v>Gaëlle de la Rivière</v>
      </c>
      <c r="B151" t="str">
        <v/>
      </c>
      <c r="C151" t="str">
        <v>M12 A HAANTJES CERTIFISC OUDENAARDE</v>
      </c>
      <c r="D151" t="str">
        <v>M12 A</v>
      </c>
    </row>
    <row r="152" spans="1:4" x14ac:dyDescent="0.25">
      <c r="A152" t="str">
        <v>Emmanuelle Dewaele</v>
      </c>
      <c r="B152" t="str">
        <v/>
      </c>
      <c r="C152" t="str">
        <v>M12 A HAANTJES CERTIFISC OUDENAARDE</v>
      </c>
      <c r="D152" t="str">
        <v>M12 A</v>
      </c>
    </row>
    <row r="153" spans="1:4" x14ac:dyDescent="0.25">
      <c r="A153" t="str">
        <v>Maud Lacres</v>
      </c>
      <c r="B153" t="str">
        <v>https://app.twizzit.com/public/photos/7284400/s/788dc5308deee743b8d2d9764e0824010b7633fe.png</v>
      </c>
      <c r="C153" t="str">
        <v>M12 A HAANTJES CERTIFISC OUDENAARDE</v>
      </c>
      <c r="D153" t="str">
        <v>M12 A</v>
      </c>
    </row>
    <row r="154" spans="1:4" x14ac:dyDescent="0.25">
      <c r="A154" t="str">
        <v>Babet Laurez</v>
      </c>
      <c r="B154" t="str">
        <v/>
      </c>
      <c r="C154" t="str">
        <v>M12 A HAANTJES CERTIFISC OUDENAARDE</v>
      </c>
      <c r="D154" t="str">
        <v>M12 A</v>
      </c>
    </row>
    <row r="155" spans="1:4" x14ac:dyDescent="0.25">
      <c r="A155" t="str">
        <v>Felice Libert</v>
      </c>
      <c r="B155" t="str">
        <v>https://app.twizzit.com/public/photos/7279180/s/1c5d9fda02031baa486ebec940b4c251ec4b6762.png</v>
      </c>
      <c r="C155" t="str">
        <v>M12 A HAANTJES CERTIFISC OUDENAARDE</v>
      </c>
      <c r="D155" t="str">
        <v>M12 A</v>
      </c>
    </row>
    <row r="156" spans="1:4" x14ac:dyDescent="0.25">
      <c r="A156" t="str">
        <v>Loes Van de Populiere</v>
      </c>
      <c r="B156" t="str">
        <v/>
      </c>
      <c r="C156" t="str">
        <v>M12 A HAANTJES CERTIFISC OUDENAARDE</v>
      </c>
      <c r="D156" t="str">
        <v>M12 A</v>
      </c>
    </row>
    <row r="157" spans="1:4" x14ac:dyDescent="0.25">
      <c r="A157" t="str">
        <v>Emma Van Nieuwenhuyze</v>
      </c>
      <c r="B157" t="str">
        <v/>
      </c>
      <c r="C157" t="str">
        <v>M12 A HAANTJES CERTIFISC OUDENAARDE</v>
      </c>
      <c r="D157" t="str">
        <v>M12 A</v>
      </c>
    </row>
    <row r="158" spans="1:4" x14ac:dyDescent="0.25">
      <c r="A158" t="str">
        <v>Joselien Vannieuwenhuyze</v>
      </c>
      <c r="B158" t="str">
        <v>https://app.twizzit.com/public/photos/7500726/s/2eff7ed0f6739149e998067c7d82dda70894fc63.png</v>
      </c>
      <c r="C158" t="str">
        <v>M12 A HAANTJES CERTIFISC OUDENAARDE</v>
      </c>
      <c r="D158" t="str">
        <v>M12 A</v>
      </c>
    </row>
    <row r="159" spans="1:4" x14ac:dyDescent="0.25">
      <c r="A159" t="str">
        <v>Mare Anseeuw</v>
      </c>
      <c r="B159" t="str">
        <v>https://app.twizzit.com/public/photos/2182456/s/112b54676bd1e925e699cce3ec7a25a94902a3a2.png</v>
      </c>
      <c r="C159" t="str">
        <v>M14 A Haantjes CERTIFISC  Oudenaarde</v>
      </c>
      <c r="D159" t="str">
        <v>M14 A</v>
      </c>
    </row>
    <row r="160" spans="1:4" x14ac:dyDescent="0.25">
      <c r="A160" t="str">
        <v>Janna Bauters</v>
      </c>
      <c r="B160" t="str">
        <v>https://app.twizzit.com/public/photos/2182476/s/d120dcfc0ec82f0d803829f917b4287681f3dd01.png</v>
      </c>
      <c r="C160" t="str">
        <v>M14 A Haantjes CERTIFISC  Oudenaarde</v>
      </c>
      <c r="D160" t="str">
        <v>M14 A</v>
      </c>
    </row>
    <row r="161" spans="1:4" x14ac:dyDescent="0.25">
      <c r="A161" t="str">
        <v>Celeste Blancke</v>
      </c>
      <c r="B161" t="str">
        <v>https://app.twizzit.com/public/photos/3500953/s/601083ebf506787be01432d1e891039519c5d9b6.jpeg</v>
      </c>
      <c r="C161" t="str">
        <v>M14 A Haantjes CERTIFISC  Oudenaarde</v>
      </c>
      <c r="D161" t="str">
        <v>M14 A</v>
      </c>
    </row>
    <row r="162" spans="1:4" x14ac:dyDescent="0.25">
      <c r="A162" t="str">
        <v>Ella-Marie Crombez</v>
      </c>
      <c r="B162" t="str">
        <v/>
      </c>
      <c r="C162" t="str">
        <v>M14 A Haantjes CERTIFISC  Oudenaarde</v>
      </c>
      <c r="D162" t="str">
        <v>M14 A</v>
      </c>
    </row>
    <row r="163" spans="1:4" x14ac:dyDescent="0.25">
      <c r="A163" t="str">
        <v>Limme De Zitter</v>
      </c>
      <c r="B163" t="str">
        <v/>
      </c>
      <c r="C163" t="str">
        <v>M14 A Haantjes CERTIFISC  Oudenaarde</v>
      </c>
      <c r="D163" t="str">
        <v>M14 A</v>
      </c>
    </row>
    <row r="164" spans="1:4" x14ac:dyDescent="0.25">
      <c r="A164" t="str">
        <v>Ode Desmet</v>
      </c>
      <c r="B164" t="str">
        <v>https://app.twizzit.com/public/photos/2650916/s/be89217f1fc3b11d85c4b13abcca39bae64798e5.png</v>
      </c>
      <c r="C164" t="str">
        <v>M14 A Haantjes CERTIFISC  Oudenaarde</v>
      </c>
      <c r="D164" t="str">
        <v>M14 A</v>
      </c>
    </row>
    <row r="165" spans="1:4" x14ac:dyDescent="0.25">
      <c r="A165" t="str">
        <v>Celeste Geenens</v>
      </c>
      <c r="B165" t="str">
        <v/>
      </c>
      <c r="C165" t="str">
        <v>M14 A Haantjes CERTIFISC  Oudenaarde</v>
      </c>
      <c r="D165" t="str">
        <v>M14 A</v>
      </c>
    </row>
    <row r="166" spans="1:4" x14ac:dyDescent="0.25">
      <c r="A166" t="str">
        <v>Julie Orbie</v>
      </c>
      <c r="B166" t="str">
        <v/>
      </c>
      <c r="C166" t="str">
        <v>M14 A Haantjes CERTIFISC  Oudenaarde</v>
      </c>
      <c r="D166" t="str">
        <v>M14 A</v>
      </c>
    </row>
    <row r="167" spans="1:4" x14ac:dyDescent="0.25">
      <c r="A167" t="str">
        <v>Emlin Rommens</v>
      </c>
      <c r="B167" t="str">
        <v>https://app.twizzit.com/public/photos/2650641/s/248b205ecc69fd455c13ac7cc9deb76d11e361a0.png</v>
      </c>
      <c r="C167" t="str">
        <v>M14 A Haantjes CERTIFISC  Oudenaarde</v>
      </c>
      <c r="D167" t="str">
        <v>M14 A</v>
      </c>
    </row>
    <row r="168" spans="1:4" x14ac:dyDescent="0.25">
      <c r="A168" t="str">
        <v>Merel Spiessens</v>
      </c>
      <c r="B168" t="str">
        <v>https://app.twizzit.com/public/photos/2183207/s/cd9fd40cf38cd1eb62df0198f102c2154c08c604.jpeg</v>
      </c>
      <c r="C168" t="str">
        <v>M14 A Haantjes CERTIFISC  Oudenaarde</v>
      </c>
      <c r="D168" t="str">
        <v>M14 A</v>
      </c>
    </row>
    <row r="169" spans="1:4" x14ac:dyDescent="0.25">
      <c r="A169" t="str">
        <v>Olivia Vanbutsele</v>
      </c>
      <c r="B169" t="str">
        <v>https://app.twizzit.com/public/photos/4292310/s/063d2ce017539cf8df316f28e3a639739d1c1148.jpeg</v>
      </c>
      <c r="C169" t="str">
        <v>M14 A Haantjes CERTIFISC  Oudenaarde</v>
      </c>
      <c r="D169" t="str">
        <v>M14 A</v>
      </c>
    </row>
    <row r="170" spans="1:4" x14ac:dyDescent="0.25">
      <c r="A170" t="str">
        <v>Isa Ameloot-Vanhove</v>
      </c>
      <c r="B170" t="str">
        <v>https://app.twizzit.com/public/photos/5115343/s/0e6908415a8d44c9a80019c8bc87b39596577cc5.jpeg</v>
      </c>
      <c r="C170" t="str">
        <v>M16 A Haantjes CERTIFISC  Oudenaarde</v>
      </c>
      <c r="D170" t="str">
        <v>M16 A</v>
      </c>
    </row>
    <row r="171" spans="1:4" x14ac:dyDescent="0.25">
      <c r="A171" t="str">
        <v>Merel Blancke</v>
      </c>
      <c r="B171" t="str">
        <v>https://app.twizzit.com/public/photos/5568565/s/d285ba208d969f77d6c249fb61359c50c614e6ac.png</v>
      </c>
      <c r="C171" t="str">
        <v>M16 A Haantjes CERTIFISC  Oudenaarde</v>
      </c>
      <c r="D171" t="str">
        <v>M16 A</v>
      </c>
    </row>
    <row r="172" spans="1:4" x14ac:dyDescent="0.25">
      <c r="A172" t="str">
        <v>Luca Boullart</v>
      </c>
      <c r="B172" t="str">
        <v/>
      </c>
      <c r="C172" t="str">
        <v>M16 A Haantjes CERTIFISC  Oudenaarde</v>
      </c>
      <c r="D172" t="str">
        <v>M16 A</v>
      </c>
    </row>
    <row r="173" spans="1:4" x14ac:dyDescent="0.25">
      <c r="A173" t="str">
        <v>Pip Dawyndt</v>
      </c>
      <c r="B173" t="str">
        <v/>
      </c>
      <c r="C173" t="str">
        <v>M16 A Haantjes CERTIFISC  Oudenaarde</v>
      </c>
      <c r="D173" t="str">
        <v>M16 A</v>
      </c>
    </row>
    <row r="174" spans="1:4" x14ac:dyDescent="0.25">
      <c r="A174" t="str">
        <v>Maure De Coen</v>
      </c>
      <c r="B174" t="str">
        <v/>
      </c>
      <c r="C174" t="str">
        <v>M16 A Haantjes CERTIFISC  Oudenaarde</v>
      </c>
      <c r="D174" t="str">
        <v>M16 A</v>
      </c>
    </row>
    <row r="175" spans="1:4" x14ac:dyDescent="0.25">
      <c r="A175" t="str">
        <v>Jamila Ettijrini</v>
      </c>
      <c r="B175" t="str">
        <v/>
      </c>
      <c r="C175" t="str">
        <v>M16 A Haantjes CERTIFISC  Oudenaarde</v>
      </c>
      <c r="D175" t="str">
        <v>M16 A</v>
      </c>
    </row>
    <row r="176" spans="1:4" x14ac:dyDescent="0.25">
      <c r="A176" t="str">
        <v>Chloé Faelens</v>
      </c>
      <c r="B176" t="str">
        <v>https://app.twizzit.com/public/photos/4276094/s/88cd5d3554278fc03aae2c2a9989ae19589b1181.png</v>
      </c>
      <c r="C176" t="str">
        <v>M16 A Haantjes CERTIFISC  Oudenaarde</v>
      </c>
      <c r="D176" t="str">
        <v>M16 A</v>
      </c>
    </row>
    <row r="177" spans="1:4" x14ac:dyDescent="0.25">
      <c r="A177" t="str">
        <v>Laura Hakuzimana</v>
      </c>
      <c r="B177" t="str">
        <v/>
      </c>
      <c r="C177" t="str">
        <v>M16 A Haantjes CERTIFISC  Oudenaarde</v>
      </c>
      <c r="D177" t="str">
        <v>M16 A</v>
      </c>
    </row>
    <row r="178" spans="1:4" x14ac:dyDescent="0.25">
      <c r="A178" t="str">
        <v>Ron Heestermans</v>
      </c>
      <c r="B178" t="str">
        <v/>
      </c>
      <c r="C178" t="str">
        <v>M16 A Haantjes CERTIFISC  Oudenaarde</v>
      </c>
      <c r="D178" t="str">
        <v>M16 A</v>
      </c>
    </row>
    <row r="179" spans="1:4" x14ac:dyDescent="0.25">
      <c r="A179" t="str">
        <v>Dréa Maes</v>
      </c>
      <c r="B179" t="str">
        <v>https://app.twizzit.com/public/photos/3412861/s/5d2322ba0de7264fd5ba0170cc29e82844de05d5.png</v>
      </c>
      <c r="C179" t="str">
        <v>M16 A Haantjes CERTIFISC  Oudenaarde</v>
      </c>
      <c r="D179" t="str">
        <v>M16 A</v>
      </c>
    </row>
    <row r="180" spans="1:4" x14ac:dyDescent="0.25">
      <c r="A180" t="str">
        <v>Elisabeth Saveyn</v>
      </c>
      <c r="B180" t="str">
        <v/>
      </c>
      <c r="C180" t="str">
        <v>M16 A Haantjes CERTIFISC  Oudenaarde</v>
      </c>
      <c r="D180" t="str">
        <v>M16 A</v>
      </c>
    </row>
    <row r="181" spans="1:4" x14ac:dyDescent="0.25">
      <c r="A181" t="str">
        <v>Nona Schmitt</v>
      </c>
      <c r="B181" t="str">
        <v/>
      </c>
      <c r="C181" t="str">
        <v>M16 A Haantjes CERTIFISC  Oudenaarde</v>
      </c>
      <c r="D181" t="str">
        <v>M16 A</v>
      </c>
    </row>
    <row r="182" spans="1:4" x14ac:dyDescent="0.25">
      <c r="A182" t="str">
        <v>Anaïs Vanhessche</v>
      </c>
      <c r="B182" t="str">
        <v>https://app.twizzit.com/public/photos/2183392/s/3035381a43296f702255c02c3c99c4303bd9ab17.png</v>
      </c>
      <c r="C182" t="str">
        <v>M16 A Haantjes CERTIFISC  Oudenaarde</v>
      </c>
      <c r="D182" t="str">
        <v>M16 A</v>
      </c>
    </row>
    <row r="183" spans="1:4" x14ac:dyDescent="0.25">
      <c r="A183" t="str">
        <v>Emma Verleyen</v>
      </c>
      <c r="B183" t="str">
        <v/>
      </c>
      <c r="C183" t="str">
        <v>M16 A Haantjes CERTIFISC  Oudenaarde</v>
      </c>
      <c r="D183" t="str">
        <v>M16 A</v>
      </c>
    </row>
    <row r="184" spans="1:4" x14ac:dyDescent="0.25">
      <c r="A184" t="str">
        <v>Marie Bourdeaud'hui</v>
      </c>
      <c r="B184" t="str">
        <v>https://app.twizzit.com/public/photos/2182516/s/0d7291570c9e5cf142cd892c8fd7ace8c517270a.png</v>
      </c>
      <c r="C184" t="str">
        <v>M19 A Haantjes CERTIFISC Oudenaarde</v>
      </c>
      <c r="D184" t="str">
        <v>M19 A</v>
      </c>
    </row>
    <row r="185" spans="1:4" x14ac:dyDescent="0.25">
      <c r="A185" t="str">
        <v>Lise Braem</v>
      </c>
      <c r="B185" t="str">
        <v>https://app.twizzit.com/public/photos/2182526/s/a821912bbd87d29337fbfbb0be2e91298bc55869.jpeg</v>
      </c>
      <c r="C185" t="str">
        <v>M19 A Haantjes CERTIFISC Oudenaarde</v>
      </c>
      <c r="D185" t="str">
        <v>M19 A</v>
      </c>
    </row>
    <row r="186" spans="1:4" x14ac:dyDescent="0.25">
      <c r="A186" t="str">
        <v>Alice Cokelaere</v>
      </c>
      <c r="B186" t="str">
        <v/>
      </c>
      <c r="C186" t="str">
        <v>M19 A Haantjes CERTIFISC Oudenaarde</v>
      </c>
      <c r="D186" t="str">
        <v>M19 A</v>
      </c>
    </row>
    <row r="187" spans="1:4" x14ac:dyDescent="0.25">
      <c r="A187" t="str">
        <v>Dieuwke Decroix</v>
      </c>
      <c r="B187" t="str">
        <v/>
      </c>
      <c r="C187" t="str">
        <v>M19 A Haantjes CERTIFISC Oudenaarde</v>
      </c>
      <c r="D187" t="str">
        <v>M19 A</v>
      </c>
    </row>
    <row r="188" spans="1:4" x14ac:dyDescent="0.25">
      <c r="A188" t="str">
        <v>Lora Demets</v>
      </c>
      <c r="B188" t="str">
        <v/>
      </c>
      <c r="C188" t="str">
        <v>M19 A Haantjes CERTIFISC Oudenaarde</v>
      </c>
      <c r="D188" t="str">
        <v>M19 A</v>
      </c>
    </row>
    <row r="189" spans="1:4" x14ac:dyDescent="0.25">
      <c r="A189" t="str">
        <v>Kenneth Dhont</v>
      </c>
      <c r="B189" t="str">
        <v/>
      </c>
      <c r="C189" t="str">
        <v>M19 A Haantjes CERTIFISC Oudenaarde</v>
      </c>
      <c r="D189" t="str">
        <v>M19 A</v>
      </c>
    </row>
    <row r="190" spans="1:4" x14ac:dyDescent="0.25">
      <c r="A190" t="str">
        <v>Heike Guenter</v>
      </c>
      <c r="B190" t="str">
        <v/>
      </c>
      <c r="C190" t="str">
        <v>M19 A Haantjes CERTIFISC Oudenaarde</v>
      </c>
      <c r="D190" t="str">
        <v>M19 A</v>
      </c>
    </row>
    <row r="191" spans="1:4" x14ac:dyDescent="0.25">
      <c r="A191" t="str">
        <v>Janne Vandriessche</v>
      </c>
      <c r="B191" t="str">
        <v/>
      </c>
      <c r="C191" t="str">
        <v>M19 A Haantjes CERTIFISC Oudenaarde</v>
      </c>
      <c r="D191" t="str">
        <v>M19 A</v>
      </c>
    </row>
    <row r="192" spans="1:4" x14ac:dyDescent="0.25">
      <c r="A192" t="str">
        <v>Lente Verhaeghe</v>
      </c>
      <c r="B192" t="str">
        <v>https://app.twizzit.com/public/photos/3706826/s/7283d518f82547e0fb530790cddedb0edf0a5785.jpeg</v>
      </c>
      <c r="C192" t="str">
        <v>M19 A Haantjes CERTIFISC Oudenaarde</v>
      </c>
      <c r="D192" t="str">
        <v>M19 A</v>
      </c>
    </row>
    <row r="193" spans="1:4" x14ac:dyDescent="0.25">
      <c r="A193" t="str">
        <v>Lena Verschatse</v>
      </c>
      <c r="B193" t="str">
        <v/>
      </c>
      <c r="C193" t="str">
        <v>M19 A Haantjes CERTIFISC Oudenaarde</v>
      </c>
      <c r="D193" t="str">
        <v>M19 A</v>
      </c>
    </row>
    <row r="194" spans="1:4" x14ac:dyDescent="0.25">
      <c r="A194" t="str">
        <v>Lily Adam</v>
      </c>
      <c r="B194" t="str">
        <v>https://app.twizzit.com/public/photos/2182441/s/eec7946e1a9e80461f26752840c4aedc7d235bab.jpeg</v>
      </c>
      <c r="C194" t="str">
        <v xml:space="preserve">Trainerspoule </v>
      </c>
      <c r="D194" t="str">
        <v>Trainerspoule</v>
      </c>
    </row>
    <row r="195" spans="1:4" x14ac:dyDescent="0.25">
      <c r="A195" t="str">
        <v>Kimberley De Smet</v>
      </c>
      <c r="B195" t="str">
        <v>https://app.twizzit.com/public/photos/2182696/s/b3404003062e85e1b45f5fca9b0565fe70029286.png</v>
      </c>
      <c r="C195" t="str">
        <v xml:space="preserve">Trainerspoule </v>
      </c>
      <c r="D195" t="str">
        <v>Trainerspoule</v>
      </c>
    </row>
    <row r="196" spans="1:4" x14ac:dyDescent="0.25">
      <c r="A196" t="str">
        <v>Tuur Genbrugge</v>
      </c>
      <c r="B196" t="str">
        <v/>
      </c>
      <c r="C196" t="str">
        <v xml:space="preserve">Trainerspoule </v>
      </c>
      <c r="D196" t="str">
        <v>Trainerspoule</v>
      </c>
    </row>
    <row r="197" spans="1:4" x14ac:dyDescent="0.25">
      <c r="A197" t="str">
        <v>Charlotte Van Moorleghem</v>
      </c>
      <c r="B197" t="str">
        <v/>
      </c>
      <c r="C197" t="str">
        <v xml:space="preserve">Trainerspoule </v>
      </c>
      <c r="D197" t="str">
        <v>Trainerspoule</v>
      </c>
    </row>
    <row r="198" spans="1:4" x14ac:dyDescent="0.25">
      <c r="A198" t="str">
        <v>David De Brabander</v>
      </c>
      <c r="B198" t="str">
        <v>https://app.twizzit.com/public/photos/4024795/s/7af12ff114d5d53515b4f220ddc6cdb6ff121519.png</v>
      </c>
      <c r="C198" t="str">
        <v>Zomerstage 2026 (Blankenberge)</v>
      </c>
      <c r="D198" t="str">
        <v>Zomerstage 2026 (Blankenberge)</v>
      </c>
    </row>
    <row r="199" spans="1:4" x14ac:dyDescent="0.25">
      <c r="A199" t="str">
        <v>Kenneth Dhont</v>
      </c>
      <c r="B199" t="str">
        <v/>
      </c>
      <c r="C199" t="str">
        <v>Zomerstage 2026 (Blankenberge)</v>
      </c>
      <c r="D199" t="str">
        <v>Zomerstage 2026 (Blankenberge)</v>
      </c>
    </row>
    <row r="200" spans="1:4" x14ac:dyDescent="0.25">
      <c r="A200" t="str">
        <v>Kenneth Dhont</v>
      </c>
      <c r="B200" t="str">
        <v/>
      </c>
      <c r="C200" t="str">
        <v>Zomerstage 2026 U10 &amp; U12 (Oudenaarde)</v>
      </c>
      <c r="D200" t="str">
        <v>Zomerstage 2026 U10 &amp; U12 (Oudenaarde)</v>
      </c>
    </row>
    <row r="201" spans="1:4" x14ac:dyDescent="0.25">
      <c r="A201" t="str">
        <v>Kenneth Dhont</v>
      </c>
      <c r="B201" t="str">
        <v/>
      </c>
      <c r="C201" t="str">
        <v>Zomerstage 2026 U8 (Oudenaarde)</v>
      </c>
      <c r="D201" t="str">
        <v>Zomerstage 2026 U8 (Oudenaarde)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Speler-Coach</vt:lpstr>
      <vt:lpstr>Sorted by Team</vt:lpstr>
      <vt:lpstr>Naam-Foto-Ploeg</vt:lpstr>
      <vt:lpstr>Jeugdrefs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Stijn Huysman</cp:lastModifiedBy>
  <dcterms:created xsi:type="dcterms:W3CDTF">2026-08-21T07:04:05Z</dcterms:created>
  <dcterms:modified xsi:type="dcterms:W3CDTF">2026-08-25T13:31:52Z</dcterms:modified>
  <cp:category/>
</cp:coreProperties>
</file>